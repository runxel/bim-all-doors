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D:\Daten (sync)\github\bim-all-doors\Source\Module\04 BAD hinge\BAD04.parameters\"/>
    </mc:Choice>
  </mc:AlternateContent>
  <bookViews>
    <workbookView xWindow="0" yWindow="-12" windowWidth="3072" windowHeight="10176" tabRatio="667"/>
  </bookViews>
  <sheets>
    <sheet name="PROJECT SETTINGS" sheetId="1" r:id="rId1"/>
    <sheet name="PARAMETERS" sheetId="6" r:id="rId2"/>
    <sheet name="DEFAULT" sheetId="7" r:id="rId3"/>
    <sheet name="VALUES" sheetId="8" r:id="rId4"/>
    <sheet name="TEXT" sheetId="15" r:id="rId5"/>
    <sheet name="base" sheetId="5" r:id="rId6"/>
    <sheet name="SORT IMPORT" sheetId="13" r:id="rId7"/>
    <sheet name="RAW IMPORT" sheetId="14" r:id="rId8"/>
    <sheet name="IMPORT AUFBEREITET" sheetId="17" r:id="rId9"/>
    <sheet name="IMPORT GS-Tür OL FL 2S2 20" sheetId="16" r:id="rId10"/>
  </sheets>
  <functionGroups builtInGroupCount="18"/>
  <definedNames>
    <definedName name="ARRAY">PARAMETERS!$Z$2:$Z$497</definedName>
    <definedName name="ARRAYval">DEFAULT!$B$5:$CG$156</definedName>
    <definedName name="checkbox">base!$I$2</definedName>
    <definedName name="CRLF">base!$A$2</definedName>
    <definedName name="DefaultValue">base!$M$2:$M$4</definedName>
    <definedName name="digits">base!$N$2</definedName>
    <definedName name="DV">base!$A$8</definedName>
    <definedName name="Filenames">'PROJECT SETTINGS'!$F$14:$F$29</definedName>
    <definedName name="GDL_Version">'PROJECT SETTINGS'!$B$7</definedName>
    <definedName name="HK">base!$A$3</definedName>
    <definedName name="IMPORT">'IMPORT GS-Tür OL FL 2S2 20'!$A$9:$K$455</definedName>
    <definedName name="ImportTranslation">base!$S$2:$T$56</definedName>
    <definedName name="INDEXNAMEN">'SORT IMPORT'!$A$2:$E$2</definedName>
    <definedName name="InterfaceLanguage">base!$X$2</definedName>
    <definedName name="makeGUID">base!$Q$9</definedName>
    <definedName name="MLtextDivisions">base!$W$2:$W$5</definedName>
    <definedName name="NK">base!$N$3</definedName>
    <definedName name="OBJEKTNAME">'PROJECT SETTINGS'!$B$1</definedName>
    <definedName name="ParameterClass">base!$J$2:$J$3</definedName>
    <definedName name="ParameterDefault">PARAMETERS!$O$2:$O$498</definedName>
    <definedName name="PARAMETERLISTE">PARAMETERS!$A$2:$Q$498</definedName>
    <definedName name="preIndex">base!$V$2</definedName>
    <definedName name="PriorityValues">base!$H$2:$H$5</definedName>
    <definedName name="prodArrayNames">'SORT IMPORT'!$F$3:$F$11</definedName>
    <definedName name="prodIndex">'SORT IMPORT'!$A$2:$F$11</definedName>
    <definedName name="prodRowOffset">'SORT IMPORT'!$G$3:$G$11</definedName>
    <definedName name="PRODUKTE">'SORT IMPORT'!$A$13:$E$122</definedName>
    <definedName name="PRODUKTINDIZES">'SORT IMPORT'!$A$2:$E$11</definedName>
    <definedName name="read_write">base!$L$2:$L$6</definedName>
    <definedName name="Stakeholder">base!$K$2:$K$6</definedName>
    <definedName name="TB">base!$A$4</definedName>
    <definedName name="TypeClass">base!$B$2:$G$20</definedName>
    <definedName name="TypeClassValues">base!$B$2:$B$20</definedName>
    <definedName name="UIpicIdxArray">base!$U$2</definedName>
    <definedName name="UItextArray">base!$U$3</definedName>
    <definedName name="UIvaluesArray">base!$U$4</definedName>
    <definedName name="VALUES">PARAMETERS!$AA$2:$AA$497</definedName>
    <definedName name="VALUES1dim">VALUES!$B$6:$BS$35</definedName>
    <definedName name="VALUESdim">VALUES!$B$1:$BS$1</definedName>
    <definedName name="VALUESLIST">VALUES!$B$5:$BR$96</definedName>
    <definedName name="VALUESnames">VALUES!$B$5:$BT$5</definedName>
    <definedName name="valuesPROP">#REF!</definedName>
    <definedName name="VALUESval">VALUES!$B$6:$BS$96</definedName>
  </definedNames>
  <calcPr calcId="162913" concurrentCalc="0"/>
</workbook>
</file>

<file path=xl/calcChain.xml><?xml version="1.0" encoding="utf-8"?>
<calcChain xmlns="http://schemas.openxmlformats.org/spreadsheetml/2006/main">
  <c r="E6" i="15" l="1"/>
  <c r="E7" i="15"/>
  <c r="E8" i="15"/>
  <c r="E9" i="15"/>
  <c r="E10" i="15"/>
  <c r="E11" i="15"/>
  <c r="E12" i="15"/>
  <c r="E13" i="15"/>
  <c r="E14" i="15"/>
  <c r="E15" i="15"/>
  <c r="E16" i="15"/>
  <c r="E17" i="15"/>
  <c r="E18" i="15"/>
  <c r="E19" i="15"/>
  <c r="E20" i="15"/>
  <c r="E21" i="15"/>
  <c r="E22" i="15"/>
  <c r="E23" i="15"/>
  <c r="E24" i="15"/>
  <c r="E25" i="15"/>
  <c r="E26" i="15"/>
  <c r="E27" i="15"/>
  <c r="E28" i="15"/>
  <c r="E29" i="15"/>
  <c r="E30" i="15"/>
  <c r="E31" i="15"/>
  <c r="E32" i="15"/>
  <c r="E33" i="15"/>
  <c r="E34" i="15"/>
  <c r="E35" i="15"/>
  <c r="E36" i="15"/>
  <c r="E37" i="15"/>
  <c r="E38" i="15"/>
  <c r="E39" i="15"/>
  <c r="E40" i="15"/>
  <c r="E41" i="15"/>
  <c r="E42" i="15"/>
  <c r="E43" i="15"/>
  <c r="E44" i="15"/>
  <c r="E45" i="15"/>
  <c r="E46" i="15"/>
  <c r="E47" i="15"/>
  <c r="E48" i="15"/>
  <c r="E49" i="15"/>
  <c r="E50" i="15"/>
  <c r="E51" i="15"/>
  <c r="E52" i="15"/>
  <c r="E53" i="15"/>
  <c r="E54" i="15"/>
  <c r="E55" i="15"/>
  <c r="E56" i="15"/>
  <c r="E57" i="15"/>
  <c r="E58" i="15"/>
  <c r="E59" i="15"/>
  <c r="E5" i="15"/>
  <c r="B8" i="1"/>
  <c r="A4" i="15"/>
  <c r="S8" i="8"/>
  <c r="S7" i="8"/>
  <c r="S6" i="8"/>
  <c r="S9" i="8"/>
  <c r="S11" i="8"/>
  <c r="S12" i="8"/>
  <c r="S13" i="8"/>
  <c r="S14" i="8"/>
  <c r="S15" i="8"/>
  <c r="C217" i="6"/>
  <c r="Z217" i="6"/>
  <c r="B217" i="6"/>
  <c r="AA217" i="6"/>
  <c r="AC217" i="6"/>
  <c r="AB217" i="6"/>
  <c r="C218" i="6"/>
  <c r="Z218" i="6"/>
  <c r="AA218" i="6"/>
  <c r="B218" i="6"/>
  <c r="AB218" i="6"/>
  <c r="C219" i="6"/>
  <c r="Z219" i="6"/>
  <c r="AA219" i="6"/>
  <c r="B219" i="6"/>
  <c r="AB219" i="6"/>
  <c r="K7" i="7"/>
  <c r="L7" i="7"/>
  <c r="K6" i="7"/>
  <c r="I6" i="7"/>
  <c r="I7" i="7"/>
  <c r="I8" i="7"/>
  <c r="I9" i="7"/>
  <c r="I10" i="7"/>
  <c r="I11" i="7"/>
  <c r="I12" i="7"/>
  <c r="I13" i="7"/>
  <c r="I14" i="7"/>
  <c r="I20" i="7"/>
  <c r="I21" i="7"/>
  <c r="G19" i="7"/>
  <c r="G20" i="7"/>
  <c r="G21" i="7"/>
  <c r="F17" i="7"/>
  <c r="I16" i="7"/>
  <c r="G17" i="7"/>
  <c r="F18" i="7"/>
  <c r="G18" i="7"/>
  <c r="F19" i="7"/>
  <c r="I18" i="7"/>
  <c r="F20" i="7"/>
  <c r="I19" i="7"/>
  <c r="F21" i="7"/>
  <c r="F22" i="7"/>
  <c r="G22" i="7"/>
  <c r="F23" i="7"/>
  <c r="F24" i="7"/>
  <c r="G24" i="7"/>
  <c r="F25" i="7"/>
  <c r="G25" i="7"/>
  <c r="F26" i="7"/>
  <c r="F16" i="7"/>
  <c r="I15" i="7"/>
  <c r="G16" i="7"/>
  <c r="I24" i="7"/>
  <c r="AB264" i="6"/>
  <c r="AA264" i="6"/>
  <c r="AC264" i="6"/>
  <c r="Z264" i="6"/>
  <c r="C264" i="6"/>
  <c r="AB263" i="6"/>
  <c r="AA263" i="6"/>
  <c r="AC263" i="6"/>
  <c r="Z263" i="6"/>
  <c r="B263" i="6"/>
  <c r="C263" i="6"/>
  <c r="AB262" i="6"/>
  <c r="AA262" i="6"/>
  <c r="Z262" i="6"/>
  <c r="C262" i="6"/>
  <c r="AB261" i="6"/>
  <c r="AA261" i="6"/>
  <c r="Z261" i="6"/>
  <c r="C261" i="6"/>
  <c r="AB260" i="6"/>
  <c r="AA260" i="6"/>
  <c r="AC260" i="6"/>
  <c r="Z260" i="6"/>
  <c r="B260" i="6"/>
  <c r="C260" i="6"/>
  <c r="AB259" i="6"/>
  <c r="AA259" i="6"/>
  <c r="Z259" i="6"/>
  <c r="C259" i="6"/>
  <c r="AB258" i="6"/>
  <c r="AA258" i="6"/>
  <c r="Z258" i="6"/>
  <c r="C258" i="6"/>
  <c r="AB257" i="6"/>
  <c r="AA257" i="6"/>
  <c r="Z257" i="6"/>
  <c r="C257" i="6"/>
  <c r="AB256" i="6"/>
  <c r="AA256" i="6"/>
  <c r="Z256" i="6"/>
  <c r="C256" i="6"/>
  <c r="AB255" i="6"/>
  <c r="AA255" i="6"/>
  <c r="AC255" i="6"/>
  <c r="Z255" i="6"/>
  <c r="C255" i="6"/>
  <c r="AB254" i="6"/>
  <c r="AA254" i="6"/>
  <c r="B254" i="6"/>
  <c r="Z254" i="6"/>
  <c r="C254" i="6"/>
  <c r="AB253" i="6"/>
  <c r="AA253" i="6"/>
  <c r="AC253" i="6"/>
  <c r="Z253" i="6"/>
  <c r="B253" i="6"/>
  <c r="C253" i="6"/>
  <c r="AB252" i="6"/>
  <c r="AA252" i="6"/>
  <c r="AC252" i="6"/>
  <c r="Z252" i="6"/>
  <c r="C252" i="6"/>
  <c r="AB251" i="6"/>
  <c r="AA251" i="6"/>
  <c r="B251" i="6"/>
  <c r="AC251" i="6"/>
  <c r="Z251" i="6"/>
  <c r="C251" i="6"/>
  <c r="AB250" i="6"/>
  <c r="AA250" i="6"/>
  <c r="AC250" i="6"/>
  <c r="Z250" i="6"/>
  <c r="C250" i="6"/>
  <c r="AB249" i="6"/>
  <c r="AA249" i="6"/>
  <c r="B249" i="6"/>
  <c r="AC249" i="6"/>
  <c r="Z249" i="6"/>
  <c r="C249" i="6"/>
  <c r="AB248" i="6"/>
  <c r="AA248" i="6"/>
  <c r="Z248" i="6"/>
  <c r="C248" i="6"/>
  <c r="AB247" i="6"/>
  <c r="AA247" i="6"/>
  <c r="B247" i="6"/>
  <c r="AC247" i="6"/>
  <c r="Z247" i="6"/>
  <c r="C247" i="6"/>
  <c r="AB246" i="6"/>
  <c r="AA246" i="6"/>
  <c r="B246" i="6"/>
  <c r="Z246" i="6"/>
  <c r="C246" i="6"/>
  <c r="AB245" i="6"/>
  <c r="AA245" i="6"/>
  <c r="B245" i="6"/>
  <c r="AC245" i="6"/>
  <c r="Z245" i="6"/>
  <c r="C245" i="6"/>
  <c r="AB244" i="6"/>
  <c r="AA244" i="6"/>
  <c r="Z244" i="6"/>
  <c r="C244" i="6"/>
  <c r="AB243" i="6"/>
  <c r="AA243" i="6"/>
  <c r="AC243" i="6"/>
  <c r="Z243" i="6"/>
  <c r="C243" i="6"/>
  <c r="AB242" i="6"/>
  <c r="AA242" i="6"/>
  <c r="AC242" i="6"/>
  <c r="Z242" i="6"/>
  <c r="C242" i="6"/>
  <c r="AB241" i="6"/>
  <c r="AA241" i="6"/>
  <c r="AC241" i="6"/>
  <c r="Z241" i="6"/>
  <c r="B241" i="6"/>
  <c r="C241" i="6"/>
  <c r="AB240" i="6"/>
  <c r="AA240" i="6"/>
  <c r="AC240" i="6"/>
  <c r="Z240" i="6"/>
  <c r="C240" i="6"/>
  <c r="AB239" i="6"/>
  <c r="AA239" i="6"/>
  <c r="AC239" i="6"/>
  <c r="Z239" i="6"/>
  <c r="B239" i="6"/>
  <c r="C239" i="6"/>
  <c r="AB238" i="6"/>
  <c r="AA238" i="6"/>
  <c r="AC238" i="6"/>
  <c r="Z238" i="6"/>
  <c r="C238" i="6"/>
  <c r="AB237" i="6"/>
  <c r="AA237" i="6"/>
  <c r="Z237" i="6"/>
  <c r="C237" i="6"/>
  <c r="AB236" i="6"/>
  <c r="AA236" i="6"/>
  <c r="Z236" i="6"/>
  <c r="C236" i="6"/>
  <c r="AB235" i="6"/>
  <c r="AA235" i="6"/>
  <c r="AC235" i="6"/>
  <c r="Z235" i="6"/>
  <c r="C235" i="6"/>
  <c r="AB234" i="6"/>
  <c r="AA234" i="6"/>
  <c r="AC234" i="6"/>
  <c r="Z234" i="6"/>
  <c r="B234" i="6"/>
  <c r="C234" i="6"/>
  <c r="AB233" i="6"/>
  <c r="AA233" i="6"/>
  <c r="AC233" i="6"/>
  <c r="Z233" i="6"/>
  <c r="B233" i="6"/>
  <c r="C233" i="6"/>
  <c r="AB232" i="6"/>
  <c r="AA232" i="6"/>
  <c r="AC232" i="6"/>
  <c r="Z232" i="6"/>
  <c r="C232" i="6"/>
  <c r="AB231" i="6"/>
  <c r="AA231" i="6"/>
  <c r="AC231" i="6"/>
  <c r="Z231" i="6"/>
  <c r="B231" i="6"/>
  <c r="C231" i="6"/>
  <c r="AB230" i="6"/>
  <c r="AA230" i="6"/>
  <c r="AC230" i="6"/>
  <c r="Z230" i="6"/>
  <c r="C230" i="6"/>
  <c r="AB181" i="6"/>
  <c r="AA181" i="6"/>
  <c r="AC181" i="6"/>
  <c r="Z181" i="6"/>
  <c r="C181" i="6"/>
  <c r="AB180" i="6"/>
  <c r="AA180" i="6"/>
  <c r="AC180" i="6"/>
  <c r="Z180" i="6"/>
  <c r="C180" i="6"/>
  <c r="B264" i="6"/>
  <c r="B250" i="6"/>
  <c r="B252" i="6"/>
  <c r="B255" i="6"/>
  <c r="E1" i="8"/>
  <c r="G1" i="8"/>
  <c r="D3" i="8"/>
  <c r="E3" i="8"/>
  <c r="D2" i="8"/>
  <c r="F3" i="8"/>
  <c r="G3" i="8"/>
  <c r="F2" i="8"/>
  <c r="E2" i="8"/>
  <c r="G2" i="8"/>
  <c r="AB472" i="6"/>
  <c r="AA472" i="6"/>
  <c r="AC472" i="6"/>
  <c r="Z472" i="6"/>
  <c r="C472" i="6"/>
  <c r="B472" i="6"/>
  <c r="AA110" i="6"/>
  <c r="AB110" i="6"/>
  <c r="Z110" i="6"/>
  <c r="B110" i="6"/>
  <c r="C110" i="6"/>
  <c r="AA109" i="6"/>
  <c r="AB109" i="6"/>
  <c r="Z109" i="6"/>
  <c r="C109" i="6"/>
  <c r="AA130" i="6"/>
  <c r="AC130" i="6"/>
  <c r="AB130" i="6"/>
  <c r="Z130" i="6"/>
  <c r="W130" i="6"/>
  <c r="C130" i="6"/>
  <c r="AA178" i="6"/>
  <c r="B178" i="6"/>
  <c r="AB178" i="6"/>
  <c r="Z178" i="6"/>
  <c r="C178" i="6"/>
  <c r="C1" i="8"/>
  <c r="B3" i="8"/>
  <c r="C3" i="8"/>
  <c r="C2" i="8"/>
  <c r="L854" i="16"/>
  <c r="L853" i="16"/>
  <c r="L852" i="16"/>
  <c r="L851" i="16"/>
  <c r="L850" i="16"/>
  <c r="L849" i="16"/>
  <c r="L848" i="16"/>
  <c r="L847" i="16"/>
  <c r="L846" i="16"/>
  <c r="L845" i="16"/>
  <c r="L844" i="16"/>
  <c r="L843" i="16"/>
  <c r="L842" i="16"/>
  <c r="L841" i="16"/>
  <c r="L840" i="16"/>
  <c r="L839" i="16"/>
  <c r="L838" i="16"/>
  <c r="L837" i="16"/>
  <c r="L836" i="16"/>
  <c r="L835" i="16"/>
  <c r="L834" i="16"/>
  <c r="L833" i="16"/>
  <c r="L832" i="16"/>
  <c r="L831" i="16"/>
  <c r="L830" i="16"/>
  <c r="L829" i="16"/>
  <c r="L828" i="16"/>
  <c r="L827" i="16"/>
  <c r="L826" i="16"/>
  <c r="L825" i="16"/>
  <c r="L824" i="16"/>
  <c r="L823" i="16"/>
  <c r="L822" i="16"/>
  <c r="L821" i="16"/>
  <c r="L820" i="16"/>
  <c r="L819" i="16"/>
  <c r="L818" i="16"/>
  <c r="L817" i="16"/>
  <c r="L816" i="16"/>
  <c r="L815" i="16"/>
  <c r="L814" i="16"/>
  <c r="L813" i="16"/>
  <c r="L812" i="16"/>
  <c r="L811" i="16"/>
  <c r="L810" i="16"/>
  <c r="L809" i="16"/>
  <c r="L808" i="16"/>
  <c r="L807" i="16"/>
  <c r="L806" i="16"/>
  <c r="L805" i="16"/>
  <c r="L804" i="16"/>
  <c r="L803" i="16"/>
  <c r="L802" i="16"/>
  <c r="L801" i="16"/>
  <c r="L800" i="16"/>
  <c r="L799" i="16"/>
  <c r="L798" i="16"/>
  <c r="L797" i="16"/>
  <c r="L796" i="16"/>
  <c r="L795" i="16"/>
  <c r="L794" i="16"/>
  <c r="L793" i="16"/>
  <c r="L792" i="16"/>
  <c r="L791" i="16"/>
  <c r="L790" i="16"/>
  <c r="L789" i="16"/>
  <c r="L788" i="16"/>
  <c r="L787" i="16"/>
  <c r="L786" i="16"/>
  <c r="L785" i="16"/>
  <c r="L784" i="16"/>
  <c r="L783" i="16"/>
  <c r="L782" i="16"/>
  <c r="L781" i="16"/>
  <c r="L780" i="16"/>
  <c r="L779" i="16"/>
  <c r="L778" i="16"/>
  <c r="L777" i="16"/>
  <c r="L776" i="16"/>
  <c r="L775" i="16"/>
  <c r="L774" i="16"/>
  <c r="L773" i="16"/>
  <c r="L772" i="16"/>
  <c r="L771" i="16"/>
  <c r="L770" i="16"/>
  <c r="L769" i="16"/>
  <c r="L768" i="16"/>
  <c r="L767" i="16"/>
  <c r="L766" i="16"/>
  <c r="L765" i="16"/>
  <c r="L764" i="16"/>
  <c r="L763" i="16"/>
  <c r="L762" i="16"/>
  <c r="L761" i="16"/>
  <c r="L760" i="16"/>
  <c r="L759" i="16"/>
  <c r="L758" i="16"/>
  <c r="L757" i="16"/>
  <c r="L756" i="16"/>
  <c r="L755" i="16"/>
  <c r="L754" i="16"/>
  <c r="L753" i="16"/>
  <c r="L752" i="16"/>
  <c r="L751" i="16"/>
  <c r="L750" i="16"/>
  <c r="L749" i="16"/>
  <c r="L748" i="16"/>
  <c r="L747" i="16"/>
  <c r="L746" i="16"/>
  <c r="L745" i="16"/>
  <c r="L744" i="16"/>
  <c r="L743" i="16"/>
  <c r="L742" i="16"/>
  <c r="L741" i="16"/>
  <c r="L740" i="16"/>
  <c r="L739" i="16"/>
  <c r="L738" i="16"/>
  <c r="L737" i="16"/>
  <c r="L736" i="16"/>
  <c r="L735" i="16"/>
  <c r="L734" i="16"/>
  <c r="L733" i="16"/>
  <c r="L732" i="16"/>
  <c r="L731" i="16"/>
  <c r="L730" i="16"/>
  <c r="L729" i="16"/>
  <c r="L728" i="16"/>
  <c r="L727" i="16"/>
  <c r="L726" i="16"/>
  <c r="L725" i="16"/>
  <c r="L724" i="16"/>
  <c r="L723" i="16"/>
  <c r="L722" i="16"/>
  <c r="L721" i="16"/>
  <c r="L720" i="16"/>
  <c r="L719" i="16"/>
  <c r="L718" i="16"/>
  <c r="L717" i="16"/>
  <c r="L716" i="16"/>
  <c r="L715" i="16"/>
  <c r="L714" i="16"/>
  <c r="L713" i="16"/>
  <c r="L712" i="16"/>
  <c r="L711" i="16"/>
  <c r="L710" i="16"/>
  <c r="L709" i="16"/>
  <c r="L708" i="16"/>
  <c r="L707" i="16"/>
  <c r="L706" i="16"/>
  <c r="L705" i="16"/>
  <c r="L704" i="16"/>
  <c r="L703" i="16"/>
  <c r="L702" i="16"/>
  <c r="L701" i="16"/>
  <c r="L700" i="16"/>
  <c r="L699" i="16"/>
  <c r="L698" i="16"/>
  <c r="L697" i="16"/>
  <c r="L696" i="16"/>
  <c r="L695" i="16"/>
  <c r="L694" i="16"/>
  <c r="L693" i="16"/>
  <c r="L692" i="16"/>
  <c r="L691" i="16"/>
  <c r="L690" i="16"/>
  <c r="L689" i="16"/>
  <c r="L688" i="16"/>
  <c r="L687" i="16"/>
  <c r="L686" i="16"/>
  <c r="L685" i="16"/>
  <c r="L684" i="16"/>
  <c r="L683" i="16"/>
  <c r="L682" i="16"/>
  <c r="L681" i="16"/>
  <c r="L680" i="16"/>
  <c r="L679" i="16"/>
  <c r="L678" i="16"/>
  <c r="L677" i="16"/>
  <c r="L676" i="16"/>
  <c r="L675" i="16"/>
  <c r="L674" i="16"/>
  <c r="L673" i="16"/>
  <c r="L672" i="16"/>
  <c r="L671" i="16"/>
  <c r="L670" i="16"/>
  <c r="L669" i="16"/>
  <c r="L668" i="16"/>
  <c r="L667" i="16"/>
  <c r="L666" i="16"/>
  <c r="L665" i="16"/>
  <c r="L664" i="16"/>
  <c r="L663" i="16"/>
  <c r="L662" i="16"/>
  <c r="L661" i="16"/>
  <c r="L660" i="16"/>
  <c r="L659" i="16"/>
  <c r="L658" i="16"/>
  <c r="L657" i="16"/>
  <c r="L656" i="16"/>
  <c r="L655" i="16"/>
  <c r="L654" i="16"/>
  <c r="L653" i="16"/>
  <c r="L652" i="16"/>
  <c r="L651" i="16"/>
  <c r="L650" i="16"/>
  <c r="L649" i="16"/>
  <c r="L648" i="16"/>
  <c r="L647" i="16"/>
  <c r="L646" i="16"/>
  <c r="L645" i="16"/>
  <c r="L644" i="16"/>
  <c r="L643" i="16"/>
  <c r="L642" i="16"/>
  <c r="L641" i="16"/>
  <c r="L640" i="16"/>
  <c r="L639" i="16"/>
  <c r="L638" i="16"/>
  <c r="L637" i="16"/>
  <c r="L636" i="16"/>
  <c r="L635" i="16"/>
  <c r="L634" i="16"/>
  <c r="L633" i="16"/>
  <c r="L632" i="16"/>
  <c r="L631" i="16"/>
  <c r="L630" i="16"/>
  <c r="L629" i="16"/>
  <c r="L628" i="16"/>
  <c r="L627" i="16"/>
  <c r="L626" i="16"/>
  <c r="L625" i="16"/>
  <c r="L624" i="16"/>
  <c r="L623" i="16"/>
  <c r="L622" i="16"/>
  <c r="L621" i="16"/>
  <c r="L620" i="16"/>
  <c r="L619" i="16"/>
  <c r="L618" i="16"/>
  <c r="L617" i="16"/>
  <c r="L616" i="16"/>
  <c r="L615" i="16"/>
  <c r="L614" i="16"/>
  <c r="L613" i="16"/>
  <c r="L612" i="16"/>
  <c r="L611" i="16"/>
  <c r="L610" i="16"/>
  <c r="L609" i="16"/>
  <c r="L608" i="16"/>
  <c r="L607" i="16"/>
  <c r="L606" i="16"/>
  <c r="L605" i="16"/>
  <c r="L604" i="16"/>
  <c r="L603" i="16"/>
  <c r="L602" i="16"/>
  <c r="L601" i="16"/>
  <c r="L600" i="16"/>
  <c r="L599" i="16"/>
  <c r="L598" i="16"/>
  <c r="L597" i="16"/>
  <c r="L596" i="16"/>
  <c r="L595" i="16"/>
  <c r="L594" i="16"/>
  <c r="L593" i="16"/>
  <c r="L592" i="16"/>
  <c r="L591" i="16"/>
  <c r="L590" i="16"/>
  <c r="L589" i="16"/>
  <c r="L588" i="16"/>
  <c r="L587" i="16"/>
  <c r="L586" i="16"/>
  <c r="L585" i="16"/>
  <c r="L584" i="16"/>
  <c r="L583" i="16"/>
  <c r="L582" i="16"/>
  <c r="L581" i="16"/>
  <c r="L580" i="16"/>
  <c r="L579" i="16"/>
  <c r="L578" i="16"/>
  <c r="L577" i="16"/>
  <c r="L576" i="16"/>
  <c r="L575" i="16"/>
  <c r="L574" i="16"/>
  <c r="L573" i="16"/>
  <c r="L572" i="16"/>
  <c r="L571" i="16"/>
  <c r="L570" i="16"/>
  <c r="L569" i="16"/>
  <c r="L568" i="16"/>
  <c r="L567" i="16"/>
  <c r="L566" i="16"/>
  <c r="L565" i="16"/>
  <c r="L564" i="16"/>
  <c r="L563" i="16"/>
  <c r="L562" i="16"/>
  <c r="L561" i="16"/>
  <c r="L560" i="16"/>
  <c r="L559" i="16"/>
  <c r="L558" i="16"/>
  <c r="L557" i="16"/>
  <c r="L556" i="16"/>
  <c r="L555" i="16"/>
  <c r="L554" i="16"/>
  <c r="L553" i="16"/>
  <c r="L552" i="16"/>
  <c r="L551" i="16"/>
  <c r="L550" i="16"/>
  <c r="L549" i="16"/>
  <c r="L548" i="16"/>
  <c r="L547" i="16"/>
  <c r="L546" i="16"/>
  <c r="L545" i="16"/>
  <c r="L544" i="16"/>
  <c r="L543" i="16"/>
  <c r="L542" i="16"/>
  <c r="L541" i="16"/>
  <c r="L540" i="16"/>
  <c r="L539" i="16"/>
  <c r="L538" i="16"/>
  <c r="L537" i="16"/>
  <c r="L536" i="16"/>
  <c r="L535" i="16"/>
  <c r="L534" i="16"/>
  <c r="L533" i="16"/>
  <c r="L532" i="16"/>
  <c r="L531" i="16"/>
  <c r="L530" i="16"/>
  <c r="L529" i="16"/>
  <c r="L528" i="16"/>
  <c r="L527" i="16"/>
  <c r="L526" i="16"/>
  <c r="L525" i="16"/>
  <c r="L524" i="16"/>
  <c r="L523" i="16"/>
  <c r="L522" i="16"/>
  <c r="L521" i="16"/>
  <c r="L520" i="16"/>
  <c r="L519" i="16"/>
  <c r="L518" i="16"/>
  <c r="L517" i="16"/>
  <c r="L516" i="16"/>
  <c r="L515" i="16"/>
  <c r="L514" i="16"/>
  <c r="L513" i="16"/>
  <c r="L512" i="16"/>
  <c r="L511" i="16"/>
  <c r="L510" i="16"/>
  <c r="L509" i="16"/>
  <c r="L508" i="16"/>
  <c r="L507" i="16"/>
  <c r="L506" i="16"/>
  <c r="L505" i="16"/>
  <c r="L504" i="16"/>
  <c r="L503" i="16"/>
  <c r="L502" i="16"/>
  <c r="L501" i="16"/>
  <c r="L500" i="16"/>
  <c r="L499" i="16"/>
  <c r="L498" i="16"/>
  <c r="L497" i="16"/>
  <c r="L496" i="16"/>
  <c r="L495" i="16"/>
  <c r="L494" i="16"/>
  <c r="L493" i="16"/>
  <c r="L492" i="16"/>
  <c r="L491" i="16"/>
  <c r="L490" i="16"/>
  <c r="L489" i="16"/>
  <c r="L488" i="16"/>
  <c r="L487" i="16"/>
  <c r="L486" i="16"/>
  <c r="L485" i="16"/>
  <c r="L484" i="16"/>
  <c r="L483" i="16"/>
  <c r="L482" i="16"/>
  <c r="L481" i="16"/>
  <c r="L480" i="16"/>
  <c r="L479" i="16"/>
  <c r="L478" i="16"/>
  <c r="L477" i="16"/>
  <c r="L476" i="16"/>
  <c r="L475" i="16"/>
  <c r="L474" i="16"/>
  <c r="L473" i="16"/>
  <c r="L472" i="16"/>
  <c r="L471" i="16"/>
  <c r="L470" i="16"/>
  <c r="L469" i="16"/>
  <c r="L468" i="16"/>
  <c r="L467" i="16"/>
  <c r="L466" i="16"/>
  <c r="L465" i="16"/>
  <c r="L464" i="16"/>
  <c r="L463" i="16"/>
  <c r="L462" i="16"/>
  <c r="L461" i="16"/>
  <c r="L460" i="16"/>
  <c r="L459" i="16"/>
  <c r="L458" i="16"/>
  <c r="L457" i="16"/>
  <c r="L456" i="16"/>
  <c r="L455" i="16"/>
  <c r="L454" i="16"/>
  <c r="L453" i="16"/>
  <c r="L452" i="16"/>
  <c r="L451" i="16"/>
  <c r="L450" i="16"/>
  <c r="L449" i="16"/>
  <c r="L448" i="16"/>
  <c r="L447" i="16"/>
  <c r="L446" i="16"/>
  <c r="L445" i="16"/>
  <c r="L444" i="16"/>
  <c r="L443" i="16"/>
  <c r="L442" i="16"/>
  <c r="L441" i="16"/>
  <c r="L440" i="16"/>
  <c r="L439" i="16"/>
  <c r="L438" i="16"/>
  <c r="L437" i="16"/>
  <c r="L436" i="16"/>
  <c r="L435" i="16"/>
  <c r="L434" i="16"/>
  <c r="L433" i="16"/>
  <c r="L432" i="16"/>
  <c r="L431" i="16"/>
  <c r="L430" i="16"/>
  <c r="L429" i="16"/>
  <c r="L428" i="16"/>
  <c r="L427" i="16"/>
  <c r="L426" i="16"/>
  <c r="L425" i="16"/>
  <c r="L424" i="16"/>
  <c r="L423" i="16"/>
  <c r="L422" i="16"/>
  <c r="L421" i="16"/>
  <c r="L420" i="16"/>
  <c r="L419" i="16"/>
  <c r="L418" i="16"/>
  <c r="L417" i="16"/>
  <c r="L416" i="16"/>
  <c r="L415" i="16"/>
  <c r="L414" i="16"/>
  <c r="L413" i="16"/>
  <c r="L412" i="16"/>
  <c r="L411" i="16"/>
  <c r="L410" i="16"/>
  <c r="L409" i="16"/>
  <c r="L408" i="16"/>
  <c r="L407" i="16"/>
  <c r="L406" i="16"/>
  <c r="L405" i="16"/>
  <c r="L404" i="16"/>
  <c r="L403" i="16"/>
  <c r="L402" i="16"/>
  <c r="L401" i="16"/>
  <c r="L400" i="16"/>
  <c r="L399" i="16"/>
  <c r="L398" i="16"/>
  <c r="L397" i="16"/>
  <c r="L396" i="16"/>
  <c r="L395" i="16"/>
  <c r="L394" i="16"/>
  <c r="L393" i="16"/>
  <c r="L392" i="16"/>
  <c r="L391" i="16"/>
  <c r="L390" i="16"/>
  <c r="L389" i="16"/>
  <c r="L388" i="16"/>
  <c r="L387" i="16"/>
  <c r="L386" i="16"/>
  <c r="L385" i="16"/>
  <c r="L384" i="16"/>
  <c r="L383" i="16"/>
  <c r="L382" i="16"/>
  <c r="L381" i="16"/>
  <c r="L380" i="16"/>
  <c r="L379" i="16"/>
  <c r="L378" i="16"/>
  <c r="L377" i="16"/>
  <c r="L376" i="16"/>
  <c r="L375" i="16"/>
  <c r="L374" i="16"/>
  <c r="L373" i="16"/>
  <c r="L372" i="16"/>
  <c r="L371" i="16"/>
  <c r="L370" i="16"/>
  <c r="L369" i="16"/>
  <c r="L368" i="16"/>
  <c r="L367" i="16"/>
  <c r="L366" i="16"/>
  <c r="L365" i="16"/>
  <c r="L364" i="16"/>
  <c r="L363" i="16"/>
  <c r="L362" i="16"/>
  <c r="L361" i="16"/>
  <c r="L360" i="16"/>
  <c r="L359" i="16"/>
  <c r="L358" i="16"/>
  <c r="L357" i="16"/>
  <c r="L356" i="16"/>
  <c r="L355" i="16"/>
  <c r="L354" i="16"/>
  <c r="L353" i="16"/>
  <c r="L352" i="16"/>
  <c r="L351" i="16"/>
  <c r="L350" i="16"/>
  <c r="L349" i="16"/>
  <c r="L348" i="16"/>
  <c r="L347" i="16"/>
  <c r="L346" i="16"/>
  <c r="L345" i="16"/>
  <c r="L344" i="16"/>
  <c r="L343" i="16"/>
  <c r="L342" i="16"/>
  <c r="L341" i="16"/>
  <c r="L340" i="16"/>
  <c r="L339" i="16"/>
  <c r="L338" i="16"/>
  <c r="L337" i="16"/>
  <c r="L336" i="16"/>
  <c r="L335" i="16"/>
  <c r="L334" i="16"/>
  <c r="L333" i="16"/>
  <c r="L332" i="16"/>
  <c r="L331" i="16"/>
  <c r="L330" i="16"/>
  <c r="L329" i="16"/>
  <c r="L328" i="16"/>
  <c r="L327" i="16"/>
  <c r="L326" i="16"/>
  <c r="L325" i="16"/>
  <c r="L324" i="16"/>
  <c r="L323" i="16"/>
  <c r="L322" i="16"/>
  <c r="L321" i="16"/>
  <c r="L320" i="16"/>
  <c r="L319" i="16"/>
  <c r="L318" i="16"/>
  <c r="L317" i="16"/>
  <c r="L316" i="16"/>
  <c r="L315" i="16"/>
  <c r="L314" i="16"/>
  <c r="L313" i="16"/>
  <c r="L312" i="16"/>
  <c r="L311" i="16"/>
  <c r="L310" i="16"/>
  <c r="L309" i="16"/>
  <c r="L308" i="16"/>
  <c r="L307" i="16"/>
  <c r="L306" i="16"/>
  <c r="L305" i="16"/>
  <c r="L304" i="16"/>
  <c r="L303" i="16"/>
  <c r="L302" i="16"/>
  <c r="L301" i="16"/>
  <c r="L300" i="16"/>
  <c r="L299" i="16"/>
  <c r="L298" i="16"/>
  <c r="L297" i="16"/>
  <c r="L296" i="16"/>
  <c r="L295" i="16"/>
  <c r="L294" i="16"/>
  <c r="L293" i="16"/>
  <c r="L292" i="16"/>
  <c r="L291" i="16"/>
  <c r="L290" i="16"/>
  <c r="L289" i="16"/>
  <c r="L288" i="16"/>
  <c r="L287" i="16"/>
  <c r="L286" i="16"/>
  <c r="L285" i="16"/>
  <c r="L284" i="16"/>
  <c r="L283" i="16"/>
  <c r="L282" i="16"/>
  <c r="L281" i="16"/>
  <c r="L280" i="16"/>
  <c r="L279" i="16"/>
  <c r="L278" i="16"/>
  <c r="L277" i="16"/>
  <c r="L276" i="16"/>
  <c r="L275" i="16"/>
  <c r="L274" i="16"/>
  <c r="L273" i="16"/>
  <c r="L272" i="16"/>
  <c r="L271" i="16"/>
  <c r="L270" i="16"/>
  <c r="L269" i="16"/>
  <c r="L268" i="16"/>
  <c r="L267" i="16"/>
  <c r="L266" i="16"/>
  <c r="L265" i="16"/>
  <c r="L264" i="16"/>
  <c r="L263" i="16"/>
  <c r="L262" i="16"/>
  <c r="L261" i="16"/>
  <c r="L260" i="16"/>
  <c r="L259" i="16"/>
  <c r="L258" i="16"/>
  <c r="L257" i="16"/>
  <c r="L256" i="16"/>
  <c r="L255" i="16"/>
  <c r="L254" i="16"/>
  <c r="L253" i="16"/>
  <c r="L252" i="16"/>
  <c r="L251" i="16"/>
  <c r="L250" i="16"/>
  <c r="L249" i="16"/>
  <c r="L248" i="16"/>
  <c r="L247" i="16"/>
  <c r="L246" i="16"/>
  <c r="L245" i="16"/>
  <c r="L244" i="16"/>
  <c r="L243" i="16"/>
  <c r="L242" i="16"/>
  <c r="L241" i="16"/>
  <c r="L240" i="16"/>
  <c r="L239" i="16"/>
  <c r="L238" i="16"/>
  <c r="L237" i="16"/>
  <c r="L236" i="16"/>
  <c r="L235" i="16"/>
  <c r="L234" i="16"/>
  <c r="L233" i="16"/>
  <c r="L232" i="16"/>
  <c r="L231" i="16"/>
  <c r="L230" i="16"/>
  <c r="L229" i="16"/>
  <c r="L228" i="16"/>
  <c r="L227" i="16"/>
  <c r="L226" i="16"/>
  <c r="L225" i="16"/>
  <c r="L224" i="16"/>
  <c r="L223" i="16"/>
  <c r="L222" i="16"/>
  <c r="L221" i="16"/>
  <c r="L220" i="16"/>
  <c r="L219" i="16"/>
  <c r="L218" i="16"/>
  <c r="L217" i="16"/>
  <c r="L216" i="16"/>
  <c r="L215" i="16"/>
  <c r="L214" i="16"/>
  <c r="L213" i="16"/>
  <c r="L212" i="16"/>
  <c r="L211" i="16"/>
  <c r="L210" i="16"/>
  <c r="L209" i="16"/>
  <c r="L208" i="16"/>
  <c r="L207" i="16"/>
  <c r="L206" i="16"/>
  <c r="L205" i="16"/>
  <c r="L204" i="16"/>
  <c r="L203" i="16"/>
  <c r="L202" i="16"/>
  <c r="L201" i="16"/>
  <c r="L200" i="16"/>
  <c r="L199" i="16"/>
  <c r="L198" i="16"/>
  <c r="L197" i="16"/>
  <c r="L196" i="16"/>
  <c r="L195" i="16"/>
  <c r="L194" i="16"/>
  <c r="L193" i="16"/>
  <c r="L192" i="16"/>
  <c r="L191" i="16"/>
  <c r="L190" i="16"/>
  <c r="L189" i="16"/>
  <c r="L188" i="16"/>
  <c r="L187" i="16"/>
  <c r="L186" i="16"/>
  <c r="L185" i="16"/>
  <c r="L184" i="16"/>
  <c r="L183" i="16"/>
  <c r="L182" i="16"/>
  <c r="L181" i="16"/>
  <c r="L180" i="16"/>
  <c r="L179" i="16"/>
  <c r="L178" i="16"/>
  <c r="L177" i="16"/>
  <c r="L176" i="16"/>
  <c r="L175" i="16"/>
  <c r="L174" i="16"/>
  <c r="L173" i="16"/>
  <c r="L172" i="16"/>
  <c r="L171" i="16"/>
  <c r="L170" i="16"/>
  <c r="L169" i="16"/>
  <c r="L168" i="16"/>
  <c r="L167" i="16"/>
  <c r="L166" i="16"/>
  <c r="L165" i="16"/>
  <c r="L164" i="16"/>
  <c r="L163" i="16"/>
  <c r="L162" i="16"/>
  <c r="L161" i="16"/>
  <c r="L160" i="16"/>
  <c r="L159" i="16"/>
  <c r="L158" i="16"/>
  <c r="L157" i="16"/>
  <c r="L156" i="16"/>
  <c r="L155" i="16"/>
  <c r="L154" i="16"/>
  <c r="L153" i="16"/>
  <c r="L152" i="16"/>
  <c r="L151" i="16"/>
  <c r="L150" i="16"/>
  <c r="L149" i="16"/>
  <c r="L148" i="16"/>
  <c r="L147" i="16"/>
  <c r="L146" i="16"/>
  <c r="L145" i="16"/>
  <c r="L144" i="16"/>
  <c r="L143" i="16"/>
  <c r="L142" i="16"/>
  <c r="L141" i="16"/>
  <c r="L140" i="16"/>
  <c r="L139" i="16"/>
  <c r="L138" i="16"/>
  <c r="L137" i="16"/>
  <c r="L136" i="16"/>
  <c r="L135" i="16"/>
  <c r="L134" i="16"/>
  <c r="L133" i="16"/>
  <c r="L132" i="16"/>
  <c r="L131" i="16"/>
  <c r="L130" i="16"/>
  <c r="L129" i="16"/>
  <c r="L128" i="16"/>
  <c r="L127" i="16"/>
  <c r="L126" i="16"/>
  <c r="L125" i="16"/>
  <c r="L124" i="16"/>
  <c r="L123" i="16"/>
  <c r="L122" i="16"/>
  <c r="L121" i="16"/>
  <c r="L120" i="16"/>
  <c r="L119" i="16"/>
  <c r="L118" i="16"/>
  <c r="L117" i="16"/>
  <c r="L116" i="16"/>
  <c r="L115" i="16"/>
  <c r="L114" i="16"/>
  <c r="L113" i="16"/>
  <c r="L112" i="16"/>
  <c r="L111" i="16"/>
  <c r="L110" i="16"/>
  <c r="L109" i="16"/>
  <c r="L108" i="16"/>
  <c r="L107" i="16"/>
  <c r="L106" i="16"/>
  <c r="L105" i="16"/>
  <c r="L104" i="16"/>
  <c r="L103" i="16"/>
  <c r="L102" i="16"/>
  <c r="L101" i="16"/>
  <c r="L100" i="16"/>
  <c r="L99" i="16"/>
  <c r="L98" i="16"/>
  <c r="L97" i="16"/>
  <c r="L96" i="16"/>
  <c r="L95" i="16"/>
  <c r="L94" i="16"/>
  <c r="L93" i="16"/>
  <c r="L92" i="16"/>
  <c r="L91" i="16"/>
  <c r="L90" i="16"/>
  <c r="L89" i="16"/>
  <c r="L88" i="16"/>
  <c r="L87" i="16"/>
  <c r="L86" i="16"/>
  <c r="L85" i="16"/>
  <c r="L84" i="16"/>
  <c r="L83" i="16"/>
  <c r="L82" i="16"/>
  <c r="L81" i="16"/>
  <c r="L80" i="16"/>
  <c r="L79" i="16"/>
  <c r="L78" i="16"/>
  <c r="L77" i="16"/>
  <c r="L76" i="16"/>
  <c r="L75" i="16"/>
  <c r="L74" i="16"/>
  <c r="L73" i="16"/>
  <c r="L72" i="16"/>
  <c r="L71" i="16"/>
  <c r="L70" i="16"/>
  <c r="L69" i="16"/>
  <c r="L68" i="16"/>
  <c r="L67" i="16"/>
  <c r="L66" i="16"/>
  <c r="L65" i="16"/>
  <c r="L64" i="16"/>
  <c r="L63" i="16"/>
  <c r="L62" i="16"/>
  <c r="L61" i="16"/>
  <c r="L60" i="16"/>
  <c r="L59" i="16"/>
  <c r="L58" i="16"/>
  <c r="L57" i="16"/>
  <c r="L56" i="16"/>
  <c r="L55" i="16"/>
  <c r="L54" i="16"/>
  <c r="L53" i="16"/>
  <c r="L52" i="16"/>
  <c r="L51" i="16"/>
  <c r="L50" i="16"/>
  <c r="L49" i="16"/>
  <c r="L48" i="16"/>
  <c r="L47" i="16"/>
  <c r="L46" i="16"/>
  <c r="L45" i="16"/>
  <c r="L44" i="16"/>
  <c r="L43" i="16"/>
  <c r="L42" i="16"/>
  <c r="L41" i="16"/>
  <c r="L40" i="16"/>
  <c r="L39" i="16"/>
  <c r="L38" i="16"/>
  <c r="L37" i="16"/>
  <c r="L36" i="16"/>
  <c r="L35" i="16"/>
  <c r="L34" i="16"/>
  <c r="L33" i="16"/>
  <c r="L32" i="16"/>
  <c r="L31" i="16"/>
  <c r="L30" i="16"/>
  <c r="L29" i="16"/>
  <c r="L28" i="16"/>
  <c r="L27" i="16"/>
  <c r="L26" i="16"/>
  <c r="L25" i="16"/>
  <c r="L24" i="16"/>
  <c r="L23" i="16"/>
  <c r="L22" i="16"/>
  <c r="L21" i="16"/>
  <c r="L20" i="16"/>
  <c r="L19" i="16"/>
  <c r="L18" i="16"/>
  <c r="L17" i="16"/>
  <c r="L16" i="16"/>
  <c r="L15" i="16"/>
  <c r="L14" i="16"/>
  <c r="L13" i="16"/>
  <c r="L12" i="16"/>
  <c r="L11" i="16"/>
  <c r="L10" i="16"/>
  <c r="L9" i="16"/>
  <c r="L8" i="16"/>
  <c r="L7" i="16"/>
  <c r="L6" i="16"/>
  <c r="L5" i="16"/>
  <c r="L4" i="16"/>
  <c r="L3" i="16"/>
  <c r="L2" i="16"/>
  <c r="X452" i="17"/>
  <c r="W452" i="17"/>
  <c r="V452" i="17"/>
  <c r="U452" i="17"/>
  <c r="T452" i="17"/>
  <c r="S452" i="17"/>
  <c r="R452" i="17"/>
  <c r="Q452" i="17"/>
  <c r="P452" i="17"/>
  <c r="N452" i="17"/>
  <c r="M452" i="17"/>
  <c r="L452" i="17"/>
  <c r="J452" i="17"/>
  <c r="I452" i="17"/>
  <c r="H452" i="17"/>
  <c r="G452" i="17"/>
  <c r="F452" i="17"/>
  <c r="E452" i="17"/>
  <c r="D452" i="17"/>
  <c r="A452" i="17"/>
  <c r="X451" i="17"/>
  <c r="W451" i="17"/>
  <c r="V451" i="17"/>
  <c r="U451" i="17"/>
  <c r="T451" i="17"/>
  <c r="S451" i="17"/>
  <c r="R451" i="17"/>
  <c r="Q451" i="17"/>
  <c r="P451" i="17"/>
  <c r="O451" i="17"/>
  <c r="N451" i="17"/>
  <c r="M451" i="17"/>
  <c r="L451" i="17"/>
  <c r="K451" i="17"/>
  <c r="J451" i="17"/>
  <c r="I451" i="17"/>
  <c r="H451" i="17"/>
  <c r="G451" i="17"/>
  <c r="F451" i="17"/>
  <c r="E451" i="17"/>
  <c r="D451" i="17"/>
  <c r="A451" i="17"/>
  <c r="B451" i="17"/>
  <c r="Y450" i="17"/>
  <c r="X450" i="17"/>
  <c r="W450" i="17"/>
  <c r="V450" i="17"/>
  <c r="T450" i="17"/>
  <c r="S450" i="17"/>
  <c r="R450" i="17"/>
  <c r="Q450" i="17"/>
  <c r="N450" i="17"/>
  <c r="M450" i="17"/>
  <c r="L450" i="17"/>
  <c r="K450" i="17"/>
  <c r="J450" i="17"/>
  <c r="I450" i="17"/>
  <c r="H450" i="17"/>
  <c r="G450" i="17"/>
  <c r="F450" i="17"/>
  <c r="E450" i="17"/>
  <c r="D450" i="17"/>
  <c r="B450" i="17"/>
  <c r="A450" i="17"/>
  <c r="X449" i="17"/>
  <c r="W449" i="17"/>
  <c r="V449" i="17"/>
  <c r="U449" i="17"/>
  <c r="S449" i="17"/>
  <c r="R449" i="17"/>
  <c r="Q449" i="17"/>
  <c r="P449" i="17"/>
  <c r="O449" i="17"/>
  <c r="N449" i="17"/>
  <c r="M449" i="17"/>
  <c r="L449" i="17"/>
  <c r="K449" i="17"/>
  <c r="J449" i="17"/>
  <c r="I449" i="17"/>
  <c r="H449" i="17"/>
  <c r="G449" i="17"/>
  <c r="F449" i="17"/>
  <c r="E449" i="17"/>
  <c r="D449" i="17"/>
  <c r="A449" i="17"/>
  <c r="Y448" i="17"/>
  <c r="X448" i="17"/>
  <c r="W448" i="17"/>
  <c r="V448" i="17"/>
  <c r="U448" i="17"/>
  <c r="T448" i="17"/>
  <c r="S448" i="17"/>
  <c r="R448" i="17"/>
  <c r="Q448" i="17"/>
  <c r="P448" i="17"/>
  <c r="O448" i="17"/>
  <c r="N448" i="17"/>
  <c r="M448" i="17"/>
  <c r="L448" i="17"/>
  <c r="K448" i="17"/>
  <c r="J448" i="17"/>
  <c r="I448" i="17"/>
  <c r="H448" i="17"/>
  <c r="G448" i="17"/>
  <c r="F448" i="17"/>
  <c r="E448" i="17"/>
  <c r="D448" i="17"/>
  <c r="C448" i="17"/>
  <c r="B448" i="17"/>
  <c r="A448" i="17"/>
  <c r="X447" i="17"/>
  <c r="W447" i="17"/>
  <c r="U447" i="17"/>
  <c r="T447" i="17"/>
  <c r="S447" i="17"/>
  <c r="R447" i="17"/>
  <c r="Q447" i="17"/>
  <c r="P447" i="17"/>
  <c r="N447" i="17"/>
  <c r="M447" i="17"/>
  <c r="L447" i="17"/>
  <c r="K447" i="17"/>
  <c r="J447" i="17"/>
  <c r="I447" i="17"/>
  <c r="H447" i="17"/>
  <c r="G447" i="17"/>
  <c r="F447" i="17"/>
  <c r="E447" i="17"/>
  <c r="D447" i="17"/>
  <c r="C447" i="17"/>
  <c r="A447" i="17"/>
  <c r="X446" i="17"/>
  <c r="W446" i="17"/>
  <c r="V446" i="17"/>
  <c r="U446" i="17"/>
  <c r="T446" i="17"/>
  <c r="S446" i="17"/>
  <c r="R446" i="17"/>
  <c r="Q446" i="17"/>
  <c r="P446" i="17"/>
  <c r="O446" i="17"/>
  <c r="N446" i="17"/>
  <c r="M446" i="17"/>
  <c r="L446" i="17"/>
  <c r="J446" i="17"/>
  <c r="I446" i="17"/>
  <c r="H446" i="17"/>
  <c r="G446" i="17"/>
  <c r="F446" i="17"/>
  <c r="E446" i="17"/>
  <c r="D446" i="17"/>
  <c r="A446" i="17"/>
  <c r="Y445" i="17"/>
  <c r="X445" i="17"/>
  <c r="W445" i="17"/>
  <c r="V445" i="17"/>
  <c r="U445" i="17"/>
  <c r="S445" i="17"/>
  <c r="R445" i="17"/>
  <c r="Q445" i="17"/>
  <c r="P445" i="17"/>
  <c r="O445" i="17"/>
  <c r="N445" i="17"/>
  <c r="M445" i="17"/>
  <c r="L445" i="17"/>
  <c r="K445" i="17"/>
  <c r="J445" i="17"/>
  <c r="I445" i="17"/>
  <c r="H445" i="17"/>
  <c r="G445" i="17"/>
  <c r="F445" i="17"/>
  <c r="E445" i="17"/>
  <c r="D445" i="17"/>
  <c r="C445" i="17"/>
  <c r="B445" i="17"/>
  <c r="A445" i="17"/>
  <c r="T445" i="17"/>
  <c r="X444" i="17"/>
  <c r="W444" i="17"/>
  <c r="V444" i="17"/>
  <c r="U444" i="17"/>
  <c r="T444" i="17"/>
  <c r="S444" i="17"/>
  <c r="R444" i="17"/>
  <c r="Q444" i="17"/>
  <c r="P444" i="17"/>
  <c r="O444" i="17"/>
  <c r="N444" i="17"/>
  <c r="L444" i="17"/>
  <c r="K444" i="17"/>
  <c r="J444" i="17"/>
  <c r="I444" i="17"/>
  <c r="H444" i="17"/>
  <c r="G444" i="17"/>
  <c r="F444" i="17"/>
  <c r="E444" i="17"/>
  <c r="D444" i="17"/>
  <c r="A444" i="17"/>
  <c r="X443" i="17"/>
  <c r="W443" i="17"/>
  <c r="V443" i="17"/>
  <c r="U443" i="17"/>
  <c r="S443" i="17"/>
  <c r="R443" i="17"/>
  <c r="Q443" i="17"/>
  <c r="O443" i="17"/>
  <c r="N443" i="17"/>
  <c r="M443" i="17"/>
  <c r="L443" i="17"/>
  <c r="K443" i="17"/>
  <c r="J443" i="17"/>
  <c r="I443" i="17"/>
  <c r="H443" i="17"/>
  <c r="G443" i="17"/>
  <c r="F443" i="17"/>
  <c r="E443" i="17"/>
  <c r="D443" i="17"/>
  <c r="C443" i="17"/>
  <c r="B443" i="17"/>
  <c r="A443" i="17"/>
  <c r="Y442" i="17"/>
  <c r="X442" i="17"/>
  <c r="W442" i="17"/>
  <c r="V442" i="17"/>
  <c r="U442" i="17"/>
  <c r="T442" i="17"/>
  <c r="S442" i="17"/>
  <c r="R442" i="17"/>
  <c r="Q442" i="17"/>
  <c r="P442" i="17"/>
  <c r="O442" i="17"/>
  <c r="N442" i="17"/>
  <c r="M442" i="17"/>
  <c r="L442" i="17"/>
  <c r="K442" i="17"/>
  <c r="J442" i="17"/>
  <c r="I442" i="17"/>
  <c r="H442" i="17"/>
  <c r="G442" i="17"/>
  <c r="F442" i="17"/>
  <c r="E442" i="17"/>
  <c r="D442" i="17"/>
  <c r="C442" i="17"/>
  <c r="B442" i="17"/>
  <c r="A442" i="17"/>
  <c r="Y441" i="17"/>
  <c r="X441" i="17"/>
  <c r="W441" i="17"/>
  <c r="U441" i="17"/>
  <c r="T441" i="17"/>
  <c r="S441" i="17"/>
  <c r="R441" i="17"/>
  <c r="Q441" i="17"/>
  <c r="P441" i="17"/>
  <c r="O441" i="17"/>
  <c r="N441" i="17"/>
  <c r="L441" i="17"/>
  <c r="J441" i="17"/>
  <c r="I441" i="17"/>
  <c r="H441" i="17"/>
  <c r="G441" i="17"/>
  <c r="F441" i="17"/>
  <c r="E441" i="17"/>
  <c r="D441" i="17"/>
  <c r="C441" i="17"/>
  <c r="B441" i="17"/>
  <c r="A441" i="17"/>
  <c r="X440" i="17"/>
  <c r="W440" i="17"/>
  <c r="S440" i="17"/>
  <c r="R440" i="17"/>
  <c r="Q440" i="17"/>
  <c r="N440" i="17"/>
  <c r="L440" i="17"/>
  <c r="J440" i="17"/>
  <c r="I440" i="17"/>
  <c r="H440" i="17"/>
  <c r="G440" i="17"/>
  <c r="F440" i="17"/>
  <c r="E440" i="17"/>
  <c r="D440" i="17"/>
  <c r="A440" i="17"/>
  <c r="X439" i="17"/>
  <c r="W439" i="17"/>
  <c r="S439" i="17"/>
  <c r="R439" i="17"/>
  <c r="Q439" i="17"/>
  <c r="N439" i="17"/>
  <c r="L439" i="17"/>
  <c r="J439" i="17"/>
  <c r="I439" i="17"/>
  <c r="H439" i="17"/>
  <c r="G439" i="17"/>
  <c r="F439" i="17"/>
  <c r="E439" i="17"/>
  <c r="D439" i="17"/>
  <c r="A439" i="17"/>
  <c r="Y438" i="17"/>
  <c r="X438" i="17"/>
  <c r="W438" i="17"/>
  <c r="U438" i="17"/>
  <c r="T438" i="17"/>
  <c r="S438" i="17"/>
  <c r="R438" i="17"/>
  <c r="Q438" i="17"/>
  <c r="N438" i="17"/>
  <c r="L438" i="17"/>
  <c r="J438" i="17"/>
  <c r="I438" i="17"/>
  <c r="H438" i="17"/>
  <c r="G438" i="17"/>
  <c r="F438" i="17"/>
  <c r="E438" i="17"/>
  <c r="D438" i="17"/>
  <c r="A438" i="17"/>
  <c r="Y437" i="17"/>
  <c r="X437" i="17"/>
  <c r="W437" i="17"/>
  <c r="V437" i="17"/>
  <c r="U437" i="17"/>
  <c r="S437" i="17"/>
  <c r="R437" i="17"/>
  <c r="Q437" i="17"/>
  <c r="N437" i="17"/>
  <c r="M437" i="17"/>
  <c r="L437" i="17"/>
  <c r="K437" i="17"/>
  <c r="J437" i="17"/>
  <c r="I437" i="17"/>
  <c r="H437" i="17"/>
  <c r="G437" i="17"/>
  <c r="F437" i="17"/>
  <c r="E437" i="17"/>
  <c r="D437" i="17"/>
  <c r="A437" i="17"/>
  <c r="X436" i="17"/>
  <c r="W436" i="17"/>
  <c r="U436" i="17"/>
  <c r="T436" i="17"/>
  <c r="S436" i="17"/>
  <c r="R436" i="17"/>
  <c r="Q436" i="17"/>
  <c r="P436" i="17"/>
  <c r="N436" i="17"/>
  <c r="L436" i="17"/>
  <c r="K436" i="17"/>
  <c r="J436" i="17"/>
  <c r="I436" i="17"/>
  <c r="H436" i="17"/>
  <c r="G436" i="17"/>
  <c r="F436" i="17"/>
  <c r="E436" i="17"/>
  <c r="D436" i="17"/>
  <c r="C436" i="17"/>
  <c r="B436" i="17"/>
  <c r="A436" i="17"/>
  <c r="M436" i="17"/>
  <c r="Y435" i="17"/>
  <c r="X435" i="17"/>
  <c r="W435" i="17"/>
  <c r="U435" i="17"/>
  <c r="T435" i="17"/>
  <c r="S435" i="17"/>
  <c r="R435" i="17"/>
  <c r="Q435" i="17"/>
  <c r="P435" i="17"/>
  <c r="O435" i="17"/>
  <c r="N435" i="17"/>
  <c r="M435" i="17"/>
  <c r="L435" i="17"/>
  <c r="K435" i="17"/>
  <c r="J435" i="17"/>
  <c r="I435" i="17"/>
  <c r="H435" i="17"/>
  <c r="G435" i="17"/>
  <c r="F435" i="17"/>
  <c r="E435" i="17"/>
  <c r="D435" i="17"/>
  <c r="C435" i="17"/>
  <c r="B435" i="17"/>
  <c r="A435" i="17"/>
  <c r="V435" i="17"/>
  <c r="X434" i="17"/>
  <c r="W434" i="17"/>
  <c r="V434" i="17"/>
  <c r="T434" i="17"/>
  <c r="S434" i="17"/>
  <c r="R434" i="17"/>
  <c r="Q434" i="17"/>
  <c r="P434" i="17"/>
  <c r="O434" i="17"/>
  <c r="N434" i="17"/>
  <c r="M434" i="17"/>
  <c r="L434" i="17"/>
  <c r="K434" i="17"/>
  <c r="J434" i="17"/>
  <c r="I434" i="17"/>
  <c r="H434" i="17"/>
  <c r="G434" i="17"/>
  <c r="F434" i="17"/>
  <c r="E434" i="17"/>
  <c r="D434" i="17"/>
  <c r="B434" i="17"/>
  <c r="A434" i="17"/>
  <c r="Y433" i="17"/>
  <c r="X433" i="17"/>
  <c r="W433" i="17"/>
  <c r="V433" i="17"/>
  <c r="T433" i="17"/>
  <c r="S433" i="17"/>
  <c r="R433" i="17"/>
  <c r="Q433" i="17"/>
  <c r="P433" i="17"/>
  <c r="O433" i="17"/>
  <c r="N433" i="17"/>
  <c r="M433" i="17"/>
  <c r="L433" i="17"/>
  <c r="K433" i="17"/>
  <c r="J433" i="17"/>
  <c r="I433" i="17"/>
  <c r="H433" i="17"/>
  <c r="G433" i="17"/>
  <c r="F433" i="17"/>
  <c r="E433" i="17"/>
  <c r="D433" i="17"/>
  <c r="A433" i="17"/>
  <c r="Y432" i="17"/>
  <c r="X432" i="17"/>
  <c r="W432" i="17"/>
  <c r="V432" i="17"/>
  <c r="U432" i="17"/>
  <c r="T432" i="17"/>
  <c r="S432" i="17"/>
  <c r="R432" i="17"/>
  <c r="Q432" i="17"/>
  <c r="P432" i="17"/>
  <c r="O432" i="17"/>
  <c r="N432" i="17"/>
  <c r="M432" i="17"/>
  <c r="L432" i="17"/>
  <c r="K432" i="17"/>
  <c r="J432" i="17"/>
  <c r="I432" i="17"/>
  <c r="H432" i="17"/>
  <c r="G432" i="17"/>
  <c r="F432" i="17"/>
  <c r="E432" i="17"/>
  <c r="D432" i="17"/>
  <c r="C432" i="17"/>
  <c r="B432" i="17"/>
  <c r="A432" i="17"/>
  <c r="Y431" i="17"/>
  <c r="X431" i="17"/>
  <c r="W431" i="17"/>
  <c r="S431" i="17"/>
  <c r="R431" i="17"/>
  <c r="Q431" i="17"/>
  <c r="N431" i="17"/>
  <c r="L431" i="17"/>
  <c r="J431" i="17"/>
  <c r="I431" i="17"/>
  <c r="H431" i="17"/>
  <c r="G431" i="17"/>
  <c r="F431" i="17"/>
  <c r="E431" i="17"/>
  <c r="D431" i="17"/>
  <c r="A431" i="17"/>
  <c r="X430" i="17"/>
  <c r="W430" i="17"/>
  <c r="S430" i="17"/>
  <c r="R430" i="17"/>
  <c r="Q430" i="17"/>
  <c r="N430" i="17"/>
  <c r="L430" i="17"/>
  <c r="J430" i="17"/>
  <c r="I430" i="17"/>
  <c r="H430" i="17"/>
  <c r="G430" i="17"/>
  <c r="F430" i="17"/>
  <c r="E430" i="17"/>
  <c r="D430" i="17"/>
  <c r="A430" i="17"/>
  <c r="U430" i="17"/>
  <c r="X429" i="17"/>
  <c r="W429" i="17"/>
  <c r="S429" i="17"/>
  <c r="R429" i="17"/>
  <c r="Q429" i="17"/>
  <c r="N429" i="17"/>
  <c r="L429" i="17"/>
  <c r="J429" i="17"/>
  <c r="I429" i="17"/>
  <c r="H429" i="17"/>
  <c r="G429" i="17"/>
  <c r="F429" i="17"/>
  <c r="E429" i="17"/>
  <c r="D429" i="17"/>
  <c r="A429" i="17"/>
  <c r="X428" i="17"/>
  <c r="W428" i="17"/>
  <c r="V428" i="17"/>
  <c r="T428" i="17"/>
  <c r="S428" i="17"/>
  <c r="R428" i="17"/>
  <c r="Q428" i="17"/>
  <c r="P428" i="17"/>
  <c r="N428" i="17"/>
  <c r="M428" i="17"/>
  <c r="L428" i="17"/>
  <c r="K428" i="17"/>
  <c r="J428" i="17"/>
  <c r="I428" i="17"/>
  <c r="H428" i="17"/>
  <c r="G428" i="17"/>
  <c r="F428" i="17"/>
  <c r="E428" i="17"/>
  <c r="D428" i="17"/>
  <c r="C428" i="17"/>
  <c r="B428" i="17"/>
  <c r="A428" i="17"/>
  <c r="Y427" i="17"/>
  <c r="X427" i="17"/>
  <c r="W427" i="17"/>
  <c r="V427" i="17"/>
  <c r="U427" i="17"/>
  <c r="S427" i="17"/>
  <c r="R427" i="17"/>
  <c r="Q427" i="17"/>
  <c r="O427" i="17"/>
  <c r="N427" i="17"/>
  <c r="M427" i="17"/>
  <c r="L427" i="17"/>
  <c r="K427" i="17"/>
  <c r="J427" i="17"/>
  <c r="I427" i="17"/>
  <c r="H427" i="17"/>
  <c r="G427" i="17"/>
  <c r="F427" i="17"/>
  <c r="E427" i="17"/>
  <c r="D427" i="17"/>
  <c r="C427" i="17"/>
  <c r="A427" i="17"/>
  <c r="Y426" i="17"/>
  <c r="X426" i="17"/>
  <c r="W426" i="17"/>
  <c r="V426" i="17"/>
  <c r="U426" i="17"/>
  <c r="T426" i="17"/>
  <c r="S426" i="17"/>
  <c r="R426" i="17"/>
  <c r="Q426" i="17"/>
  <c r="P426" i="17"/>
  <c r="O426" i="17"/>
  <c r="N426" i="17"/>
  <c r="M426" i="17"/>
  <c r="L426" i="17"/>
  <c r="K426" i="17"/>
  <c r="J426" i="17"/>
  <c r="I426" i="17"/>
  <c r="H426" i="17"/>
  <c r="G426" i="17"/>
  <c r="F426" i="17"/>
  <c r="E426" i="17"/>
  <c r="D426" i="17"/>
  <c r="C426" i="17"/>
  <c r="B426" i="17"/>
  <c r="A426" i="17"/>
  <c r="Y425" i="17"/>
  <c r="X425" i="17"/>
  <c r="W425" i="17"/>
  <c r="S425" i="17"/>
  <c r="R425" i="17"/>
  <c r="Q425" i="17"/>
  <c r="N425" i="17"/>
  <c r="L425" i="17"/>
  <c r="J425" i="17"/>
  <c r="I425" i="17"/>
  <c r="H425" i="17"/>
  <c r="G425" i="17"/>
  <c r="F425" i="17"/>
  <c r="E425" i="17"/>
  <c r="D425" i="17"/>
  <c r="C425" i="17"/>
  <c r="A425" i="17"/>
  <c r="Y424" i="17"/>
  <c r="X424" i="17"/>
  <c r="W424" i="17"/>
  <c r="V424" i="17"/>
  <c r="U424" i="17"/>
  <c r="S424" i="17"/>
  <c r="R424" i="17"/>
  <c r="Q424" i="17"/>
  <c r="N424" i="17"/>
  <c r="L424" i="17"/>
  <c r="J424" i="17"/>
  <c r="I424" i="17"/>
  <c r="H424" i="17"/>
  <c r="G424" i="17"/>
  <c r="F424" i="17"/>
  <c r="E424" i="17"/>
  <c r="D424" i="17"/>
  <c r="A424" i="17"/>
  <c r="X423" i="17"/>
  <c r="W423" i="17"/>
  <c r="U423" i="17"/>
  <c r="T423" i="17"/>
  <c r="S423" i="17"/>
  <c r="R423" i="17"/>
  <c r="Q423" i="17"/>
  <c r="N423" i="17"/>
  <c r="M423" i="17"/>
  <c r="L423" i="17"/>
  <c r="K423" i="17"/>
  <c r="J423" i="17"/>
  <c r="I423" i="17"/>
  <c r="H423" i="17"/>
  <c r="G423" i="17"/>
  <c r="F423" i="17"/>
  <c r="E423" i="17"/>
  <c r="D423" i="17"/>
  <c r="C423" i="17"/>
  <c r="A423" i="17"/>
  <c r="X422" i="17"/>
  <c r="W422" i="17"/>
  <c r="V422" i="17"/>
  <c r="U422" i="17"/>
  <c r="T422" i="17"/>
  <c r="S422" i="17"/>
  <c r="R422" i="17"/>
  <c r="Q422" i="17"/>
  <c r="O422" i="17"/>
  <c r="N422" i="17"/>
  <c r="L422" i="17"/>
  <c r="K422" i="17"/>
  <c r="J422" i="17"/>
  <c r="I422" i="17"/>
  <c r="H422" i="17"/>
  <c r="G422" i="17"/>
  <c r="F422" i="17"/>
  <c r="E422" i="17"/>
  <c r="D422" i="17"/>
  <c r="A422" i="17"/>
  <c r="Y421" i="17"/>
  <c r="X421" i="17"/>
  <c r="W421" i="17"/>
  <c r="V421" i="17"/>
  <c r="U421" i="17"/>
  <c r="S421" i="17"/>
  <c r="R421" i="17"/>
  <c r="Q421" i="17"/>
  <c r="N421" i="17"/>
  <c r="M421" i="17"/>
  <c r="L421" i="17"/>
  <c r="J421" i="17"/>
  <c r="I421" i="17"/>
  <c r="H421" i="17"/>
  <c r="G421" i="17"/>
  <c r="F421" i="17"/>
  <c r="E421" i="17"/>
  <c r="D421" i="17"/>
  <c r="A421" i="17"/>
  <c r="Y420" i="17"/>
  <c r="X420" i="17"/>
  <c r="W420" i="17"/>
  <c r="V420" i="17"/>
  <c r="U420" i="17"/>
  <c r="T420" i="17"/>
  <c r="S420" i="17"/>
  <c r="R420" i="17"/>
  <c r="Q420" i="17"/>
  <c r="P420" i="17"/>
  <c r="O420" i="17"/>
  <c r="N420" i="17"/>
  <c r="M420" i="17"/>
  <c r="L420" i="17"/>
  <c r="K420" i="17"/>
  <c r="J420" i="17"/>
  <c r="I420" i="17"/>
  <c r="H420" i="17"/>
  <c r="G420" i="17"/>
  <c r="F420" i="17"/>
  <c r="E420" i="17"/>
  <c r="D420" i="17"/>
  <c r="C420" i="17"/>
  <c r="B420" i="17"/>
  <c r="A420" i="17"/>
  <c r="X419" i="17"/>
  <c r="W419" i="17"/>
  <c r="U419" i="17"/>
  <c r="T419" i="17"/>
  <c r="S419" i="17"/>
  <c r="R419" i="17"/>
  <c r="Q419" i="17"/>
  <c r="N419" i="17"/>
  <c r="M419" i="17"/>
  <c r="L419" i="17"/>
  <c r="K419" i="17"/>
  <c r="J419" i="17"/>
  <c r="I419" i="17"/>
  <c r="H419" i="17"/>
  <c r="G419" i="17"/>
  <c r="F419" i="17"/>
  <c r="E419" i="17"/>
  <c r="D419" i="17"/>
  <c r="A419" i="17"/>
  <c r="X418" i="17"/>
  <c r="W418" i="17"/>
  <c r="V418" i="17"/>
  <c r="U418" i="17"/>
  <c r="T418" i="17"/>
  <c r="S418" i="17"/>
  <c r="R418" i="17"/>
  <c r="Q418" i="17"/>
  <c r="N418" i="17"/>
  <c r="M418" i="17"/>
  <c r="L418" i="17"/>
  <c r="K418" i="17"/>
  <c r="J418" i="17"/>
  <c r="I418" i="17"/>
  <c r="H418" i="17"/>
  <c r="G418" i="17"/>
  <c r="F418" i="17"/>
  <c r="E418" i="17"/>
  <c r="D418" i="17"/>
  <c r="B418" i="17"/>
  <c r="A418" i="17"/>
  <c r="X417" i="17"/>
  <c r="W417" i="17"/>
  <c r="V417" i="17"/>
  <c r="U417" i="17"/>
  <c r="T417" i="17"/>
  <c r="S417" i="17"/>
  <c r="R417" i="17"/>
  <c r="Q417" i="17"/>
  <c r="P417" i="17"/>
  <c r="O417" i="17"/>
  <c r="N417" i="17"/>
  <c r="M417" i="17"/>
  <c r="L417" i="17"/>
  <c r="J417" i="17"/>
  <c r="I417" i="17"/>
  <c r="H417" i="17"/>
  <c r="G417" i="17"/>
  <c r="F417" i="17"/>
  <c r="E417" i="17"/>
  <c r="D417" i="17"/>
  <c r="A417" i="17"/>
  <c r="K417" i="17"/>
  <c r="Y416" i="17"/>
  <c r="X416" i="17"/>
  <c r="W416" i="17"/>
  <c r="V416" i="17"/>
  <c r="S416" i="17"/>
  <c r="R416" i="17"/>
  <c r="Q416" i="17"/>
  <c r="P416" i="17"/>
  <c r="N416" i="17"/>
  <c r="L416" i="17"/>
  <c r="K416" i="17"/>
  <c r="J416" i="17"/>
  <c r="I416" i="17"/>
  <c r="H416" i="17"/>
  <c r="G416" i="17"/>
  <c r="F416" i="17"/>
  <c r="E416" i="17"/>
  <c r="D416" i="17"/>
  <c r="C416" i="17"/>
  <c r="A416" i="17"/>
  <c r="Y415" i="17"/>
  <c r="X415" i="17"/>
  <c r="W415" i="17"/>
  <c r="V415" i="17"/>
  <c r="S415" i="17"/>
  <c r="R415" i="17"/>
  <c r="Q415" i="17"/>
  <c r="O415" i="17"/>
  <c r="N415" i="17"/>
  <c r="M415" i="17"/>
  <c r="L415" i="17"/>
  <c r="K415" i="17"/>
  <c r="J415" i="17"/>
  <c r="I415" i="17"/>
  <c r="H415" i="17"/>
  <c r="G415" i="17"/>
  <c r="F415" i="17"/>
  <c r="E415" i="17"/>
  <c r="D415" i="17"/>
  <c r="C415" i="17"/>
  <c r="A415" i="17"/>
  <c r="X414" i="17"/>
  <c r="W414" i="17"/>
  <c r="S414" i="17"/>
  <c r="R414" i="17"/>
  <c r="Q414" i="17"/>
  <c r="N414" i="17"/>
  <c r="L414" i="17"/>
  <c r="J414" i="17"/>
  <c r="I414" i="17"/>
  <c r="H414" i="17"/>
  <c r="G414" i="17"/>
  <c r="F414" i="17"/>
  <c r="E414" i="17"/>
  <c r="D414" i="17"/>
  <c r="A414" i="17"/>
  <c r="B414" i="17"/>
  <c r="X413" i="17"/>
  <c r="W413" i="17"/>
  <c r="U413" i="17"/>
  <c r="S413" i="17"/>
  <c r="R413" i="17"/>
  <c r="Q413" i="17"/>
  <c r="P413" i="17"/>
  <c r="O413" i="17"/>
  <c r="N413" i="17"/>
  <c r="M413" i="17"/>
  <c r="L413" i="17"/>
  <c r="K413" i="17"/>
  <c r="J413" i="17"/>
  <c r="I413" i="17"/>
  <c r="H413" i="17"/>
  <c r="G413" i="17"/>
  <c r="F413" i="17"/>
  <c r="E413" i="17"/>
  <c r="D413" i="17"/>
  <c r="C413" i="17"/>
  <c r="B413" i="17"/>
  <c r="A413" i="17"/>
  <c r="X412" i="17"/>
  <c r="W412" i="17"/>
  <c r="S412" i="17"/>
  <c r="R412" i="17"/>
  <c r="Q412" i="17"/>
  <c r="N412" i="17"/>
  <c r="L412" i="17"/>
  <c r="J412" i="17"/>
  <c r="I412" i="17"/>
  <c r="H412" i="17"/>
  <c r="G412" i="17"/>
  <c r="F412" i="17"/>
  <c r="E412" i="17"/>
  <c r="D412" i="17"/>
  <c r="A412" i="17"/>
  <c r="X411" i="17"/>
  <c r="W411" i="17"/>
  <c r="V411" i="17"/>
  <c r="S411" i="17"/>
  <c r="R411" i="17"/>
  <c r="Q411" i="17"/>
  <c r="N411" i="17"/>
  <c r="L411" i="17"/>
  <c r="J411" i="17"/>
  <c r="I411" i="17"/>
  <c r="H411" i="17"/>
  <c r="G411" i="17"/>
  <c r="F411" i="17"/>
  <c r="E411" i="17"/>
  <c r="D411" i="17"/>
  <c r="A411" i="17"/>
  <c r="X410" i="17"/>
  <c r="W410" i="17"/>
  <c r="V410" i="17"/>
  <c r="U410" i="17"/>
  <c r="S410" i="17"/>
  <c r="R410" i="17"/>
  <c r="Q410" i="17"/>
  <c r="N410" i="17"/>
  <c r="L410" i="17"/>
  <c r="J410" i="17"/>
  <c r="I410" i="17"/>
  <c r="H410" i="17"/>
  <c r="G410" i="17"/>
  <c r="F410" i="17"/>
  <c r="E410" i="17"/>
  <c r="D410" i="17"/>
  <c r="A410" i="17"/>
  <c r="Y409" i="17"/>
  <c r="X409" i="17"/>
  <c r="W409" i="17"/>
  <c r="U409" i="17"/>
  <c r="T409" i="17"/>
  <c r="S409" i="17"/>
  <c r="R409" i="17"/>
  <c r="Q409" i="17"/>
  <c r="N409" i="17"/>
  <c r="L409" i="17"/>
  <c r="J409" i="17"/>
  <c r="I409" i="17"/>
  <c r="H409" i="17"/>
  <c r="G409" i="17"/>
  <c r="F409" i="17"/>
  <c r="E409" i="17"/>
  <c r="D409" i="17"/>
  <c r="A409" i="17"/>
  <c r="C409" i="17"/>
  <c r="X408" i="17"/>
  <c r="W408" i="17"/>
  <c r="V408" i="17"/>
  <c r="U408" i="17"/>
  <c r="T408" i="17"/>
  <c r="S408" i="17"/>
  <c r="R408" i="17"/>
  <c r="Q408" i="17"/>
  <c r="P408" i="17"/>
  <c r="N408" i="17"/>
  <c r="M408" i="17"/>
  <c r="L408" i="17"/>
  <c r="J408" i="17"/>
  <c r="I408" i="17"/>
  <c r="H408" i="17"/>
  <c r="G408" i="17"/>
  <c r="F408" i="17"/>
  <c r="E408" i="17"/>
  <c r="D408" i="17"/>
  <c r="C408" i="17"/>
  <c r="B408" i="17"/>
  <c r="A408" i="17"/>
  <c r="Y407" i="17"/>
  <c r="X407" i="17"/>
  <c r="W407" i="17"/>
  <c r="V407" i="17"/>
  <c r="U407" i="17"/>
  <c r="S407" i="17"/>
  <c r="R407" i="17"/>
  <c r="Q407" i="17"/>
  <c r="N407" i="17"/>
  <c r="L407" i="17"/>
  <c r="J407" i="17"/>
  <c r="I407" i="17"/>
  <c r="H407" i="17"/>
  <c r="G407" i="17"/>
  <c r="F407" i="17"/>
  <c r="E407" i="17"/>
  <c r="D407" i="17"/>
  <c r="B407" i="17"/>
  <c r="A407" i="17"/>
  <c r="Y406" i="17"/>
  <c r="X406" i="17"/>
  <c r="W406" i="17"/>
  <c r="S406" i="17"/>
  <c r="R406" i="17"/>
  <c r="Q406" i="17"/>
  <c r="P406" i="17"/>
  <c r="N406" i="17"/>
  <c r="L406" i="17"/>
  <c r="J406" i="17"/>
  <c r="I406" i="17"/>
  <c r="H406" i="17"/>
  <c r="G406" i="17"/>
  <c r="F406" i="17"/>
  <c r="E406" i="17"/>
  <c r="D406" i="17"/>
  <c r="C406" i="17"/>
  <c r="B406" i="17"/>
  <c r="A406" i="17"/>
  <c r="X405" i="17"/>
  <c r="W405" i="17"/>
  <c r="S405" i="17"/>
  <c r="R405" i="17"/>
  <c r="Q405" i="17"/>
  <c r="N405" i="17"/>
  <c r="L405" i="17"/>
  <c r="J405" i="17"/>
  <c r="I405" i="17"/>
  <c r="H405" i="17"/>
  <c r="G405" i="17"/>
  <c r="F405" i="17"/>
  <c r="E405" i="17"/>
  <c r="D405" i="17"/>
  <c r="A405" i="17"/>
  <c r="Y404" i="17"/>
  <c r="X404" i="17"/>
  <c r="W404" i="17"/>
  <c r="V404" i="17"/>
  <c r="U404" i="17"/>
  <c r="T404" i="17"/>
  <c r="S404" i="17"/>
  <c r="R404" i="17"/>
  <c r="Q404" i="17"/>
  <c r="P404" i="17"/>
  <c r="O404" i="17"/>
  <c r="N404" i="17"/>
  <c r="M404" i="17"/>
  <c r="L404" i="17"/>
  <c r="K404" i="17"/>
  <c r="J404" i="17"/>
  <c r="I404" i="17"/>
  <c r="H404" i="17"/>
  <c r="G404" i="17"/>
  <c r="F404" i="17"/>
  <c r="E404" i="17"/>
  <c r="D404" i="17"/>
  <c r="C404" i="17"/>
  <c r="B404" i="17"/>
  <c r="A404" i="17"/>
  <c r="X403" i="17"/>
  <c r="W403" i="17"/>
  <c r="S403" i="17"/>
  <c r="R403" i="17"/>
  <c r="Q403" i="17"/>
  <c r="N403" i="17"/>
  <c r="L403" i="17"/>
  <c r="J403" i="17"/>
  <c r="I403" i="17"/>
  <c r="H403" i="17"/>
  <c r="G403" i="17"/>
  <c r="F403" i="17"/>
  <c r="E403" i="17"/>
  <c r="D403" i="17"/>
  <c r="A403" i="17"/>
  <c r="X402" i="17"/>
  <c r="W402" i="17"/>
  <c r="S402" i="17"/>
  <c r="R402" i="17"/>
  <c r="Q402" i="17"/>
  <c r="N402" i="17"/>
  <c r="L402" i="17"/>
  <c r="J402" i="17"/>
  <c r="I402" i="17"/>
  <c r="H402" i="17"/>
  <c r="G402" i="17"/>
  <c r="F402" i="17"/>
  <c r="E402" i="17"/>
  <c r="D402" i="17"/>
  <c r="A402" i="17"/>
  <c r="Y401" i="17"/>
  <c r="X401" i="17"/>
  <c r="W401" i="17"/>
  <c r="S401" i="17"/>
  <c r="R401" i="17"/>
  <c r="Q401" i="17"/>
  <c r="N401" i="17"/>
  <c r="L401" i="17"/>
  <c r="K401" i="17"/>
  <c r="J401" i="17"/>
  <c r="I401" i="17"/>
  <c r="H401" i="17"/>
  <c r="G401" i="17"/>
  <c r="F401" i="17"/>
  <c r="E401" i="17"/>
  <c r="D401" i="17"/>
  <c r="C401" i="17"/>
  <c r="A401" i="17"/>
  <c r="Y400" i="17"/>
  <c r="X400" i="17"/>
  <c r="W400" i="17"/>
  <c r="S400" i="17"/>
  <c r="R400" i="17"/>
  <c r="Q400" i="17"/>
  <c r="N400" i="17"/>
  <c r="L400" i="17"/>
  <c r="J400" i="17"/>
  <c r="I400" i="17"/>
  <c r="H400" i="17"/>
  <c r="G400" i="17"/>
  <c r="F400" i="17"/>
  <c r="E400" i="17"/>
  <c r="D400" i="17"/>
  <c r="A400" i="17"/>
  <c r="Y399" i="17"/>
  <c r="X399" i="17"/>
  <c r="W399" i="17"/>
  <c r="S399" i="17"/>
  <c r="R399" i="17"/>
  <c r="Q399" i="17"/>
  <c r="N399" i="17"/>
  <c r="M399" i="17"/>
  <c r="L399" i="17"/>
  <c r="J399" i="17"/>
  <c r="I399" i="17"/>
  <c r="H399" i="17"/>
  <c r="G399" i="17"/>
  <c r="F399" i="17"/>
  <c r="E399" i="17"/>
  <c r="D399" i="17"/>
  <c r="A399" i="17"/>
  <c r="Y398" i="17"/>
  <c r="X398" i="17"/>
  <c r="W398" i="17"/>
  <c r="V398" i="17"/>
  <c r="U398" i="17"/>
  <c r="T398" i="17"/>
  <c r="S398" i="17"/>
  <c r="R398" i="17"/>
  <c r="Q398" i="17"/>
  <c r="P398" i="17"/>
  <c r="O398" i="17"/>
  <c r="N398" i="17"/>
  <c r="M398" i="17"/>
  <c r="L398" i="17"/>
  <c r="K398" i="17"/>
  <c r="J398" i="17"/>
  <c r="I398" i="17"/>
  <c r="H398" i="17"/>
  <c r="G398" i="17"/>
  <c r="F398" i="17"/>
  <c r="E398" i="17"/>
  <c r="D398" i="17"/>
  <c r="C398" i="17"/>
  <c r="B398" i="17"/>
  <c r="A398" i="17"/>
  <c r="X397" i="17"/>
  <c r="W397" i="17"/>
  <c r="S397" i="17"/>
  <c r="R397" i="17"/>
  <c r="Q397" i="17"/>
  <c r="P397" i="17"/>
  <c r="O397" i="17"/>
  <c r="N397" i="17"/>
  <c r="M397" i="17"/>
  <c r="L397" i="17"/>
  <c r="J397" i="17"/>
  <c r="I397" i="17"/>
  <c r="H397" i="17"/>
  <c r="G397" i="17"/>
  <c r="F397" i="17"/>
  <c r="E397" i="17"/>
  <c r="D397" i="17"/>
  <c r="A397" i="17"/>
  <c r="X396" i="17"/>
  <c r="W396" i="17"/>
  <c r="V396" i="17"/>
  <c r="U396" i="17"/>
  <c r="T396" i="17"/>
  <c r="S396" i="17"/>
  <c r="R396" i="17"/>
  <c r="Q396" i="17"/>
  <c r="P396" i="17"/>
  <c r="O396" i="17"/>
  <c r="N396" i="17"/>
  <c r="M396" i="17"/>
  <c r="L396" i="17"/>
  <c r="K396" i="17"/>
  <c r="J396" i="17"/>
  <c r="I396" i="17"/>
  <c r="H396" i="17"/>
  <c r="G396" i="17"/>
  <c r="F396" i="17"/>
  <c r="E396" i="17"/>
  <c r="D396" i="17"/>
  <c r="B396" i="17"/>
  <c r="A396" i="17"/>
  <c r="Y395" i="17"/>
  <c r="X395" i="17"/>
  <c r="W395" i="17"/>
  <c r="S395" i="17"/>
  <c r="R395" i="17"/>
  <c r="Q395" i="17"/>
  <c r="P395" i="17"/>
  <c r="O395" i="17"/>
  <c r="N395" i="17"/>
  <c r="M395" i="17"/>
  <c r="L395" i="17"/>
  <c r="K395" i="17"/>
  <c r="J395" i="17"/>
  <c r="I395" i="17"/>
  <c r="H395" i="17"/>
  <c r="G395" i="17"/>
  <c r="F395" i="17"/>
  <c r="E395" i="17"/>
  <c r="D395" i="17"/>
  <c r="C395" i="17"/>
  <c r="B395" i="17"/>
  <c r="A395" i="17"/>
  <c r="X394" i="17"/>
  <c r="W394" i="17"/>
  <c r="V394" i="17"/>
  <c r="U394" i="17"/>
  <c r="T394" i="17"/>
  <c r="S394" i="17"/>
  <c r="R394" i="17"/>
  <c r="Q394" i="17"/>
  <c r="P394" i="17"/>
  <c r="O394" i="17"/>
  <c r="N394" i="17"/>
  <c r="L394" i="17"/>
  <c r="K394" i="17"/>
  <c r="J394" i="17"/>
  <c r="I394" i="17"/>
  <c r="H394" i="17"/>
  <c r="G394" i="17"/>
  <c r="F394" i="17"/>
  <c r="E394" i="17"/>
  <c r="D394" i="17"/>
  <c r="C394" i="17"/>
  <c r="A394" i="17"/>
  <c r="M394" i="17"/>
  <c r="X393" i="17"/>
  <c r="W393" i="17"/>
  <c r="V393" i="17"/>
  <c r="U393" i="17"/>
  <c r="T393" i="17"/>
  <c r="S393" i="17"/>
  <c r="R393" i="17"/>
  <c r="Q393" i="17"/>
  <c r="O393" i="17"/>
  <c r="N393" i="17"/>
  <c r="M393" i="17"/>
  <c r="L393" i="17"/>
  <c r="K393" i="17"/>
  <c r="J393" i="17"/>
  <c r="I393" i="17"/>
  <c r="H393" i="17"/>
  <c r="G393" i="17"/>
  <c r="F393" i="17"/>
  <c r="E393" i="17"/>
  <c r="D393" i="17"/>
  <c r="B393" i="17"/>
  <c r="A393" i="17"/>
  <c r="X392" i="17"/>
  <c r="W392" i="17"/>
  <c r="V392" i="17"/>
  <c r="S392" i="17"/>
  <c r="R392" i="17"/>
  <c r="Q392" i="17"/>
  <c r="P392" i="17"/>
  <c r="N392" i="17"/>
  <c r="M392" i="17"/>
  <c r="L392" i="17"/>
  <c r="J392" i="17"/>
  <c r="I392" i="17"/>
  <c r="H392" i="17"/>
  <c r="G392" i="17"/>
  <c r="F392" i="17"/>
  <c r="E392" i="17"/>
  <c r="D392" i="17"/>
  <c r="A392" i="17"/>
  <c r="X391" i="17"/>
  <c r="W391" i="17"/>
  <c r="S391" i="17"/>
  <c r="R391" i="17"/>
  <c r="Q391" i="17"/>
  <c r="P391" i="17"/>
  <c r="O391" i="17"/>
  <c r="N391" i="17"/>
  <c r="L391" i="17"/>
  <c r="K391" i="17"/>
  <c r="J391" i="17"/>
  <c r="I391" i="17"/>
  <c r="H391" i="17"/>
  <c r="G391" i="17"/>
  <c r="F391" i="17"/>
  <c r="E391" i="17"/>
  <c r="D391" i="17"/>
  <c r="A391" i="17"/>
  <c r="X390" i="17"/>
  <c r="W390" i="17"/>
  <c r="V390" i="17"/>
  <c r="S390" i="17"/>
  <c r="R390" i="17"/>
  <c r="Q390" i="17"/>
  <c r="P390" i="17"/>
  <c r="O390" i="17"/>
  <c r="N390" i="17"/>
  <c r="M390" i="17"/>
  <c r="L390" i="17"/>
  <c r="K390" i="17"/>
  <c r="J390" i="17"/>
  <c r="I390" i="17"/>
  <c r="H390" i="17"/>
  <c r="G390" i="17"/>
  <c r="F390" i="17"/>
  <c r="E390" i="17"/>
  <c r="D390" i="17"/>
  <c r="A390" i="17"/>
  <c r="X389" i="17"/>
  <c r="W389" i="17"/>
  <c r="S389" i="17"/>
  <c r="R389" i="17"/>
  <c r="Q389" i="17"/>
  <c r="N389" i="17"/>
  <c r="L389" i="17"/>
  <c r="J389" i="17"/>
  <c r="I389" i="17"/>
  <c r="H389" i="17"/>
  <c r="G389" i="17"/>
  <c r="F389" i="17"/>
  <c r="E389" i="17"/>
  <c r="D389" i="17"/>
  <c r="A389" i="17"/>
  <c r="X388" i="17"/>
  <c r="W388" i="17"/>
  <c r="V388" i="17"/>
  <c r="T388" i="17"/>
  <c r="S388" i="17"/>
  <c r="R388" i="17"/>
  <c r="Q388" i="17"/>
  <c r="O388" i="17"/>
  <c r="N388" i="17"/>
  <c r="M388" i="17"/>
  <c r="L388" i="17"/>
  <c r="K388" i="17"/>
  <c r="J388" i="17"/>
  <c r="I388" i="17"/>
  <c r="H388" i="17"/>
  <c r="G388" i="17"/>
  <c r="F388" i="17"/>
  <c r="E388" i="17"/>
  <c r="D388" i="17"/>
  <c r="C388" i="17"/>
  <c r="B388" i="17"/>
  <c r="A388" i="17"/>
  <c r="Y387" i="17"/>
  <c r="X387" i="17"/>
  <c r="W387" i="17"/>
  <c r="V387" i="17"/>
  <c r="U387" i="17"/>
  <c r="T387" i="17"/>
  <c r="S387" i="17"/>
  <c r="R387" i="17"/>
  <c r="Q387" i="17"/>
  <c r="P387" i="17"/>
  <c r="O387" i="17"/>
  <c r="N387" i="17"/>
  <c r="L387" i="17"/>
  <c r="K387" i="17"/>
  <c r="J387" i="17"/>
  <c r="I387" i="17"/>
  <c r="H387" i="17"/>
  <c r="G387" i="17"/>
  <c r="F387" i="17"/>
  <c r="E387" i="17"/>
  <c r="D387" i="17"/>
  <c r="C387" i="17"/>
  <c r="B387" i="17"/>
  <c r="A387" i="17"/>
  <c r="M387" i="17"/>
  <c r="Y386" i="17"/>
  <c r="X386" i="17"/>
  <c r="W386" i="17"/>
  <c r="U386" i="17"/>
  <c r="T386" i="17"/>
  <c r="S386" i="17"/>
  <c r="R386" i="17"/>
  <c r="Q386" i="17"/>
  <c r="P386" i="17"/>
  <c r="N386" i="17"/>
  <c r="M386" i="17"/>
  <c r="L386" i="17"/>
  <c r="J386" i="17"/>
  <c r="I386" i="17"/>
  <c r="H386" i="17"/>
  <c r="G386" i="17"/>
  <c r="F386" i="17"/>
  <c r="E386" i="17"/>
  <c r="D386" i="17"/>
  <c r="C386" i="17"/>
  <c r="B386" i="17"/>
  <c r="A386" i="17"/>
  <c r="Y385" i="17"/>
  <c r="X385" i="17"/>
  <c r="W385" i="17"/>
  <c r="V385" i="17"/>
  <c r="U385" i="17"/>
  <c r="T385" i="17"/>
  <c r="S385" i="17"/>
  <c r="R385" i="17"/>
  <c r="Q385" i="17"/>
  <c r="P385" i="17"/>
  <c r="O385" i="17"/>
  <c r="N385" i="17"/>
  <c r="M385" i="17"/>
  <c r="L385" i="17"/>
  <c r="K385" i="17"/>
  <c r="J385" i="17"/>
  <c r="I385" i="17"/>
  <c r="H385" i="17"/>
  <c r="G385" i="17"/>
  <c r="F385" i="17"/>
  <c r="E385" i="17"/>
  <c r="D385" i="17"/>
  <c r="C385" i="17"/>
  <c r="B385" i="17"/>
  <c r="A385" i="17"/>
  <c r="Y384" i="17"/>
  <c r="X384" i="17"/>
  <c r="W384" i="17"/>
  <c r="S384" i="17"/>
  <c r="R384" i="17"/>
  <c r="Q384" i="17"/>
  <c r="N384" i="17"/>
  <c r="L384" i="17"/>
  <c r="J384" i="17"/>
  <c r="I384" i="17"/>
  <c r="H384" i="17"/>
  <c r="G384" i="17"/>
  <c r="F384" i="17"/>
  <c r="E384" i="17"/>
  <c r="D384" i="17"/>
  <c r="A384" i="17"/>
  <c r="B384" i="17"/>
  <c r="Y383" i="17"/>
  <c r="X383" i="17"/>
  <c r="W383" i="17"/>
  <c r="S383" i="17"/>
  <c r="R383" i="17"/>
  <c r="Q383" i="17"/>
  <c r="N383" i="17"/>
  <c r="L383" i="17"/>
  <c r="J383" i="17"/>
  <c r="I383" i="17"/>
  <c r="H383" i="17"/>
  <c r="G383" i="17"/>
  <c r="F383" i="17"/>
  <c r="E383" i="17"/>
  <c r="D383" i="17"/>
  <c r="A383" i="17"/>
  <c r="C383" i="17"/>
  <c r="Y382" i="17"/>
  <c r="X382" i="17"/>
  <c r="W382" i="17"/>
  <c r="V382" i="17"/>
  <c r="U382" i="17"/>
  <c r="T382" i="17"/>
  <c r="S382" i="17"/>
  <c r="R382" i="17"/>
  <c r="Q382" i="17"/>
  <c r="P382" i="17"/>
  <c r="O382" i="17"/>
  <c r="N382" i="17"/>
  <c r="M382" i="17"/>
  <c r="L382" i="17"/>
  <c r="K382" i="17"/>
  <c r="J382" i="17"/>
  <c r="I382" i="17"/>
  <c r="H382" i="17"/>
  <c r="G382" i="17"/>
  <c r="F382" i="17"/>
  <c r="E382" i="17"/>
  <c r="D382" i="17"/>
  <c r="C382" i="17"/>
  <c r="B382" i="17"/>
  <c r="A382" i="17"/>
  <c r="X381" i="17"/>
  <c r="W381" i="17"/>
  <c r="V381" i="17"/>
  <c r="T381" i="17"/>
  <c r="S381" i="17"/>
  <c r="R381" i="17"/>
  <c r="Q381" i="17"/>
  <c r="P381" i="17"/>
  <c r="O381" i="17"/>
  <c r="N381" i="17"/>
  <c r="M381" i="17"/>
  <c r="L381" i="17"/>
  <c r="J381" i="17"/>
  <c r="I381" i="17"/>
  <c r="H381" i="17"/>
  <c r="G381" i="17"/>
  <c r="F381" i="17"/>
  <c r="E381" i="17"/>
  <c r="D381" i="17"/>
  <c r="C381" i="17"/>
  <c r="B381" i="17"/>
  <c r="A381" i="17"/>
  <c r="Y380" i="17"/>
  <c r="X380" i="17"/>
  <c r="W380" i="17"/>
  <c r="V380" i="17"/>
  <c r="U380" i="17"/>
  <c r="T380" i="17"/>
  <c r="S380" i="17"/>
  <c r="R380" i="17"/>
  <c r="Q380" i="17"/>
  <c r="P380" i="17"/>
  <c r="O380" i="17"/>
  <c r="N380" i="17"/>
  <c r="M380" i="17"/>
  <c r="L380" i="17"/>
  <c r="J380" i="17"/>
  <c r="I380" i="17"/>
  <c r="H380" i="17"/>
  <c r="G380" i="17"/>
  <c r="F380" i="17"/>
  <c r="E380" i="17"/>
  <c r="D380" i="17"/>
  <c r="C380" i="17"/>
  <c r="B380" i="17"/>
  <c r="A380" i="17"/>
  <c r="K380" i="17"/>
  <c r="X379" i="17"/>
  <c r="W379" i="17"/>
  <c r="S379" i="17"/>
  <c r="R379" i="17"/>
  <c r="Q379" i="17"/>
  <c r="N379" i="17"/>
  <c r="L379" i="17"/>
  <c r="K379" i="17"/>
  <c r="J379" i="17"/>
  <c r="I379" i="17"/>
  <c r="H379" i="17"/>
  <c r="G379" i="17"/>
  <c r="F379" i="17"/>
  <c r="E379" i="17"/>
  <c r="D379" i="17"/>
  <c r="A379" i="17"/>
  <c r="Y378" i="17"/>
  <c r="X378" i="17"/>
  <c r="W378" i="17"/>
  <c r="T378" i="17"/>
  <c r="S378" i="17"/>
  <c r="R378" i="17"/>
  <c r="Q378" i="17"/>
  <c r="N378" i="17"/>
  <c r="L378" i="17"/>
  <c r="J378" i="17"/>
  <c r="I378" i="17"/>
  <c r="H378" i="17"/>
  <c r="G378" i="17"/>
  <c r="F378" i="17"/>
  <c r="E378" i="17"/>
  <c r="D378" i="17"/>
  <c r="A378" i="17"/>
  <c r="Y377" i="17"/>
  <c r="X377" i="17"/>
  <c r="W377" i="17"/>
  <c r="S377" i="17"/>
  <c r="R377" i="17"/>
  <c r="Q377" i="17"/>
  <c r="N377" i="17"/>
  <c r="L377" i="17"/>
  <c r="J377" i="17"/>
  <c r="I377" i="17"/>
  <c r="H377" i="17"/>
  <c r="G377" i="17"/>
  <c r="F377" i="17"/>
  <c r="E377" i="17"/>
  <c r="D377" i="17"/>
  <c r="C377" i="17"/>
  <c r="B377" i="17"/>
  <c r="A377" i="17"/>
  <c r="Y376" i="17"/>
  <c r="X376" i="17"/>
  <c r="W376" i="17"/>
  <c r="V376" i="17"/>
  <c r="U376" i="17"/>
  <c r="T376" i="17"/>
  <c r="S376" i="17"/>
  <c r="R376" i="17"/>
  <c r="Q376" i="17"/>
  <c r="P376" i="17"/>
  <c r="O376" i="17"/>
  <c r="N376" i="17"/>
  <c r="M376" i="17"/>
  <c r="L376" i="17"/>
  <c r="K376" i="17"/>
  <c r="J376" i="17"/>
  <c r="I376" i="17"/>
  <c r="H376" i="17"/>
  <c r="G376" i="17"/>
  <c r="F376" i="17"/>
  <c r="E376" i="17"/>
  <c r="D376" i="17"/>
  <c r="C376" i="17"/>
  <c r="B376" i="17"/>
  <c r="A376" i="17"/>
  <c r="Y375" i="17"/>
  <c r="X375" i="17"/>
  <c r="W375" i="17"/>
  <c r="S375" i="17"/>
  <c r="R375" i="17"/>
  <c r="Q375" i="17"/>
  <c r="P375" i="17"/>
  <c r="O375" i="17"/>
  <c r="N375" i="17"/>
  <c r="M375" i="17"/>
  <c r="L375" i="17"/>
  <c r="K375" i="17"/>
  <c r="J375" i="17"/>
  <c r="I375" i="17"/>
  <c r="H375" i="17"/>
  <c r="G375" i="17"/>
  <c r="F375" i="17"/>
  <c r="E375" i="17"/>
  <c r="D375" i="17"/>
  <c r="A375" i="17"/>
  <c r="X374" i="17"/>
  <c r="W374" i="17"/>
  <c r="S374" i="17"/>
  <c r="R374" i="17"/>
  <c r="Q374" i="17"/>
  <c r="P374" i="17"/>
  <c r="O374" i="17"/>
  <c r="N374" i="17"/>
  <c r="M374" i="17"/>
  <c r="L374" i="17"/>
  <c r="K374" i="17"/>
  <c r="J374" i="17"/>
  <c r="I374" i="17"/>
  <c r="H374" i="17"/>
  <c r="G374" i="17"/>
  <c r="F374" i="17"/>
  <c r="E374" i="17"/>
  <c r="D374" i="17"/>
  <c r="B374" i="17"/>
  <c r="A374" i="17"/>
  <c r="X373" i="17"/>
  <c r="W373" i="17"/>
  <c r="S373" i="17"/>
  <c r="R373" i="17"/>
  <c r="Q373" i="17"/>
  <c r="N373" i="17"/>
  <c r="L373" i="17"/>
  <c r="J373" i="17"/>
  <c r="I373" i="17"/>
  <c r="H373" i="17"/>
  <c r="G373" i="17"/>
  <c r="F373" i="17"/>
  <c r="E373" i="17"/>
  <c r="D373" i="17"/>
  <c r="C373" i="17"/>
  <c r="A373" i="17"/>
  <c r="Y372" i="17"/>
  <c r="X372" i="17"/>
  <c r="W372" i="17"/>
  <c r="V372" i="17"/>
  <c r="U372" i="17"/>
  <c r="T372" i="17"/>
  <c r="S372" i="17"/>
  <c r="R372" i="17"/>
  <c r="Q372" i="17"/>
  <c r="P372" i="17"/>
  <c r="O372" i="17"/>
  <c r="N372" i="17"/>
  <c r="L372" i="17"/>
  <c r="K372" i="17"/>
  <c r="J372" i="17"/>
  <c r="I372" i="17"/>
  <c r="H372" i="17"/>
  <c r="G372" i="17"/>
  <c r="F372" i="17"/>
  <c r="E372" i="17"/>
  <c r="D372" i="17"/>
  <c r="C372" i="17"/>
  <c r="B372" i="17"/>
  <c r="A372" i="17"/>
  <c r="M372" i="17"/>
  <c r="X371" i="17"/>
  <c r="W371" i="17"/>
  <c r="T371" i="17"/>
  <c r="S371" i="17"/>
  <c r="R371" i="17"/>
  <c r="Q371" i="17"/>
  <c r="N371" i="17"/>
  <c r="L371" i="17"/>
  <c r="J371" i="17"/>
  <c r="I371" i="17"/>
  <c r="H371" i="17"/>
  <c r="G371" i="17"/>
  <c r="F371" i="17"/>
  <c r="E371" i="17"/>
  <c r="D371" i="17"/>
  <c r="C371" i="17"/>
  <c r="A371" i="17"/>
  <c r="X370" i="17"/>
  <c r="W370" i="17"/>
  <c r="V370" i="17"/>
  <c r="U370" i="17"/>
  <c r="T370" i="17"/>
  <c r="S370" i="17"/>
  <c r="R370" i="17"/>
  <c r="Q370" i="17"/>
  <c r="P370" i="17"/>
  <c r="N370" i="17"/>
  <c r="M370" i="17"/>
  <c r="L370" i="17"/>
  <c r="K370" i="17"/>
  <c r="J370" i="17"/>
  <c r="I370" i="17"/>
  <c r="H370" i="17"/>
  <c r="G370" i="17"/>
  <c r="F370" i="17"/>
  <c r="E370" i="17"/>
  <c r="D370" i="17"/>
  <c r="C370" i="17"/>
  <c r="A370" i="17"/>
  <c r="O370" i="17"/>
  <c r="X369" i="17"/>
  <c r="W369" i="17"/>
  <c r="U369" i="17"/>
  <c r="T369" i="17"/>
  <c r="S369" i="17"/>
  <c r="R369" i="17"/>
  <c r="Q369" i="17"/>
  <c r="P369" i="17"/>
  <c r="O369" i="17"/>
  <c r="N369" i="17"/>
  <c r="M369" i="17"/>
  <c r="L369" i="17"/>
  <c r="K369" i="17"/>
  <c r="J369" i="17"/>
  <c r="I369" i="17"/>
  <c r="H369" i="17"/>
  <c r="G369" i="17"/>
  <c r="F369" i="17"/>
  <c r="E369" i="17"/>
  <c r="D369" i="17"/>
  <c r="A369" i="17"/>
  <c r="X368" i="17"/>
  <c r="W368" i="17"/>
  <c r="V368" i="17"/>
  <c r="T368" i="17"/>
  <c r="S368" i="17"/>
  <c r="R368" i="17"/>
  <c r="Q368" i="17"/>
  <c r="P368" i="17"/>
  <c r="O368" i="17"/>
  <c r="N368" i="17"/>
  <c r="M368" i="17"/>
  <c r="L368" i="17"/>
  <c r="K368" i="17"/>
  <c r="J368" i="17"/>
  <c r="I368" i="17"/>
  <c r="H368" i="17"/>
  <c r="G368" i="17"/>
  <c r="F368" i="17"/>
  <c r="E368" i="17"/>
  <c r="D368" i="17"/>
  <c r="A368" i="17"/>
  <c r="X367" i="17"/>
  <c r="W367" i="17"/>
  <c r="S367" i="17"/>
  <c r="R367" i="17"/>
  <c r="Q367" i="17"/>
  <c r="O367" i="17"/>
  <c r="N367" i="17"/>
  <c r="M367" i="17"/>
  <c r="L367" i="17"/>
  <c r="K367" i="17"/>
  <c r="J367" i="17"/>
  <c r="I367" i="17"/>
  <c r="H367" i="17"/>
  <c r="G367" i="17"/>
  <c r="F367" i="17"/>
  <c r="E367" i="17"/>
  <c r="D367" i="17"/>
  <c r="A367" i="17"/>
  <c r="P367" i="17"/>
  <c r="Y366" i="17"/>
  <c r="X366" i="17"/>
  <c r="W366" i="17"/>
  <c r="S366" i="17"/>
  <c r="R366" i="17"/>
  <c r="Q366" i="17"/>
  <c r="P366" i="17"/>
  <c r="O366" i="17"/>
  <c r="N366" i="17"/>
  <c r="M366" i="17"/>
  <c r="L366" i="17"/>
  <c r="J366" i="17"/>
  <c r="I366" i="17"/>
  <c r="H366" i="17"/>
  <c r="G366" i="17"/>
  <c r="F366" i="17"/>
  <c r="E366" i="17"/>
  <c r="D366" i="17"/>
  <c r="A366" i="17"/>
  <c r="Y365" i="17"/>
  <c r="X365" i="17"/>
  <c r="W365" i="17"/>
  <c r="S365" i="17"/>
  <c r="R365" i="17"/>
  <c r="Q365" i="17"/>
  <c r="O365" i="17"/>
  <c r="N365" i="17"/>
  <c r="M365" i="17"/>
  <c r="L365" i="17"/>
  <c r="K365" i="17"/>
  <c r="J365" i="17"/>
  <c r="I365" i="17"/>
  <c r="H365" i="17"/>
  <c r="G365" i="17"/>
  <c r="F365" i="17"/>
  <c r="E365" i="17"/>
  <c r="D365" i="17"/>
  <c r="C365" i="17"/>
  <c r="A365" i="17"/>
  <c r="X364" i="17"/>
  <c r="W364" i="17"/>
  <c r="V364" i="17"/>
  <c r="U364" i="17"/>
  <c r="T364" i="17"/>
  <c r="S364" i="17"/>
  <c r="R364" i="17"/>
  <c r="Q364" i="17"/>
  <c r="P364" i="17"/>
  <c r="N364" i="17"/>
  <c r="M364" i="17"/>
  <c r="L364" i="17"/>
  <c r="J364" i="17"/>
  <c r="I364" i="17"/>
  <c r="H364" i="17"/>
  <c r="G364" i="17"/>
  <c r="F364" i="17"/>
  <c r="E364" i="17"/>
  <c r="D364" i="17"/>
  <c r="C364" i="17"/>
  <c r="B364" i="17"/>
  <c r="A364" i="17"/>
  <c r="Y363" i="17"/>
  <c r="X363" i="17"/>
  <c r="W363" i="17"/>
  <c r="V363" i="17"/>
  <c r="U363" i="17"/>
  <c r="T363" i="17"/>
  <c r="S363" i="17"/>
  <c r="R363" i="17"/>
  <c r="Q363" i="17"/>
  <c r="P363" i="17"/>
  <c r="O363" i="17"/>
  <c r="N363" i="17"/>
  <c r="M363" i="17"/>
  <c r="L363" i="17"/>
  <c r="K363" i="17"/>
  <c r="J363" i="17"/>
  <c r="I363" i="17"/>
  <c r="H363" i="17"/>
  <c r="G363" i="17"/>
  <c r="F363" i="17"/>
  <c r="E363" i="17"/>
  <c r="D363" i="17"/>
  <c r="C363" i="17"/>
  <c r="A363" i="17"/>
  <c r="B363" i="17"/>
  <c r="Y362" i="17"/>
  <c r="X362" i="17"/>
  <c r="W362" i="17"/>
  <c r="V362" i="17"/>
  <c r="S362" i="17"/>
  <c r="R362" i="17"/>
  <c r="Q362" i="17"/>
  <c r="O362" i="17"/>
  <c r="N362" i="17"/>
  <c r="M362" i="17"/>
  <c r="L362" i="17"/>
  <c r="K362" i="17"/>
  <c r="J362" i="17"/>
  <c r="I362" i="17"/>
  <c r="H362" i="17"/>
  <c r="G362" i="17"/>
  <c r="F362" i="17"/>
  <c r="E362" i="17"/>
  <c r="D362" i="17"/>
  <c r="C362" i="17"/>
  <c r="A362" i="17"/>
  <c r="Y361" i="17"/>
  <c r="X361" i="17"/>
  <c r="W361" i="17"/>
  <c r="U361" i="17"/>
  <c r="S361" i="17"/>
  <c r="R361" i="17"/>
  <c r="Q361" i="17"/>
  <c r="P361" i="17"/>
  <c r="N361" i="17"/>
  <c r="M361" i="17"/>
  <c r="L361" i="17"/>
  <c r="K361" i="17"/>
  <c r="J361" i="17"/>
  <c r="I361" i="17"/>
  <c r="H361" i="17"/>
  <c r="G361" i="17"/>
  <c r="F361" i="17"/>
  <c r="E361" i="17"/>
  <c r="D361" i="17"/>
  <c r="C361" i="17"/>
  <c r="A361" i="17"/>
  <c r="Y360" i="17"/>
  <c r="X360" i="17"/>
  <c r="W360" i="17"/>
  <c r="V360" i="17"/>
  <c r="U360" i="17"/>
  <c r="T360" i="17"/>
  <c r="S360" i="17"/>
  <c r="R360" i="17"/>
  <c r="Q360" i="17"/>
  <c r="P360" i="17"/>
  <c r="O360" i="17"/>
  <c r="N360" i="17"/>
  <c r="M360" i="17"/>
  <c r="L360" i="17"/>
  <c r="K360" i="17"/>
  <c r="J360" i="17"/>
  <c r="I360" i="17"/>
  <c r="H360" i="17"/>
  <c r="G360" i="17"/>
  <c r="F360" i="17"/>
  <c r="E360" i="17"/>
  <c r="D360" i="17"/>
  <c r="C360" i="17"/>
  <c r="B360" i="17"/>
  <c r="A360" i="17"/>
  <c r="Y359" i="17"/>
  <c r="X359" i="17"/>
  <c r="W359" i="17"/>
  <c r="V359" i="17"/>
  <c r="U359" i="17"/>
  <c r="T359" i="17"/>
  <c r="S359" i="17"/>
  <c r="R359" i="17"/>
  <c r="Q359" i="17"/>
  <c r="P359" i="17"/>
  <c r="O359" i="17"/>
  <c r="N359" i="17"/>
  <c r="M359" i="17"/>
  <c r="L359" i="17"/>
  <c r="K359" i="17"/>
  <c r="J359" i="17"/>
  <c r="I359" i="17"/>
  <c r="H359" i="17"/>
  <c r="G359" i="17"/>
  <c r="F359" i="17"/>
  <c r="E359" i="17"/>
  <c r="D359" i="17"/>
  <c r="C359" i="17"/>
  <c r="B359" i="17"/>
  <c r="A359" i="17"/>
  <c r="Y358" i="17"/>
  <c r="X358" i="17"/>
  <c r="W358" i="17"/>
  <c r="V358" i="17"/>
  <c r="U358" i="17"/>
  <c r="T358" i="17"/>
  <c r="S358" i="17"/>
  <c r="R358" i="17"/>
  <c r="Q358" i="17"/>
  <c r="N358" i="17"/>
  <c r="L358" i="17"/>
  <c r="J358" i="17"/>
  <c r="I358" i="17"/>
  <c r="H358" i="17"/>
  <c r="G358" i="17"/>
  <c r="F358" i="17"/>
  <c r="E358" i="17"/>
  <c r="D358" i="17"/>
  <c r="A358" i="17"/>
  <c r="X357" i="17"/>
  <c r="W357" i="17"/>
  <c r="V357" i="17"/>
  <c r="U357" i="17"/>
  <c r="T357" i="17"/>
  <c r="S357" i="17"/>
  <c r="R357" i="17"/>
  <c r="Q357" i="17"/>
  <c r="N357" i="17"/>
  <c r="L357" i="17"/>
  <c r="K357" i="17"/>
  <c r="J357" i="17"/>
  <c r="I357" i="17"/>
  <c r="H357" i="17"/>
  <c r="G357" i="17"/>
  <c r="F357" i="17"/>
  <c r="E357" i="17"/>
  <c r="D357" i="17"/>
  <c r="A357" i="17"/>
  <c r="Y356" i="17"/>
  <c r="X356" i="17"/>
  <c r="W356" i="17"/>
  <c r="V356" i="17"/>
  <c r="U356" i="17"/>
  <c r="T356" i="17"/>
  <c r="S356" i="17"/>
  <c r="R356" i="17"/>
  <c r="Q356" i="17"/>
  <c r="N356" i="17"/>
  <c r="L356" i="17"/>
  <c r="K356" i="17"/>
  <c r="J356" i="17"/>
  <c r="I356" i="17"/>
  <c r="H356" i="17"/>
  <c r="G356" i="17"/>
  <c r="F356" i="17"/>
  <c r="E356" i="17"/>
  <c r="D356" i="17"/>
  <c r="A356" i="17"/>
  <c r="Y355" i="17"/>
  <c r="X355" i="17"/>
  <c r="W355" i="17"/>
  <c r="V355" i="17"/>
  <c r="S355" i="17"/>
  <c r="R355" i="17"/>
  <c r="Q355" i="17"/>
  <c r="N355" i="17"/>
  <c r="M355" i="17"/>
  <c r="L355" i="17"/>
  <c r="J355" i="17"/>
  <c r="I355" i="17"/>
  <c r="H355" i="17"/>
  <c r="G355" i="17"/>
  <c r="F355" i="17"/>
  <c r="E355" i="17"/>
  <c r="D355" i="17"/>
  <c r="C355" i="17"/>
  <c r="A355" i="17"/>
  <c r="Y354" i="17"/>
  <c r="X354" i="17"/>
  <c r="W354" i="17"/>
  <c r="V354" i="17"/>
  <c r="U354" i="17"/>
  <c r="T354" i="17"/>
  <c r="S354" i="17"/>
  <c r="R354" i="17"/>
  <c r="Q354" i="17"/>
  <c r="P354" i="17"/>
  <c r="O354" i="17"/>
  <c r="N354" i="17"/>
  <c r="M354" i="17"/>
  <c r="L354" i="17"/>
  <c r="K354" i="17"/>
  <c r="J354" i="17"/>
  <c r="I354" i="17"/>
  <c r="H354" i="17"/>
  <c r="G354" i="17"/>
  <c r="F354" i="17"/>
  <c r="E354" i="17"/>
  <c r="D354" i="17"/>
  <c r="C354" i="17"/>
  <c r="B354" i="17"/>
  <c r="A354" i="17"/>
  <c r="X353" i="17"/>
  <c r="W353" i="17"/>
  <c r="S353" i="17"/>
  <c r="R353" i="17"/>
  <c r="Q353" i="17"/>
  <c r="N353" i="17"/>
  <c r="L353" i="17"/>
  <c r="J353" i="17"/>
  <c r="I353" i="17"/>
  <c r="H353" i="17"/>
  <c r="G353" i="17"/>
  <c r="F353" i="17"/>
  <c r="E353" i="17"/>
  <c r="D353" i="17"/>
  <c r="A353" i="17"/>
  <c r="X352" i="17"/>
  <c r="W352" i="17"/>
  <c r="T352" i="17"/>
  <c r="S352" i="17"/>
  <c r="R352" i="17"/>
  <c r="Q352" i="17"/>
  <c r="N352" i="17"/>
  <c r="M352" i="17"/>
  <c r="L352" i="17"/>
  <c r="K352" i="17"/>
  <c r="J352" i="17"/>
  <c r="I352" i="17"/>
  <c r="H352" i="17"/>
  <c r="G352" i="17"/>
  <c r="F352" i="17"/>
  <c r="E352" i="17"/>
  <c r="D352" i="17"/>
  <c r="A352" i="17"/>
  <c r="Y351" i="17"/>
  <c r="X351" i="17"/>
  <c r="W351" i="17"/>
  <c r="V351" i="17"/>
  <c r="U351" i="17"/>
  <c r="T351" i="17"/>
  <c r="S351" i="17"/>
  <c r="R351" i="17"/>
  <c r="Q351" i="17"/>
  <c r="P351" i="17"/>
  <c r="O351" i="17"/>
  <c r="N351" i="17"/>
  <c r="M351" i="17"/>
  <c r="L351" i="17"/>
  <c r="K351" i="17"/>
  <c r="J351" i="17"/>
  <c r="I351" i="17"/>
  <c r="H351" i="17"/>
  <c r="G351" i="17"/>
  <c r="F351" i="17"/>
  <c r="E351" i="17"/>
  <c r="D351" i="17"/>
  <c r="C351" i="17"/>
  <c r="B351" i="17"/>
  <c r="A351" i="17"/>
  <c r="Y350" i="17"/>
  <c r="X350" i="17"/>
  <c r="W350" i="17"/>
  <c r="T350" i="17"/>
  <c r="S350" i="17"/>
  <c r="R350" i="17"/>
  <c r="Q350" i="17"/>
  <c r="P350" i="17"/>
  <c r="O350" i="17"/>
  <c r="N350" i="17"/>
  <c r="L350" i="17"/>
  <c r="K350" i="17"/>
  <c r="J350" i="17"/>
  <c r="I350" i="17"/>
  <c r="H350" i="17"/>
  <c r="G350" i="17"/>
  <c r="F350" i="17"/>
  <c r="E350" i="17"/>
  <c r="D350" i="17"/>
  <c r="C350" i="17"/>
  <c r="B350" i="17"/>
  <c r="A350" i="17"/>
  <c r="Y349" i="17"/>
  <c r="X349" i="17"/>
  <c r="W349" i="17"/>
  <c r="V349" i="17"/>
  <c r="U349" i="17"/>
  <c r="T349" i="17"/>
  <c r="S349" i="17"/>
  <c r="R349" i="17"/>
  <c r="Q349" i="17"/>
  <c r="O349" i="17"/>
  <c r="N349" i="17"/>
  <c r="L349" i="17"/>
  <c r="K349" i="17"/>
  <c r="J349" i="17"/>
  <c r="I349" i="17"/>
  <c r="H349" i="17"/>
  <c r="G349" i="17"/>
  <c r="F349" i="17"/>
  <c r="E349" i="17"/>
  <c r="D349" i="17"/>
  <c r="B349" i="17"/>
  <c r="A349" i="17"/>
  <c r="X348" i="17"/>
  <c r="W348" i="17"/>
  <c r="V348" i="17"/>
  <c r="U348" i="17"/>
  <c r="T348" i="17"/>
  <c r="S348" i="17"/>
  <c r="R348" i="17"/>
  <c r="Q348" i="17"/>
  <c r="P348" i="17"/>
  <c r="N348" i="17"/>
  <c r="M348" i="17"/>
  <c r="L348" i="17"/>
  <c r="K348" i="17"/>
  <c r="J348" i="17"/>
  <c r="I348" i="17"/>
  <c r="H348" i="17"/>
  <c r="G348" i="17"/>
  <c r="F348" i="17"/>
  <c r="E348" i="17"/>
  <c r="D348" i="17"/>
  <c r="C348" i="17"/>
  <c r="A348" i="17"/>
  <c r="X347" i="17"/>
  <c r="W347" i="17"/>
  <c r="U347" i="17"/>
  <c r="T347" i="17"/>
  <c r="S347" i="17"/>
  <c r="R347" i="17"/>
  <c r="Q347" i="17"/>
  <c r="P347" i="17"/>
  <c r="O347" i="17"/>
  <c r="N347" i="17"/>
  <c r="M347" i="17"/>
  <c r="L347" i="17"/>
  <c r="K347" i="17"/>
  <c r="J347" i="17"/>
  <c r="I347" i="17"/>
  <c r="H347" i="17"/>
  <c r="G347" i="17"/>
  <c r="F347" i="17"/>
  <c r="E347" i="17"/>
  <c r="D347" i="17"/>
  <c r="C347" i="17"/>
  <c r="A347" i="17"/>
  <c r="X346" i="17"/>
  <c r="W346" i="17"/>
  <c r="V346" i="17"/>
  <c r="S346" i="17"/>
  <c r="R346" i="17"/>
  <c r="Q346" i="17"/>
  <c r="P346" i="17"/>
  <c r="O346" i="17"/>
  <c r="N346" i="17"/>
  <c r="M346" i="17"/>
  <c r="L346" i="17"/>
  <c r="K346" i="17"/>
  <c r="J346" i="17"/>
  <c r="I346" i="17"/>
  <c r="H346" i="17"/>
  <c r="G346" i="17"/>
  <c r="F346" i="17"/>
  <c r="E346" i="17"/>
  <c r="D346" i="17"/>
  <c r="A346" i="17"/>
  <c r="X345" i="17"/>
  <c r="W345" i="17"/>
  <c r="V345" i="17"/>
  <c r="U345" i="17"/>
  <c r="T345" i="17"/>
  <c r="S345" i="17"/>
  <c r="R345" i="17"/>
  <c r="Q345" i="17"/>
  <c r="P345" i="17"/>
  <c r="N345" i="17"/>
  <c r="M345" i="17"/>
  <c r="L345" i="17"/>
  <c r="K345" i="17"/>
  <c r="J345" i="17"/>
  <c r="I345" i="17"/>
  <c r="H345" i="17"/>
  <c r="G345" i="17"/>
  <c r="F345" i="17"/>
  <c r="E345" i="17"/>
  <c r="D345" i="17"/>
  <c r="C345" i="17"/>
  <c r="A345" i="17"/>
  <c r="X344" i="17"/>
  <c r="W344" i="17"/>
  <c r="V344" i="17"/>
  <c r="U344" i="17"/>
  <c r="S344" i="17"/>
  <c r="R344" i="17"/>
  <c r="Q344" i="17"/>
  <c r="P344" i="17"/>
  <c r="O344" i="17"/>
  <c r="N344" i="17"/>
  <c r="M344" i="17"/>
  <c r="L344" i="17"/>
  <c r="K344" i="17"/>
  <c r="J344" i="17"/>
  <c r="I344" i="17"/>
  <c r="H344" i="17"/>
  <c r="G344" i="17"/>
  <c r="F344" i="17"/>
  <c r="E344" i="17"/>
  <c r="D344" i="17"/>
  <c r="A344" i="17"/>
  <c r="Y343" i="17"/>
  <c r="X343" i="17"/>
  <c r="W343" i="17"/>
  <c r="S343" i="17"/>
  <c r="R343" i="17"/>
  <c r="Q343" i="17"/>
  <c r="P343" i="17"/>
  <c r="O343" i="17"/>
  <c r="N343" i="17"/>
  <c r="M343" i="17"/>
  <c r="L343" i="17"/>
  <c r="K343" i="17"/>
  <c r="J343" i="17"/>
  <c r="I343" i="17"/>
  <c r="H343" i="17"/>
  <c r="G343" i="17"/>
  <c r="F343" i="17"/>
  <c r="E343" i="17"/>
  <c r="D343" i="17"/>
  <c r="A343" i="17"/>
  <c r="Y342" i="17"/>
  <c r="X342" i="17"/>
  <c r="W342" i="17"/>
  <c r="U342" i="17"/>
  <c r="T342" i="17"/>
  <c r="S342" i="17"/>
  <c r="R342" i="17"/>
  <c r="Q342" i="17"/>
  <c r="P342" i="17"/>
  <c r="N342" i="17"/>
  <c r="M342" i="17"/>
  <c r="L342" i="17"/>
  <c r="J342" i="17"/>
  <c r="I342" i="17"/>
  <c r="H342" i="17"/>
  <c r="G342" i="17"/>
  <c r="F342" i="17"/>
  <c r="E342" i="17"/>
  <c r="D342" i="17"/>
  <c r="A342" i="17"/>
  <c r="X341" i="17"/>
  <c r="W341" i="17"/>
  <c r="V341" i="17"/>
  <c r="U341" i="17"/>
  <c r="T341" i="17"/>
  <c r="S341" i="17"/>
  <c r="R341" i="17"/>
  <c r="Q341" i="17"/>
  <c r="O341" i="17"/>
  <c r="N341" i="17"/>
  <c r="L341" i="17"/>
  <c r="K341" i="17"/>
  <c r="J341" i="17"/>
  <c r="I341" i="17"/>
  <c r="H341" i="17"/>
  <c r="G341" i="17"/>
  <c r="F341" i="17"/>
  <c r="E341" i="17"/>
  <c r="D341" i="17"/>
  <c r="C341" i="17"/>
  <c r="B341" i="17"/>
  <c r="A341" i="17"/>
  <c r="X340" i="17"/>
  <c r="W340" i="17"/>
  <c r="V340" i="17"/>
  <c r="T340" i="17"/>
  <c r="S340" i="17"/>
  <c r="R340" i="17"/>
  <c r="Q340" i="17"/>
  <c r="P340" i="17"/>
  <c r="N340" i="17"/>
  <c r="L340" i="17"/>
  <c r="K340" i="17"/>
  <c r="J340" i="17"/>
  <c r="I340" i="17"/>
  <c r="H340" i="17"/>
  <c r="G340" i="17"/>
  <c r="F340" i="17"/>
  <c r="E340" i="17"/>
  <c r="D340" i="17"/>
  <c r="C340" i="17"/>
  <c r="B340" i="17"/>
  <c r="A340" i="17"/>
  <c r="M340" i="17"/>
  <c r="X339" i="17"/>
  <c r="W339" i="17"/>
  <c r="S339" i="17"/>
  <c r="R339" i="17"/>
  <c r="Q339" i="17"/>
  <c r="O339" i="17"/>
  <c r="N339" i="17"/>
  <c r="L339" i="17"/>
  <c r="K339" i="17"/>
  <c r="J339" i="17"/>
  <c r="I339" i="17"/>
  <c r="H339" i="17"/>
  <c r="G339" i="17"/>
  <c r="F339" i="17"/>
  <c r="E339" i="17"/>
  <c r="D339" i="17"/>
  <c r="A339" i="17"/>
  <c r="V339" i="17"/>
  <c r="Y338" i="17"/>
  <c r="X338" i="17"/>
  <c r="W338" i="17"/>
  <c r="V338" i="17"/>
  <c r="U338" i="17"/>
  <c r="T338" i="17"/>
  <c r="S338" i="17"/>
  <c r="R338" i="17"/>
  <c r="Q338" i="17"/>
  <c r="P338" i="17"/>
  <c r="O338" i="17"/>
  <c r="N338" i="17"/>
  <c r="M338" i="17"/>
  <c r="L338" i="17"/>
  <c r="K338" i="17"/>
  <c r="J338" i="17"/>
  <c r="I338" i="17"/>
  <c r="H338" i="17"/>
  <c r="G338" i="17"/>
  <c r="F338" i="17"/>
  <c r="E338" i="17"/>
  <c r="D338" i="17"/>
  <c r="C338" i="17"/>
  <c r="B338" i="17"/>
  <c r="A338" i="17"/>
  <c r="X337" i="17"/>
  <c r="W337" i="17"/>
  <c r="V337" i="17"/>
  <c r="U337" i="17"/>
  <c r="S337" i="17"/>
  <c r="R337" i="17"/>
  <c r="Q337" i="17"/>
  <c r="O337" i="17"/>
  <c r="N337" i="17"/>
  <c r="M337" i="17"/>
  <c r="L337" i="17"/>
  <c r="K337" i="17"/>
  <c r="J337" i="17"/>
  <c r="I337" i="17"/>
  <c r="H337" i="17"/>
  <c r="G337" i="17"/>
  <c r="F337" i="17"/>
  <c r="E337" i="17"/>
  <c r="D337" i="17"/>
  <c r="B337" i="17"/>
  <c r="A337" i="17"/>
  <c r="X336" i="17"/>
  <c r="W336" i="17"/>
  <c r="U336" i="17"/>
  <c r="T336" i="17"/>
  <c r="S336" i="17"/>
  <c r="R336" i="17"/>
  <c r="Q336" i="17"/>
  <c r="P336" i="17"/>
  <c r="O336" i="17"/>
  <c r="N336" i="17"/>
  <c r="M336" i="17"/>
  <c r="L336" i="17"/>
  <c r="J336" i="17"/>
  <c r="I336" i="17"/>
  <c r="H336" i="17"/>
  <c r="G336" i="17"/>
  <c r="F336" i="17"/>
  <c r="E336" i="17"/>
  <c r="D336" i="17"/>
  <c r="C336" i="17"/>
  <c r="B336" i="17"/>
  <c r="A336" i="17"/>
  <c r="X335" i="17"/>
  <c r="W335" i="17"/>
  <c r="V335" i="17"/>
  <c r="U335" i="17"/>
  <c r="T335" i="17"/>
  <c r="S335" i="17"/>
  <c r="R335" i="17"/>
  <c r="Q335" i="17"/>
  <c r="P335" i="17"/>
  <c r="O335" i="17"/>
  <c r="N335" i="17"/>
  <c r="M335" i="17"/>
  <c r="L335" i="17"/>
  <c r="J335" i="17"/>
  <c r="I335" i="17"/>
  <c r="H335" i="17"/>
  <c r="G335" i="17"/>
  <c r="F335" i="17"/>
  <c r="E335" i="17"/>
  <c r="D335" i="17"/>
  <c r="C335" i="17"/>
  <c r="A335" i="17"/>
  <c r="Y334" i="17"/>
  <c r="X334" i="17"/>
  <c r="W334" i="17"/>
  <c r="V334" i="17"/>
  <c r="T334" i="17"/>
  <c r="S334" i="17"/>
  <c r="R334" i="17"/>
  <c r="Q334" i="17"/>
  <c r="P334" i="17"/>
  <c r="O334" i="17"/>
  <c r="N334" i="17"/>
  <c r="L334" i="17"/>
  <c r="J334" i="17"/>
  <c r="I334" i="17"/>
  <c r="H334" i="17"/>
  <c r="G334" i="17"/>
  <c r="F334" i="17"/>
  <c r="E334" i="17"/>
  <c r="D334" i="17"/>
  <c r="C334" i="17"/>
  <c r="B334" i="17"/>
  <c r="A334" i="17"/>
  <c r="Y333" i="17"/>
  <c r="X333" i="17"/>
  <c r="W333" i="17"/>
  <c r="V333" i="17"/>
  <c r="U333" i="17"/>
  <c r="S333" i="17"/>
  <c r="R333" i="17"/>
  <c r="Q333" i="17"/>
  <c r="O333" i="17"/>
  <c r="N333" i="17"/>
  <c r="M333" i="17"/>
  <c r="L333" i="17"/>
  <c r="J333" i="17"/>
  <c r="I333" i="17"/>
  <c r="H333" i="17"/>
  <c r="G333" i="17"/>
  <c r="F333" i="17"/>
  <c r="E333" i="17"/>
  <c r="D333" i="17"/>
  <c r="C333" i="17"/>
  <c r="B333" i="17"/>
  <c r="A333" i="17"/>
  <c r="Y332" i="17"/>
  <c r="X332" i="17"/>
  <c r="W332" i="17"/>
  <c r="V332" i="17"/>
  <c r="U332" i="17"/>
  <c r="T332" i="17"/>
  <c r="S332" i="17"/>
  <c r="R332" i="17"/>
  <c r="Q332" i="17"/>
  <c r="P332" i="17"/>
  <c r="O332" i="17"/>
  <c r="N332" i="17"/>
  <c r="M332" i="17"/>
  <c r="L332" i="17"/>
  <c r="K332" i="17"/>
  <c r="J332" i="17"/>
  <c r="I332" i="17"/>
  <c r="H332" i="17"/>
  <c r="G332" i="17"/>
  <c r="F332" i="17"/>
  <c r="E332" i="17"/>
  <c r="D332" i="17"/>
  <c r="C332" i="17"/>
  <c r="B332" i="17"/>
  <c r="A332" i="17"/>
  <c r="Y331" i="17"/>
  <c r="X331" i="17"/>
  <c r="W331" i="17"/>
  <c r="U331" i="17"/>
  <c r="T331" i="17"/>
  <c r="S331" i="17"/>
  <c r="R331" i="17"/>
  <c r="Q331" i="17"/>
  <c r="N331" i="17"/>
  <c r="M331" i="17"/>
  <c r="L331" i="17"/>
  <c r="K331" i="17"/>
  <c r="J331" i="17"/>
  <c r="I331" i="17"/>
  <c r="H331" i="17"/>
  <c r="G331" i="17"/>
  <c r="F331" i="17"/>
  <c r="E331" i="17"/>
  <c r="D331" i="17"/>
  <c r="A331" i="17"/>
  <c r="X330" i="17"/>
  <c r="W330" i="17"/>
  <c r="V330" i="17"/>
  <c r="U330" i="17"/>
  <c r="T330" i="17"/>
  <c r="S330" i="17"/>
  <c r="R330" i="17"/>
  <c r="Q330" i="17"/>
  <c r="N330" i="17"/>
  <c r="M330" i="17"/>
  <c r="L330" i="17"/>
  <c r="K330" i="17"/>
  <c r="J330" i="17"/>
  <c r="I330" i="17"/>
  <c r="H330" i="17"/>
  <c r="G330" i="17"/>
  <c r="F330" i="17"/>
  <c r="E330" i="17"/>
  <c r="D330" i="17"/>
  <c r="A330" i="17"/>
  <c r="Y329" i="17"/>
  <c r="X329" i="17"/>
  <c r="W329" i="17"/>
  <c r="V329" i="17"/>
  <c r="U329" i="17"/>
  <c r="S329" i="17"/>
  <c r="R329" i="17"/>
  <c r="Q329" i="17"/>
  <c r="N329" i="17"/>
  <c r="M329" i="17"/>
  <c r="L329" i="17"/>
  <c r="J329" i="17"/>
  <c r="I329" i="17"/>
  <c r="H329" i="17"/>
  <c r="G329" i="17"/>
  <c r="F329" i="17"/>
  <c r="E329" i="17"/>
  <c r="D329" i="17"/>
  <c r="C329" i="17"/>
  <c r="B329" i="17"/>
  <c r="A329" i="17"/>
  <c r="X328" i="17"/>
  <c r="W328" i="17"/>
  <c r="T328" i="17"/>
  <c r="S328" i="17"/>
  <c r="R328" i="17"/>
  <c r="Q328" i="17"/>
  <c r="P328" i="17"/>
  <c r="O328" i="17"/>
  <c r="N328" i="17"/>
  <c r="L328" i="17"/>
  <c r="K328" i="17"/>
  <c r="J328" i="17"/>
  <c r="I328" i="17"/>
  <c r="H328" i="17"/>
  <c r="G328" i="17"/>
  <c r="F328" i="17"/>
  <c r="E328" i="17"/>
  <c r="D328" i="17"/>
  <c r="A328" i="17"/>
  <c r="X327" i="17"/>
  <c r="W327" i="17"/>
  <c r="S327" i="17"/>
  <c r="R327" i="17"/>
  <c r="Q327" i="17"/>
  <c r="O327" i="17"/>
  <c r="N327" i="17"/>
  <c r="M327" i="17"/>
  <c r="L327" i="17"/>
  <c r="K327" i="17"/>
  <c r="J327" i="17"/>
  <c r="I327" i="17"/>
  <c r="H327" i="17"/>
  <c r="G327" i="17"/>
  <c r="F327" i="17"/>
  <c r="E327" i="17"/>
  <c r="D327" i="17"/>
  <c r="A327" i="17"/>
  <c r="X326" i="17"/>
  <c r="W326" i="17"/>
  <c r="S326" i="17"/>
  <c r="R326" i="17"/>
  <c r="Q326" i="17"/>
  <c r="N326" i="17"/>
  <c r="L326" i="17"/>
  <c r="J326" i="17"/>
  <c r="I326" i="17"/>
  <c r="H326" i="17"/>
  <c r="G326" i="17"/>
  <c r="F326" i="17"/>
  <c r="E326" i="17"/>
  <c r="D326" i="17"/>
  <c r="A326" i="17"/>
  <c r="Y325" i="17"/>
  <c r="X325" i="17"/>
  <c r="W325" i="17"/>
  <c r="S325" i="17"/>
  <c r="R325" i="17"/>
  <c r="Q325" i="17"/>
  <c r="N325" i="17"/>
  <c r="L325" i="17"/>
  <c r="J325" i="17"/>
  <c r="I325" i="17"/>
  <c r="H325" i="17"/>
  <c r="G325" i="17"/>
  <c r="F325" i="17"/>
  <c r="E325" i="17"/>
  <c r="D325" i="17"/>
  <c r="A325" i="17"/>
  <c r="B325" i="17"/>
  <c r="X324" i="17"/>
  <c r="W324" i="17"/>
  <c r="S324" i="17"/>
  <c r="R324" i="17"/>
  <c r="Q324" i="17"/>
  <c r="P324" i="17"/>
  <c r="O324" i="17"/>
  <c r="N324" i="17"/>
  <c r="M324" i="17"/>
  <c r="L324" i="17"/>
  <c r="K324" i="17"/>
  <c r="J324" i="17"/>
  <c r="I324" i="17"/>
  <c r="H324" i="17"/>
  <c r="G324" i="17"/>
  <c r="F324" i="17"/>
  <c r="E324" i="17"/>
  <c r="D324" i="17"/>
  <c r="A324" i="17"/>
  <c r="Y323" i="17"/>
  <c r="X323" i="17"/>
  <c r="W323" i="17"/>
  <c r="S323" i="17"/>
  <c r="R323" i="17"/>
  <c r="Q323" i="17"/>
  <c r="P323" i="17"/>
  <c r="O323" i="17"/>
  <c r="N323" i="17"/>
  <c r="M323" i="17"/>
  <c r="L323" i="17"/>
  <c r="J323" i="17"/>
  <c r="I323" i="17"/>
  <c r="H323" i="17"/>
  <c r="G323" i="17"/>
  <c r="F323" i="17"/>
  <c r="E323" i="17"/>
  <c r="D323" i="17"/>
  <c r="C323" i="17"/>
  <c r="A323" i="17"/>
  <c r="X322" i="17"/>
  <c r="W322" i="17"/>
  <c r="U322" i="17"/>
  <c r="S322" i="17"/>
  <c r="R322" i="17"/>
  <c r="Q322" i="17"/>
  <c r="P322" i="17"/>
  <c r="O322" i="17"/>
  <c r="N322" i="17"/>
  <c r="M322" i="17"/>
  <c r="L322" i="17"/>
  <c r="J322" i="17"/>
  <c r="I322" i="17"/>
  <c r="H322" i="17"/>
  <c r="G322" i="17"/>
  <c r="F322" i="17"/>
  <c r="E322" i="17"/>
  <c r="D322" i="17"/>
  <c r="C322" i="17"/>
  <c r="B322" i="17"/>
  <c r="A322" i="17"/>
  <c r="Y322" i="17"/>
  <c r="Y321" i="17"/>
  <c r="X321" i="17"/>
  <c r="W321" i="17"/>
  <c r="V321" i="17"/>
  <c r="U321" i="17"/>
  <c r="T321" i="17"/>
  <c r="S321" i="17"/>
  <c r="R321" i="17"/>
  <c r="Q321" i="17"/>
  <c r="P321" i="17"/>
  <c r="O321" i="17"/>
  <c r="N321" i="17"/>
  <c r="M321" i="17"/>
  <c r="L321" i="17"/>
  <c r="K321" i="17"/>
  <c r="J321" i="17"/>
  <c r="I321" i="17"/>
  <c r="H321" i="17"/>
  <c r="G321" i="17"/>
  <c r="F321" i="17"/>
  <c r="E321" i="17"/>
  <c r="D321" i="17"/>
  <c r="C321" i="17"/>
  <c r="A321" i="17"/>
  <c r="B321" i="17"/>
  <c r="Y320" i="17"/>
  <c r="X320" i="17"/>
  <c r="W320" i="17"/>
  <c r="V320" i="17"/>
  <c r="U320" i="17"/>
  <c r="T320" i="17"/>
  <c r="S320" i="17"/>
  <c r="R320" i="17"/>
  <c r="Q320" i="17"/>
  <c r="N320" i="17"/>
  <c r="M320" i="17"/>
  <c r="L320" i="17"/>
  <c r="J320" i="17"/>
  <c r="I320" i="17"/>
  <c r="H320" i="17"/>
  <c r="G320" i="17"/>
  <c r="F320" i="17"/>
  <c r="E320" i="17"/>
  <c r="D320" i="17"/>
  <c r="B320" i="17"/>
  <c r="A320" i="17"/>
  <c r="P320" i="17"/>
  <c r="X319" i="17"/>
  <c r="W319" i="17"/>
  <c r="U319" i="17"/>
  <c r="T319" i="17"/>
  <c r="S319" i="17"/>
  <c r="R319" i="17"/>
  <c r="Q319" i="17"/>
  <c r="O319" i="17"/>
  <c r="N319" i="17"/>
  <c r="M319" i="17"/>
  <c r="L319" i="17"/>
  <c r="K319" i="17"/>
  <c r="J319" i="17"/>
  <c r="I319" i="17"/>
  <c r="H319" i="17"/>
  <c r="G319" i="17"/>
  <c r="F319" i="17"/>
  <c r="E319" i="17"/>
  <c r="D319" i="17"/>
  <c r="C319" i="17"/>
  <c r="A319" i="17"/>
  <c r="X318" i="17"/>
  <c r="W318" i="17"/>
  <c r="V318" i="17"/>
  <c r="S318" i="17"/>
  <c r="R318" i="17"/>
  <c r="Q318" i="17"/>
  <c r="P318" i="17"/>
  <c r="O318" i="17"/>
  <c r="N318" i="17"/>
  <c r="M318" i="17"/>
  <c r="L318" i="17"/>
  <c r="K318" i="17"/>
  <c r="J318" i="17"/>
  <c r="I318" i="17"/>
  <c r="H318" i="17"/>
  <c r="G318" i="17"/>
  <c r="F318" i="17"/>
  <c r="E318" i="17"/>
  <c r="D318" i="17"/>
  <c r="C318" i="17"/>
  <c r="B318" i="17"/>
  <c r="A318" i="17"/>
  <c r="X317" i="17"/>
  <c r="W317" i="17"/>
  <c r="V317" i="17"/>
  <c r="U317" i="17"/>
  <c r="S317" i="17"/>
  <c r="R317" i="17"/>
  <c r="Q317" i="17"/>
  <c r="P317" i="17"/>
  <c r="O317" i="17"/>
  <c r="N317" i="17"/>
  <c r="M317" i="17"/>
  <c r="L317" i="17"/>
  <c r="K317" i="17"/>
  <c r="J317" i="17"/>
  <c r="I317" i="17"/>
  <c r="H317" i="17"/>
  <c r="G317" i="17"/>
  <c r="F317" i="17"/>
  <c r="E317" i="17"/>
  <c r="D317" i="17"/>
  <c r="A317" i="17"/>
  <c r="Y316" i="17"/>
  <c r="X316" i="17"/>
  <c r="W316" i="17"/>
  <c r="V316" i="17"/>
  <c r="U316" i="17"/>
  <c r="T316" i="17"/>
  <c r="S316" i="17"/>
  <c r="R316" i="17"/>
  <c r="Q316" i="17"/>
  <c r="P316" i="17"/>
  <c r="O316" i="17"/>
  <c r="N316" i="17"/>
  <c r="M316" i="17"/>
  <c r="L316" i="17"/>
  <c r="K316" i="17"/>
  <c r="J316" i="17"/>
  <c r="I316" i="17"/>
  <c r="H316" i="17"/>
  <c r="G316" i="17"/>
  <c r="F316" i="17"/>
  <c r="E316" i="17"/>
  <c r="D316" i="17"/>
  <c r="C316" i="17"/>
  <c r="B316" i="17"/>
  <c r="A316" i="17"/>
  <c r="X315" i="17"/>
  <c r="W315" i="17"/>
  <c r="V315" i="17"/>
  <c r="U315" i="17"/>
  <c r="T315" i="17"/>
  <c r="S315" i="17"/>
  <c r="R315" i="17"/>
  <c r="Q315" i="17"/>
  <c r="N315" i="17"/>
  <c r="L315" i="17"/>
  <c r="J315" i="17"/>
  <c r="I315" i="17"/>
  <c r="H315" i="17"/>
  <c r="G315" i="17"/>
  <c r="F315" i="17"/>
  <c r="E315" i="17"/>
  <c r="D315" i="17"/>
  <c r="A315" i="17"/>
  <c r="Y314" i="17"/>
  <c r="X314" i="17"/>
  <c r="W314" i="17"/>
  <c r="V314" i="17"/>
  <c r="U314" i="17"/>
  <c r="T314" i="17"/>
  <c r="S314" i="17"/>
  <c r="R314" i="17"/>
  <c r="Q314" i="17"/>
  <c r="N314" i="17"/>
  <c r="L314" i="17"/>
  <c r="J314" i="17"/>
  <c r="I314" i="17"/>
  <c r="H314" i="17"/>
  <c r="G314" i="17"/>
  <c r="F314" i="17"/>
  <c r="E314" i="17"/>
  <c r="D314" i="17"/>
  <c r="C314" i="17"/>
  <c r="A314" i="17"/>
  <c r="Y313" i="17"/>
  <c r="X313" i="17"/>
  <c r="W313" i="17"/>
  <c r="V313" i="17"/>
  <c r="U313" i="17"/>
  <c r="T313" i="17"/>
  <c r="S313" i="17"/>
  <c r="R313" i="17"/>
  <c r="Q313" i="17"/>
  <c r="N313" i="17"/>
  <c r="L313" i="17"/>
  <c r="J313" i="17"/>
  <c r="I313" i="17"/>
  <c r="H313" i="17"/>
  <c r="G313" i="17"/>
  <c r="F313" i="17"/>
  <c r="E313" i="17"/>
  <c r="D313" i="17"/>
  <c r="C313" i="17"/>
  <c r="B313" i="17"/>
  <c r="A313" i="17"/>
  <c r="K313" i="17"/>
  <c r="X312" i="17"/>
  <c r="W312" i="17"/>
  <c r="S312" i="17"/>
  <c r="R312" i="17"/>
  <c r="Q312" i="17"/>
  <c r="N312" i="17"/>
  <c r="L312" i="17"/>
  <c r="J312" i="17"/>
  <c r="I312" i="17"/>
  <c r="H312" i="17"/>
  <c r="G312" i="17"/>
  <c r="F312" i="17"/>
  <c r="E312" i="17"/>
  <c r="D312" i="17"/>
  <c r="A312" i="17"/>
  <c r="Y311" i="17"/>
  <c r="X311" i="17"/>
  <c r="W311" i="17"/>
  <c r="S311" i="17"/>
  <c r="R311" i="17"/>
  <c r="Q311" i="17"/>
  <c r="N311" i="17"/>
  <c r="L311" i="17"/>
  <c r="J311" i="17"/>
  <c r="I311" i="17"/>
  <c r="H311" i="17"/>
  <c r="G311" i="17"/>
  <c r="F311" i="17"/>
  <c r="E311" i="17"/>
  <c r="D311" i="17"/>
  <c r="A311" i="17"/>
  <c r="V311" i="17"/>
  <c r="Y310" i="17"/>
  <c r="X310" i="17"/>
  <c r="W310" i="17"/>
  <c r="V310" i="17"/>
  <c r="U310" i="17"/>
  <c r="T310" i="17"/>
  <c r="S310" i="17"/>
  <c r="R310" i="17"/>
  <c r="Q310" i="17"/>
  <c r="P310" i="17"/>
  <c r="O310" i="17"/>
  <c r="N310" i="17"/>
  <c r="M310" i="17"/>
  <c r="L310" i="17"/>
  <c r="K310" i="17"/>
  <c r="J310" i="17"/>
  <c r="I310" i="17"/>
  <c r="H310" i="17"/>
  <c r="G310" i="17"/>
  <c r="F310" i="17"/>
  <c r="E310" i="17"/>
  <c r="D310" i="17"/>
  <c r="C310" i="17"/>
  <c r="B310" i="17"/>
  <c r="A310" i="17"/>
  <c r="Y309" i="17"/>
  <c r="X309" i="17"/>
  <c r="W309" i="17"/>
  <c r="U309" i="17"/>
  <c r="T309" i="17"/>
  <c r="S309" i="17"/>
  <c r="R309" i="17"/>
  <c r="Q309" i="17"/>
  <c r="P309" i="17"/>
  <c r="O309" i="17"/>
  <c r="N309" i="17"/>
  <c r="L309" i="17"/>
  <c r="K309" i="17"/>
  <c r="J309" i="17"/>
  <c r="I309" i="17"/>
  <c r="H309" i="17"/>
  <c r="G309" i="17"/>
  <c r="F309" i="17"/>
  <c r="E309" i="17"/>
  <c r="D309" i="17"/>
  <c r="C309" i="17"/>
  <c r="B309" i="17"/>
  <c r="A309" i="17"/>
  <c r="V309" i="17"/>
  <c r="X308" i="17"/>
  <c r="W308" i="17"/>
  <c r="V308" i="17"/>
  <c r="U308" i="17"/>
  <c r="S308" i="17"/>
  <c r="R308" i="17"/>
  <c r="Q308" i="17"/>
  <c r="P308" i="17"/>
  <c r="O308" i="17"/>
  <c r="N308" i="17"/>
  <c r="M308" i="17"/>
  <c r="L308" i="17"/>
  <c r="K308" i="17"/>
  <c r="J308" i="17"/>
  <c r="I308" i="17"/>
  <c r="H308" i="17"/>
  <c r="G308" i="17"/>
  <c r="F308" i="17"/>
  <c r="E308" i="17"/>
  <c r="D308" i="17"/>
  <c r="B308" i="17"/>
  <c r="A308" i="17"/>
  <c r="X307" i="17"/>
  <c r="W307" i="17"/>
  <c r="S307" i="17"/>
  <c r="R307" i="17"/>
  <c r="Q307" i="17"/>
  <c r="N307" i="17"/>
  <c r="L307" i="17"/>
  <c r="J307" i="17"/>
  <c r="I307" i="17"/>
  <c r="H307" i="17"/>
  <c r="G307" i="17"/>
  <c r="F307" i="17"/>
  <c r="E307" i="17"/>
  <c r="D307" i="17"/>
  <c r="A307" i="17"/>
  <c r="B307" i="17"/>
  <c r="X306" i="17"/>
  <c r="W306" i="17"/>
  <c r="V306" i="17"/>
  <c r="U306" i="17"/>
  <c r="S306" i="17"/>
  <c r="R306" i="17"/>
  <c r="Q306" i="17"/>
  <c r="O306" i="17"/>
  <c r="N306" i="17"/>
  <c r="L306" i="17"/>
  <c r="J306" i="17"/>
  <c r="I306" i="17"/>
  <c r="H306" i="17"/>
  <c r="G306" i="17"/>
  <c r="F306" i="17"/>
  <c r="E306" i="17"/>
  <c r="D306" i="17"/>
  <c r="C306" i="17"/>
  <c r="A306" i="17"/>
  <c r="Y305" i="17"/>
  <c r="X305" i="17"/>
  <c r="W305" i="17"/>
  <c r="V305" i="17"/>
  <c r="U305" i="17"/>
  <c r="T305" i="17"/>
  <c r="S305" i="17"/>
  <c r="R305" i="17"/>
  <c r="Q305" i="17"/>
  <c r="O305" i="17"/>
  <c r="N305" i="17"/>
  <c r="L305" i="17"/>
  <c r="J305" i="17"/>
  <c r="I305" i="17"/>
  <c r="H305" i="17"/>
  <c r="G305" i="17"/>
  <c r="F305" i="17"/>
  <c r="E305" i="17"/>
  <c r="D305" i="17"/>
  <c r="C305" i="17"/>
  <c r="B305" i="17"/>
  <c r="A305" i="17"/>
  <c r="Y304" i="17"/>
  <c r="X304" i="17"/>
  <c r="W304" i="17"/>
  <c r="V304" i="17"/>
  <c r="U304" i="17"/>
  <c r="S304" i="17"/>
  <c r="R304" i="17"/>
  <c r="Q304" i="17"/>
  <c r="P304" i="17"/>
  <c r="N304" i="17"/>
  <c r="L304" i="17"/>
  <c r="J304" i="17"/>
  <c r="I304" i="17"/>
  <c r="H304" i="17"/>
  <c r="G304" i="17"/>
  <c r="F304" i="17"/>
  <c r="E304" i="17"/>
  <c r="D304" i="17"/>
  <c r="A304" i="17"/>
  <c r="B304" i="17"/>
  <c r="Y303" i="17"/>
  <c r="X303" i="17"/>
  <c r="W303" i="17"/>
  <c r="T303" i="17"/>
  <c r="S303" i="17"/>
  <c r="R303" i="17"/>
  <c r="Q303" i="17"/>
  <c r="N303" i="17"/>
  <c r="L303" i="17"/>
  <c r="J303" i="17"/>
  <c r="I303" i="17"/>
  <c r="H303" i="17"/>
  <c r="G303" i="17"/>
  <c r="F303" i="17"/>
  <c r="E303" i="17"/>
  <c r="D303" i="17"/>
  <c r="B303" i="17"/>
  <c r="A303" i="17"/>
  <c r="X302" i="17"/>
  <c r="W302" i="17"/>
  <c r="S302" i="17"/>
  <c r="R302" i="17"/>
  <c r="Q302" i="17"/>
  <c r="N302" i="17"/>
  <c r="L302" i="17"/>
  <c r="J302" i="17"/>
  <c r="I302" i="17"/>
  <c r="H302" i="17"/>
  <c r="G302" i="17"/>
  <c r="F302" i="17"/>
  <c r="E302" i="17"/>
  <c r="D302" i="17"/>
  <c r="B302" i="17"/>
  <c r="A302" i="17"/>
  <c r="X301" i="17"/>
  <c r="W301" i="17"/>
  <c r="S301" i="17"/>
  <c r="R301" i="17"/>
  <c r="Q301" i="17"/>
  <c r="N301" i="17"/>
  <c r="L301" i="17"/>
  <c r="J301" i="17"/>
  <c r="I301" i="17"/>
  <c r="H301" i="17"/>
  <c r="G301" i="17"/>
  <c r="F301" i="17"/>
  <c r="E301" i="17"/>
  <c r="D301" i="17"/>
  <c r="A301" i="17"/>
  <c r="Y300" i="17"/>
  <c r="X300" i="17"/>
  <c r="W300" i="17"/>
  <c r="V300" i="17"/>
  <c r="S300" i="17"/>
  <c r="R300" i="17"/>
  <c r="Q300" i="17"/>
  <c r="N300" i="17"/>
  <c r="L300" i="17"/>
  <c r="J300" i="17"/>
  <c r="I300" i="17"/>
  <c r="H300" i="17"/>
  <c r="G300" i="17"/>
  <c r="F300" i="17"/>
  <c r="E300" i="17"/>
  <c r="D300" i="17"/>
  <c r="A300" i="17"/>
  <c r="Y299" i="17"/>
  <c r="X299" i="17"/>
  <c r="W299" i="17"/>
  <c r="V299" i="17"/>
  <c r="U299" i="17"/>
  <c r="T299" i="17"/>
  <c r="S299" i="17"/>
  <c r="R299" i="17"/>
  <c r="Q299" i="17"/>
  <c r="O299" i="17"/>
  <c r="N299" i="17"/>
  <c r="M299" i="17"/>
  <c r="L299" i="17"/>
  <c r="K299" i="17"/>
  <c r="J299" i="17"/>
  <c r="I299" i="17"/>
  <c r="H299" i="17"/>
  <c r="G299" i="17"/>
  <c r="F299" i="17"/>
  <c r="E299" i="17"/>
  <c r="D299" i="17"/>
  <c r="C299" i="17"/>
  <c r="B299" i="17"/>
  <c r="A299" i="17"/>
  <c r="P299" i="17"/>
  <c r="Y298" i="17"/>
  <c r="X298" i="17"/>
  <c r="W298" i="17"/>
  <c r="V298" i="17"/>
  <c r="U298" i="17"/>
  <c r="S298" i="17"/>
  <c r="R298" i="17"/>
  <c r="Q298" i="17"/>
  <c r="P298" i="17"/>
  <c r="N298" i="17"/>
  <c r="M298" i="17"/>
  <c r="L298" i="17"/>
  <c r="J298" i="17"/>
  <c r="I298" i="17"/>
  <c r="H298" i="17"/>
  <c r="G298" i="17"/>
  <c r="F298" i="17"/>
  <c r="E298" i="17"/>
  <c r="D298" i="17"/>
  <c r="C298" i="17"/>
  <c r="B298" i="17"/>
  <c r="A298" i="17"/>
  <c r="Y297" i="17"/>
  <c r="X297" i="17"/>
  <c r="W297" i="17"/>
  <c r="S297" i="17"/>
  <c r="R297" i="17"/>
  <c r="Q297" i="17"/>
  <c r="N297" i="17"/>
  <c r="L297" i="17"/>
  <c r="J297" i="17"/>
  <c r="I297" i="17"/>
  <c r="H297" i="17"/>
  <c r="G297" i="17"/>
  <c r="F297" i="17"/>
  <c r="E297" i="17"/>
  <c r="D297" i="17"/>
  <c r="A297" i="17"/>
  <c r="Y296" i="17"/>
  <c r="X296" i="17"/>
  <c r="W296" i="17"/>
  <c r="V296" i="17"/>
  <c r="T296" i="17"/>
  <c r="S296" i="17"/>
  <c r="R296" i="17"/>
  <c r="Q296" i="17"/>
  <c r="P296" i="17"/>
  <c r="O296" i="17"/>
  <c r="N296" i="17"/>
  <c r="M296" i="17"/>
  <c r="L296" i="17"/>
  <c r="K296" i="17"/>
  <c r="J296" i="17"/>
  <c r="I296" i="17"/>
  <c r="H296" i="17"/>
  <c r="G296" i="17"/>
  <c r="F296" i="17"/>
  <c r="E296" i="17"/>
  <c r="D296" i="17"/>
  <c r="C296" i="17"/>
  <c r="B296" i="17"/>
  <c r="A296" i="17"/>
  <c r="U296" i="17"/>
  <c r="X295" i="17"/>
  <c r="W295" i="17"/>
  <c r="V295" i="17"/>
  <c r="U295" i="17"/>
  <c r="S295" i="17"/>
  <c r="R295" i="17"/>
  <c r="Q295" i="17"/>
  <c r="P295" i="17"/>
  <c r="O295" i="17"/>
  <c r="N295" i="17"/>
  <c r="M295" i="17"/>
  <c r="L295" i="17"/>
  <c r="K295" i="17"/>
  <c r="J295" i="17"/>
  <c r="I295" i="17"/>
  <c r="H295" i="17"/>
  <c r="G295" i="17"/>
  <c r="F295" i="17"/>
  <c r="E295" i="17"/>
  <c r="D295" i="17"/>
  <c r="C295" i="17"/>
  <c r="A295" i="17"/>
  <c r="Y294" i="17"/>
  <c r="X294" i="17"/>
  <c r="W294" i="17"/>
  <c r="V294" i="17"/>
  <c r="U294" i="17"/>
  <c r="T294" i="17"/>
  <c r="S294" i="17"/>
  <c r="R294" i="17"/>
  <c r="Q294" i="17"/>
  <c r="P294" i="17"/>
  <c r="O294" i="17"/>
  <c r="N294" i="17"/>
  <c r="M294" i="17"/>
  <c r="L294" i="17"/>
  <c r="K294" i="17"/>
  <c r="J294" i="17"/>
  <c r="I294" i="17"/>
  <c r="H294" i="17"/>
  <c r="G294" i="17"/>
  <c r="F294" i="17"/>
  <c r="E294" i="17"/>
  <c r="D294" i="17"/>
  <c r="C294" i="17"/>
  <c r="B294" i="17"/>
  <c r="A294" i="17"/>
  <c r="X293" i="17"/>
  <c r="W293" i="17"/>
  <c r="S293" i="17"/>
  <c r="R293" i="17"/>
  <c r="Q293" i="17"/>
  <c r="N293" i="17"/>
  <c r="M293" i="17"/>
  <c r="L293" i="17"/>
  <c r="J293" i="17"/>
  <c r="I293" i="17"/>
  <c r="H293" i="17"/>
  <c r="G293" i="17"/>
  <c r="F293" i="17"/>
  <c r="E293" i="17"/>
  <c r="D293" i="17"/>
  <c r="A293" i="17"/>
  <c r="K293" i="17"/>
  <c r="X292" i="17"/>
  <c r="W292" i="17"/>
  <c r="S292" i="17"/>
  <c r="R292" i="17"/>
  <c r="Q292" i="17"/>
  <c r="N292" i="17"/>
  <c r="L292" i="17"/>
  <c r="J292" i="17"/>
  <c r="I292" i="17"/>
  <c r="H292" i="17"/>
  <c r="G292" i="17"/>
  <c r="F292" i="17"/>
  <c r="E292" i="17"/>
  <c r="D292" i="17"/>
  <c r="A292" i="17"/>
  <c r="X291" i="17"/>
  <c r="W291" i="17"/>
  <c r="S291" i="17"/>
  <c r="R291" i="17"/>
  <c r="Q291" i="17"/>
  <c r="N291" i="17"/>
  <c r="L291" i="17"/>
  <c r="J291" i="17"/>
  <c r="I291" i="17"/>
  <c r="H291" i="17"/>
  <c r="G291" i="17"/>
  <c r="F291" i="17"/>
  <c r="E291" i="17"/>
  <c r="D291" i="17"/>
  <c r="C291" i="17"/>
  <c r="A291" i="17"/>
  <c r="X290" i="17"/>
  <c r="W290" i="17"/>
  <c r="S290" i="17"/>
  <c r="R290" i="17"/>
  <c r="Q290" i="17"/>
  <c r="N290" i="17"/>
  <c r="L290" i="17"/>
  <c r="J290" i="17"/>
  <c r="I290" i="17"/>
  <c r="H290" i="17"/>
  <c r="G290" i="17"/>
  <c r="F290" i="17"/>
  <c r="E290" i="17"/>
  <c r="D290" i="17"/>
  <c r="A290" i="17"/>
  <c r="Y290" i="17"/>
  <c r="Y289" i="17"/>
  <c r="X289" i="17"/>
  <c r="W289" i="17"/>
  <c r="S289" i="17"/>
  <c r="R289" i="17"/>
  <c r="Q289" i="17"/>
  <c r="N289" i="17"/>
  <c r="L289" i="17"/>
  <c r="J289" i="17"/>
  <c r="I289" i="17"/>
  <c r="H289" i="17"/>
  <c r="G289" i="17"/>
  <c r="F289" i="17"/>
  <c r="E289" i="17"/>
  <c r="D289" i="17"/>
  <c r="A289" i="17"/>
  <c r="Y288" i="17"/>
  <c r="X288" i="17"/>
  <c r="W288" i="17"/>
  <c r="V288" i="17"/>
  <c r="U288" i="17"/>
  <c r="T288" i="17"/>
  <c r="S288" i="17"/>
  <c r="R288" i="17"/>
  <c r="Q288" i="17"/>
  <c r="P288" i="17"/>
  <c r="O288" i="17"/>
  <c r="N288" i="17"/>
  <c r="M288" i="17"/>
  <c r="L288" i="17"/>
  <c r="K288" i="17"/>
  <c r="J288" i="17"/>
  <c r="I288" i="17"/>
  <c r="H288" i="17"/>
  <c r="G288" i="17"/>
  <c r="F288" i="17"/>
  <c r="E288" i="17"/>
  <c r="D288" i="17"/>
  <c r="C288" i="17"/>
  <c r="B288" i="17"/>
  <c r="A288" i="17"/>
  <c r="Y287" i="17"/>
  <c r="X287" i="17"/>
  <c r="W287" i="17"/>
  <c r="S287" i="17"/>
  <c r="R287" i="17"/>
  <c r="Q287" i="17"/>
  <c r="N287" i="17"/>
  <c r="L287" i="17"/>
  <c r="J287" i="17"/>
  <c r="I287" i="17"/>
  <c r="H287" i="17"/>
  <c r="G287" i="17"/>
  <c r="F287" i="17"/>
  <c r="E287" i="17"/>
  <c r="D287" i="17"/>
  <c r="B287" i="17"/>
  <c r="A287" i="17"/>
  <c r="X286" i="17"/>
  <c r="W286" i="17"/>
  <c r="S286" i="17"/>
  <c r="R286" i="17"/>
  <c r="Q286" i="17"/>
  <c r="P286" i="17"/>
  <c r="O286" i="17"/>
  <c r="N286" i="17"/>
  <c r="M286" i="17"/>
  <c r="L286" i="17"/>
  <c r="K286" i="17"/>
  <c r="J286" i="17"/>
  <c r="I286" i="17"/>
  <c r="H286" i="17"/>
  <c r="G286" i="17"/>
  <c r="F286" i="17"/>
  <c r="E286" i="17"/>
  <c r="D286" i="17"/>
  <c r="A286" i="17"/>
  <c r="Y285" i="17"/>
  <c r="X285" i="17"/>
  <c r="W285" i="17"/>
  <c r="S285" i="17"/>
  <c r="R285" i="17"/>
  <c r="Q285" i="17"/>
  <c r="P285" i="17"/>
  <c r="O285" i="17"/>
  <c r="N285" i="17"/>
  <c r="M285" i="17"/>
  <c r="L285" i="17"/>
  <c r="K285" i="17"/>
  <c r="J285" i="17"/>
  <c r="I285" i="17"/>
  <c r="H285" i="17"/>
  <c r="G285" i="17"/>
  <c r="F285" i="17"/>
  <c r="E285" i="17"/>
  <c r="D285" i="17"/>
  <c r="C285" i="17"/>
  <c r="A285" i="17"/>
  <c r="Y284" i="17"/>
  <c r="X284" i="17"/>
  <c r="W284" i="17"/>
  <c r="T284" i="17"/>
  <c r="S284" i="17"/>
  <c r="R284" i="17"/>
  <c r="Q284" i="17"/>
  <c r="P284" i="17"/>
  <c r="O284" i="17"/>
  <c r="N284" i="17"/>
  <c r="L284" i="17"/>
  <c r="K284" i="17"/>
  <c r="J284" i="17"/>
  <c r="I284" i="17"/>
  <c r="H284" i="17"/>
  <c r="G284" i="17"/>
  <c r="F284" i="17"/>
  <c r="E284" i="17"/>
  <c r="D284" i="17"/>
  <c r="A284" i="17"/>
  <c r="B284" i="17"/>
  <c r="Y283" i="17"/>
  <c r="X283" i="17"/>
  <c r="W283" i="17"/>
  <c r="V283" i="17"/>
  <c r="U283" i="17"/>
  <c r="T283" i="17"/>
  <c r="S283" i="17"/>
  <c r="R283" i="17"/>
  <c r="Q283" i="17"/>
  <c r="O283" i="17"/>
  <c r="N283" i="17"/>
  <c r="M283" i="17"/>
  <c r="L283" i="17"/>
  <c r="K283" i="17"/>
  <c r="J283" i="17"/>
  <c r="I283" i="17"/>
  <c r="H283" i="17"/>
  <c r="G283" i="17"/>
  <c r="F283" i="17"/>
  <c r="E283" i="17"/>
  <c r="D283" i="17"/>
  <c r="C283" i="17"/>
  <c r="B283" i="17"/>
  <c r="A283" i="17"/>
  <c r="P283" i="17"/>
  <c r="X282" i="17"/>
  <c r="W282" i="17"/>
  <c r="V282" i="17"/>
  <c r="U282" i="17"/>
  <c r="T282" i="17"/>
  <c r="S282" i="17"/>
  <c r="R282" i="17"/>
  <c r="Q282" i="17"/>
  <c r="P282" i="17"/>
  <c r="O282" i="17"/>
  <c r="N282" i="17"/>
  <c r="L282" i="17"/>
  <c r="K282" i="17"/>
  <c r="J282" i="17"/>
  <c r="I282" i="17"/>
  <c r="H282" i="17"/>
  <c r="G282" i="17"/>
  <c r="F282" i="17"/>
  <c r="E282" i="17"/>
  <c r="D282" i="17"/>
  <c r="A282" i="17"/>
  <c r="X281" i="17"/>
  <c r="W281" i="17"/>
  <c r="U281" i="17"/>
  <c r="T281" i="17"/>
  <c r="S281" i="17"/>
  <c r="R281" i="17"/>
  <c r="Q281" i="17"/>
  <c r="P281" i="17"/>
  <c r="O281" i="17"/>
  <c r="N281" i="17"/>
  <c r="L281" i="17"/>
  <c r="J281" i="17"/>
  <c r="I281" i="17"/>
  <c r="H281" i="17"/>
  <c r="G281" i="17"/>
  <c r="F281" i="17"/>
  <c r="E281" i="17"/>
  <c r="D281" i="17"/>
  <c r="A281" i="17"/>
  <c r="X280" i="17"/>
  <c r="W280" i="17"/>
  <c r="U280" i="17"/>
  <c r="T280" i="17"/>
  <c r="S280" i="17"/>
  <c r="R280" i="17"/>
  <c r="Q280" i="17"/>
  <c r="P280" i="17"/>
  <c r="N280" i="17"/>
  <c r="L280" i="17"/>
  <c r="J280" i="17"/>
  <c r="I280" i="17"/>
  <c r="H280" i="17"/>
  <c r="G280" i="17"/>
  <c r="F280" i="17"/>
  <c r="E280" i="17"/>
  <c r="D280" i="17"/>
  <c r="A280" i="17"/>
  <c r="Y279" i="17"/>
  <c r="X279" i="17"/>
  <c r="W279" i="17"/>
  <c r="T279" i="17"/>
  <c r="S279" i="17"/>
  <c r="R279" i="17"/>
  <c r="Q279" i="17"/>
  <c r="N279" i="17"/>
  <c r="M279" i="17"/>
  <c r="L279" i="17"/>
  <c r="J279" i="17"/>
  <c r="I279" i="17"/>
  <c r="H279" i="17"/>
  <c r="G279" i="17"/>
  <c r="F279" i="17"/>
  <c r="E279" i="17"/>
  <c r="D279" i="17"/>
  <c r="C279" i="17"/>
  <c r="A279" i="17"/>
  <c r="Y278" i="17"/>
  <c r="X278" i="17"/>
  <c r="W278" i="17"/>
  <c r="T278" i="17"/>
  <c r="S278" i="17"/>
  <c r="R278" i="17"/>
  <c r="Q278" i="17"/>
  <c r="P278" i="17"/>
  <c r="O278" i="17"/>
  <c r="N278" i="17"/>
  <c r="L278" i="17"/>
  <c r="K278" i="17"/>
  <c r="J278" i="17"/>
  <c r="I278" i="17"/>
  <c r="H278" i="17"/>
  <c r="G278" i="17"/>
  <c r="F278" i="17"/>
  <c r="E278" i="17"/>
  <c r="D278" i="17"/>
  <c r="C278" i="17"/>
  <c r="A278" i="17"/>
  <c r="X277" i="17"/>
  <c r="W277" i="17"/>
  <c r="S277" i="17"/>
  <c r="R277" i="17"/>
  <c r="Q277" i="17"/>
  <c r="N277" i="17"/>
  <c r="L277" i="17"/>
  <c r="J277" i="17"/>
  <c r="I277" i="17"/>
  <c r="H277" i="17"/>
  <c r="G277" i="17"/>
  <c r="F277" i="17"/>
  <c r="E277" i="17"/>
  <c r="D277" i="17"/>
  <c r="A277" i="17"/>
  <c r="B277" i="17"/>
  <c r="Y276" i="17"/>
  <c r="X276" i="17"/>
  <c r="W276" i="17"/>
  <c r="V276" i="17"/>
  <c r="U276" i="17"/>
  <c r="T276" i="17"/>
  <c r="S276" i="17"/>
  <c r="R276" i="17"/>
  <c r="Q276" i="17"/>
  <c r="P276" i="17"/>
  <c r="N276" i="17"/>
  <c r="M276" i="17"/>
  <c r="L276" i="17"/>
  <c r="K276" i="17"/>
  <c r="J276" i="17"/>
  <c r="I276" i="17"/>
  <c r="H276" i="17"/>
  <c r="G276" i="17"/>
  <c r="F276" i="17"/>
  <c r="E276" i="17"/>
  <c r="D276" i="17"/>
  <c r="C276" i="17"/>
  <c r="B276" i="17"/>
  <c r="A276" i="17"/>
  <c r="O276" i="17"/>
  <c r="Y275" i="17"/>
  <c r="X275" i="17"/>
  <c r="W275" i="17"/>
  <c r="V275" i="17"/>
  <c r="U275" i="17"/>
  <c r="T275" i="17"/>
  <c r="S275" i="17"/>
  <c r="R275" i="17"/>
  <c r="Q275" i="17"/>
  <c r="O275" i="17"/>
  <c r="N275" i="17"/>
  <c r="L275" i="17"/>
  <c r="K275" i="17"/>
  <c r="J275" i="17"/>
  <c r="I275" i="17"/>
  <c r="H275" i="17"/>
  <c r="G275" i="17"/>
  <c r="F275" i="17"/>
  <c r="E275" i="17"/>
  <c r="D275" i="17"/>
  <c r="C275" i="17"/>
  <c r="B275" i="17"/>
  <c r="A275" i="17"/>
  <c r="P275" i="17"/>
  <c r="Y274" i="17"/>
  <c r="X274" i="17"/>
  <c r="W274" i="17"/>
  <c r="V274" i="17"/>
  <c r="T274" i="17"/>
  <c r="S274" i="17"/>
  <c r="R274" i="17"/>
  <c r="Q274" i="17"/>
  <c r="P274" i="17"/>
  <c r="N274" i="17"/>
  <c r="M274" i="17"/>
  <c r="L274" i="17"/>
  <c r="K274" i="17"/>
  <c r="J274" i="17"/>
  <c r="I274" i="17"/>
  <c r="H274" i="17"/>
  <c r="G274" i="17"/>
  <c r="F274" i="17"/>
  <c r="E274" i="17"/>
  <c r="D274" i="17"/>
  <c r="B274" i="17"/>
  <c r="A274" i="17"/>
  <c r="X273" i="17"/>
  <c r="W273" i="17"/>
  <c r="V273" i="17"/>
  <c r="T273" i="17"/>
  <c r="S273" i="17"/>
  <c r="R273" i="17"/>
  <c r="Q273" i="17"/>
  <c r="P273" i="17"/>
  <c r="O273" i="17"/>
  <c r="N273" i="17"/>
  <c r="M273" i="17"/>
  <c r="L273" i="17"/>
  <c r="K273" i="17"/>
  <c r="J273" i="17"/>
  <c r="I273" i="17"/>
  <c r="H273" i="17"/>
  <c r="G273" i="17"/>
  <c r="F273" i="17"/>
  <c r="E273" i="17"/>
  <c r="D273" i="17"/>
  <c r="A273" i="17"/>
  <c r="Y272" i="17"/>
  <c r="X272" i="17"/>
  <c r="W272" i="17"/>
  <c r="S272" i="17"/>
  <c r="R272" i="17"/>
  <c r="Q272" i="17"/>
  <c r="P272" i="17"/>
  <c r="O272" i="17"/>
  <c r="N272" i="17"/>
  <c r="M272" i="17"/>
  <c r="L272" i="17"/>
  <c r="K272" i="17"/>
  <c r="J272" i="17"/>
  <c r="I272" i="17"/>
  <c r="H272" i="17"/>
  <c r="G272" i="17"/>
  <c r="F272" i="17"/>
  <c r="E272" i="17"/>
  <c r="D272" i="17"/>
  <c r="A272" i="17"/>
  <c r="Y271" i="17"/>
  <c r="X271" i="17"/>
  <c r="W271" i="17"/>
  <c r="T271" i="17"/>
  <c r="S271" i="17"/>
  <c r="R271" i="17"/>
  <c r="Q271" i="17"/>
  <c r="P271" i="17"/>
  <c r="N271" i="17"/>
  <c r="M271" i="17"/>
  <c r="L271" i="17"/>
  <c r="K271" i="17"/>
  <c r="J271" i="17"/>
  <c r="I271" i="17"/>
  <c r="H271" i="17"/>
  <c r="G271" i="17"/>
  <c r="F271" i="17"/>
  <c r="E271" i="17"/>
  <c r="D271" i="17"/>
  <c r="C271" i="17"/>
  <c r="A271" i="17"/>
  <c r="Y270" i="17"/>
  <c r="X270" i="17"/>
  <c r="W270" i="17"/>
  <c r="V270" i="17"/>
  <c r="U270" i="17"/>
  <c r="T270" i="17"/>
  <c r="S270" i="17"/>
  <c r="R270" i="17"/>
  <c r="Q270" i="17"/>
  <c r="P270" i="17"/>
  <c r="O270" i="17"/>
  <c r="N270" i="17"/>
  <c r="M270" i="17"/>
  <c r="L270" i="17"/>
  <c r="K270" i="17"/>
  <c r="J270" i="17"/>
  <c r="I270" i="17"/>
  <c r="H270" i="17"/>
  <c r="G270" i="17"/>
  <c r="F270" i="17"/>
  <c r="E270" i="17"/>
  <c r="D270" i="17"/>
  <c r="C270" i="17"/>
  <c r="A270" i="17"/>
  <c r="B270" i="17"/>
  <c r="X269" i="17"/>
  <c r="W269" i="17"/>
  <c r="V269" i="17"/>
  <c r="T269" i="17"/>
  <c r="S269" i="17"/>
  <c r="R269" i="17"/>
  <c r="Q269" i="17"/>
  <c r="N269" i="17"/>
  <c r="L269" i="17"/>
  <c r="J269" i="17"/>
  <c r="I269" i="17"/>
  <c r="H269" i="17"/>
  <c r="G269" i="17"/>
  <c r="F269" i="17"/>
  <c r="E269" i="17"/>
  <c r="D269" i="17"/>
  <c r="A269" i="17"/>
  <c r="X268" i="17"/>
  <c r="W268" i="17"/>
  <c r="V268" i="17"/>
  <c r="U268" i="17"/>
  <c r="T268" i="17"/>
  <c r="S268" i="17"/>
  <c r="R268" i="17"/>
  <c r="Q268" i="17"/>
  <c r="P268" i="17"/>
  <c r="O268" i="17"/>
  <c r="N268" i="17"/>
  <c r="M268" i="17"/>
  <c r="L268" i="17"/>
  <c r="K268" i="17"/>
  <c r="J268" i="17"/>
  <c r="I268" i="17"/>
  <c r="H268" i="17"/>
  <c r="G268" i="17"/>
  <c r="F268" i="17"/>
  <c r="E268" i="17"/>
  <c r="D268" i="17"/>
  <c r="A268" i="17"/>
  <c r="B268" i="17"/>
  <c r="X267" i="17"/>
  <c r="W267" i="17"/>
  <c r="U267" i="17"/>
  <c r="T267" i="17"/>
  <c r="S267" i="17"/>
  <c r="R267" i="17"/>
  <c r="Q267" i="17"/>
  <c r="N267" i="17"/>
  <c r="L267" i="17"/>
  <c r="J267" i="17"/>
  <c r="I267" i="17"/>
  <c r="H267" i="17"/>
  <c r="G267" i="17"/>
  <c r="F267" i="17"/>
  <c r="E267" i="17"/>
  <c r="D267" i="17"/>
  <c r="A267" i="17"/>
  <c r="B267" i="17"/>
  <c r="X266" i="17"/>
  <c r="W266" i="17"/>
  <c r="U266" i="17"/>
  <c r="T266" i="17"/>
  <c r="S266" i="17"/>
  <c r="R266" i="17"/>
  <c r="Q266" i="17"/>
  <c r="P266" i="17"/>
  <c r="O266" i="17"/>
  <c r="N266" i="17"/>
  <c r="M266" i="17"/>
  <c r="L266" i="17"/>
  <c r="J266" i="17"/>
  <c r="I266" i="17"/>
  <c r="H266" i="17"/>
  <c r="G266" i="17"/>
  <c r="F266" i="17"/>
  <c r="E266" i="17"/>
  <c r="D266" i="17"/>
  <c r="C266" i="17"/>
  <c r="B266" i="17"/>
  <c r="A266" i="17"/>
  <c r="X265" i="17"/>
  <c r="W265" i="17"/>
  <c r="V265" i="17"/>
  <c r="U265" i="17"/>
  <c r="S265" i="17"/>
  <c r="R265" i="17"/>
  <c r="Q265" i="17"/>
  <c r="P265" i="17"/>
  <c r="O265" i="17"/>
  <c r="N265" i="17"/>
  <c r="M265" i="17"/>
  <c r="L265" i="17"/>
  <c r="J265" i="17"/>
  <c r="I265" i="17"/>
  <c r="H265" i="17"/>
  <c r="G265" i="17"/>
  <c r="F265" i="17"/>
  <c r="E265" i="17"/>
  <c r="D265" i="17"/>
  <c r="C265" i="17"/>
  <c r="B265" i="17"/>
  <c r="A265" i="17"/>
  <c r="Y264" i="17"/>
  <c r="X264" i="17"/>
  <c r="W264" i="17"/>
  <c r="U264" i="17"/>
  <c r="T264" i="17"/>
  <c r="S264" i="17"/>
  <c r="R264" i="17"/>
  <c r="Q264" i="17"/>
  <c r="N264" i="17"/>
  <c r="L264" i="17"/>
  <c r="J264" i="17"/>
  <c r="I264" i="17"/>
  <c r="H264" i="17"/>
  <c r="G264" i="17"/>
  <c r="F264" i="17"/>
  <c r="E264" i="17"/>
  <c r="D264" i="17"/>
  <c r="A264" i="17"/>
  <c r="X263" i="17"/>
  <c r="W263" i="17"/>
  <c r="S263" i="17"/>
  <c r="R263" i="17"/>
  <c r="Q263" i="17"/>
  <c r="N263" i="17"/>
  <c r="L263" i="17"/>
  <c r="J263" i="17"/>
  <c r="I263" i="17"/>
  <c r="H263" i="17"/>
  <c r="G263" i="17"/>
  <c r="F263" i="17"/>
  <c r="E263" i="17"/>
  <c r="D263" i="17"/>
  <c r="A263" i="17"/>
  <c r="U263" i="17"/>
  <c r="X262" i="17"/>
  <c r="W262" i="17"/>
  <c r="S262" i="17"/>
  <c r="R262" i="17"/>
  <c r="Q262" i="17"/>
  <c r="N262" i="17"/>
  <c r="L262" i="17"/>
  <c r="J262" i="17"/>
  <c r="I262" i="17"/>
  <c r="H262" i="17"/>
  <c r="G262" i="17"/>
  <c r="F262" i="17"/>
  <c r="E262" i="17"/>
  <c r="D262" i="17"/>
  <c r="A262" i="17"/>
  <c r="B262" i="17"/>
  <c r="Y261" i="17"/>
  <c r="X261" i="17"/>
  <c r="W261" i="17"/>
  <c r="V261" i="17"/>
  <c r="U261" i="17"/>
  <c r="T261" i="17"/>
  <c r="S261" i="17"/>
  <c r="R261" i="17"/>
  <c r="Q261" i="17"/>
  <c r="P261" i="17"/>
  <c r="O261" i="17"/>
  <c r="N261" i="17"/>
  <c r="M261" i="17"/>
  <c r="L261" i="17"/>
  <c r="K261" i="17"/>
  <c r="J261" i="17"/>
  <c r="I261" i="17"/>
  <c r="H261" i="17"/>
  <c r="G261" i="17"/>
  <c r="F261" i="17"/>
  <c r="E261" i="17"/>
  <c r="D261" i="17"/>
  <c r="C261" i="17"/>
  <c r="B261" i="17"/>
  <c r="A261" i="17"/>
  <c r="Y260" i="17"/>
  <c r="X260" i="17"/>
  <c r="W260" i="17"/>
  <c r="V260" i="17"/>
  <c r="U260" i="17"/>
  <c r="T260" i="17"/>
  <c r="S260" i="17"/>
  <c r="R260" i="17"/>
  <c r="Q260" i="17"/>
  <c r="P260" i="17"/>
  <c r="O260" i="17"/>
  <c r="N260" i="17"/>
  <c r="M260" i="17"/>
  <c r="L260" i="17"/>
  <c r="J260" i="17"/>
  <c r="I260" i="17"/>
  <c r="H260" i="17"/>
  <c r="G260" i="17"/>
  <c r="F260" i="17"/>
  <c r="E260" i="17"/>
  <c r="D260" i="17"/>
  <c r="C260" i="17"/>
  <c r="B260" i="17"/>
  <c r="A260" i="17"/>
  <c r="K260" i="17"/>
  <c r="X259" i="17"/>
  <c r="W259" i="17"/>
  <c r="S259" i="17"/>
  <c r="R259" i="17"/>
  <c r="Q259" i="17"/>
  <c r="N259" i="17"/>
  <c r="L259" i="17"/>
  <c r="J259" i="17"/>
  <c r="I259" i="17"/>
  <c r="H259" i="17"/>
  <c r="G259" i="17"/>
  <c r="F259" i="17"/>
  <c r="E259" i="17"/>
  <c r="D259" i="17"/>
  <c r="A259" i="17"/>
  <c r="Y259" i="17"/>
  <c r="Y258" i="17"/>
  <c r="X258" i="17"/>
  <c r="W258" i="17"/>
  <c r="V258" i="17"/>
  <c r="U258" i="17"/>
  <c r="T258" i="17"/>
  <c r="S258" i="17"/>
  <c r="R258" i="17"/>
  <c r="Q258" i="17"/>
  <c r="P258" i="17"/>
  <c r="O258" i="17"/>
  <c r="N258" i="17"/>
  <c r="M258" i="17"/>
  <c r="L258" i="17"/>
  <c r="K258" i="17"/>
  <c r="J258" i="17"/>
  <c r="I258" i="17"/>
  <c r="H258" i="17"/>
  <c r="G258" i="17"/>
  <c r="F258" i="17"/>
  <c r="E258" i="17"/>
  <c r="D258" i="17"/>
  <c r="C258" i="17"/>
  <c r="A258" i="17"/>
  <c r="B258" i="17"/>
  <c r="Y257" i="17"/>
  <c r="X257" i="17"/>
  <c r="W257" i="17"/>
  <c r="S257" i="17"/>
  <c r="R257" i="17"/>
  <c r="Q257" i="17"/>
  <c r="N257" i="17"/>
  <c r="L257" i="17"/>
  <c r="J257" i="17"/>
  <c r="I257" i="17"/>
  <c r="H257" i="17"/>
  <c r="G257" i="17"/>
  <c r="F257" i="17"/>
  <c r="E257" i="17"/>
  <c r="D257" i="17"/>
  <c r="A257" i="17"/>
  <c r="Y256" i="17"/>
  <c r="X256" i="17"/>
  <c r="W256" i="17"/>
  <c r="U256" i="17"/>
  <c r="S256" i="17"/>
  <c r="R256" i="17"/>
  <c r="Q256" i="17"/>
  <c r="O256" i="17"/>
  <c r="N256" i="17"/>
  <c r="M256" i="17"/>
  <c r="L256" i="17"/>
  <c r="K256" i="17"/>
  <c r="J256" i="17"/>
  <c r="I256" i="17"/>
  <c r="H256" i="17"/>
  <c r="G256" i="17"/>
  <c r="F256" i="17"/>
  <c r="E256" i="17"/>
  <c r="D256" i="17"/>
  <c r="A256" i="17"/>
  <c r="Y255" i="17"/>
  <c r="X255" i="17"/>
  <c r="W255" i="17"/>
  <c r="U255" i="17"/>
  <c r="T255" i="17"/>
  <c r="S255" i="17"/>
  <c r="R255" i="17"/>
  <c r="Q255" i="17"/>
  <c r="O255" i="17"/>
  <c r="N255" i="17"/>
  <c r="M255" i="17"/>
  <c r="L255" i="17"/>
  <c r="K255" i="17"/>
  <c r="J255" i="17"/>
  <c r="I255" i="17"/>
  <c r="H255" i="17"/>
  <c r="G255" i="17"/>
  <c r="F255" i="17"/>
  <c r="E255" i="17"/>
  <c r="D255" i="17"/>
  <c r="C255" i="17"/>
  <c r="A255" i="17"/>
  <c r="Y254" i="17"/>
  <c r="X254" i="17"/>
  <c r="W254" i="17"/>
  <c r="U254" i="17"/>
  <c r="T254" i="17"/>
  <c r="S254" i="17"/>
  <c r="R254" i="17"/>
  <c r="Q254" i="17"/>
  <c r="P254" i="17"/>
  <c r="O254" i="17"/>
  <c r="N254" i="17"/>
  <c r="L254" i="17"/>
  <c r="K254" i="17"/>
  <c r="J254" i="17"/>
  <c r="I254" i="17"/>
  <c r="H254" i="17"/>
  <c r="G254" i="17"/>
  <c r="F254" i="17"/>
  <c r="E254" i="17"/>
  <c r="D254" i="17"/>
  <c r="C254" i="17"/>
  <c r="B254" i="17"/>
  <c r="A254" i="17"/>
  <c r="V254" i="17"/>
  <c r="X253" i="17"/>
  <c r="W253" i="17"/>
  <c r="V253" i="17"/>
  <c r="U253" i="17"/>
  <c r="S253" i="17"/>
  <c r="R253" i="17"/>
  <c r="Q253" i="17"/>
  <c r="N253" i="17"/>
  <c r="L253" i="17"/>
  <c r="J253" i="17"/>
  <c r="I253" i="17"/>
  <c r="H253" i="17"/>
  <c r="G253" i="17"/>
  <c r="F253" i="17"/>
  <c r="E253" i="17"/>
  <c r="D253" i="17"/>
  <c r="A253" i="17"/>
  <c r="X252" i="17"/>
  <c r="W252" i="17"/>
  <c r="V252" i="17"/>
  <c r="U252" i="17"/>
  <c r="S252" i="17"/>
  <c r="R252" i="17"/>
  <c r="Q252" i="17"/>
  <c r="P252" i="17"/>
  <c r="N252" i="17"/>
  <c r="L252" i="17"/>
  <c r="J252" i="17"/>
  <c r="I252" i="17"/>
  <c r="H252" i="17"/>
  <c r="G252" i="17"/>
  <c r="F252" i="17"/>
  <c r="E252" i="17"/>
  <c r="D252" i="17"/>
  <c r="A252" i="17"/>
  <c r="Y251" i="17"/>
  <c r="X251" i="17"/>
  <c r="W251" i="17"/>
  <c r="S251" i="17"/>
  <c r="R251" i="17"/>
  <c r="Q251" i="17"/>
  <c r="P251" i="17"/>
  <c r="O251" i="17"/>
  <c r="N251" i="17"/>
  <c r="M251" i="17"/>
  <c r="L251" i="17"/>
  <c r="J251" i="17"/>
  <c r="I251" i="17"/>
  <c r="H251" i="17"/>
  <c r="G251" i="17"/>
  <c r="F251" i="17"/>
  <c r="E251" i="17"/>
  <c r="D251" i="17"/>
  <c r="C251" i="17"/>
  <c r="B251" i="17"/>
  <c r="A251" i="17"/>
  <c r="Y250" i="17"/>
  <c r="X250" i="17"/>
  <c r="W250" i="17"/>
  <c r="T250" i="17"/>
  <c r="S250" i="17"/>
  <c r="R250" i="17"/>
  <c r="Q250" i="17"/>
  <c r="P250" i="17"/>
  <c r="O250" i="17"/>
  <c r="N250" i="17"/>
  <c r="M250" i="17"/>
  <c r="L250" i="17"/>
  <c r="K250" i="17"/>
  <c r="J250" i="17"/>
  <c r="I250" i="17"/>
  <c r="H250" i="17"/>
  <c r="G250" i="17"/>
  <c r="F250" i="17"/>
  <c r="E250" i="17"/>
  <c r="D250" i="17"/>
  <c r="C250" i="17"/>
  <c r="B250" i="17"/>
  <c r="A250" i="17"/>
  <c r="V250" i="17"/>
  <c r="X249" i="17"/>
  <c r="W249" i="17"/>
  <c r="V249" i="17"/>
  <c r="U249" i="17"/>
  <c r="T249" i="17"/>
  <c r="S249" i="17"/>
  <c r="R249" i="17"/>
  <c r="Q249" i="17"/>
  <c r="P249" i="17"/>
  <c r="N249" i="17"/>
  <c r="M249" i="17"/>
  <c r="L249" i="17"/>
  <c r="J249" i="17"/>
  <c r="I249" i="17"/>
  <c r="H249" i="17"/>
  <c r="G249" i="17"/>
  <c r="F249" i="17"/>
  <c r="E249" i="17"/>
  <c r="D249" i="17"/>
  <c r="C249" i="17"/>
  <c r="A249" i="17"/>
  <c r="X248" i="17"/>
  <c r="W248" i="17"/>
  <c r="V248" i="17"/>
  <c r="U248" i="17"/>
  <c r="T248" i="17"/>
  <c r="S248" i="17"/>
  <c r="R248" i="17"/>
  <c r="Q248" i="17"/>
  <c r="P248" i="17"/>
  <c r="N248" i="17"/>
  <c r="M248" i="17"/>
  <c r="L248" i="17"/>
  <c r="J248" i="17"/>
  <c r="I248" i="17"/>
  <c r="H248" i="17"/>
  <c r="G248" i="17"/>
  <c r="F248" i="17"/>
  <c r="E248" i="17"/>
  <c r="D248" i="17"/>
  <c r="C248" i="17"/>
  <c r="B248" i="17"/>
  <c r="A248" i="17"/>
  <c r="X247" i="17"/>
  <c r="W247" i="17"/>
  <c r="T247" i="17"/>
  <c r="S247" i="17"/>
  <c r="R247" i="17"/>
  <c r="Q247" i="17"/>
  <c r="O247" i="17"/>
  <c r="N247" i="17"/>
  <c r="M247" i="17"/>
  <c r="L247" i="17"/>
  <c r="J247" i="17"/>
  <c r="I247" i="17"/>
  <c r="H247" i="17"/>
  <c r="G247" i="17"/>
  <c r="F247" i="17"/>
  <c r="E247" i="17"/>
  <c r="D247" i="17"/>
  <c r="A247" i="17"/>
  <c r="Y246" i="17"/>
  <c r="X246" i="17"/>
  <c r="W246" i="17"/>
  <c r="V246" i="17"/>
  <c r="U246" i="17"/>
  <c r="T246" i="17"/>
  <c r="S246" i="17"/>
  <c r="R246" i="17"/>
  <c r="Q246" i="17"/>
  <c r="P246" i="17"/>
  <c r="O246" i="17"/>
  <c r="N246" i="17"/>
  <c r="M246" i="17"/>
  <c r="L246" i="17"/>
  <c r="K246" i="17"/>
  <c r="J246" i="17"/>
  <c r="I246" i="17"/>
  <c r="H246" i="17"/>
  <c r="G246" i="17"/>
  <c r="F246" i="17"/>
  <c r="E246" i="17"/>
  <c r="D246" i="17"/>
  <c r="C246" i="17"/>
  <c r="A246" i="17"/>
  <c r="B246" i="17"/>
  <c r="X245" i="17"/>
  <c r="W245" i="17"/>
  <c r="V245" i="17"/>
  <c r="T245" i="17"/>
  <c r="S245" i="17"/>
  <c r="R245" i="17"/>
  <c r="Q245" i="17"/>
  <c r="N245" i="17"/>
  <c r="M245" i="17"/>
  <c r="L245" i="17"/>
  <c r="J245" i="17"/>
  <c r="I245" i="17"/>
  <c r="H245" i="17"/>
  <c r="G245" i="17"/>
  <c r="F245" i="17"/>
  <c r="E245" i="17"/>
  <c r="D245" i="17"/>
  <c r="C245" i="17"/>
  <c r="B245" i="17"/>
  <c r="A245" i="17"/>
  <c r="Y245" i="17"/>
  <c r="X244" i="17"/>
  <c r="W244" i="17"/>
  <c r="V244" i="17"/>
  <c r="U244" i="17"/>
  <c r="T244" i="17"/>
  <c r="S244" i="17"/>
  <c r="R244" i="17"/>
  <c r="Q244" i="17"/>
  <c r="P244" i="17"/>
  <c r="O244" i="17"/>
  <c r="N244" i="17"/>
  <c r="M244" i="17"/>
  <c r="L244" i="17"/>
  <c r="K244" i="17"/>
  <c r="J244" i="17"/>
  <c r="I244" i="17"/>
  <c r="H244" i="17"/>
  <c r="G244" i="17"/>
  <c r="F244" i="17"/>
  <c r="E244" i="17"/>
  <c r="D244" i="17"/>
  <c r="A244" i="17"/>
  <c r="B244" i="17"/>
  <c r="Y243" i="17"/>
  <c r="X243" i="17"/>
  <c r="W243" i="17"/>
  <c r="V243" i="17"/>
  <c r="U243" i="17"/>
  <c r="S243" i="17"/>
  <c r="R243" i="17"/>
  <c r="Q243" i="17"/>
  <c r="P243" i="17"/>
  <c r="O243" i="17"/>
  <c r="N243" i="17"/>
  <c r="M243" i="17"/>
  <c r="L243" i="17"/>
  <c r="J243" i="17"/>
  <c r="I243" i="17"/>
  <c r="H243" i="17"/>
  <c r="G243" i="17"/>
  <c r="F243" i="17"/>
  <c r="E243" i="17"/>
  <c r="D243" i="17"/>
  <c r="A243" i="17"/>
  <c r="Y242" i="17"/>
  <c r="X242" i="17"/>
  <c r="W242" i="17"/>
  <c r="T242" i="17"/>
  <c r="S242" i="17"/>
  <c r="R242" i="17"/>
  <c r="Q242" i="17"/>
  <c r="P242" i="17"/>
  <c r="O242" i="17"/>
  <c r="N242" i="17"/>
  <c r="M242" i="17"/>
  <c r="L242" i="17"/>
  <c r="K242" i="17"/>
  <c r="J242" i="17"/>
  <c r="I242" i="17"/>
  <c r="H242" i="17"/>
  <c r="G242" i="17"/>
  <c r="F242" i="17"/>
  <c r="E242" i="17"/>
  <c r="D242" i="17"/>
  <c r="A242" i="17"/>
  <c r="X241" i="17"/>
  <c r="W241" i="17"/>
  <c r="U241" i="17"/>
  <c r="T241" i="17"/>
  <c r="S241" i="17"/>
  <c r="R241" i="17"/>
  <c r="Q241" i="17"/>
  <c r="P241" i="17"/>
  <c r="N241" i="17"/>
  <c r="M241" i="17"/>
  <c r="L241" i="17"/>
  <c r="K241" i="17"/>
  <c r="J241" i="17"/>
  <c r="I241" i="17"/>
  <c r="H241" i="17"/>
  <c r="G241" i="17"/>
  <c r="F241" i="17"/>
  <c r="E241" i="17"/>
  <c r="D241" i="17"/>
  <c r="C241" i="17"/>
  <c r="B241" i="17"/>
  <c r="A241" i="17"/>
  <c r="Y240" i="17"/>
  <c r="X240" i="17"/>
  <c r="W240" i="17"/>
  <c r="V240" i="17"/>
  <c r="U240" i="17"/>
  <c r="S240" i="17"/>
  <c r="R240" i="17"/>
  <c r="Q240" i="17"/>
  <c r="P240" i="17"/>
  <c r="O240" i="17"/>
  <c r="N240" i="17"/>
  <c r="M240" i="17"/>
  <c r="L240" i="17"/>
  <c r="K240" i="17"/>
  <c r="J240" i="17"/>
  <c r="I240" i="17"/>
  <c r="H240" i="17"/>
  <c r="G240" i="17"/>
  <c r="F240" i="17"/>
  <c r="E240" i="17"/>
  <c r="D240" i="17"/>
  <c r="C240" i="17"/>
  <c r="B240" i="17"/>
  <c r="A240" i="17"/>
  <c r="T240" i="17"/>
  <c r="Y239" i="17"/>
  <c r="X239" i="17"/>
  <c r="W239" i="17"/>
  <c r="V239" i="17"/>
  <c r="U239" i="17"/>
  <c r="T239" i="17"/>
  <c r="S239" i="17"/>
  <c r="R239" i="17"/>
  <c r="Q239" i="17"/>
  <c r="P239" i="17"/>
  <c r="O239" i="17"/>
  <c r="N239" i="17"/>
  <c r="M239" i="17"/>
  <c r="L239" i="17"/>
  <c r="K239" i="17"/>
  <c r="J239" i="17"/>
  <c r="I239" i="17"/>
  <c r="H239" i="17"/>
  <c r="G239" i="17"/>
  <c r="F239" i="17"/>
  <c r="E239" i="17"/>
  <c r="D239" i="17"/>
  <c r="C239" i="17"/>
  <c r="B239" i="17"/>
  <c r="A239" i="17"/>
  <c r="Y238" i="17"/>
  <c r="X238" i="17"/>
  <c r="W238" i="17"/>
  <c r="V238" i="17"/>
  <c r="U238" i="17"/>
  <c r="T238" i="17"/>
  <c r="S238" i="17"/>
  <c r="R238" i="17"/>
  <c r="Q238" i="17"/>
  <c r="P238" i="17"/>
  <c r="O238" i="17"/>
  <c r="N238" i="17"/>
  <c r="M238" i="17"/>
  <c r="L238" i="17"/>
  <c r="K238" i="17"/>
  <c r="J238" i="17"/>
  <c r="I238" i="17"/>
  <c r="H238" i="17"/>
  <c r="G238" i="17"/>
  <c r="F238" i="17"/>
  <c r="E238" i="17"/>
  <c r="D238" i="17"/>
  <c r="C238" i="17"/>
  <c r="B238" i="17"/>
  <c r="A238" i="17"/>
  <c r="Y237" i="17"/>
  <c r="X237" i="17"/>
  <c r="W237" i="17"/>
  <c r="V237" i="17"/>
  <c r="U237" i="17"/>
  <c r="T237" i="17"/>
  <c r="S237" i="17"/>
  <c r="R237" i="17"/>
  <c r="Q237" i="17"/>
  <c r="N237" i="17"/>
  <c r="L237" i="17"/>
  <c r="J237" i="17"/>
  <c r="I237" i="17"/>
  <c r="H237" i="17"/>
  <c r="G237" i="17"/>
  <c r="F237" i="17"/>
  <c r="E237" i="17"/>
  <c r="D237" i="17"/>
  <c r="C237" i="17"/>
  <c r="B237" i="17"/>
  <c r="A237" i="17"/>
  <c r="Y236" i="17"/>
  <c r="X236" i="17"/>
  <c r="W236" i="17"/>
  <c r="V236" i="17"/>
  <c r="U236" i="17"/>
  <c r="T236" i="17"/>
  <c r="S236" i="17"/>
  <c r="R236" i="17"/>
  <c r="Q236" i="17"/>
  <c r="N236" i="17"/>
  <c r="L236" i="17"/>
  <c r="J236" i="17"/>
  <c r="I236" i="17"/>
  <c r="H236" i="17"/>
  <c r="G236" i="17"/>
  <c r="F236" i="17"/>
  <c r="E236" i="17"/>
  <c r="D236" i="17"/>
  <c r="C236" i="17"/>
  <c r="B236" i="17"/>
  <c r="A236" i="17"/>
  <c r="X235" i="17"/>
  <c r="W235" i="17"/>
  <c r="V235" i="17"/>
  <c r="U235" i="17"/>
  <c r="T235" i="17"/>
  <c r="S235" i="17"/>
  <c r="R235" i="17"/>
  <c r="Q235" i="17"/>
  <c r="N235" i="17"/>
  <c r="L235" i="17"/>
  <c r="J235" i="17"/>
  <c r="I235" i="17"/>
  <c r="H235" i="17"/>
  <c r="G235" i="17"/>
  <c r="F235" i="17"/>
  <c r="E235" i="17"/>
  <c r="D235" i="17"/>
  <c r="A235" i="17"/>
  <c r="Y234" i="17"/>
  <c r="X234" i="17"/>
  <c r="W234" i="17"/>
  <c r="V234" i="17"/>
  <c r="U234" i="17"/>
  <c r="T234" i="17"/>
  <c r="S234" i="17"/>
  <c r="R234" i="17"/>
  <c r="Q234" i="17"/>
  <c r="N234" i="17"/>
  <c r="L234" i="17"/>
  <c r="J234" i="17"/>
  <c r="I234" i="17"/>
  <c r="H234" i="17"/>
  <c r="G234" i="17"/>
  <c r="F234" i="17"/>
  <c r="E234" i="17"/>
  <c r="D234" i="17"/>
  <c r="C234" i="17"/>
  <c r="A234" i="17"/>
  <c r="Y233" i="17"/>
  <c r="X233" i="17"/>
  <c r="W233" i="17"/>
  <c r="V233" i="17"/>
  <c r="U233" i="17"/>
  <c r="S233" i="17"/>
  <c r="R233" i="17"/>
  <c r="Q233" i="17"/>
  <c r="P233" i="17"/>
  <c r="N233" i="17"/>
  <c r="L233" i="17"/>
  <c r="J233" i="17"/>
  <c r="I233" i="17"/>
  <c r="H233" i="17"/>
  <c r="G233" i="17"/>
  <c r="F233" i="17"/>
  <c r="E233" i="17"/>
  <c r="D233" i="17"/>
  <c r="C233" i="17"/>
  <c r="B233" i="17"/>
  <c r="A233" i="17"/>
  <c r="X232" i="17"/>
  <c r="W232" i="17"/>
  <c r="S232" i="17"/>
  <c r="R232" i="17"/>
  <c r="Q232" i="17"/>
  <c r="N232" i="17"/>
  <c r="L232" i="17"/>
  <c r="J232" i="17"/>
  <c r="I232" i="17"/>
  <c r="H232" i="17"/>
  <c r="G232" i="17"/>
  <c r="F232" i="17"/>
  <c r="E232" i="17"/>
  <c r="D232" i="17"/>
  <c r="A232" i="17"/>
  <c r="B232" i="17"/>
  <c r="Y231" i="17"/>
  <c r="X231" i="17"/>
  <c r="W231" i="17"/>
  <c r="V231" i="17"/>
  <c r="U231" i="17"/>
  <c r="T231" i="17"/>
  <c r="S231" i="17"/>
  <c r="R231" i="17"/>
  <c r="Q231" i="17"/>
  <c r="P231" i="17"/>
  <c r="O231" i="17"/>
  <c r="N231" i="17"/>
  <c r="M231" i="17"/>
  <c r="L231" i="17"/>
  <c r="K231" i="17"/>
  <c r="J231" i="17"/>
  <c r="I231" i="17"/>
  <c r="H231" i="17"/>
  <c r="G231" i="17"/>
  <c r="F231" i="17"/>
  <c r="E231" i="17"/>
  <c r="D231" i="17"/>
  <c r="C231" i="17"/>
  <c r="B231" i="17"/>
  <c r="A231" i="17"/>
  <c r="X230" i="17"/>
  <c r="W230" i="17"/>
  <c r="U230" i="17"/>
  <c r="T230" i="17"/>
  <c r="S230" i="17"/>
  <c r="R230" i="17"/>
  <c r="Q230" i="17"/>
  <c r="P230" i="17"/>
  <c r="O230" i="17"/>
  <c r="N230" i="17"/>
  <c r="M230" i="17"/>
  <c r="L230" i="17"/>
  <c r="K230" i="17"/>
  <c r="J230" i="17"/>
  <c r="I230" i="17"/>
  <c r="H230" i="17"/>
  <c r="G230" i="17"/>
  <c r="F230" i="17"/>
  <c r="E230" i="17"/>
  <c r="D230" i="17"/>
  <c r="B230" i="17"/>
  <c r="A230" i="17"/>
  <c r="X229" i="17"/>
  <c r="W229" i="17"/>
  <c r="V229" i="17"/>
  <c r="U229" i="17"/>
  <c r="T229" i="17"/>
  <c r="S229" i="17"/>
  <c r="R229" i="17"/>
  <c r="Q229" i="17"/>
  <c r="P229" i="17"/>
  <c r="O229" i="17"/>
  <c r="N229" i="17"/>
  <c r="M229" i="17"/>
  <c r="L229" i="17"/>
  <c r="K229" i="17"/>
  <c r="J229" i="17"/>
  <c r="I229" i="17"/>
  <c r="H229" i="17"/>
  <c r="G229" i="17"/>
  <c r="F229" i="17"/>
  <c r="E229" i="17"/>
  <c r="D229" i="17"/>
  <c r="A229" i="17"/>
  <c r="Y228" i="17"/>
  <c r="X228" i="17"/>
  <c r="W228" i="17"/>
  <c r="V228" i="17"/>
  <c r="U228" i="17"/>
  <c r="T228" i="17"/>
  <c r="S228" i="17"/>
  <c r="R228" i="17"/>
  <c r="Q228" i="17"/>
  <c r="P228" i="17"/>
  <c r="O228" i="17"/>
  <c r="N228" i="17"/>
  <c r="M228" i="17"/>
  <c r="L228" i="17"/>
  <c r="K228" i="17"/>
  <c r="J228" i="17"/>
  <c r="I228" i="17"/>
  <c r="H228" i="17"/>
  <c r="G228" i="17"/>
  <c r="F228" i="17"/>
  <c r="E228" i="17"/>
  <c r="D228" i="17"/>
  <c r="C228" i="17"/>
  <c r="A228" i="17"/>
  <c r="B228" i="17"/>
  <c r="X227" i="17"/>
  <c r="W227" i="17"/>
  <c r="S227" i="17"/>
  <c r="R227" i="17"/>
  <c r="Q227" i="17"/>
  <c r="N227" i="17"/>
  <c r="L227" i="17"/>
  <c r="J227" i="17"/>
  <c r="I227" i="17"/>
  <c r="H227" i="17"/>
  <c r="G227" i="17"/>
  <c r="F227" i="17"/>
  <c r="E227" i="17"/>
  <c r="D227" i="17"/>
  <c r="A227" i="17"/>
  <c r="Y226" i="17"/>
  <c r="X226" i="17"/>
  <c r="W226" i="17"/>
  <c r="V226" i="17"/>
  <c r="U226" i="17"/>
  <c r="T226" i="17"/>
  <c r="S226" i="17"/>
  <c r="R226" i="17"/>
  <c r="Q226" i="17"/>
  <c r="P226" i="17"/>
  <c r="O226" i="17"/>
  <c r="N226" i="17"/>
  <c r="L226" i="17"/>
  <c r="K226" i="17"/>
  <c r="J226" i="17"/>
  <c r="I226" i="17"/>
  <c r="H226" i="17"/>
  <c r="G226" i="17"/>
  <c r="F226" i="17"/>
  <c r="E226" i="17"/>
  <c r="D226" i="17"/>
  <c r="C226" i="17"/>
  <c r="B226" i="17"/>
  <c r="A226" i="17"/>
  <c r="M226" i="17"/>
  <c r="Y225" i="17"/>
  <c r="X225" i="17"/>
  <c r="W225" i="17"/>
  <c r="V225" i="17"/>
  <c r="U225" i="17"/>
  <c r="T225" i="17"/>
  <c r="S225" i="17"/>
  <c r="R225" i="17"/>
  <c r="Q225" i="17"/>
  <c r="N225" i="17"/>
  <c r="M225" i="17"/>
  <c r="L225" i="17"/>
  <c r="J225" i="17"/>
  <c r="I225" i="17"/>
  <c r="H225" i="17"/>
  <c r="G225" i="17"/>
  <c r="F225" i="17"/>
  <c r="E225" i="17"/>
  <c r="D225" i="17"/>
  <c r="C225" i="17"/>
  <c r="B225" i="17"/>
  <c r="A225" i="17"/>
  <c r="X224" i="17"/>
  <c r="W224" i="17"/>
  <c r="V224" i="17"/>
  <c r="U224" i="17"/>
  <c r="T224" i="17"/>
  <c r="S224" i="17"/>
  <c r="R224" i="17"/>
  <c r="Q224" i="17"/>
  <c r="P224" i="17"/>
  <c r="O224" i="17"/>
  <c r="N224" i="17"/>
  <c r="L224" i="17"/>
  <c r="K224" i="17"/>
  <c r="J224" i="17"/>
  <c r="I224" i="17"/>
  <c r="H224" i="17"/>
  <c r="G224" i="17"/>
  <c r="F224" i="17"/>
  <c r="E224" i="17"/>
  <c r="D224" i="17"/>
  <c r="A224" i="17"/>
  <c r="M224" i="17"/>
  <c r="Y223" i="17"/>
  <c r="X223" i="17"/>
  <c r="W223" i="17"/>
  <c r="V223" i="17"/>
  <c r="S223" i="17"/>
  <c r="R223" i="17"/>
  <c r="Q223" i="17"/>
  <c r="P223" i="17"/>
  <c r="N223" i="17"/>
  <c r="M223" i="17"/>
  <c r="L223" i="17"/>
  <c r="K223" i="17"/>
  <c r="J223" i="17"/>
  <c r="I223" i="17"/>
  <c r="H223" i="17"/>
  <c r="G223" i="17"/>
  <c r="F223" i="17"/>
  <c r="E223" i="17"/>
  <c r="D223" i="17"/>
  <c r="A223" i="17"/>
  <c r="Y222" i="17"/>
  <c r="X222" i="17"/>
  <c r="W222" i="17"/>
  <c r="V222" i="17"/>
  <c r="U222" i="17"/>
  <c r="T222" i="17"/>
  <c r="S222" i="17"/>
  <c r="R222" i="17"/>
  <c r="Q222" i="17"/>
  <c r="P222" i="17"/>
  <c r="O222" i="17"/>
  <c r="N222" i="17"/>
  <c r="L222" i="17"/>
  <c r="J222" i="17"/>
  <c r="I222" i="17"/>
  <c r="H222" i="17"/>
  <c r="G222" i="17"/>
  <c r="F222" i="17"/>
  <c r="E222" i="17"/>
  <c r="D222" i="17"/>
  <c r="A222" i="17"/>
  <c r="X221" i="17"/>
  <c r="W221" i="17"/>
  <c r="V221" i="17"/>
  <c r="U221" i="17"/>
  <c r="T221" i="17"/>
  <c r="S221" i="17"/>
  <c r="R221" i="17"/>
  <c r="Q221" i="17"/>
  <c r="P221" i="17"/>
  <c r="O221" i="17"/>
  <c r="N221" i="17"/>
  <c r="L221" i="17"/>
  <c r="K221" i="17"/>
  <c r="J221" i="17"/>
  <c r="I221" i="17"/>
  <c r="H221" i="17"/>
  <c r="G221" i="17"/>
  <c r="F221" i="17"/>
  <c r="E221" i="17"/>
  <c r="D221" i="17"/>
  <c r="A221" i="17"/>
  <c r="Y220" i="17"/>
  <c r="X220" i="17"/>
  <c r="W220" i="17"/>
  <c r="V220" i="17"/>
  <c r="S220" i="17"/>
  <c r="R220" i="17"/>
  <c r="Q220" i="17"/>
  <c r="P220" i="17"/>
  <c r="O220" i="17"/>
  <c r="N220" i="17"/>
  <c r="L220" i="17"/>
  <c r="K220" i="17"/>
  <c r="J220" i="17"/>
  <c r="I220" i="17"/>
  <c r="H220" i="17"/>
  <c r="G220" i="17"/>
  <c r="F220" i="17"/>
  <c r="E220" i="17"/>
  <c r="D220" i="17"/>
  <c r="A220" i="17"/>
  <c r="Y219" i="17"/>
  <c r="X219" i="17"/>
  <c r="W219" i="17"/>
  <c r="V219" i="17"/>
  <c r="U219" i="17"/>
  <c r="T219" i="17"/>
  <c r="S219" i="17"/>
  <c r="R219" i="17"/>
  <c r="Q219" i="17"/>
  <c r="P219" i="17"/>
  <c r="O219" i="17"/>
  <c r="N219" i="17"/>
  <c r="M219" i="17"/>
  <c r="L219" i="17"/>
  <c r="J219" i="17"/>
  <c r="I219" i="17"/>
  <c r="H219" i="17"/>
  <c r="G219" i="17"/>
  <c r="F219" i="17"/>
  <c r="E219" i="17"/>
  <c r="D219" i="17"/>
  <c r="C219" i="17"/>
  <c r="B219" i="17"/>
  <c r="A219" i="17"/>
  <c r="K219" i="17"/>
  <c r="X218" i="17"/>
  <c r="W218" i="17"/>
  <c r="V218" i="17"/>
  <c r="U218" i="17"/>
  <c r="T218" i="17"/>
  <c r="S218" i="17"/>
  <c r="R218" i="17"/>
  <c r="Q218" i="17"/>
  <c r="O218" i="17"/>
  <c r="N218" i="17"/>
  <c r="M218" i="17"/>
  <c r="L218" i="17"/>
  <c r="J218" i="17"/>
  <c r="I218" i="17"/>
  <c r="H218" i="17"/>
  <c r="G218" i="17"/>
  <c r="F218" i="17"/>
  <c r="E218" i="17"/>
  <c r="D218" i="17"/>
  <c r="A218" i="17"/>
  <c r="X217" i="17"/>
  <c r="W217" i="17"/>
  <c r="U217" i="17"/>
  <c r="T217" i="17"/>
  <c r="S217" i="17"/>
  <c r="R217" i="17"/>
  <c r="Q217" i="17"/>
  <c r="N217" i="17"/>
  <c r="L217" i="17"/>
  <c r="J217" i="17"/>
  <c r="I217" i="17"/>
  <c r="H217" i="17"/>
  <c r="G217" i="17"/>
  <c r="F217" i="17"/>
  <c r="E217" i="17"/>
  <c r="D217" i="17"/>
  <c r="A217" i="17"/>
  <c r="Y217" i="17"/>
  <c r="X216" i="17"/>
  <c r="W216" i="17"/>
  <c r="S216" i="17"/>
  <c r="R216" i="17"/>
  <c r="Q216" i="17"/>
  <c r="O216" i="17"/>
  <c r="N216" i="17"/>
  <c r="M216" i="17"/>
  <c r="L216" i="17"/>
  <c r="J216" i="17"/>
  <c r="I216" i="17"/>
  <c r="H216" i="17"/>
  <c r="G216" i="17"/>
  <c r="F216" i="17"/>
  <c r="E216" i="17"/>
  <c r="D216" i="17"/>
  <c r="A216" i="17"/>
  <c r="Y215" i="17"/>
  <c r="X215" i="17"/>
  <c r="W215" i="17"/>
  <c r="V215" i="17"/>
  <c r="U215" i="17"/>
  <c r="T215" i="17"/>
  <c r="S215" i="17"/>
  <c r="R215" i="17"/>
  <c r="Q215" i="17"/>
  <c r="P215" i="17"/>
  <c r="O215" i="17"/>
  <c r="N215" i="17"/>
  <c r="M215" i="17"/>
  <c r="L215" i="17"/>
  <c r="K215" i="17"/>
  <c r="J215" i="17"/>
  <c r="I215" i="17"/>
  <c r="H215" i="17"/>
  <c r="G215" i="17"/>
  <c r="F215" i="17"/>
  <c r="E215" i="17"/>
  <c r="D215" i="17"/>
  <c r="C215" i="17"/>
  <c r="B215" i="17"/>
  <c r="A215" i="17"/>
  <c r="X214" i="17"/>
  <c r="W214" i="17"/>
  <c r="U214" i="17"/>
  <c r="T214" i="17"/>
  <c r="S214" i="17"/>
  <c r="R214" i="17"/>
  <c r="Q214" i="17"/>
  <c r="P214" i="17"/>
  <c r="O214" i="17"/>
  <c r="N214" i="17"/>
  <c r="M214" i="17"/>
  <c r="L214" i="17"/>
  <c r="J214" i="17"/>
  <c r="I214" i="17"/>
  <c r="H214" i="17"/>
  <c r="G214" i="17"/>
  <c r="F214" i="17"/>
  <c r="E214" i="17"/>
  <c r="D214" i="17"/>
  <c r="C214" i="17"/>
  <c r="B214" i="17"/>
  <c r="A214" i="17"/>
  <c r="X213" i="17"/>
  <c r="W213" i="17"/>
  <c r="V213" i="17"/>
  <c r="U213" i="17"/>
  <c r="T213" i="17"/>
  <c r="S213" i="17"/>
  <c r="R213" i="17"/>
  <c r="Q213" i="17"/>
  <c r="P213" i="17"/>
  <c r="O213" i="17"/>
  <c r="N213" i="17"/>
  <c r="L213" i="17"/>
  <c r="K213" i="17"/>
  <c r="J213" i="17"/>
  <c r="I213" i="17"/>
  <c r="H213" i="17"/>
  <c r="G213" i="17"/>
  <c r="F213" i="17"/>
  <c r="E213" i="17"/>
  <c r="D213" i="17"/>
  <c r="B213" i="17"/>
  <c r="A213" i="17"/>
  <c r="X212" i="17"/>
  <c r="W212" i="17"/>
  <c r="V212" i="17"/>
  <c r="U212" i="17"/>
  <c r="T212" i="17"/>
  <c r="S212" i="17"/>
  <c r="R212" i="17"/>
  <c r="Q212" i="17"/>
  <c r="N212" i="17"/>
  <c r="M212" i="17"/>
  <c r="L212" i="17"/>
  <c r="K212" i="17"/>
  <c r="J212" i="17"/>
  <c r="I212" i="17"/>
  <c r="H212" i="17"/>
  <c r="G212" i="17"/>
  <c r="F212" i="17"/>
  <c r="E212" i="17"/>
  <c r="D212" i="17"/>
  <c r="C212" i="17"/>
  <c r="B212" i="17"/>
  <c r="A212" i="17"/>
  <c r="X211" i="17"/>
  <c r="W211" i="17"/>
  <c r="V211" i="17"/>
  <c r="U211" i="17"/>
  <c r="T211" i="17"/>
  <c r="S211" i="17"/>
  <c r="R211" i="17"/>
  <c r="Q211" i="17"/>
  <c r="P211" i="17"/>
  <c r="N211" i="17"/>
  <c r="L211" i="17"/>
  <c r="J211" i="17"/>
  <c r="I211" i="17"/>
  <c r="H211" i="17"/>
  <c r="G211" i="17"/>
  <c r="F211" i="17"/>
  <c r="E211" i="17"/>
  <c r="D211" i="17"/>
  <c r="A211" i="17"/>
  <c r="Y210" i="17"/>
  <c r="X210" i="17"/>
  <c r="W210" i="17"/>
  <c r="V210" i="17"/>
  <c r="S210" i="17"/>
  <c r="R210" i="17"/>
  <c r="Q210" i="17"/>
  <c r="O210" i="17"/>
  <c r="N210" i="17"/>
  <c r="M210" i="17"/>
  <c r="L210" i="17"/>
  <c r="J210" i="17"/>
  <c r="I210" i="17"/>
  <c r="H210" i="17"/>
  <c r="G210" i="17"/>
  <c r="F210" i="17"/>
  <c r="E210" i="17"/>
  <c r="D210" i="17"/>
  <c r="A210" i="17"/>
  <c r="X209" i="17"/>
  <c r="W209" i="17"/>
  <c r="U209" i="17"/>
  <c r="T209" i="17"/>
  <c r="S209" i="17"/>
  <c r="R209" i="17"/>
  <c r="Q209" i="17"/>
  <c r="P209" i="17"/>
  <c r="O209" i="17"/>
  <c r="N209" i="17"/>
  <c r="L209" i="17"/>
  <c r="K209" i="17"/>
  <c r="J209" i="17"/>
  <c r="I209" i="17"/>
  <c r="H209" i="17"/>
  <c r="G209" i="17"/>
  <c r="F209" i="17"/>
  <c r="E209" i="17"/>
  <c r="D209" i="17"/>
  <c r="A209" i="17"/>
  <c r="B209" i="17"/>
  <c r="X208" i="17"/>
  <c r="W208" i="17"/>
  <c r="U208" i="17"/>
  <c r="T208" i="17"/>
  <c r="S208" i="17"/>
  <c r="R208" i="17"/>
  <c r="Q208" i="17"/>
  <c r="P208" i="17"/>
  <c r="N208" i="17"/>
  <c r="M208" i="17"/>
  <c r="L208" i="17"/>
  <c r="K208" i="17"/>
  <c r="J208" i="17"/>
  <c r="I208" i="17"/>
  <c r="H208" i="17"/>
  <c r="G208" i="17"/>
  <c r="F208" i="17"/>
  <c r="E208" i="17"/>
  <c r="D208" i="17"/>
  <c r="C208" i="17"/>
  <c r="B208" i="17"/>
  <c r="A208" i="17"/>
  <c r="X207" i="17"/>
  <c r="W207" i="17"/>
  <c r="V207" i="17"/>
  <c r="U207" i="17"/>
  <c r="T207" i="17"/>
  <c r="S207" i="17"/>
  <c r="R207" i="17"/>
  <c r="Q207" i="17"/>
  <c r="P207" i="17"/>
  <c r="O207" i="17"/>
  <c r="N207" i="17"/>
  <c r="M207" i="17"/>
  <c r="L207" i="17"/>
  <c r="K207" i="17"/>
  <c r="J207" i="17"/>
  <c r="I207" i="17"/>
  <c r="H207" i="17"/>
  <c r="G207" i="17"/>
  <c r="F207" i="17"/>
  <c r="E207" i="17"/>
  <c r="D207" i="17"/>
  <c r="A207" i="17"/>
  <c r="X206" i="17"/>
  <c r="W206" i="17"/>
  <c r="V206" i="17"/>
  <c r="U206" i="17"/>
  <c r="T206" i="17"/>
  <c r="S206" i="17"/>
  <c r="R206" i="17"/>
  <c r="Q206" i="17"/>
  <c r="P206" i="17"/>
  <c r="O206" i="17"/>
  <c r="N206" i="17"/>
  <c r="M206" i="17"/>
  <c r="L206" i="17"/>
  <c r="J206" i="17"/>
  <c r="I206" i="17"/>
  <c r="H206" i="17"/>
  <c r="G206" i="17"/>
  <c r="F206" i="17"/>
  <c r="E206" i="17"/>
  <c r="D206" i="17"/>
  <c r="A206" i="17"/>
  <c r="Y205" i="17"/>
  <c r="X205" i="17"/>
  <c r="W205" i="17"/>
  <c r="U205" i="17"/>
  <c r="S205" i="17"/>
  <c r="R205" i="17"/>
  <c r="Q205" i="17"/>
  <c r="P205" i="17"/>
  <c r="O205" i="17"/>
  <c r="N205" i="17"/>
  <c r="M205" i="17"/>
  <c r="L205" i="17"/>
  <c r="J205" i="17"/>
  <c r="I205" i="17"/>
  <c r="H205" i="17"/>
  <c r="G205" i="17"/>
  <c r="F205" i="17"/>
  <c r="E205" i="17"/>
  <c r="D205" i="17"/>
  <c r="C205" i="17"/>
  <c r="B205" i="17"/>
  <c r="A205" i="17"/>
  <c r="X204" i="17"/>
  <c r="W204" i="17"/>
  <c r="S204" i="17"/>
  <c r="R204" i="17"/>
  <c r="Q204" i="17"/>
  <c r="N204" i="17"/>
  <c r="L204" i="17"/>
  <c r="J204" i="17"/>
  <c r="I204" i="17"/>
  <c r="H204" i="17"/>
  <c r="G204" i="17"/>
  <c r="F204" i="17"/>
  <c r="E204" i="17"/>
  <c r="D204" i="17"/>
  <c r="A204" i="17"/>
  <c r="U204" i="17"/>
  <c r="X203" i="17"/>
  <c r="W203" i="17"/>
  <c r="S203" i="17"/>
  <c r="R203" i="17"/>
  <c r="Q203" i="17"/>
  <c r="N203" i="17"/>
  <c r="L203" i="17"/>
  <c r="J203" i="17"/>
  <c r="I203" i="17"/>
  <c r="H203" i="17"/>
  <c r="G203" i="17"/>
  <c r="F203" i="17"/>
  <c r="E203" i="17"/>
  <c r="D203" i="17"/>
  <c r="A203" i="17"/>
  <c r="U203" i="17"/>
  <c r="X202" i="17"/>
  <c r="W202" i="17"/>
  <c r="S202" i="17"/>
  <c r="R202" i="17"/>
  <c r="Q202" i="17"/>
  <c r="N202" i="17"/>
  <c r="L202" i="17"/>
  <c r="J202" i="17"/>
  <c r="I202" i="17"/>
  <c r="H202" i="17"/>
  <c r="G202" i="17"/>
  <c r="F202" i="17"/>
  <c r="E202" i="17"/>
  <c r="D202" i="17"/>
  <c r="A202" i="17"/>
  <c r="Y201" i="17"/>
  <c r="X201" i="17"/>
  <c r="W201" i="17"/>
  <c r="S201" i="17"/>
  <c r="R201" i="17"/>
  <c r="Q201" i="17"/>
  <c r="N201" i="17"/>
  <c r="L201" i="17"/>
  <c r="J201" i="17"/>
  <c r="I201" i="17"/>
  <c r="H201" i="17"/>
  <c r="G201" i="17"/>
  <c r="F201" i="17"/>
  <c r="E201" i="17"/>
  <c r="D201" i="17"/>
  <c r="A201" i="17"/>
  <c r="C201" i="17"/>
  <c r="Y200" i="17"/>
  <c r="X200" i="17"/>
  <c r="W200" i="17"/>
  <c r="S200" i="17"/>
  <c r="R200" i="17"/>
  <c r="Q200" i="17"/>
  <c r="N200" i="17"/>
  <c r="L200" i="17"/>
  <c r="J200" i="17"/>
  <c r="I200" i="17"/>
  <c r="H200" i="17"/>
  <c r="G200" i="17"/>
  <c r="F200" i="17"/>
  <c r="E200" i="17"/>
  <c r="D200" i="17"/>
  <c r="A200" i="17"/>
  <c r="P200" i="17"/>
  <c r="Y199" i="17"/>
  <c r="X199" i="17"/>
  <c r="W199" i="17"/>
  <c r="S199" i="17"/>
  <c r="R199" i="17"/>
  <c r="Q199" i="17"/>
  <c r="N199" i="17"/>
  <c r="L199" i="17"/>
  <c r="J199" i="17"/>
  <c r="I199" i="17"/>
  <c r="H199" i="17"/>
  <c r="G199" i="17"/>
  <c r="F199" i="17"/>
  <c r="E199" i="17"/>
  <c r="D199" i="17"/>
  <c r="A199" i="17"/>
  <c r="C199" i="17"/>
  <c r="Y198" i="17"/>
  <c r="X198" i="17"/>
  <c r="W198" i="17"/>
  <c r="S198" i="17"/>
  <c r="R198" i="17"/>
  <c r="Q198" i="17"/>
  <c r="N198" i="17"/>
  <c r="L198" i="17"/>
  <c r="J198" i="17"/>
  <c r="I198" i="17"/>
  <c r="H198" i="17"/>
  <c r="G198" i="17"/>
  <c r="F198" i="17"/>
  <c r="E198" i="17"/>
  <c r="D198" i="17"/>
  <c r="B198" i="17"/>
  <c r="A198" i="17"/>
  <c r="Y197" i="17"/>
  <c r="X197" i="17"/>
  <c r="W197" i="17"/>
  <c r="V197" i="17"/>
  <c r="U197" i="17"/>
  <c r="T197" i="17"/>
  <c r="S197" i="17"/>
  <c r="R197" i="17"/>
  <c r="Q197" i="17"/>
  <c r="P197" i="17"/>
  <c r="O197" i="17"/>
  <c r="N197" i="17"/>
  <c r="M197" i="17"/>
  <c r="L197" i="17"/>
  <c r="J197" i="17"/>
  <c r="I197" i="17"/>
  <c r="H197" i="17"/>
  <c r="G197" i="17"/>
  <c r="F197" i="17"/>
  <c r="E197" i="17"/>
  <c r="D197" i="17"/>
  <c r="C197" i="17"/>
  <c r="B197" i="17"/>
  <c r="A197" i="17"/>
  <c r="K197" i="17"/>
  <c r="X196" i="17"/>
  <c r="W196" i="17"/>
  <c r="U196" i="17"/>
  <c r="T196" i="17"/>
  <c r="S196" i="17"/>
  <c r="R196" i="17"/>
  <c r="Q196" i="17"/>
  <c r="P196" i="17"/>
  <c r="O196" i="17"/>
  <c r="N196" i="17"/>
  <c r="M196" i="17"/>
  <c r="L196" i="17"/>
  <c r="K196" i="17"/>
  <c r="J196" i="17"/>
  <c r="I196" i="17"/>
  <c r="H196" i="17"/>
  <c r="G196" i="17"/>
  <c r="F196" i="17"/>
  <c r="E196" i="17"/>
  <c r="D196" i="17"/>
  <c r="B196" i="17"/>
  <c r="A196" i="17"/>
  <c r="V196" i="17"/>
  <c r="X195" i="17"/>
  <c r="W195" i="17"/>
  <c r="V195" i="17"/>
  <c r="U195" i="17"/>
  <c r="S195" i="17"/>
  <c r="R195" i="17"/>
  <c r="Q195" i="17"/>
  <c r="N195" i="17"/>
  <c r="L195" i="17"/>
  <c r="J195" i="17"/>
  <c r="I195" i="17"/>
  <c r="H195" i="17"/>
  <c r="G195" i="17"/>
  <c r="F195" i="17"/>
  <c r="E195" i="17"/>
  <c r="D195" i="17"/>
  <c r="A195" i="17"/>
  <c r="Y194" i="17"/>
  <c r="X194" i="17"/>
  <c r="W194" i="17"/>
  <c r="V194" i="17"/>
  <c r="S194" i="17"/>
  <c r="R194" i="17"/>
  <c r="Q194" i="17"/>
  <c r="N194" i="17"/>
  <c r="M194" i="17"/>
  <c r="L194" i="17"/>
  <c r="J194" i="17"/>
  <c r="I194" i="17"/>
  <c r="H194" i="17"/>
  <c r="G194" i="17"/>
  <c r="F194" i="17"/>
  <c r="E194" i="17"/>
  <c r="D194" i="17"/>
  <c r="A194" i="17"/>
  <c r="B194" i="17"/>
  <c r="Y193" i="17"/>
  <c r="X193" i="17"/>
  <c r="W193" i="17"/>
  <c r="V193" i="17"/>
  <c r="U193" i="17"/>
  <c r="T193" i="17"/>
  <c r="S193" i="17"/>
  <c r="R193" i="17"/>
  <c r="Q193" i="17"/>
  <c r="P193" i="17"/>
  <c r="O193" i="17"/>
  <c r="N193" i="17"/>
  <c r="M193" i="17"/>
  <c r="L193" i="17"/>
  <c r="K193" i="17"/>
  <c r="J193" i="17"/>
  <c r="I193" i="17"/>
  <c r="H193" i="17"/>
  <c r="G193" i="17"/>
  <c r="F193" i="17"/>
  <c r="E193" i="17"/>
  <c r="D193" i="17"/>
  <c r="C193" i="17"/>
  <c r="B193" i="17"/>
  <c r="A193" i="17"/>
  <c r="Y192" i="17"/>
  <c r="X192" i="17"/>
  <c r="W192" i="17"/>
  <c r="S192" i="17"/>
  <c r="R192" i="17"/>
  <c r="Q192" i="17"/>
  <c r="P192" i="17"/>
  <c r="N192" i="17"/>
  <c r="M192" i="17"/>
  <c r="L192" i="17"/>
  <c r="J192" i="17"/>
  <c r="I192" i="17"/>
  <c r="H192" i="17"/>
  <c r="G192" i="17"/>
  <c r="F192" i="17"/>
  <c r="E192" i="17"/>
  <c r="D192" i="17"/>
  <c r="A192" i="17"/>
  <c r="Y191" i="17"/>
  <c r="X191" i="17"/>
  <c r="W191" i="17"/>
  <c r="T191" i="17"/>
  <c r="S191" i="17"/>
  <c r="R191" i="17"/>
  <c r="Q191" i="17"/>
  <c r="P191" i="17"/>
  <c r="O191" i="17"/>
  <c r="N191" i="17"/>
  <c r="L191" i="17"/>
  <c r="K191" i="17"/>
  <c r="J191" i="17"/>
  <c r="I191" i="17"/>
  <c r="H191" i="17"/>
  <c r="G191" i="17"/>
  <c r="F191" i="17"/>
  <c r="E191" i="17"/>
  <c r="D191" i="17"/>
  <c r="A191" i="17"/>
  <c r="X190" i="17"/>
  <c r="W190" i="17"/>
  <c r="V190" i="17"/>
  <c r="S190" i="17"/>
  <c r="R190" i="17"/>
  <c r="Q190" i="17"/>
  <c r="P190" i="17"/>
  <c r="N190" i="17"/>
  <c r="L190" i="17"/>
  <c r="K190" i="17"/>
  <c r="J190" i="17"/>
  <c r="I190" i="17"/>
  <c r="H190" i="17"/>
  <c r="G190" i="17"/>
  <c r="F190" i="17"/>
  <c r="E190" i="17"/>
  <c r="D190" i="17"/>
  <c r="C190" i="17"/>
  <c r="B190" i="17"/>
  <c r="A190" i="17"/>
  <c r="Y189" i="17"/>
  <c r="X189" i="17"/>
  <c r="W189" i="17"/>
  <c r="V189" i="17"/>
  <c r="U189" i="17"/>
  <c r="T189" i="17"/>
  <c r="S189" i="17"/>
  <c r="R189" i="17"/>
  <c r="Q189" i="17"/>
  <c r="P189" i="17"/>
  <c r="O189" i="17"/>
  <c r="N189" i="17"/>
  <c r="L189" i="17"/>
  <c r="K189" i="17"/>
  <c r="J189" i="17"/>
  <c r="I189" i="17"/>
  <c r="H189" i="17"/>
  <c r="G189" i="17"/>
  <c r="F189" i="17"/>
  <c r="E189" i="17"/>
  <c r="D189" i="17"/>
  <c r="C189" i="17"/>
  <c r="B189" i="17"/>
  <c r="A189" i="17"/>
  <c r="M189" i="17"/>
  <c r="X188" i="17"/>
  <c r="W188" i="17"/>
  <c r="V188" i="17"/>
  <c r="U188" i="17"/>
  <c r="S188" i="17"/>
  <c r="R188" i="17"/>
  <c r="Q188" i="17"/>
  <c r="O188" i="17"/>
  <c r="N188" i="17"/>
  <c r="M188" i="17"/>
  <c r="L188" i="17"/>
  <c r="K188" i="17"/>
  <c r="J188" i="17"/>
  <c r="I188" i="17"/>
  <c r="H188" i="17"/>
  <c r="G188" i="17"/>
  <c r="F188" i="17"/>
  <c r="E188" i="17"/>
  <c r="D188" i="17"/>
  <c r="A188" i="17"/>
  <c r="X187" i="17"/>
  <c r="W187" i="17"/>
  <c r="V187" i="17"/>
  <c r="U187" i="17"/>
  <c r="T187" i="17"/>
  <c r="S187" i="17"/>
  <c r="R187" i="17"/>
  <c r="Q187" i="17"/>
  <c r="P187" i="17"/>
  <c r="O187" i="17"/>
  <c r="N187" i="17"/>
  <c r="M187" i="17"/>
  <c r="L187" i="17"/>
  <c r="K187" i="17"/>
  <c r="J187" i="17"/>
  <c r="I187" i="17"/>
  <c r="H187" i="17"/>
  <c r="G187" i="17"/>
  <c r="F187" i="17"/>
  <c r="E187" i="17"/>
  <c r="D187" i="17"/>
  <c r="A187" i="17"/>
  <c r="Y187" i="17"/>
  <c r="Y186" i="17"/>
  <c r="X186" i="17"/>
  <c r="W186" i="17"/>
  <c r="S186" i="17"/>
  <c r="R186" i="17"/>
  <c r="Q186" i="17"/>
  <c r="P186" i="17"/>
  <c r="O186" i="17"/>
  <c r="N186" i="17"/>
  <c r="M186" i="17"/>
  <c r="L186" i="17"/>
  <c r="K186" i="17"/>
  <c r="J186" i="17"/>
  <c r="I186" i="17"/>
  <c r="H186" i="17"/>
  <c r="G186" i="17"/>
  <c r="F186" i="17"/>
  <c r="E186" i="17"/>
  <c r="D186" i="17"/>
  <c r="A186" i="17"/>
  <c r="X185" i="17"/>
  <c r="W185" i="17"/>
  <c r="T185" i="17"/>
  <c r="S185" i="17"/>
  <c r="R185" i="17"/>
  <c r="Q185" i="17"/>
  <c r="P185" i="17"/>
  <c r="O185" i="17"/>
  <c r="N185" i="17"/>
  <c r="M185" i="17"/>
  <c r="L185" i="17"/>
  <c r="K185" i="17"/>
  <c r="J185" i="17"/>
  <c r="I185" i="17"/>
  <c r="H185" i="17"/>
  <c r="G185" i="17"/>
  <c r="F185" i="17"/>
  <c r="E185" i="17"/>
  <c r="D185" i="17"/>
  <c r="A185" i="17"/>
  <c r="Y184" i="17"/>
  <c r="X184" i="17"/>
  <c r="W184" i="17"/>
  <c r="V184" i="17"/>
  <c r="U184" i="17"/>
  <c r="T184" i="17"/>
  <c r="S184" i="17"/>
  <c r="R184" i="17"/>
  <c r="Q184" i="17"/>
  <c r="P184" i="17"/>
  <c r="O184" i="17"/>
  <c r="N184" i="17"/>
  <c r="M184" i="17"/>
  <c r="L184" i="17"/>
  <c r="J184" i="17"/>
  <c r="I184" i="17"/>
  <c r="H184" i="17"/>
  <c r="G184" i="17"/>
  <c r="F184" i="17"/>
  <c r="E184" i="17"/>
  <c r="D184" i="17"/>
  <c r="C184" i="17"/>
  <c r="B184" i="17"/>
  <c r="A184" i="17"/>
  <c r="K184" i="17"/>
  <c r="X183" i="17"/>
  <c r="W183" i="17"/>
  <c r="V183" i="17"/>
  <c r="U183" i="17"/>
  <c r="T183" i="17"/>
  <c r="S183" i="17"/>
  <c r="R183" i="17"/>
  <c r="Q183" i="17"/>
  <c r="P183" i="17"/>
  <c r="N183" i="17"/>
  <c r="M183" i="17"/>
  <c r="L183" i="17"/>
  <c r="K183" i="17"/>
  <c r="J183" i="17"/>
  <c r="I183" i="17"/>
  <c r="H183" i="17"/>
  <c r="G183" i="17"/>
  <c r="F183" i="17"/>
  <c r="E183" i="17"/>
  <c r="D183" i="17"/>
  <c r="A183" i="17"/>
  <c r="Y182" i="17"/>
  <c r="X182" i="17"/>
  <c r="W182" i="17"/>
  <c r="V182" i="17"/>
  <c r="U182" i="17"/>
  <c r="T182" i="17"/>
  <c r="S182" i="17"/>
  <c r="R182" i="17"/>
  <c r="Q182" i="17"/>
  <c r="P182" i="17"/>
  <c r="O182" i="17"/>
  <c r="N182" i="17"/>
  <c r="M182" i="17"/>
  <c r="L182" i="17"/>
  <c r="K182" i="17"/>
  <c r="J182" i="17"/>
  <c r="I182" i="17"/>
  <c r="H182" i="17"/>
  <c r="G182" i="17"/>
  <c r="F182" i="17"/>
  <c r="E182" i="17"/>
  <c r="D182" i="17"/>
  <c r="C182" i="17"/>
  <c r="B182" i="17"/>
  <c r="A182" i="17"/>
  <c r="Y181" i="17"/>
  <c r="X181" i="17"/>
  <c r="W181" i="17"/>
  <c r="V181" i="17"/>
  <c r="S181" i="17"/>
  <c r="R181" i="17"/>
  <c r="Q181" i="17"/>
  <c r="P181" i="17"/>
  <c r="N181" i="17"/>
  <c r="M181" i="17"/>
  <c r="L181" i="17"/>
  <c r="K181" i="17"/>
  <c r="J181" i="17"/>
  <c r="I181" i="17"/>
  <c r="H181" i="17"/>
  <c r="G181" i="17"/>
  <c r="F181" i="17"/>
  <c r="E181" i="17"/>
  <c r="D181" i="17"/>
  <c r="C181" i="17"/>
  <c r="B181" i="17"/>
  <c r="A181" i="17"/>
  <c r="Y180" i="17"/>
  <c r="X180" i="17"/>
  <c r="W180" i="17"/>
  <c r="V180" i="17"/>
  <c r="U180" i="17"/>
  <c r="T180" i="17"/>
  <c r="S180" i="17"/>
  <c r="R180" i="17"/>
  <c r="Q180" i="17"/>
  <c r="P180" i="17"/>
  <c r="O180" i="17"/>
  <c r="N180" i="17"/>
  <c r="M180" i="17"/>
  <c r="L180" i="17"/>
  <c r="K180" i="17"/>
  <c r="J180" i="17"/>
  <c r="I180" i="17"/>
  <c r="H180" i="17"/>
  <c r="G180" i="17"/>
  <c r="F180" i="17"/>
  <c r="E180" i="17"/>
  <c r="D180" i="17"/>
  <c r="C180" i="17"/>
  <c r="B180" i="17"/>
  <c r="A180" i="17"/>
  <c r="X179" i="17"/>
  <c r="W179" i="17"/>
  <c r="V179" i="17"/>
  <c r="S179" i="17"/>
  <c r="R179" i="17"/>
  <c r="Q179" i="17"/>
  <c r="P179" i="17"/>
  <c r="O179" i="17"/>
  <c r="N179" i="17"/>
  <c r="M179" i="17"/>
  <c r="L179" i="17"/>
  <c r="J179" i="17"/>
  <c r="I179" i="17"/>
  <c r="H179" i="17"/>
  <c r="G179" i="17"/>
  <c r="F179" i="17"/>
  <c r="E179" i="17"/>
  <c r="D179" i="17"/>
  <c r="A179" i="17"/>
  <c r="T179" i="17"/>
  <c r="X178" i="17"/>
  <c r="W178" i="17"/>
  <c r="V178" i="17"/>
  <c r="U178" i="17"/>
  <c r="S178" i="17"/>
  <c r="R178" i="17"/>
  <c r="Q178" i="17"/>
  <c r="P178" i="17"/>
  <c r="O178" i="17"/>
  <c r="N178" i="17"/>
  <c r="M178" i="17"/>
  <c r="L178" i="17"/>
  <c r="J178" i="17"/>
  <c r="I178" i="17"/>
  <c r="H178" i="17"/>
  <c r="G178" i="17"/>
  <c r="F178" i="17"/>
  <c r="E178" i="17"/>
  <c r="D178" i="17"/>
  <c r="A178" i="17"/>
  <c r="Y178" i="17"/>
  <c r="X177" i="17"/>
  <c r="W177" i="17"/>
  <c r="V177" i="17"/>
  <c r="T177" i="17"/>
  <c r="S177" i="17"/>
  <c r="R177" i="17"/>
  <c r="Q177" i="17"/>
  <c r="P177" i="17"/>
  <c r="O177" i="17"/>
  <c r="N177" i="17"/>
  <c r="L177" i="17"/>
  <c r="J177" i="17"/>
  <c r="I177" i="17"/>
  <c r="H177" i="17"/>
  <c r="G177" i="17"/>
  <c r="F177" i="17"/>
  <c r="E177" i="17"/>
  <c r="D177" i="17"/>
  <c r="A177" i="17"/>
  <c r="Y177" i="17"/>
  <c r="Y176" i="17"/>
  <c r="X176" i="17"/>
  <c r="W176" i="17"/>
  <c r="V176" i="17"/>
  <c r="U176" i="17"/>
  <c r="T176" i="17"/>
  <c r="S176" i="17"/>
  <c r="R176" i="17"/>
  <c r="Q176" i="17"/>
  <c r="N176" i="17"/>
  <c r="L176" i="17"/>
  <c r="J176" i="17"/>
  <c r="I176" i="17"/>
  <c r="H176" i="17"/>
  <c r="G176" i="17"/>
  <c r="F176" i="17"/>
  <c r="E176" i="17"/>
  <c r="D176" i="17"/>
  <c r="C176" i="17"/>
  <c r="A176" i="17"/>
  <c r="Y175" i="17"/>
  <c r="X175" i="17"/>
  <c r="W175" i="17"/>
  <c r="V175" i="17"/>
  <c r="U175" i="17"/>
  <c r="T175" i="17"/>
  <c r="S175" i="17"/>
  <c r="R175" i="17"/>
  <c r="Q175" i="17"/>
  <c r="P175" i="17"/>
  <c r="N175" i="17"/>
  <c r="L175" i="17"/>
  <c r="J175" i="17"/>
  <c r="I175" i="17"/>
  <c r="H175" i="17"/>
  <c r="G175" i="17"/>
  <c r="F175" i="17"/>
  <c r="E175" i="17"/>
  <c r="D175" i="17"/>
  <c r="C175" i="17"/>
  <c r="A175" i="17"/>
  <c r="X174" i="17"/>
  <c r="W174" i="17"/>
  <c r="S174" i="17"/>
  <c r="R174" i="17"/>
  <c r="Q174" i="17"/>
  <c r="N174" i="17"/>
  <c r="L174" i="17"/>
  <c r="J174" i="17"/>
  <c r="I174" i="17"/>
  <c r="H174" i="17"/>
  <c r="G174" i="17"/>
  <c r="F174" i="17"/>
  <c r="E174" i="17"/>
  <c r="D174" i="17"/>
  <c r="C174" i="17"/>
  <c r="B174" i="17"/>
  <c r="A174" i="17"/>
  <c r="Y174" i="17"/>
  <c r="X173" i="17"/>
  <c r="W173" i="17"/>
  <c r="S173" i="17"/>
  <c r="R173" i="17"/>
  <c r="Q173" i="17"/>
  <c r="N173" i="17"/>
  <c r="L173" i="17"/>
  <c r="J173" i="17"/>
  <c r="I173" i="17"/>
  <c r="H173" i="17"/>
  <c r="G173" i="17"/>
  <c r="F173" i="17"/>
  <c r="E173" i="17"/>
  <c r="D173" i="17"/>
  <c r="A173" i="17"/>
  <c r="V173" i="17"/>
  <c r="X172" i="17"/>
  <c r="W172" i="17"/>
  <c r="S172" i="17"/>
  <c r="R172" i="17"/>
  <c r="Q172" i="17"/>
  <c r="N172" i="17"/>
  <c r="L172" i="17"/>
  <c r="J172" i="17"/>
  <c r="I172" i="17"/>
  <c r="H172" i="17"/>
  <c r="G172" i="17"/>
  <c r="F172" i="17"/>
  <c r="E172" i="17"/>
  <c r="D172" i="17"/>
  <c r="A172" i="17"/>
  <c r="Y171" i="17"/>
  <c r="X171" i="17"/>
  <c r="W171" i="17"/>
  <c r="V171" i="17"/>
  <c r="U171" i="17"/>
  <c r="T171" i="17"/>
  <c r="S171" i="17"/>
  <c r="R171" i="17"/>
  <c r="Q171" i="17"/>
  <c r="P171" i="17"/>
  <c r="O171" i="17"/>
  <c r="N171" i="17"/>
  <c r="M171" i="17"/>
  <c r="L171" i="17"/>
  <c r="K171" i="17"/>
  <c r="J171" i="17"/>
  <c r="I171" i="17"/>
  <c r="H171" i="17"/>
  <c r="G171" i="17"/>
  <c r="F171" i="17"/>
  <c r="E171" i="17"/>
  <c r="D171" i="17"/>
  <c r="C171" i="17"/>
  <c r="B171" i="17"/>
  <c r="A171" i="17"/>
  <c r="X170" i="17"/>
  <c r="W170" i="17"/>
  <c r="S170" i="17"/>
  <c r="R170" i="17"/>
  <c r="Q170" i="17"/>
  <c r="N170" i="17"/>
  <c r="L170" i="17"/>
  <c r="J170" i="17"/>
  <c r="I170" i="17"/>
  <c r="H170" i="17"/>
  <c r="G170" i="17"/>
  <c r="F170" i="17"/>
  <c r="E170" i="17"/>
  <c r="D170" i="17"/>
  <c r="A170" i="17"/>
  <c r="U170" i="17"/>
  <c r="Y169" i="17"/>
  <c r="X169" i="17"/>
  <c r="W169" i="17"/>
  <c r="S169" i="17"/>
  <c r="R169" i="17"/>
  <c r="Q169" i="17"/>
  <c r="N169" i="17"/>
  <c r="L169" i="17"/>
  <c r="J169" i="17"/>
  <c r="I169" i="17"/>
  <c r="H169" i="17"/>
  <c r="G169" i="17"/>
  <c r="F169" i="17"/>
  <c r="E169" i="17"/>
  <c r="D169" i="17"/>
  <c r="A169" i="17"/>
  <c r="Y168" i="17"/>
  <c r="X168" i="17"/>
  <c r="W168" i="17"/>
  <c r="S168" i="17"/>
  <c r="R168" i="17"/>
  <c r="Q168" i="17"/>
  <c r="N168" i="17"/>
  <c r="L168" i="17"/>
  <c r="J168" i="17"/>
  <c r="I168" i="17"/>
  <c r="H168" i="17"/>
  <c r="G168" i="17"/>
  <c r="F168" i="17"/>
  <c r="E168" i="17"/>
  <c r="D168" i="17"/>
  <c r="C168" i="17"/>
  <c r="B168" i="17"/>
  <c r="A168" i="17"/>
  <c r="Y167" i="17"/>
  <c r="X167" i="17"/>
  <c r="W167" i="17"/>
  <c r="U167" i="17"/>
  <c r="T167" i="17"/>
  <c r="S167" i="17"/>
  <c r="R167" i="17"/>
  <c r="Q167" i="17"/>
  <c r="N167" i="17"/>
  <c r="L167" i="17"/>
  <c r="J167" i="17"/>
  <c r="I167" i="17"/>
  <c r="H167" i="17"/>
  <c r="G167" i="17"/>
  <c r="F167" i="17"/>
  <c r="E167" i="17"/>
  <c r="D167" i="17"/>
  <c r="C167" i="17"/>
  <c r="B167" i="17"/>
  <c r="A167" i="17"/>
  <c r="X166" i="17"/>
  <c r="W166" i="17"/>
  <c r="V166" i="17"/>
  <c r="U166" i="17"/>
  <c r="S166" i="17"/>
  <c r="R166" i="17"/>
  <c r="Q166" i="17"/>
  <c r="N166" i="17"/>
  <c r="L166" i="17"/>
  <c r="J166" i="17"/>
  <c r="I166" i="17"/>
  <c r="H166" i="17"/>
  <c r="G166" i="17"/>
  <c r="F166" i="17"/>
  <c r="E166" i="17"/>
  <c r="D166" i="17"/>
  <c r="A166" i="17"/>
  <c r="C166" i="17"/>
  <c r="Y165" i="17"/>
  <c r="X165" i="17"/>
  <c r="W165" i="17"/>
  <c r="U165" i="17"/>
  <c r="T165" i="17"/>
  <c r="S165" i="17"/>
  <c r="R165" i="17"/>
  <c r="Q165" i="17"/>
  <c r="N165" i="17"/>
  <c r="M165" i="17"/>
  <c r="L165" i="17"/>
  <c r="J165" i="17"/>
  <c r="I165" i="17"/>
  <c r="H165" i="17"/>
  <c r="G165" i="17"/>
  <c r="F165" i="17"/>
  <c r="E165" i="17"/>
  <c r="D165" i="17"/>
  <c r="A165" i="17"/>
  <c r="X164" i="17"/>
  <c r="W164" i="17"/>
  <c r="S164" i="17"/>
  <c r="R164" i="17"/>
  <c r="Q164" i="17"/>
  <c r="N164" i="17"/>
  <c r="M164" i="17"/>
  <c r="L164" i="17"/>
  <c r="K164" i="17"/>
  <c r="J164" i="17"/>
  <c r="I164" i="17"/>
  <c r="H164" i="17"/>
  <c r="G164" i="17"/>
  <c r="F164" i="17"/>
  <c r="E164" i="17"/>
  <c r="D164" i="17"/>
  <c r="A164" i="17"/>
  <c r="X163" i="17"/>
  <c r="W163" i="17"/>
  <c r="S163" i="17"/>
  <c r="R163" i="17"/>
  <c r="Q163" i="17"/>
  <c r="N163" i="17"/>
  <c r="M163" i="17"/>
  <c r="L163" i="17"/>
  <c r="K163" i="17"/>
  <c r="J163" i="17"/>
  <c r="I163" i="17"/>
  <c r="H163" i="17"/>
  <c r="G163" i="17"/>
  <c r="F163" i="17"/>
  <c r="E163" i="17"/>
  <c r="D163" i="17"/>
  <c r="A163" i="17"/>
  <c r="Y162" i="17"/>
  <c r="X162" i="17"/>
  <c r="W162" i="17"/>
  <c r="V162" i="17"/>
  <c r="U162" i="17"/>
  <c r="T162" i="17"/>
  <c r="S162" i="17"/>
  <c r="R162" i="17"/>
  <c r="Q162" i="17"/>
  <c r="P162" i="17"/>
  <c r="O162" i="17"/>
  <c r="N162" i="17"/>
  <c r="M162" i="17"/>
  <c r="L162" i="17"/>
  <c r="K162" i="17"/>
  <c r="J162" i="17"/>
  <c r="I162" i="17"/>
  <c r="H162" i="17"/>
  <c r="G162" i="17"/>
  <c r="F162" i="17"/>
  <c r="E162" i="17"/>
  <c r="D162" i="17"/>
  <c r="C162" i="17"/>
  <c r="A162" i="17"/>
  <c r="B162" i="17"/>
  <c r="Y161" i="17"/>
  <c r="X161" i="17"/>
  <c r="W161" i="17"/>
  <c r="S161" i="17"/>
  <c r="R161" i="17"/>
  <c r="Q161" i="17"/>
  <c r="N161" i="17"/>
  <c r="M161" i="17"/>
  <c r="L161" i="17"/>
  <c r="K161" i="17"/>
  <c r="J161" i="17"/>
  <c r="I161" i="17"/>
  <c r="H161" i="17"/>
  <c r="G161" i="17"/>
  <c r="F161" i="17"/>
  <c r="E161" i="17"/>
  <c r="D161" i="17"/>
  <c r="A161" i="17"/>
  <c r="O161" i="17"/>
  <c r="Y160" i="17"/>
  <c r="X160" i="17"/>
  <c r="W160" i="17"/>
  <c r="V160" i="17"/>
  <c r="U160" i="17"/>
  <c r="T160" i="17"/>
  <c r="S160" i="17"/>
  <c r="R160" i="17"/>
  <c r="Q160" i="17"/>
  <c r="P160" i="17"/>
  <c r="O160" i="17"/>
  <c r="N160" i="17"/>
  <c r="M160" i="17"/>
  <c r="L160" i="17"/>
  <c r="K160" i="17"/>
  <c r="J160" i="17"/>
  <c r="I160" i="17"/>
  <c r="H160" i="17"/>
  <c r="G160" i="17"/>
  <c r="F160" i="17"/>
  <c r="E160" i="17"/>
  <c r="D160" i="17"/>
  <c r="C160" i="17"/>
  <c r="B160" i="17"/>
  <c r="A160" i="17"/>
  <c r="X159" i="17"/>
  <c r="W159" i="17"/>
  <c r="V159" i="17"/>
  <c r="U159" i="17"/>
  <c r="T159" i="17"/>
  <c r="S159" i="17"/>
  <c r="R159" i="17"/>
  <c r="Q159" i="17"/>
  <c r="P159" i="17"/>
  <c r="N159" i="17"/>
  <c r="M159" i="17"/>
  <c r="L159" i="17"/>
  <c r="K159" i="17"/>
  <c r="J159" i="17"/>
  <c r="I159" i="17"/>
  <c r="H159" i="17"/>
  <c r="G159" i="17"/>
  <c r="F159" i="17"/>
  <c r="E159" i="17"/>
  <c r="D159" i="17"/>
  <c r="A159" i="17"/>
  <c r="X158" i="17"/>
  <c r="W158" i="17"/>
  <c r="V158" i="17"/>
  <c r="U158" i="17"/>
  <c r="T158" i="17"/>
  <c r="S158" i="17"/>
  <c r="R158" i="17"/>
  <c r="Q158" i="17"/>
  <c r="P158" i="17"/>
  <c r="O158" i="17"/>
  <c r="N158" i="17"/>
  <c r="L158" i="17"/>
  <c r="K158" i="17"/>
  <c r="J158" i="17"/>
  <c r="I158" i="17"/>
  <c r="H158" i="17"/>
  <c r="G158" i="17"/>
  <c r="F158" i="17"/>
  <c r="E158" i="17"/>
  <c r="D158" i="17"/>
  <c r="A158" i="17"/>
  <c r="M158" i="17"/>
  <c r="Y157" i="17"/>
  <c r="X157" i="17"/>
  <c r="W157" i="17"/>
  <c r="V157" i="17"/>
  <c r="T157" i="17"/>
  <c r="S157" i="17"/>
  <c r="R157" i="17"/>
  <c r="Q157" i="17"/>
  <c r="P157" i="17"/>
  <c r="N157" i="17"/>
  <c r="M157" i="17"/>
  <c r="L157" i="17"/>
  <c r="K157" i="17"/>
  <c r="J157" i="17"/>
  <c r="I157" i="17"/>
  <c r="H157" i="17"/>
  <c r="G157" i="17"/>
  <c r="F157" i="17"/>
  <c r="E157" i="17"/>
  <c r="D157" i="17"/>
  <c r="A157" i="17"/>
  <c r="Y156" i="17"/>
  <c r="X156" i="17"/>
  <c r="W156" i="17"/>
  <c r="V156" i="17"/>
  <c r="U156" i="17"/>
  <c r="T156" i="17"/>
  <c r="S156" i="17"/>
  <c r="R156" i="17"/>
  <c r="Q156" i="17"/>
  <c r="P156" i="17"/>
  <c r="O156" i="17"/>
  <c r="N156" i="17"/>
  <c r="M156" i="17"/>
  <c r="L156" i="17"/>
  <c r="K156" i="17"/>
  <c r="J156" i="17"/>
  <c r="I156" i="17"/>
  <c r="H156" i="17"/>
  <c r="G156" i="17"/>
  <c r="F156" i="17"/>
  <c r="E156" i="17"/>
  <c r="D156" i="17"/>
  <c r="C156" i="17"/>
  <c r="A156" i="17"/>
  <c r="B156" i="17"/>
  <c r="Y155" i="17"/>
  <c r="X155" i="17"/>
  <c r="W155" i="17"/>
  <c r="V155" i="17"/>
  <c r="U155" i="17"/>
  <c r="S155" i="17"/>
  <c r="R155" i="17"/>
  <c r="Q155" i="17"/>
  <c r="P155" i="17"/>
  <c r="O155" i="17"/>
  <c r="N155" i="17"/>
  <c r="M155" i="17"/>
  <c r="L155" i="17"/>
  <c r="J155" i="17"/>
  <c r="I155" i="17"/>
  <c r="H155" i="17"/>
  <c r="G155" i="17"/>
  <c r="F155" i="17"/>
  <c r="E155" i="17"/>
  <c r="D155" i="17"/>
  <c r="A155" i="17"/>
  <c r="C155" i="17"/>
  <c r="Y154" i="17"/>
  <c r="X154" i="17"/>
  <c r="W154" i="17"/>
  <c r="V154" i="17"/>
  <c r="U154" i="17"/>
  <c r="T154" i="17"/>
  <c r="S154" i="17"/>
  <c r="R154" i="17"/>
  <c r="Q154" i="17"/>
  <c r="P154" i="17"/>
  <c r="O154" i="17"/>
  <c r="N154" i="17"/>
  <c r="M154" i="17"/>
  <c r="L154" i="17"/>
  <c r="K154" i="17"/>
  <c r="J154" i="17"/>
  <c r="I154" i="17"/>
  <c r="H154" i="17"/>
  <c r="G154" i="17"/>
  <c r="F154" i="17"/>
  <c r="E154" i="17"/>
  <c r="D154" i="17"/>
  <c r="C154" i="17"/>
  <c r="B154" i="17"/>
  <c r="A154" i="17"/>
  <c r="X153" i="17"/>
  <c r="W153" i="17"/>
  <c r="U153" i="17"/>
  <c r="T153" i="17"/>
  <c r="S153" i="17"/>
  <c r="R153" i="17"/>
  <c r="Q153" i="17"/>
  <c r="N153" i="17"/>
  <c r="M153" i="17"/>
  <c r="L153" i="17"/>
  <c r="J153" i="17"/>
  <c r="I153" i="17"/>
  <c r="H153" i="17"/>
  <c r="G153" i="17"/>
  <c r="F153" i="17"/>
  <c r="E153" i="17"/>
  <c r="D153" i="17"/>
  <c r="A153" i="17"/>
  <c r="V153" i="17"/>
  <c r="Y152" i="17"/>
  <c r="X152" i="17"/>
  <c r="W152" i="17"/>
  <c r="V152" i="17"/>
  <c r="U152" i="17"/>
  <c r="S152" i="17"/>
  <c r="R152" i="17"/>
  <c r="Q152" i="17"/>
  <c r="N152" i="17"/>
  <c r="M152" i="17"/>
  <c r="L152" i="17"/>
  <c r="K152" i="17"/>
  <c r="J152" i="17"/>
  <c r="I152" i="17"/>
  <c r="H152" i="17"/>
  <c r="G152" i="17"/>
  <c r="F152" i="17"/>
  <c r="E152" i="17"/>
  <c r="D152" i="17"/>
  <c r="A152" i="17"/>
  <c r="B152" i="17"/>
  <c r="Y151" i="17"/>
  <c r="X151" i="17"/>
  <c r="W151" i="17"/>
  <c r="V151" i="17"/>
  <c r="U151" i="17"/>
  <c r="S151" i="17"/>
  <c r="R151" i="17"/>
  <c r="Q151" i="17"/>
  <c r="N151" i="17"/>
  <c r="L151" i="17"/>
  <c r="J151" i="17"/>
  <c r="I151" i="17"/>
  <c r="H151" i="17"/>
  <c r="G151" i="17"/>
  <c r="F151" i="17"/>
  <c r="E151" i="17"/>
  <c r="D151" i="17"/>
  <c r="B151" i="17"/>
  <c r="A151" i="17"/>
  <c r="Y150" i="17"/>
  <c r="X150" i="17"/>
  <c r="W150" i="17"/>
  <c r="S150" i="17"/>
  <c r="R150" i="17"/>
  <c r="Q150" i="17"/>
  <c r="P150" i="17"/>
  <c r="N150" i="17"/>
  <c r="L150" i="17"/>
  <c r="J150" i="17"/>
  <c r="I150" i="17"/>
  <c r="H150" i="17"/>
  <c r="G150" i="17"/>
  <c r="F150" i="17"/>
  <c r="E150" i="17"/>
  <c r="D150" i="17"/>
  <c r="A150" i="17"/>
  <c r="Y149" i="17"/>
  <c r="X149" i="17"/>
  <c r="W149" i="17"/>
  <c r="V149" i="17"/>
  <c r="U149" i="17"/>
  <c r="T149" i="17"/>
  <c r="S149" i="17"/>
  <c r="R149" i="17"/>
  <c r="Q149" i="17"/>
  <c r="P149" i="17"/>
  <c r="O149" i="17"/>
  <c r="N149" i="17"/>
  <c r="M149" i="17"/>
  <c r="L149" i="17"/>
  <c r="K149" i="17"/>
  <c r="J149" i="17"/>
  <c r="I149" i="17"/>
  <c r="H149" i="17"/>
  <c r="G149" i="17"/>
  <c r="F149" i="17"/>
  <c r="E149" i="17"/>
  <c r="D149" i="17"/>
  <c r="C149" i="17"/>
  <c r="B149" i="17"/>
  <c r="A149" i="17"/>
  <c r="X148" i="17"/>
  <c r="W148" i="17"/>
  <c r="V148" i="17"/>
  <c r="U148" i="17"/>
  <c r="T148" i="17"/>
  <c r="S148" i="17"/>
  <c r="R148" i="17"/>
  <c r="Q148" i="17"/>
  <c r="O148" i="17"/>
  <c r="N148" i="17"/>
  <c r="M148" i="17"/>
  <c r="L148" i="17"/>
  <c r="K148" i="17"/>
  <c r="J148" i="17"/>
  <c r="I148" i="17"/>
  <c r="H148" i="17"/>
  <c r="G148" i="17"/>
  <c r="F148" i="17"/>
  <c r="E148" i="17"/>
  <c r="D148" i="17"/>
  <c r="C148" i="17"/>
  <c r="A148" i="17"/>
  <c r="P148" i="17"/>
  <c r="Y147" i="17"/>
  <c r="X147" i="17"/>
  <c r="W147" i="17"/>
  <c r="V147" i="17"/>
  <c r="U147" i="17"/>
  <c r="S147" i="17"/>
  <c r="R147" i="17"/>
  <c r="Q147" i="17"/>
  <c r="N147" i="17"/>
  <c r="L147" i="17"/>
  <c r="J147" i="17"/>
  <c r="I147" i="17"/>
  <c r="H147" i="17"/>
  <c r="G147" i="17"/>
  <c r="F147" i="17"/>
  <c r="E147" i="17"/>
  <c r="D147" i="17"/>
  <c r="A147" i="17"/>
  <c r="Y146" i="17"/>
  <c r="X146" i="17"/>
  <c r="W146" i="17"/>
  <c r="V146" i="17"/>
  <c r="U146" i="17"/>
  <c r="T146" i="17"/>
  <c r="S146" i="17"/>
  <c r="R146" i="17"/>
  <c r="Q146" i="17"/>
  <c r="P146" i="17"/>
  <c r="O146" i="17"/>
  <c r="N146" i="17"/>
  <c r="M146" i="17"/>
  <c r="L146" i="17"/>
  <c r="K146" i="17"/>
  <c r="J146" i="17"/>
  <c r="I146" i="17"/>
  <c r="H146" i="17"/>
  <c r="G146" i="17"/>
  <c r="F146" i="17"/>
  <c r="E146" i="17"/>
  <c r="D146" i="17"/>
  <c r="C146" i="17"/>
  <c r="B146" i="17"/>
  <c r="A146" i="17"/>
  <c r="X145" i="17"/>
  <c r="W145" i="17"/>
  <c r="V145" i="17"/>
  <c r="U145" i="17"/>
  <c r="T145" i="17"/>
  <c r="S145" i="17"/>
  <c r="R145" i="17"/>
  <c r="Q145" i="17"/>
  <c r="N145" i="17"/>
  <c r="L145" i="17"/>
  <c r="J145" i="17"/>
  <c r="I145" i="17"/>
  <c r="H145" i="17"/>
  <c r="G145" i="17"/>
  <c r="F145" i="17"/>
  <c r="E145" i="17"/>
  <c r="D145" i="17"/>
  <c r="A145" i="17"/>
  <c r="X144" i="17"/>
  <c r="W144" i="17"/>
  <c r="V144" i="17"/>
  <c r="U144" i="17"/>
  <c r="T144" i="17"/>
  <c r="S144" i="17"/>
  <c r="R144" i="17"/>
  <c r="Q144" i="17"/>
  <c r="N144" i="17"/>
  <c r="L144" i="17"/>
  <c r="J144" i="17"/>
  <c r="I144" i="17"/>
  <c r="H144" i="17"/>
  <c r="G144" i="17"/>
  <c r="F144" i="17"/>
  <c r="E144" i="17"/>
  <c r="D144" i="17"/>
  <c r="C144" i="17"/>
  <c r="B144" i="17"/>
  <c r="A144" i="17"/>
  <c r="Y143" i="17"/>
  <c r="X143" i="17"/>
  <c r="W143" i="17"/>
  <c r="V143" i="17"/>
  <c r="S143" i="17"/>
  <c r="R143" i="17"/>
  <c r="Q143" i="17"/>
  <c r="N143" i="17"/>
  <c r="L143" i="17"/>
  <c r="J143" i="17"/>
  <c r="I143" i="17"/>
  <c r="H143" i="17"/>
  <c r="G143" i="17"/>
  <c r="F143" i="17"/>
  <c r="E143" i="17"/>
  <c r="D143" i="17"/>
  <c r="A143" i="17"/>
  <c r="X142" i="17"/>
  <c r="W142" i="17"/>
  <c r="S142" i="17"/>
  <c r="R142" i="17"/>
  <c r="Q142" i="17"/>
  <c r="P142" i="17"/>
  <c r="O142" i="17"/>
  <c r="N142" i="17"/>
  <c r="L142" i="17"/>
  <c r="J142" i="17"/>
  <c r="I142" i="17"/>
  <c r="H142" i="17"/>
  <c r="G142" i="17"/>
  <c r="F142" i="17"/>
  <c r="E142" i="17"/>
  <c r="D142" i="17"/>
  <c r="B142" i="17"/>
  <c r="A142" i="17"/>
  <c r="X141" i="17"/>
  <c r="W141" i="17"/>
  <c r="T141" i="17"/>
  <c r="S141" i="17"/>
  <c r="R141" i="17"/>
  <c r="Q141" i="17"/>
  <c r="N141" i="17"/>
  <c r="M141" i="17"/>
  <c r="L141" i="17"/>
  <c r="J141" i="17"/>
  <c r="I141" i="17"/>
  <c r="H141" i="17"/>
  <c r="G141" i="17"/>
  <c r="F141" i="17"/>
  <c r="E141" i="17"/>
  <c r="D141" i="17"/>
  <c r="A141" i="17"/>
  <c r="Y140" i="17"/>
  <c r="X140" i="17"/>
  <c r="W140" i="17"/>
  <c r="S140" i="17"/>
  <c r="R140" i="17"/>
  <c r="Q140" i="17"/>
  <c r="N140" i="17"/>
  <c r="L140" i="17"/>
  <c r="K140" i="17"/>
  <c r="J140" i="17"/>
  <c r="I140" i="17"/>
  <c r="H140" i="17"/>
  <c r="G140" i="17"/>
  <c r="F140" i="17"/>
  <c r="E140" i="17"/>
  <c r="D140" i="17"/>
  <c r="A140" i="17"/>
  <c r="C140" i="17"/>
  <c r="Y139" i="17"/>
  <c r="X139" i="17"/>
  <c r="W139" i="17"/>
  <c r="S139" i="17"/>
  <c r="R139" i="17"/>
  <c r="Q139" i="17"/>
  <c r="O139" i="17"/>
  <c r="N139" i="17"/>
  <c r="M139" i="17"/>
  <c r="L139" i="17"/>
  <c r="K139" i="17"/>
  <c r="J139" i="17"/>
  <c r="I139" i="17"/>
  <c r="H139" i="17"/>
  <c r="G139" i="17"/>
  <c r="F139" i="17"/>
  <c r="E139" i="17"/>
  <c r="D139" i="17"/>
  <c r="A139" i="17"/>
  <c r="B139" i="17"/>
  <c r="Y138" i="17"/>
  <c r="X138" i="17"/>
  <c r="W138" i="17"/>
  <c r="S138" i="17"/>
  <c r="R138" i="17"/>
  <c r="Q138" i="17"/>
  <c r="P138" i="17"/>
  <c r="O138" i="17"/>
  <c r="N138" i="17"/>
  <c r="M138" i="17"/>
  <c r="L138" i="17"/>
  <c r="K138" i="17"/>
  <c r="J138" i="17"/>
  <c r="I138" i="17"/>
  <c r="H138" i="17"/>
  <c r="G138" i="17"/>
  <c r="F138" i="17"/>
  <c r="E138" i="17"/>
  <c r="D138" i="17"/>
  <c r="A138" i="17"/>
  <c r="B138" i="17"/>
  <c r="X137" i="17"/>
  <c r="W137" i="17"/>
  <c r="S137" i="17"/>
  <c r="R137" i="17"/>
  <c r="Q137" i="17"/>
  <c r="P137" i="17"/>
  <c r="N137" i="17"/>
  <c r="M137" i="17"/>
  <c r="L137" i="17"/>
  <c r="K137" i="17"/>
  <c r="J137" i="17"/>
  <c r="I137" i="17"/>
  <c r="H137" i="17"/>
  <c r="G137" i="17"/>
  <c r="F137" i="17"/>
  <c r="E137" i="17"/>
  <c r="D137" i="17"/>
  <c r="A137" i="17"/>
  <c r="B137" i="17"/>
  <c r="X136" i="17"/>
  <c r="W136" i="17"/>
  <c r="S136" i="17"/>
  <c r="R136" i="17"/>
  <c r="Q136" i="17"/>
  <c r="N136" i="17"/>
  <c r="M136" i="17"/>
  <c r="L136" i="17"/>
  <c r="K136" i="17"/>
  <c r="J136" i="17"/>
  <c r="I136" i="17"/>
  <c r="H136" i="17"/>
  <c r="G136" i="17"/>
  <c r="F136" i="17"/>
  <c r="E136" i="17"/>
  <c r="D136" i="17"/>
  <c r="A136" i="17"/>
  <c r="Y135" i="17"/>
  <c r="X135" i="17"/>
  <c r="W135" i="17"/>
  <c r="T135" i="17"/>
  <c r="S135" i="17"/>
  <c r="R135" i="17"/>
  <c r="Q135" i="17"/>
  <c r="P135" i="17"/>
  <c r="O135" i="17"/>
  <c r="N135" i="17"/>
  <c r="M135" i="17"/>
  <c r="L135" i="17"/>
  <c r="K135" i="17"/>
  <c r="J135" i="17"/>
  <c r="I135" i="17"/>
  <c r="H135" i="17"/>
  <c r="G135" i="17"/>
  <c r="F135" i="17"/>
  <c r="E135" i="17"/>
  <c r="D135" i="17"/>
  <c r="C135" i="17"/>
  <c r="B135" i="17"/>
  <c r="A135" i="17"/>
  <c r="U135" i="17"/>
  <c r="X134" i="17"/>
  <c r="W134" i="17"/>
  <c r="V134" i="17"/>
  <c r="U134" i="17"/>
  <c r="T134" i="17"/>
  <c r="S134" i="17"/>
  <c r="R134" i="17"/>
  <c r="Q134" i="17"/>
  <c r="P134" i="17"/>
  <c r="O134" i="17"/>
  <c r="N134" i="17"/>
  <c r="M134" i="17"/>
  <c r="L134" i="17"/>
  <c r="K134" i="17"/>
  <c r="J134" i="17"/>
  <c r="I134" i="17"/>
  <c r="H134" i="17"/>
  <c r="G134" i="17"/>
  <c r="F134" i="17"/>
  <c r="E134" i="17"/>
  <c r="D134" i="17"/>
  <c r="A134" i="17"/>
  <c r="B134" i="17"/>
  <c r="Y133" i="17"/>
  <c r="X133" i="17"/>
  <c r="W133" i="17"/>
  <c r="V133" i="17"/>
  <c r="U133" i="17"/>
  <c r="T133" i="17"/>
  <c r="S133" i="17"/>
  <c r="R133" i="17"/>
  <c r="Q133" i="17"/>
  <c r="P133" i="17"/>
  <c r="O133" i="17"/>
  <c r="N133" i="17"/>
  <c r="M133" i="17"/>
  <c r="L133" i="17"/>
  <c r="K133" i="17"/>
  <c r="J133" i="17"/>
  <c r="I133" i="17"/>
  <c r="H133" i="17"/>
  <c r="G133" i="17"/>
  <c r="F133" i="17"/>
  <c r="E133" i="17"/>
  <c r="D133" i="17"/>
  <c r="C133" i="17"/>
  <c r="B133" i="17"/>
  <c r="A133" i="17"/>
  <c r="X132" i="17"/>
  <c r="W132" i="17"/>
  <c r="V132" i="17"/>
  <c r="U132" i="17"/>
  <c r="T132" i="17"/>
  <c r="S132" i="17"/>
  <c r="R132" i="17"/>
  <c r="Q132" i="17"/>
  <c r="P132" i="17"/>
  <c r="O132" i="17"/>
  <c r="N132" i="17"/>
  <c r="L132" i="17"/>
  <c r="K132" i="17"/>
  <c r="J132" i="17"/>
  <c r="I132" i="17"/>
  <c r="H132" i="17"/>
  <c r="G132" i="17"/>
  <c r="F132" i="17"/>
  <c r="E132" i="17"/>
  <c r="D132" i="17"/>
  <c r="A132" i="17"/>
  <c r="M132" i="17"/>
  <c r="Y131" i="17"/>
  <c r="X131" i="17"/>
  <c r="W131" i="17"/>
  <c r="V131" i="17"/>
  <c r="U131" i="17"/>
  <c r="T131" i="17"/>
  <c r="S131" i="17"/>
  <c r="R131" i="17"/>
  <c r="Q131" i="17"/>
  <c r="N131" i="17"/>
  <c r="M131" i="17"/>
  <c r="L131" i="17"/>
  <c r="J131" i="17"/>
  <c r="I131" i="17"/>
  <c r="H131" i="17"/>
  <c r="G131" i="17"/>
  <c r="F131" i="17"/>
  <c r="E131" i="17"/>
  <c r="D131" i="17"/>
  <c r="A131" i="17"/>
  <c r="X130" i="17"/>
  <c r="W130" i="17"/>
  <c r="V130" i="17"/>
  <c r="U130" i="17"/>
  <c r="T130" i="17"/>
  <c r="S130" i="17"/>
  <c r="R130" i="17"/>
  <c r="Q130" i="17"/>
  <c r="P130" i="17"/>
  <c r="O130" i="17"/>
  <c r="N130" i="17"/>
  <c r="M130" i="17"/>
  <c r="L130" i="17"/>
  <c r="J130" i="17"/>
  <c r="I130" i="17"/>
  <c r="H130" i="17"/>
  <c r="G130" i="17"/>
  <c r="F130" i="17"/>
  <c r="E130" i="17"/>
  <c r="D130" i="17"/>
  <c r="B130" i="17"/>
  <c r="A130" i="17"/>
  <c r="X129" i="17"/>
  <c r="W129" i="17"/>
  <c r="S129" i="17"/>
  <c r="R129" i="17"/>
  <c r="Q129" i="17"/>
  <c r="N129" i="17"/>
  <c r="L129" i="17"/>
  <c r="J129" i="17"/>
  <c r="I129" i="17"/>
  <c r="H129" i="17"/>
  <c r="G129" i="17"/>
  <c r="F129" i="17"/>
  <c r="E129" i="17"/>
  <c r="D129" i="17"/>
  <c r="A129" i="17"/>
  <c r="Y128" i="17"/>
  <c r="X128" i="17"/>
  <c r="W128" i="17"/>
  <c r="V128" i="17"/>
  <c r="U128" i="17"/>
  <c r="S128" i="17"/>
  <c r="R128" i="17"/>
  <c r="Q128" i="17"/>
  <c r="P128" i="17"/>
  <c r="O128" i="17"/>
  <c r="N128" i="17"/>
  <c r="M128" i="17"/>
  <c r="L128" i="17"/>
  <c r="K128" i="17"/>
  <c r="J128" i="17"/>
  <c r="I128" i="17"/>
  <c r="H128" i="17"/>
  <c r="G128" i="17"/>
  <c r="F128" i="17"/>
  <c r="E128" i="17"/>
  <c r="D128" i="17"/>
  <c r="C128" i="17"/>
  <c r="B128" i="17"/>
  <c r="A128" i="17"/>
  <c r="T128" i="17"/>
  <c r="Y127" i="17"/>
  <c r="X127" i="17"/>
  <c r="W127" i="17"/>
  <c r="V127" i="17"/>
  <c r="U127" i="17"/>
  <c r="T127" i="17"/>
  <c r="S127" i="17"/>
  <c r="R127" i="17"/>
  <c r="Q127" i="17"/>
  <c r="P127" i="17"/>
  <c r="O127" i="17"/>
  <c r="N127" i="17"/>
  <c r="M127" i="17"/>
  <c r="L127" i="17"/>
  <c r="K127" i="17"/>
  <c r="J127" i="17"/>
  <c r="I127" i="17"/>
  <c r="H127" i="17"/>
  <c r="G127" i="17"/>
  <c r="F127" i="17"/>
  <c r="E127" i="17"/>
  <c r="D127" i="17"/>
  <c r="C127" i="17"/>
  <c r="B127" i="17"/>
  <c r="A127" i="17"/>
  <c r="Y126" i="17"/>
  <c r="X126" i="17"/>
  <c r="W126" i="17"/>
  <c r="V126" i="17"/>
  <c r="S126" i="17"/>
  <c r="R126" i="17"/>
  <c r="Q126" i="17"/>
  <c r="P126" i="17"/>
  <c r="O126" i="17"/>
  <c r="N126" i="17"/>
  <c r="M126" i="17"/>
  <c r="L126" i="17"/>
  <c r="J126" i="17"/>
  <c r="I126" i="17"/>
  <c r="H126" i="17"/>
  <c r="G126" i="17"/>
  <c r="F126" i="17"/>
  <c r="E126" i="17"/>
  <c r="D126" i="17"/>
  <c r="B126" i="17"/>
  <c r="A126" i="17"/>
  <c r="Y125" i="17"/>
  <c r="X125" i="17"/>
  <c r="W125" i="17"/>
  <c r="V125" i="17"/>
  <c r="U125" i="17"/>
  <c r="T125" i="17"/>
  <c r="S125" i="17"/>
  <c r="R125" i="17"/>
  <c r="Q125" i="17"/>
  <c r="P125" i="17"/>
  <c r="O125" i="17"/>
  <c r="N125" i="17"/>
  <c r="M125" i="17"/>
  <c r="L125" i="17"/>
  <c r="K125" i="17"/>
  <c r="J125" i="17"/>
  <c r="I125" i="17"/>
  <c r="H125" i="17"/>
  <c r="G125" i="17"/>
  <c r="F125" i="17"/>
  <c r="E125" i="17"/>
  <c r="D125" i="17"/>
  <c r="C125" i="17"/>
  <c r="B125" i="17"/>
  <c r="A125" i="17"/>
  <c r="X124" i="17"/>
  <c r="W124" i="17"/>
  <c r="V124" i="17"/>
  <c r="U124" i="17"/>
  <c r="T124" i="17"/>
  <c r="S124" i="17"/>
  <c r="R124" i="17"/>
  <c r="Q124" i="17"/>
  <c r="N124" i="17"/>
  <c r="L124" i="17"/>
  <c r="K124" i="17"/>
  <c r="J124" i="17"/>
  <c r="I124" i="17"/>
  <c r="H124" i="17"/>
  <c r="G124" i="17"/>
  <c r="F124" i="17"/>
  <c r="E124" i="17"/>
  <c r="D124" i="17"/>
  <c r="A124" i="17"/>
  <c r="Y123" i="17"/>
  <c r="X123" i="17"/>
  <c r="W123" i="17"/>
  <c r="V123" i="17"/>
  <c r="U123" i="17"/>
  <c r="T123" i="17"/>
  <c r="S123" i="17"/>
  <c r="R123" i="17"/>
  <c r="Q123" i="17"/>
  <c r="N123" i="17"/>
  <c r="L123" i="17"/>
  <c r="K123" i="17"/>
  <c r="J123" i="17"/>
  <c r="I123" i="17"/>
  <c r="H123" i="17"/>
  <c r="G123" i="17"/>
  <c r="F123" i="17"/>
  <c r="E123" i="17"/>
  <c r="D123" i="17"/>
  <c r="A123" i="17"/>
  <c r="X122" i="17"/>
  <c r="W122" i="17"/>
  <c r="V122" i="17"/>
  <c r="U122" i="17"/>
  <c r="T122" i="17"/>
  <c r="S122" i="17"/>
  <c r="R122" i="17"/>
  <c r="Q122" i="17"/>
  <c r="N122" i="17"/>
  <c r="L122" i="17"/>
  <c r="K122" i="17"/>
  <c r="J122" i="17"/>
  <c r="I122" i="17"/>
  <c r="H122" i="17"/>
  <c r="G122" i="17"/>
  <c r="F122" i="17"/>
  <c r="E122" i="17"/>
  <c r="D122" i="17"/>
  <c r="A122" i="17"/>
  <c r="B122" i="17"/>
  <c r="X121" i="17"/>
  <c r="W121" i="17"/>
  <c r="V121" i="17"/>
  <c r="U121" i="17"/>
  <c r="S121" i="17"/>
  <c r="R121" i="17"/>
  <c r="Q121" i="17"/>
  <c r="N121" i="17"/>
  <c r="M121" i="17"/>
  <c r="L121" i="17"/>
  <c r="K121" i="17"/>
  <c r="J121" i="17"/>
  <c r="I121" i="17"/>
  <c r="H121" i="17"/>
  <c r="G121" i="17"/>
  <c r="F121" i="17"/>
  <c r="E121" i="17"/>
  <c r="D121" i="17"/>
  <c r="A121" i="17"/>
  <c r="Y121" i="17"/>
  <c r="X120" i="17"/>
  <c r="W120" i="17"/>
  <c r="U120" i="17"/>
  <c r="T120" i="17"/>
  <c r="S120" i="17"/>
  <c r="R120" i="17"/>
  <c r="Q120" i="17"/>
  <c r="P120" i="17"/>
  <c r="O120" i="17"/>
  <c r="N120" i="17"/>
  <c r="M120" i="17"/>
  <c r="L120" i="17"/>
  <c r="J120" i="17"/>
  <c r="I120" i="17"/>
  <c r="H120" i="17"/>
  <c r="G120" i="17"/>
  <c r="F120" i="17"/>
  <c r="E120" i="17"/>
  <c r="D120" i="17"/>
  <c r="B120" i="17"/>
  <c r="A120" i="17"/>
  <c r="X119" i="17"/>
  <c r="W119" i="17"/>
  <c r="V119" i="17"/>
  <c r="U119" i="17"/>
  <c r="T119" i="17"/>
  <c r="S119" i="17"/>
  <c r="R119" i="17"/>
  <c r="Q119" i="17"/>
  <c r="P119" i="17"/>
  <c r="O119" i="17"/>
  <c r="N119" i="17"/>
  <c r="M119" i="17"/>
  <c r="L119" i="17"/>
  <c r="K119" i="17"/>
  <c r="J119" i="17"/>
  <c r="I119" i="17"/>
  <c r="H119" i="17"/>
  <c r="G119" i="17"/>
  <c r="F119" i="17"/>
  <c r="E119" i="17"/>
  <c r="D119" i="17"/>
  <c r="B119" i="17"/>
  <c r="A119" i="17"/>
  <c r="Y118" i="17"/>
  <c r="X118" i="17"/>
  <c r="W118" i="17"/>
  <c r="S118" i="17"/>
  <c r="R118" i="17"/>
  <c r="Q118" i="17"/>
  <c r="P118" i="17"/>
  <c r="N118" i="17"/>
  <c r="L118" i="17"/>
  <c r="K118" i="17"/>
  <c r="J118" i="17"/>
  <c r="I118" i="17"/>
  <c r="H118" i="17"/>
  <c r="G118" i="17"/>
  <c r="F118" i="17"/>
  <c r="E118" i="17"/>
  <c r="D118" i="17"/>
  <c r="A118" i="17"/>
  <c r="B118" i="17"/>
  <c r="X117" i="17"/>
  <c r="W117" i="17"/>
  <c r="T117" i="17"/>
  <c r="S117" i="17"/>
  <c r="R117" i="17"/>
  <c r="Q117" i="17"/>
  <c r="O117" i="17"/>
  <c r="N117" i="17"/>
  <c r="M117" i="17"/>
  <c r="L117" i="17"/>
  <c r="K117" i="17"/>
  <c r="J117" i="17"/>
  <c r="I117" i="17"/>
  <c r="H117" i="17"/>
  <c r="G117" i="17"/>
  <c r="F117" i="17"/>
  <c r="E117" i="17"/>
  <c r="D117" i="17"/>
  <c r="A117" i="17"/>
  <c r="B117" i="17"/>
  <c r="X116" i="17"/>
  <c r="W116" i="17"/>
  <c r="V116" i="17"/>
  <c r="S116" i="17"/>
  <c r="R116" i="17"/>
  <c r="Q116" i="17"/>
  <c r="P116" i="17"/>
  <c r="O116" i="17"/>
  <c r="N116" i="17"/>
  <c r="M116" i="17"/>
  <c r="L116" i="17"/>
  <c r="K116" i="17"/>
  <c r="J116" i="17"/>
  <c r="I116" i="17"/>
  <c r="H116" i="17"/>
  <c r="G116" i="17"/>
  <c r="F116" i="17"/>
  <c r="E116" i="17"/>
  <c r="D116" i="17"/>
  <c r="C116" i="17"/>
  <c r="B116" i="17"/>
  <c r="A116" i="17"/>
  <c r="Y115" i="17"/>
  <c r="X115" i="17"/>
  <c r="W115" i="17"/>
  <c r="U115" i="17"/>
  <c r="T115" i="17"/>
  <c r="S115" i="17"/>
  <c r="R115" i="17"/>
  <c r="Q115" i="17"/>
  <c r="P115" i="17"/>
  <c r="N115" i="17"/>
  <c r="M115" i="17"/>
  <c r="L115" i="17"/>
  <c r="K115" i="17"/>
  <c r="J115" i="17"/>
  <c r="I115" i="17"/>
  <c r="H115" i="17"/>
  <c r="G115" i="17"/>
  <c r="F115" i="17"/>
  <c r="E115" i="17"/>
  <c r="D115" i="17"/>
  <c r="C115" i="17"/>
  <c r="B115" i="17"/>
  <c r="A115" i="17"/>
  <c r="O115" i="17"/>
  <c r="X114" i="17"/>
  <c r="W114" i="17"/>
  <c r="V114" i="17"/>
  <c r="U114" i="17"/>
  <c r="T114" i="17"/>
  <c r="S114" i="17"/>
  <c r="R114" i="17"/>
  <c r="Q114" i="17"/>
  <c r="P114" i="17"/>
  <c r="N114" i="17"/>
  <c r="M114" i="17"/>
  <c r="L114" i="17"/>
  <c r="K114" i="17"/>
  <c r="J114" i="17"/>
  <c r="I114" i="17"/>
  <c r="H114" i="17"/>
  <c r="G114" i="17"/>
  <c r="F114" i="17"/>
  <c r="E114" i="17"/>
  <c r="D114" i="17"/>
  <c r="C114" i="17"/>
  <c r="A114" i="17"/>
  <c r="O114" i="17"/>
  <c r="X113" i="17"/>
  <c r="W113" i="17"/>
  <c r="V113" i="17"/>
  <c r="T113" i="17"/>
  <c r="S113" i="17"/>
  <c r="R113" i="17"/>
  <c r="Q113" i="17"/>
  <c r="P113" i="17"/>
  <c r="O113" i="17"/>
  <c r="N113" i="17"/>
  <c r="M113" i="17"/>
  <c r="L113" i="17"/>
  <c r="K113" i="17"/>
  <c r="J113" i="17"/>
  <c r="I113" i="17"/>
  <c r="H113" i="17"/>
  <c r="G113" i="17"/>
  <c r="F113" i="17"/>
  <c r="E113" i="17"/>
  <c r="D113" i="17"/>
  <c r="A113" i="17"/>
  <c r="X112" i="17"/>
  <c r="W112" i="17"/>
  <c r="V112" i="17"/>
  <c r="U112" i="17"/>
  <c r="S112" i="17"/>
  <c r="R112" i="17"/>
  <c r="Q112" i="17"/>
  <c r="P112" i="17"/>
  <c r="O112" i="17"/>
  <c r="N112" i="17"/>
  <c r="M112" i="17"/>
  <c r="L112" i="17"/>
  <c r="K112" i="17"/>
  <c r="J112" i="17"/>
  <c r="I112" i="17"/>
  <c r="H112" i="17"/>
  <c r="G112" i="17"/>
  <c r="F112" i="17"/>
  <c r="E112" i="17"/>
  <c r="D112" i="17"/>
  <c r="A112" i="17"/>
  <c r="Y112" i="17"/>
  <c r="Y111" i="17"/>
  <c r="X111" i="17"/>
  <c r="W111" i="17"/>
  <c r="U111" i="17"/>
  <c r="T111" i="17"/>
  <c r="S111" i="17"/>
  <c r="R111" i="17"/>
  <c r="Q111" i="17"/>
  <c r="P111" i="17"/>
  <c r="O111" i="17"/>
  <c r="N111" i="17"/>
  <c r="M111" i="17"/>
  <c r="L111" i="17"/>
  <c r="K111" i="17"/>
  <c r="J111" i="17"/>
  <c r="I111" i="17"/>
  <c r="H111" i="17"/>
  <c r="G111" i="17"/>
  <c r="F111" i="17"/>
  <c r="E111" i="17"/>
  <c r="D111" i="17"/>
  <c r="C111" i="17"/>
  <c r="B111" i="17"/>
  <c r="A111" i="17"/>
  <c r="V111" i="17"/>
  <c r="X110" i="17"/>
  <c r="W110" i="17"/>
  <c r="V110" i="17"/>
  <c r="U110" i="17"/>
  <c r="T110" i="17"/>
  <c r="S110" i="17"/>
  <c r="R110" i="17"/>
  <c r="Q110" i="17"/>
  <c r="P110" i="17"/>
  <c r="O110" i="17"/>
  <c r="N110" i="17"/>
  <c r="M110" i="17"/>
  <c r="L110" i="17"/>
  <c r="K110" i="17"/>
  <c r="J110" i="17"/>
  <c r="I110" i="17"/>
  <c r="H110" i="17"/>
  <c r="G110" i="17"/>
  <c r="F110" i="17"/>
  <c r="E110" i="17"/>
  <c r="D110" i="17"/>
  <c r="A110" i="17"/>
  <c r="X109" i="17"/>
  <c r="W109" i="17"/>
  <c r="V109" i="17"/>
  <c r="U109" i="17"/>
  <c r="T109" i="17"/>
  <c r="S109" i="17"/>
  <c r="R109" i="17"/>
  <c r="Q109" i="17"/>
  <c r="O109" i="17"/>
  <c r="N109" i="17"/>
  <c r="M109" i="17"/>
  <c r="L109" i="17"/>
  <c r="J109" i="17"/>
  <c r="I109" i="17"/>
  <c r="H109" i="17"/>
  <c r="G109" i="17"/>
  <c r="F109" i="17"/>
  <c r="E109" i="17"/>
  <c r="D109" i="17"/>
  <c r="A109" i="17"/>
  <c r="K109" i="17"/>
  <c r="X108" i="17"/>
  <c r="W108" i="17"/>
  <c r="V108" i="17"/>
  <c r="U108" i="17"/>
  <c r="T108" i="17"/>
  <c r="S108" i="17"/>
  <c r="R108" i="17"/>
  <c r="Q108" i="17"/>
  <c r="P108" i="17"/>
  <c r="O108" i="17"/>
  <c r="N108" i="17"/>
  <c r="L108" i="17"/>
  <c r="J108" i="17"/>
  <c r="I108" i="17"/>
  <c r="H108" i="17"/>
  <c r="G108" i="17"/>
  <c r="F108" i="17"/>
  <c r="E108" i="17"/>
  <c r="D108" i="17"/>
  <c r="C108" i="17"/>
  <c r="B108" i="17"/>
  <c r="A108" i="17"/>
  <c r="Y107" i="17"/>
  <c r="X107" i="17"/>
  <c r="W107" i="17"/>
  <c r="V107" i="17"/>
  <c r="U107" i="17"/>
  <c r="T107" i="17"/>
  <c r="S107" i="17"/>
  <c r="R107" i="17"/>
  <c r="Q107" i="17"/>
  <c r="N107" i="17"/>
  <c r="M107" i="17"/>
  <c r="L107" i="17"/>
  <c r="J107" i="17"/>
  <c r="I107" i="17"/>
  <c r="H107" i="17"/>
  <c r="G107" i="17"/>
  <c r="F107" i="17"/>
  <c r="E107" i="17"/>
  <c r="D107" i="17"/>
  <c r="C107" i="17"/>
  <c r="B107" i="17"/>
  <c r="A107" i="17"/>
  <c r="Y106" i="17"/>
  <c r="X106" i="17"/>
  <c r="W106" i="17"/>
  <c r="V106" i="17"/>
  <c r="U106" i="17"/>
  <c r="S106" i="17"/>
  <c r="R106" i="17"/>
  <c r="Q106" i="17"/>
  <c r="O106" i="17"/>
  <c r="N106" i="17"/>
  <c r="L106" i="17"/>
  <c r="J106" i="17"/>
  <c r="I106" i="17"/>
  <c r="H106" i="17"/>
  <c r="G106" i="17"/>
  <c r="F106" i="17"/>
  <c r="E106" i="17"/>
  <c r="D106" i="17"/>
  <c r="A106" i="17"/>
  <c r="Y105" i="17"/>
  <c r="X105" i="17"/>
  <c r="W105" i="17"/>
  <c r="V105" i="17"/>
  <c r="U105" i="17"/>
  <c r="T105" i="17"/>
  <c r="S105" i="17"/>
  <c r="R105" i="17"/>
  <c r="Q105" i="17"/>
  <c r="P105" i="17"/>
  <c r="O105" i="17"/>
  <c r="N105" i="17"/>
  <c r="M105" i="17"/>
  <c r="L105" i="17"/>
  <c r="K105" i="17"/>
  <c r="J105" i="17"/>
  <c r="I105" i="17"/>
  <c r="H105" i="17"/>
  <c r="G105" i="17"/>
  <c r="F105" i="17"/>
  <c r="E105" i="17"/>
  <c r="D105" i="17"/>
  <c r="C105" i="17"/>
  <c r="B105" i="17"/>
  <c r="A105" i="17"/>
  <c r="Y104" i="17"/>
  <c r="X104" i="17"/>
  <c r="W104" i="17"/>
  <c r="T104" i="17"/>
  <c r="S104" i="17"/>
  <c r="R104" i="17"/>
  <c r="Q104" i="17"/>
  <c r="P104" i="17"/>
  <c r="O104" i="17"/>
  <c r="N104" i="17"/>
  <c r="M104" i="17"/>
  <c r="L104" i="17"/>
  <c r="K104" i="17"/>
  <c r="J104" i="17"/>
  <c r="I104" i="17"/>
  <c r="H104" i="17"/>
  <c r="G104" i="17"/>
  <c r="F104" i="17"/>
  <c r="E104" i="17"/>
  <c r="D104" i="17"/>
  <c r="C104" i="17"/>
  <c r="B104" i="17"/>
  <c r="A104" i="17"/>
  <c r="V104" i="17"/>
  <c r="X103" i="17"/>
  <c r="W103" i="17"/>
  <c r="U103" i="17"/>
  <c r="T103" i="17"/>
  <c r="S103" i="17"/>
  <c r="R103" i="17"/>
  <c r="Q103" i="17"/>
  <c r="P103" i="17"/>
  <c r="O103" i="17"/>
  <c r="N103" i="17"/>
  <c r="M103" i="17"/>
  <c r="L103" i="17"/>
  <c r="K103" i="17"/>
  <c r="J103" i="17"/>
  <c r="I103" i="17"/>
  <c r="H103" i="17"/>
  <c r="G103" i="17"/>
  <c r="F103" i="17"/>
  <c r="E103" i="17"/>
  <c r="D103" i="17"/>
  <c r="C103" i="17"/>
  <c r="A103" i="17"/>
  <c r="V103" i="17"/>
  <c r="X102" i="17"/>
  <c r="W102" i="17"/>
  <c r="V102" i="17"/>
  <c r="T102" i="17"/>
  <c r="S102" i="17"/>
  <c r="R102" i="17"/>
  <c r="Q102" i="17"/>
  <c r="N102" i="17"/>
  <c r="M102" i="17"/>
  <c r="L102" i="17"/>
  <c r="J102" i="17"/>
  <c r="I102" i="17"/>
  <c r="H102" i="17"/>
  <c r="G102" i="17"/>
  <c r="F102" i="17"/>
  <c r="E102" i="17"/>
  <c r="D102" i="17"/>
  <c r="A102" i="17"/>
  <c r="U102" i="17"/>
  <c r="Y101" i="17"/>
  <c r="X101" i="17"/>
  <c r="W101" i="17"/>
  <c r="V101" i="17"/>
  <c r="U101" i="17"/>
  <c r="S101" i="17"/>
  <c r="R101" i="17"/>
  <c r="Q101" i="17"/>
  <c r="O101" i="17"/>
  <c r="N101" i="17"/>
  <c r="L101" i="17"/>
  <c r="K101" i="17"/>
  <c r="J101" i="17"/>
  <c r="I101" i="17"/>
  <c r="H101" i="17"/>
  <c r="G101" i="17"/>
  <c r="F101" i="17"/>
  <c r="E101" i="17"/>
  <c r="D101" i="17"/>
  <c r="A101" i="17"/>
  <c r="Y100" i="17"/>
  <c r="X100" i="17"/>
  <c r="W100" i="17"/>
  <c r="V100" i="17"/>
  <c r="S100" i="17"/>
  <c r="R100" i="17"/>
  <c r="Q100" i="17"/>
  <c r="O100" i="17"/>
  <c r="N100" i="17"/>
  <c r="M100" i="17"/>
  <c r="L100" i="17"/>
  <c r="J100" i="17"/>
  <c r="I100" i="17"/>
  <c r="H100" i="17"/>
  <c r="G100" i="17"/>
  <c r="F100" i="17"/>
  <c r="E100" i="17"/>
  <c r="D100" i="17"/>
  <c r="B100" i="17"/>
  <c r="A100" i="17"/>
  <c r="X99" i="17"/>
  <c r="W99" i="17"/>
  <c r="S99" i="17"/>
  <c r="R99" i="17"/>
  <c r="Q99" i="17"/>
  <c r="N99" i="17"/>
  <c r="L99" i="17"/>
  <c r="J99" i="17"/>
  <c r="I99" i="17"/>
  <c r="H99" i="17"/>
  <c r="G99" i="17"/>
  <c r="F99" i="17"/>
  <c r="E99" i="17"/>
  <c r="D99" i="17"/>
  <c r="A99" i="17"/>
  <c r="P99" i="17"/>
  <c r="Y98" i="17"/>
  <c r="X98" i="17"/>
  <c r="W98" i="17"/>
  <c r="T98" i="17"/>
  <c r="S98" i="17"/>
  <c r="R98" i="17"/>
  <c r="Q98" i="17"/>
  <c r="P98" i="17"/>
  <c r="O98" i="17"/>
  <c r="N98" i="17"/>
  <c r="L98" i="17"/>
  <c r="J98" i="17"/>
  <c r="I98" i="17"/>
  <c r="H98" i="17"/>
  <c r="G98" i="17"/>
  <c r="F98" i="17"/>
  <c r="E98" i="17"/>
  <c r="D98" i="17"/>
  <c r="A98" i="17"/>
  <c r="C98" i="17"/>
  <c r="X97" i="17"/>
  <c r="W97" i="17"/>
  <c r="T97" i="17"/>
  <c r="S97" i="17"/>
  <c r="R97" i="17"/>
  <c r="Q97" i="17"/>
  <c r="P97" i="17"/>
  <c r="N97" i="17"/>
  <c r="L97" i="17"/>
  <c r="K97" i="17"/>
  <c r="J97" i="17"/>
  <c r="I97" i="17"/>
  <c r="H97" i="17"/>
  <c r="G97" i="17"/>
  <c r="F97" i="17"/>
  <c r="E97" i="17"/>
  <c r="D97" i="17"/>
  <c r="A97" i="17"/>
  <c r="Y96" i="17"/>
  <c r="X96" i="17"/>
  <c r="W96" i="17"/>
  <c r="T96" i="17"/>
  <c r="S96" i="17"/>
  <c r="R96" i="17"/>
  <c r="Q96" i="17"/>
  <c r="N96" i="17"/>
  <c r="M96" i="17"/>
  <c r="L96" i="17"/>
  <c r="K96" i="17"/>
  <c r="J96" i="17"/>
  <c r="I96" i="17"/>
  <c r="H96" i="17"/>
  <c r="G96" i="17"/>
  <c r="F96" i="17"/>
  <c r="E96" i="17"/>
  <c r="D96" i="17"/>
  <c r="A96" i="17"/>
  <c r="Y95" i="17"/>
  <c r="X95" i="17"/>
  <c r="W95" i="17"/>
  <c r="V95" i="17"/>
  <c r="U95" i="17"/>
  <c r="T95" i="17"/>
  <c r="S95" i="17"/>
  <c r="R95" i="17"/>
  <c r="Q95" i="17"/>
  <c r="P95" i="17"/>
  <c r="O95" i="17"/>
  <c r="N95" i="17"/>
  <c r="M95" i="17"/>
  <c r="L95" i="17"/>
  <c r="K95" i="17"/>
  <c r="J95" i="17"/>
  <c r="I95" i="17"/>
  <c r="H95" i="17"/>
  <c r="G95" i="17"/>
  <c r="F95" i="17"/>
  <c r="E95" i="17"/>
  <c r="D95" i="17"/>
  <c r="C95" i="17"/>
  <c r="A95" i="17"/>
  <c r="B95" i="17"/>
  <c r="Y94" i="17"/>
  <c r="X94" i="17"/>
  <c r="W94" i="17"/>
  <c r="S94" i="17"/>
  <c r="R94" i="17"/>
  <c r="Q94" i="17"/>
  <c r="P94" i="17"/>
  <c r="O94" i="17"/>
  <c r="N94" i="17"/>
  <c r="M94" i="17"/>
  <c r="L94" i="17"/>
  <c r="K94" i="17"/>
  <c r="J94" i="17"/>
  <c r="I94" i="17"/>
  <c r="H94" i="17"/>
  <c r="G94" i="17"/>
  <c r="F94" i="17"/>
  <c r="E94" i="17"/>
  <c r="D94" i="17"/>
  <c r="C94" i="17"/>
  <c r="A94" i="17"/>
  <c r="X93" i="17"/>
  <c r="W93" i="17"/>
  <c r="T93" i="17"/>
  <c r="S93" i="17"/>
  <c r="R93" i="17"/>
  <c r="Q93" i="17"/>
  <c r="P93" i="17"/>
  <c r="N93" i="17"/>
  <c r="M93" i="17"/>
  <c r="L93" i="17"/>
  <c r="K93" i="17"/>
  <c r="J93" i="17"/>
  <c r="I93" i="17"/>
  <c r="H93" i="17"/>
  <c r="G93" i="17"/>
  <c r="F93" i="17"/>
  <c r="E93" i="17"/>
  <c r="D93" i="17"/>
  <c r="C93" i="17"/>
  <c r="A93" i="17"/>
  <c r="Y92" i="17"/>
  <c r="X92" i="17"/>
  <c r="W92" i="17"/>
  <c r="V92" i="17"/>
  <c r="U92" i="17"/>
  <c r="T92" i="17"/>
  <c r="S92" i="17"/>
  <c r="R92" i="17"/>
  <c r="Q92" i="17"/>
  <c r="P92" i="17"/>
  <c r="O92" i="17"/>
  <c r="N92" i="17"/>
  <c r="M92" i="17"/>
  <c r="L92" i="17"/>
  <c r="K92" i="17"/>
  <c r="J92" i="17"/>
  <c r="I92" i="17"/>
  <c r="H92" i="17"/>
  <c r="G92" i="17"/>
  <c r="F92" i="17"/>
  <c r="E92" i="17"/>
  <c r="D92" i="17"/>
  <c r="C92" i="17"/>
  <c r="B92" i="17"/>
  <c r="A92" i="17"/>
  <c r="X91" i="17"/>
  <c r="W91" i="17"/>
  <c r="V91" i="17"/>
  <c r="T91" i="17"/>
  <c r="S91" i="17"/>
  <c r="R91" i="17"/>
  <c r="Q91" i="17"/>
  <c r="P91" i="17"/>
  <c r="O91" i="17"/>
  <c r="N91" i="17"/>
  <c r="M91" i="17"/>
  <c r="L91" i="17"/>
  <c r="K91" i="17"/>
  <c r="J91" i="17"/>
  <c r="I91" i="17"/>
  <c r="H91" i="17"/>
  <c r="G91" i="17"/>
  <c r="F91" i="17"/>
  <c r="E91" i="17"/>
  <c r="D91" i="17"/>
  <c r="A91" i="17"/>
  <c r="X90" i="17"/>
  <c r="W90" i="17"/>
  <c r="U90" i="17"/>
  <c r="T90" i="17"/>
  <c r="S90" i="17"/>
  <c r="R90" i="17"/>
  <c r="Q90" i="17"/>
  <c r="P90" i="17"/>
  <c r="O90" i="17"/>
  <c r="N90" i="17"/>
  <c r="M90" i="17"/>
  <c r="L90" i="17"/>
  <c r="K90" i="17"/>
  <c r="J90" i="17"/>
  <c r="I90" i="17"/>
  <c r="H90" i="17"/>
  <c r="G90" i="17"/>
  <c r="F90" i="17"/>
  <c r="E90" i="17"/>
  <c r="D90" i="17"/>
  <c r="A90" i="17"/>
  <c r="X89" i="17"/>
  <c r="W89" i="17"/>
  <c r="V89" i="17"/>
  <c r="U89" i="17"/>
  <c r="T89" i="17"/>
  <c r="S89" i="17"/>
  <c r="R89" i="17"/>
  <c r="Q89" i="17"/>
  <c r="O89" i="17"/>
  <c r="N89" i="17"/>
  <c r="M89" i="17"/>
  <c r="L89" i="17"/>
  <c r="K89" i="17"/>
  <c r="J89" i="17"/>
  <c r="I89" i="17"/>
  <c r="H89" i="17"/>
  <c r="G89" i="17"/>
  <c r="F89" i="17"/>
  <c r="E89" i="17"/>
  <c r="D89" i="17"/>
  <c r="A89" i="17"/>
  <c r="B89" i="17"/>
  <c r="X88" i="17"/>
  <c r="W88" i="17"/>
  <c r="V88" i="17"/>
  <c r="U88" i="17"/>
  <c r="T88" i="17"/>
  <c r="S88" i="17"/>
  <c r="R88" i="17"/>
  <c r="Q88" i="17"/>
  <c r="P88" i="17"/>
  <c r="N88" i="17"/>
  <c r="M88" i="17"/>
  <c r="L88" i="17"/>
  <c r="J88" i="17"/>
  <c r="I88" i="17"/>
  <c r="H88" i="17"/>
  <c r="G88" i="17"/>
  <c r="F88" i="17"/>
  <c r="E88" i="17"/>
  <c r="D88" i="17"/>
  <c r="A88" i="17"/>
  <c r="Y88" i="17"/>
  <c r="X87" i="17"/>
  <c r="W87" i="17"/>
  <c r="V87" i="17"/>
  <c r="U87" i="17"/>
  <c r="T87" i="17"/>
  <c r="S87" i="17"/>
  <c r="R87" i="17"/>
  <c r="Q87" i="17"/>
  <c r="P87" i="17"/>
  <c r="O87" i="17"/>
  <c r="N87" i="17"/>
  <c r="L87" i="17"/>
  <c r="J87" i="17"/>
  <c r="I87" i="17"/>
  <c r="H87" i="17"/>
  <c r="G87" i="17"/>
  <c r="F87" i="17"/>
  <c r="E87" i="17"/>
  <c r="D87" i="17"/>
  <c r="C87" i="17"/>
  <c r="B87" i="17"/>
  <c r="A87" i="17"/>
  <c r="Y86" i="17"/>
  <c r="X86" i="17"/>
  <c r="W86" i="17"/>
  <c r="V86" i="17"/>
  <c r="U86" i="17"/>
  <c r="S86" i="17"/>
  <c r="R86" i="17"/>
  <c r="Q86" i="17"/>
  <c r="P86" i="17"/>
  <c r="N86" i="17"/>
  <c r="L86" i="17"/>
  <c r="K86" i="17"/>
  <c r="J86" i="17"/>
  <c r="I86" i="17"/>
  <c r="H86" i="17"/>
  <c r="G86" i="17"/>
  <c r="F86" i="17"/>
  <c r="E86" i="17"/>
  <c r="D86" i="17"/>
  <c r="C86" i="17"/>
  <c r="B86" i="17"/>
  <c r="A86" i="17"/>
  <c r="Y85" i="17"/>
  <c r="X85" i="17"/>
  <c r="W85" i="17"/>
  <c r="V85" i="17"/>
  <c r="U85" i="17"/>
  <c r="T85" i="17"/>
  <c r="S85" i="17"/>
  <c r="R85" i="17"/>
  <c r="Q85" i="17"/>
  <c r="P85" i="17"/>
  <c r="O85" i="17"/>
  <c r="N85" i="17"/>
  <c r="M85" i="17"/>
  <c r="L85" i="17"/>
  <c r="K85" i="17"/>
  <c r="J85" i="17"/>
  <c r="I85" i="17"/>
  <c r="H85" i="17"/>
  <c r="G85" i="17"/>
  <c r="F85" i="17"/>
  <c r="E85" i="17"/>
  <c r="D85" i="17"/>
  <c r="C85" i="17"/>
  <c r="B85" i="17"/>
  <c r="A85" i="17"/>
  <c r="Y84" i="17"/>
  <c r="X84" i="17"/>
  <c r="W84" i="17"/>
  <c r="S84" i="17"/>
  <c r="R84" i="17"/>
  <c r="Q84" i="17"/>
  <c r="P84" i="17"/>
  <c r="O84" i="17"/>
  <c r="N84" i="17"/>
  <c r="L84" i="17"/>
  <c r="J84" i="17"/>
  <c r="I84" i="17"/>
  <c r="H84" i="17"/>
  <c r="G84" i="17"/>
  <c r="F84" i="17"/>
  <c r="E84" i="17"/>
  <c r="D84" i="17"/>
  <c r="A84" i="17"/>
  <c r="B84" i="17"/>
  <c r="Y83" i="17"/>
  <c r="X83" i="17"/>
  <c r="W83" i="17"/>
  <c r="V83" i="17"/>
  <c r="U83" i="17"/>
  <c r="T83" i="17"/>
  <c r="S83" i="17"/>
  <c r="R83" i="17"/>
  <c r="Q83" i="17"/>
  <c r="P83" i="17"/>
  <c r="O83" i="17"/>
  <c r="N83" i="17"/>
  <c r="M83" i="17"/>
  <c r="L83" i="17"/>
  <c r="K83" i="17"/>
  <c r="J83" i="17"/>
  <c r="I83" i="17"/>
  <c r="H83" i="17"/>
  <c r="G83" i="17"/>
  <c r="F83" i="17"/>
  <c r="E83" i="17"/>
  <c r="D83" i="17"/>
  <c r="C83" i="17"/>
  <c r="B83" i="17"/>
  <c r="A83" i="17"/>
  <c r="Y82" i="17"/>
  <c r="X82" i="17"/>
  <c r="W82" i="17"/>
  <c r="V82" i="17"/>
  <c r="U82" i="17"/>
  <c r="T82" i="17"/>
  <c r="S82" i="17"/>
  <c r="R82" i="17"/>
  <c r="Q82" i="17"/>
  <c r="P82" i="17"/>
  <c r="O82" i="17"/>
  <c r="N82" i="17"/>
  <c r="M82" i="17"/>
  <c r="L82" i="17"/>
  <c r="K82" i="17"/>
  <c r="J82" i="17"/>
  <c r="I82" i="17"/>
  <c r="H82" i="17"/>
  <c r="G82" i="17"/>
  <c r="F82" i="17"/>
  <c r="E82" i="17"/>
  <c r="D82" i="17"/>
  <c r="C82" i="17"/>
  <c r="A82" i="17"/>
  <c r="B82" i="17"/>
  <c r="X81" i="17"/>
  <c r="W81" i="17"/>
  <c r="V81" i="17"/>
  <c r="U81" i="17"/>
  <c r="S81" i="17"/>
  <c r="R81" i="17"/>
  <c r="Q81" i="17"/>
  <c r="N81" i="17"/>
  <c r="L81" i="17"/>
  <c r="J81" i="17"/>
  <c r="I81" i="17"/>
  <c r="H81" i="17"/>
  <c r="G81" i="17"/>
  <c r="F81" i="17"/>
  <c r="E81" i="17"/>
  <c r="D81" i="17"/>
  <c r="C81" i="17"/>
  <c r="B81" i="17"/>
  <c r="A81" i="17"/>
  <c r="Y80" i="17"/>
  <c r="X80" i="17"/>
  <c r="W80" i="17"/>
  <c r="T80" i="17"/>
  <c r="S80" i="17"/>
  <c r="R80" i="17"/>
  <c r="Q80" i="17"/>
  <c r="N80" i="17"/>
  <c r="L80" i="17"/>
  <c r="J80" i="17"/>
  <c r="I80" i="17"/>
  <c r="H80" i="17"/>
  <c r="G80" i="17"/>
  <c r="F80" i="17"/>
  <c r="E80" i="17"/>
  <c r="D80" i="17"/>
  <c r="C80" i="17"/>
  <c r="B80" i="17"/>
  <c r="A80" i="17"/>
  <c r="X79" i="17"/>
  <c r="W79" i="17"/>
  <c r="V79" i="17"/>
  <c r="U79" i="17"/>
  <c r="T79" i="17"/>
  <c r="S79" i="17"/>
  <c r="R79" i="17"/>
  <c r="Q79" i="17"/>
  <c r="P79" i="17"/>
  <c r="O79" i="17"/>
  <c r="N79" i="17"/>
  <c r="L79" i="17"/>
  <c r="K79" i="17"/>
  <c r="J79" i="17"/>
  <c r="I79" i="17"/>
  <c r="H79" i="17"/>
  <c r="G79" i="17"/>
  <c r="F79" i="17"/>
  <c r="E79" i="17"/>
  <c r="D79" i="17"/>
  <c r="C79" i="17"/>
  <c r="A79" i="17"/>
  <c r="M79" i="17"/>
  <c r="Y78" i="17"/>
  <c r="X78" i="17"/>
  <c r="W78" i="17"/>
  <c r="V78" i="17"/>
  <c r="U78" i="17"/>
  <c r="S78" i="17"/>
  <c r="R78" i="17"/>
  <c r="Q78" i="17"/>
  <c r="O78" i="17"/>
  <c r="N78" i="17"/>
  <c r="M78" i="17"/>
  <c r="L78" i="17"/>
  <c r="J78" i="17"/>
  <c r="I78" i="17"/>
  <c r="H78" i="17"/>
  <c r="G78" i="17"/>
  <c r="F78" i="17"/>
  <c r="E78" i="17"/>
  <c r="D78" i="17"/>
  <c r="C78" i="17"/>
  <c r="A78" i="17"/>
  <c r="Y77" i="17"/>
  <c r="X77" i="17"/>
  <c r="W77" i="17"/>
  <c r="U77" i="17"/>
  <c r="T77" i="17"/>
  <c r="S77" i="17"/>
  <c r="R77" i="17"/>
  <c r="Q77" i="17"/>
  <c r="P77" i="17"/>
  <c r="O77" i="17"/>
  <c r="N77" i="17"/>
  <c r="L77" i="17"/>
  <c r="J77" i="17"/>
  <c r="I77" i="17"/>
  <c r="H77" i="17"/>
  <c r="G77" i="17"/>
  <c r="F77" i="17"/>
  <c r="E77" i="17"/>
  <c r="D77" i="17"/>
  <c r="C77" i="17"/>
  <c r="A77" i="17"/>
  <c r="X76" i="17"/>
  <c r="W76" i="17"/>
  <c r="U76" i="17"/>
  <c r="T76" i="17"/>
  <c r="S76" i="17"/>
  <c r="R76" i="17"/>
  <c r="Q76" i="17"/>
  <c r="P76" i="17"/>
  <c r="O76" i="17"/>
  <c r="N76" i="17"/>
  <c r="L76" i="17"/>
  <c r="K76" i="17"/>
  <c r="J76" i="17"/>
  <c r="I76" i="17"/>
  <c r="H76" i="17"/>
  <c r="G76" i="17"/>
  <c r="F76" i="17"/>
  <c r="E76" i="17"/>
  <c r="D76" i="17"/>
  <c r="C76" i="17"/>
  <c r="A76" i="17"/>
  <c r="X75" i="17"/>
  <c r="W75" i="17"/>
  <c r="S75" i="17"/>
  <c r="R75" i="17"/>
  <c r="Q75" i="17"/>
  <c r="N75" i="17"/>
  <c r="L75" i="17"/>
  <c r="J75" i="17"/>
  <c r="I75" i="17"/>
  <c r="H75" i="17"/>
  <c r="G75" i="17"/>
  <c r="F75" i="17"/>
  <c r="E75" i="17"/>
  <c r="D75" i="17"/>
  <c r="A75" i="17"/>
  <c r="X74" i="17"/>
  <c r="W74" i="17"/>
  <c r="V74" i="17"/>
  <c r="U74" i="17"/>
  <c r="T74" i="17"/>
  <c r="S74" i="17"/>
  <c r="R74" i="17"/>
  <c r="Q74" i="17"/>
  <c r="N74" i="17"/>
  <c r="M74" i="17"/>
  <c r="L74" i="17"/>
  <c r="K74" i="17"/>
  <c r="J74" i="17"/>
  <c r="I74" i="17"/>
  <c r="H74" i="17"/>
  <c r="G74" i="17"/>
  <c r="F74" i="17"/>
  <c r="E74" i="17"/>
  <c r="D74" i="17"/>
  <c r="C74" i="17"/>
  <c r="B74" i="17"/>
  <c r="A74" i="17"/>
  <c r="X73" i="17"/>
  <c r="W73" i="17"/>
  <c r="V73" i="17"/>
  <c r="U73" i="17"/>
  <c r="S73" i="17"/>
  <c r="R73" i="17"/>
  <c r="Q73" i="17"/>
  <c r="P73" i="17"/>
  <c r="O73" i="17"/>
  <c r="N73" i="17"/>
  <c r="M73" i="17"/>
  <c r="L73" i="17"/>
  <c r="K73" i="17"/>
  <c r="J73" i="17"/>
  <c r="I73" i="17"/>
  <c r="H73" i="17"/>
  <c r="G73" i="17"/>
  <c r="F73" i="17"/>
  <c r="E73" i="17"/>
  <c r="D73" i="17"/>
  <c r="A73" i="17"/>
  <c r="T73" i="17"/>
  <c r="Y72" i="17"/>
  <c r="X72" i="17"/>
  <c r="W72" i="17"/>
  <c r="T72" i="17"/>
  <c r="S72" i="17"/>
  <c r="R72" i="17"/>
  <c r="Q72" i="17"/>
  <c r="P72" i="17"/>
  <c r="O72" i="17"/>
  <c r="N72" i="17"/>
  <c r="M72" i="17"/>
  <c r="L72" i="17"/>
  <c r="K72" i="17"/>
  <c r="J72" i="17"/>
  <c r="I72" i="17"/>
  <c r="H72" i="17"/>
  <c r="G72" i="17"/>
  <c r="F72" i="17"/>
  <c r="E72" i="17"/>
  <c r="D72" i="17"/>
  <c r="C72" i="17"/>
  <c r="B72" i="17"/>
  <c r="A72" i="17"/>
  <c r="V72" i="17"/>
  <c r="X71" i="17"/>
  <c r="W71" i="17"/>
  <c r="V71" i="17"/>
  <c r="U71" i="17"/>
  <c r="T71" i="17"/>
  <c r="S71" i="17"/>
  <c r="R71" i="17"/>
  <c r="Q71" i="17"/>
  <c r="P71" i="17"/>
  <c r="N71" i="17"/>
  <c r="M71" i="17"/>
  <c r="L71" i="17"/>
  <c r="K71" i="17"/>
  <c r="J71" i="17"/>
  <c r="I71" i="17"/>
  <c r="H71" i="17"/>
  <c r="G71" i="17"/>
  <c r="F71" i="17"/>
  <c r="E71" i="17"/>
  <c r="D71" i="17"/>
  <c r="C71" i="17"/>
  <c r="A71" i="17"/>
  <c r="O71" i="17"/>
  <c r="Y70" i="17"/>
  <c r="X70" i="17"/>
  <c r="W70" i="17"/>
  <c r="S70" i="17"/>
  <c r="R70" i="17"/>
  <c r="Q70" i="17"/>
  <c r="N70" i="17"/>
  <c r="L70" i="17"/>
  <c r="J70" i="17"/>
  <c r="I70" i="17"/>
  <c r="H70" i="17"/>
  <c r="G70" i="17"/>
  <c r="F70" i="17"/>
  <c r="E70" i="17"/>
  <c r="D70" i="17"/>
  <c r="A70" i="17"/>
  <c r="T70" i="17"/>
  <c r="Y69" i="17"/>
  <c r="X69" i="17"/>
  <c r="W69" i="17"/>
  <c r="S69" i="17"/>
  <c r="R69" i="17"/>
  <c r="Q69" i="17"/>
  <c r="N69" i="17"/>
  <c r="L69" i="17"/>
  <c r="J69" i="17"/>
  <c r="I69" i="17"/>
  <c r="H69" i="17"/>
  <c r="G69" i="17"/>
  <c r="F69" i="17"/>
  <c r="E69" i="17"/>
  <c r="D69" i="17"/>
  <c r="A69" i="17"/>
  <c r="X68" i="17"/>
  <c r="W68" i="17"/>
  <c r="U68" i="17"/>
  <c r="T68" i="17"/>
  <c r="S68" i="17"/>
  <c r="R68" i="17"/>
  <c r="Q68" i="17"/>
  <c r="N68" i="17"/>
  <c r="L68" i="17"/>
  <c r="J68" i="17"/>
  <c r="I68" i="17"/>
  <c r="H68" i="17"/>
  <c r="G68" i="17"/>
  <c r="F68" i="17"/>
  <c r="E68" i="17"/>
  <c r="D68" i="17"/>
  <c r="C68" i="17"/>
  <c r="A68" i="17"/>
  <c r="X67" i="17"/>
  <c r="W67" i="17"/>
  <c r="V67" i="17"/>
  <c r="U67" i="17"/>
  <c r="T67" i="17"/>
  <c r="S67" i="17"/>
  <c r="R67" i="17"/>
  <c r="Q67" i="17"/>
  <c r="N67" i="17"/>
  <c r="L67" i="17"/>
  <c r="J67" i="17"/>
  <c r="I67" i="17"/>
  <c r="H67" i="17"/>
  <c r="G67" i="17"/>
  <c r="F67" i="17"/>
  <c r="E67" i="17"/>
  <c r="D67" i="17"/>
  <c r="A67" i="17"/>
  <c r="X66" i="17"/>
  <c r="W66" i="17"/>
  <c r="V66" i="17"/>
  <c r="U66" i="17"/>
  <c r="T66" i="17"/>
  <c r="S66" i="17"/>
  <c r="R66" i="17"/>
  <c r="Q66" i="17"/>
  <c r="N66" i="17"/>
  <c r="L66" i="17"/>
  <c r="J66" i="17"/>
  <c r="I66" i="17"/>
  <c r="H66" i="17"/>
  <c r="G66" i="17"/>
  <c r="F66" i="17"/>
  <c r="E66" i="17"/>
  <c r="D66" i="17"/>
  <c r="C66" i="17"/>
  <c r="B66" i="17"/>
  <c r="A66" i="17"/>
  <c r="Y65" i="17"/>
  <c r="X65" i="17"/>
  <c r="W65" i="17"/>
  <c r="V65" i="17"/>
  <c r="U65" i="17"/>
  <c r="T65" i="17"/>
  <c r="S65" i="17"/>
  <c r="R65" i="17"/>
  <c r="Q65" i="17"/>
  <c r="N65" i="17"/>
  <c r="L65" i="17"/>
  <c r="J65" i="17"/>
  <c r="I65" i="17"/>
  <c r="H65" i="17"/>
  <c r="G65" i="17"/>
  <c r="F65" i="17"/>
  <c r="E65" i="17"/>
  <c r="D65" i="17"/>
  <c r="A65" i="17"/>
  <c r="X64" i="17"/>
  <c r="W64" i="17"/>
  <c r="V64" i="17"/>
  <c r="U64" i="17"/>
  <c r="T64" i="17"/>
  <c r="S64" i="17"/>
  <c r="R64" i="17"/>
  <c r="Q64" i="17"/>
  <c r="N64" i="17"/>
  <c r="L64" i="17"/>
  <c r="J64" i="17"/>
  <c r="I64" i="17"/>
  <c r="H64" i="17"/>
  <c r="G64" i="17"/>
  <c r="F64" i="17"/>
  <c r="E64" i="17"/>
  <c r="D64" i="17"/>
  <c r="A64" i="17"/>
  <c r="X63" i="17"/>
  <c r="W63" i="17"/>
  <c r="S63" i="17"/>
  <c r="R63" i="17"/>
  <c r="Q63" i="17"/>
  <c r="N63" i="17"/>
  <c r="L63" i="17"/>
  <c r="J63" i="17"/>
  <c r="I63" i="17"/>
  <c r="H63" i="17"/>
  <c r="G63" i="17"/>
  <c r="F63" i="17"/>
  <c r="E63" i="17"/>
  <c r="D63" i="17"/>
  <c r="B63" i="17"/>
  <c r="A63" i="17"/>
  <c r="Y62" i="17"/>
  <c r="X62" i="17"/>
  <c r="W62" i="17"/>
  <c r="S62" i="17"/>
  <c r="R62" i="17"/>
  <c r="Q62" i="17"/>
  <c r="N62" i="17"/>
  <c r="L62" i="17"/>
  <c r="K62" i="17"/>
  <c r="J62" i="17"/>
  <c r="I62" i="17"/>
  <c r="H62" i="17"/>
  <c r="G62" i="17"/>
  <c r="F62" i="17"/>
  <c r="E62" i="17"/>
  <c r="D62" i="17"/>
  <c r="A62" i="17"/>
  <c r="B62" i="17"/>
  <c r="Y61" i="17"/>
  <c r="X61" i="17"/>
  <c r="W61" i="17"/>
  <c r="V61" i="17"/>
  <c r="U61" i="17"/>
  <c r="T61" i="17"/>
  <c r="S61" i="17"/>
  <c r="R61" i="17"/>
  <c r="Q61" i="17"/>
  <c r="P61" i="17"/>
  <c r="O61" i="17"/>
  <c r="N61" i="17"/>
  <c r="M61" i="17"/>
  <c r="L61" i="17"/>
  <c r="K61" i="17"/>
  <c r="J61" i="17"/>
  <c r="I61" i="17"/>
  <c r="H61" i="17"/>
  <c r="G61" i="17"/>
  <c r="F61" i="17"/>
  <c r="E61" i="17"/>
  <c r="D61" i="17"/>
  <c r="C61" i="17"/>
  <c r="B61" i="17"/>
  <c r="A61" i="17"/>
  <c r="Y60" i="17"/>
  <c r="X60" i="17"/>
  <c r="W60" i="17"/>
  <c r="S60" i="17"/>
  <c r="R60" i="17"/>
  <c r="Q60" i="17"/>
  <c r="N60" i="17"/>
  <c r="L60" i="17"/>
  <c r="J60" i="17"/>
  <c r="I60" i="17"/>
  <c r="H60" i="17"/>
  <c r="G60" i="17"/>
  <c r="F60" i="17"/>
  <c r="E60" i="17"/>
  <c r="D60" i="17"/>
  <c r="A60" i="17"/>
  <c r="Y59" i="17"/>
  <c r="X59" i="17"/>
  <c r="W59" i="17"/>
  <c r="S59" i="17"/>
  <c r="R59" i="17"/>
  <c r="Q59" i="17"/>
  <c r="N59" i="17"/>
  <c r="L59" i="17"/>
  <c r="J59" i="17"/>
  <c r="I59" i="17"/>
  <c r="H59" i="17"/>
  <c r="G59" i="17"/>
  <c r="F59" i="17"/>
  <c r="E59" i="17"/>
  <c r="D59" i="17"/>
  <c r="A59" i="17"/>
  <c r="Y58" i="17"/>
  <c r="X58" i="17"/>
  <c r="W58" i="17"/>
  <c r="V58" i="17"/>
  <c r="U58" i="17"/>
  <c r="T58" i="17"/>
  <c r="S58" i="17"/>
  <c r="R58" i="17"/>
  <c r="Q58" i="17"/>
  <c r="P58" i="17"/>
  <c r="O58" i="17"/>
  <c r="N58" i="17"/>
  <c r="M58" i="17"/>
  <c r="L58" i="17"/>
  <c r="K58" i="17"/>
  <c r="J58" i="17"/>
  <c r="I58" i="17"/>
  <c r="H58" i="17"/>
  <c r="G58" i="17"/>
  <c r="F58" i="17"/>
  <c r="E58" i="17"/>
  <c r="D58" i="17"/>
  <c r="C58" i="17"/>
  <c r="A58" i="17"/>
  <c r="B58" i="17"/>
  <c r="X57" i="17"/>
  <c r="W57" i="17"/>
  <c r="V57" i="17"/>
  <c r="U57" i="17"/>
  <c r="T57" i="17"/>
  <c r="S57" i="17"/>
  <c r="R57" i="17"/>
  <c r="Q57" i="17"/>
  <c r="P57" i="17"/>
  <c r="O57" i="17"/>
  <c r="N57" i="17"/>
  <c r="L57" i="17"/>
  <c r="J57" i="17"/>
  <c r="I57" i="17"/>
  <c r="H57" i="17"/>
  <c r="G57" i="17"/>
  <c r="F57" i="17"/>
  <c r="E57" i="17"/>
  <c r="D57" i="17"/>
  <c r="A57" i="17"/>
  <c r="Y56" i="17"/>
  <c r="X56" i="17"/>
  <c r="W56" i="17"/>
  <c r="V56" i="17"/>
  <c r="T56" i="17"/>
  <c r="S56" i="17"/>
  <c r="R56" i="17"/>
  <c r="Q56" i="17"/>
  <c r="O56" i="17"/>
  <c r="N56" i="17"/>
  <c r="L56" i="17"/>
  <c r="J56" i="17"/>
  <c r="I56" i="17"/>
  <c r="H56" i="17"/>
  <c r="G56" i="17"/>
  <c r="F56" i="17"/>
  <c r="E56" i="17"/>
  <c r="D56" i="17"/>
  <c r="A56" i="17"/>
  <c r="U56" i="17"/>
  <c r="Y55" i="17"/>
  <c r="X55" i="17"/>
  <c r="W55" i="17"/>
  <c r="V55" i="17"/>
  <c r="U55" i="17"/>
  <c r="S55" i="17"/>
  <c r="R55" i="17"/>
  <c r="Q55" i="17"/>
  <c r="N55" i="17"/>
  <c r="M55" i="17"/>
  <c r="L55" i="17"/>
  <c r="K55" i="17"/>
  <c r="J55" i="17"/>
  <c r="I55" i="17"/>
  <c r="H55" i="17"/>
  <c r="G55" i="17"/>
  <c r="F55" i="17"/>
  <c r="E55" i="17"/>
  <c r="D55" i="17"/>
  <c r="A55" i="17"/>
  <c r="B55" i="17"/>
  <c r="X54" i="17"/>
  <c r="W54" i="17"/>
  <c r="U54" i="17"/>
  <c r="T54" i="17"/>
  <c r="S54" i="17"/>
  <c r="R54" i="17"/>
  <c r="Q54" i="17"/>
  <c r="P54" i="17"/>
  <c r="O54" i="17"/>
  <c r="N54" i="17"/>
  <c r="M54" i="17"/>
  <c r="L54" i="17"/>
  <c r="K54" i="17"/>
  <c r="J54" i="17"/>
  <c r="I54" i="17"/>
  <c r="H54" i="17"/>
  <c r="G54" i="17"/>
  <c r="F54" i="17"/>
  <c r="E54" i="17"/>
  <c r="D54" i="17"/>
  <c r="A54" i="17"/>
  <c r="C54" i="17"/>
  <c r="X53" i="17"/>
  <c r="W53" i="17"/>
  <c r="V53" i="17"/>
  <c r="S53" i="17"/>
  <c r="R53" i="17"/>
  <c r="Q53" i="17"/>
  <c r="O53" i="17"/>
  <c r="N53" i="17"/>
  <c r="M53" i="17"/>
  <c r="L53" i="17"/>
  <c r="K53" i="17"/>
  <c r="J53" i="17"/>
  <c r="I53" i="17"/>
  <c r="H53" i="17"/>
  <c r="G53" i="17"/>
  <c r="F53" i="17"/>
  <c r="E53" i="17"/>
  <c r="D53" i="17"/>
  <c r="A53" i="17"/>
  <c r="X52" i="17"/>
  <c r="W52" i="17"/>
  <c r="S52" i="17"/>
  <c r="R52" i="17"/>
  <c r="Q52" i="17"/>
  <c r="P52" i="17"/>
  <c r="O52" i="17"/>
  <c r="N52" i="17"/>
  <c r="M52" i="17"/>
  <c r="L52" i="17"/>
  <c r="K52" i="17"/>
  <c r="J52" i="17"/>
  <c r="I52" i="17"/>
  <c r="H52" i="17"/>
  <c r="G52" i="17"/>
  <c r="F52" i="17"/>
  <c r="E52" i="17"/>
  <c r="D52" i="17"/>
  <c r="A52" i="17"/>
  <c r="B52" i="17"/>
  <c r="Y51" i="17"/>
  <c r="X51" i="17"/>
  <c r="W51" i="17"/>
  <c r="V51" i="17"/>
  <c r="T51" i="17"/>
  <c r="S51" i="17"/>
  <c r="R51" i="17"/>
  <c r="Q51" i="17"/>
  <c r="P51" i="17"/>
  <c r="O51" i="17"/>
  <c r="N51" i="17"/>
  <c r="M51" i="17"/>
  <c r="L51" i="17"/>
  <c r="K51" i="17"/>
  <c r="J51" i="17"/>
  <c r="I51" i="17"/>
  <c r="H51" i="17"/>
  <c r="G51" i="17"/>
  <c r="F51" i="17"/>
  <c r="E51" i="17"/>
  <c r="D51" i="17"/>
  <c r="C51" i="17"/>
  <c r="B51" i="17"/>
  <c r="A51" i="17"/>
  <c r="U51" i="17"/>
  <c r="X50" i="17"/>
  <c r="W50" i="17"/>
  <c r="V50" i="17"/>
  <c r="U50" i="17"/>
  <c r="T50" i="17"/>
  <c r="S50" i="17"/>
  <c r="R50" i="17"/>
  <c r="Q50" i="17"/>
  <c r="P50" i="17"/>
  <c r="O50" i="17"/>
  <c r="N50" i="17"/>
  <c r="M50" i="17"/>
  <c r="L50" i="17"/>
  <c r="K50" i="17"/>
  <c r="J50" i="17"/>
  <c r="I50" i="17"/>
  <c r="H50" i="17"/>
  <c r="G50" i="17"/>
  <c r="F50" i="17"/>
  <c r="E50" i="17"/>
  <c r="D50" i="17"/>
  <c r="A50" i="17"/>
  <c r="X49" i="17"/>
  <c r="W49" i="17"/>
  <c r="V49" i="17"/>
  <c r="U49" i="17"/>
  <c r="T49" i="17"/>
  <c r="S49" i="17"/>
  <c r="R49" i="17"/>
  <c r="Q49" i="17"/>
  <c r="P49" i="17"/>
  <c r="N49" i="17"/>
  <c r="M49" i="17"/>
  <c r="L49" i="17"/>
  <c r="K49" i="17"/>
  <c r="J49" i="17"/>
  <c r="I49" i="17"/>
  <c r="H49" i="17"/>
  <c r="G49" i="17"/>
  <c r="F49" i="17"/>
  <c r="E49" i="17"/>
  <c r="D49" i="17"/>
  <c r="A49" i="17"/>
  <c r="O49" i="17"/>
  <c r="X48" i="17"/>
  <c r="W48" i="17"/>
  <c r="V48" i="17"/>
  <c r="U48" i="17"/>
  <c r="S48" i="17"/>
  <c r="R48" i="17"/>
  <c r="Q48" i="17"/>
  <c r="P48" i="17"/>
  <c r="O48" i="17"/>
  <c r="N48" i="17"/>
  <c r="M48" i="17"/>
  <c r="L48" i="17"/>
  <c r="J48" i="17"/>
  <c r="I48" i="17"/>
  <c r="H48" i="17"/>
  <c r="G48" i="17"/>
  <c r="F48" i="17"/>
  <c r="E48" i="17"/>
  <c r="D48" i="17"/>
  <c r="B48" i="17"/>
  <c r="A48" i="17"/>
  <c r="Y48" i="17"/>
  <c r="X47" i="17"/>
  <c r="W47" i="17"/>
  <c r="T47" i="17"/>
  <c r="S47" i="17"/>
  <c r="R47" i="17"/>
  <c r="Q47" i="17"/>
  <c r="P47" i="17"/>
  <c r="O47" i="17"/>
  <c r="N47" i="17"/>
  <c r="L47" i="17"/>
  <c r="J47" i="17"/>
  <c r="I47" i="17"/>
  <c r="H47" i="17"/>
  <c r="G47" i="17"/>
  <c r="F47" i="17"/>
  <c r="E47" i="17"/>
  <c r="D47" i="17"/>
  <c r="A47" i="17"/>
  <c r="Y47" i="17"/>
  <c r="X46" i="17"/>
  <c r="W46" i="17"/>
  <c r="S46" i="17"/>
  <c r="R46" i="17"/>
  <c r="Q46" i="17"/>
  <c r="N46" i="17"/>
  <c r="L46" i="17"/>
  <c r="J46" i="17"/>
  <c r="I46" i="17"/>
  <c r="H46" i="17"/>
  <c r="G46" i="17"/>
  <c r="F46" i="17"/>
  <c r="E46" i="17"/>
  <c r="D46" i="17"/>
  <c r="A46" i="17"/>
  <c r="B46" i="17"/>
  <c r="X45" i="17"/>
  <c r="W45" i="17"/>
  <c r="S45" i="17"/>
  <c r="R45" i="17"/>
  <c r="Q45" i="17"/>
  <c r="N45" i="17"/>
  <c r="L45" i="17"/>
  <c r="J45" i="17"/>
  <c r="I45" i="17"/>
  <c r="H45" i="17"/>
  <c r="G45" i="17"/>
  <c r="F45" i="17"/>
  <c r="E45" i="17"/>
  <c r="D45" i="17"/>
  <c r="A45" i="17"/>
  <c r="Y44" i="17"/>
  <c r="X44" i="17"/>
  <c r="W44" i="17"/>
  <c r="S44" i="17"/>
  <c r="R44" i="17"/>
  <c r="Q44" i="17"/>
  <c r="N44" i="17"/>
  <c r="L44" i="17"/>
  <c r="J44" i="17"/>
  <c r="I44" i="17"/>
  <c r="H44" i="17"/>
  <c r="G44" i="17"/>
  <c r="F44" i="17"/>
  <c r="E44" i="17"/>
  <c r="D44" i="17"/>
  <c r="A44" i="17"/>
  <c r="T44" i="17"/>
  <c r="X43" i="17"/>
  <c r="W43" i="17"/>
  <c r="S43" i="17"/>
  <c r="R43" i="17"/>
  <c r="Q43" i="17"/>
  <c r="N43" i="17"/>
  <c r="L43" i="17"/>
  <c r="J43" i="17"/>
  <c r="I43" i="17"/>
  <c r="H43" i="17"/>
  <c r="G43" i="17"/>
  <c r="F43" i="17"/>
  <c r="E43" i="17"/>
  <c r="D43" i="17"/>
  <c r="A43" i="17"/>
  <c r="O43" i="17"/>
  <c r="Y42" i="17"/>
  <c r="X42" i="17"/>
  <c r="W42" i="17"/>
  <c r="U42" i="17"/>
  <c r="T42" i="17"/>
  <c r="S42" i="17"/>
  <c r="R42" i="17"/>
  <c r="Q42" i="17"/>
  <c r="P42" i="17"/>
  <c r="O42" i="17"/>
  <c r="N42" i="17"/>
  <c r="M42" i="17"/>
  <c r="L42" i="17"/>
  <c r="K42" i="17"/>
  <c r="J42" i="17"/>
  <c r="I42" i="17"/>
  <c r="H42" i="17"/>
  <c r="G42" i="17"/>
  <c r="F42" i="17"/>
  <c r="E42" i="17"/>
  <c r="D42" i="17"/>
  <c r="C42" i="17"/>
  <c r="A42" i="17"/>
  <c r="B42" i="17"/>
  <c r="X41" i="17"/>
  <c r="W41" i="17"/>
  <c r="S41" i="17"/>
  <c r="R41" i="17"/>
  <c r="Q41" i="17"/>
  <c r="N41" i="17"/>
  <c r="L41" i="17"/>
  <c r="J41" i="17"/>
  <c r="I41" i="17"/>
  <c r="H41" i="17"/>
  <c r="G41" i="17"/>
  <c r="F41" i="17"/>
  <c r="E41" i="17"/>
  <c r="D41" i="17"/>
  <c r="A41" i="17"/>
  <c r="Y40" i="17"/>
  <c r="X40" i="17"/>
  <c r="W40" i="17"/>
  <c r="V40" i="17"/>
  <c r="U40" i="17"/>
  <c r="T40" i="17"/>
  <c r="S40" i="17"/>
  <c r="R40" i="17"/>
  <c r="Q40" i="17"/>
  <c r="P40" i="17"/>
  <c r="O40" i="17"/>
  <c r="N40" i="17"/>
  <c r="M40" i="17"/>
  <c r="L40" i="17"/>
  <c r="K40" i="17"/>
  <c r="J40" i="17"/>
  <c r="I40" i="17"/>
  <c r="H40" i="17"/>
  <c r="G40" i="17"/>
  <c r="F40" i="17"/>
  <c r="E40" i="17"/>
  <c r="D40" i="17"/>
  <c r="C40" i="17"/>
  <c r="B40" i="17"/>
  <c r="A40" i="17"/>
  <c r="X39" i="17"/>
  <c r="W39" i="17"/>
  <c r="V39" i="17"/>
  <c r="T39" i="17"/>
  <c r="S39" i="17"/>
  <c r="R39" i="17"/>
  <c r="Q39" i="17"/>
  <c r="N39" i="17"/>
  <c r="L39" i="17"/>
  <c r="J39" i="17"/>
  <c r="I39" i="17"/>
  <c r="H39" i="17"/>
  <c r="G39" i="17"/>
  <c r="F39" i="17"/>
  <c r="E39" i="17"/>
  <c r="D39" i="17"/>
  <c r="A39" i="17"/>
  <c r="X38" i="17"/>
  <c r="W38" i="17"/>
  <c r="V38" i="17"/>
  <c r="U38" i="17"/>
  <c r="T38" i="17"/>
  <c r="S38" i="17"/>
  <c r="R38" i="17"/>
  <c r="Q38" i="17"/>
  <c r="N38" i="17"/>
  <c r="L38" i="17"/>
  <c r="J38" i="17"/>
  <c r="I38" i="17"/>
  <c r="H38" i="17"/>
  <c r="G38" i="17"/>
  <c r="F38" i="17"/>
  <c r="E38" i="17"/>
  <c r="D38" i="17"/>
  <c r="A38" i="17"/>
  <c r="X37" i="17"/>
  <c r="W37" i="17"/>
  <c r="V37" i="17"/>
  <c r="U37" i="17"/>
  <c r="T37" i="17"/>
  <c r="S37" i="17"/>
  <c r="R37" i="17"/>
  <c r="Q37" i="17"/>
  <c r="N37" i="17"/>
  <c r="M37" i="17"/>
  <c r="L37" i="17"/>
  <c r="K37" i="17"/>
  <c r="J37" i="17"/>
  <c r="I37" i="17"/>
  <c r="H37" i="17"/>
  <c r="G37" i="17"/>
  <c r="F37" i="17"/>
  <c r="E37" i="17"/>
  <c r="D37" i="17"/>
  <c r="C37" i="17"/>
  <c r="B37" i="17"/>
  <c r="A37" i="17"/>
  <c r="X36" i="17"/>
  <c r="W36" i="17"/>
  <c r="V36" i="17"/>
  <c r="U36" i="17"/>
  <c r="T36" i="17"/>
  <c r="S36" i="17"/>
  <c r="R36" i="17"/>
  <c r="Q36" i="17"/>
  <c r="N36" i="17"/>
  <c r="L36" i="17"/>
  <c r="J36" i="17"/>
  <c r="I36" i="17"/>
  <c r="H36" i="17"/>
  <c r="G36" i="17"/>
  <c r="F36" i="17"/>
  <c r="E36" i="17"/>
  <c r="D36" i="17"/>
  <c r="B36" i="17"/>
  <c r="A36" i="17"/>
  <c r="X35" i="17"/>
  <c r="W35" i="17"/>
  <c r="S35" i="17"/>
  <c r="R35" i="17"/>
  <c r="Q35" i="17"/>
  <c r="N35" i="17"/>
  <c r="L35" i="17"/>
  <c r="J35" i="17"/>
  <c r="I35" i="17"/>
  <c r="H35" i="17"/>
  <c r="G35" i="17"/>
  <c r="F35" i="17"/>
  <c r="E35" i="17"/>
  <c r="D35" i="17"/>
  <c r="A35" i="17"/>
  <c r="Y35" i="17"/>
  <c r="Y34" i="17"/>
  <c r="X34" i="17"/>
  <c r="W34" i="17"/>
  <c r="V34" i="17"/>
  <c r="U34" i="17"/>
  <c r="T34" i="17"/>
  <c r="S34" i="17"/>
  <c r="R34" i="17"/>
  <c r="Q34" i="17"/>
  <c r="P34" i="17"/>
  <c r="O34" i="17"/>
  <c r="N34" i="17"/>
  <c r="M34" i="17"/>
  <c r="L34" i="17"/>
  <c r="K34" i="17"/>
  <c r="J34" i="17"/>
  <c r="I34" i="17"/>
  <c r="H34" i="17"/>
  <c r="G34" i="17"/>
  <c r="F34" i="17"/>
  <c r="E34" i="17"/>
  <c r="D34" i="17"/>
  <c r="C34" i="17"/>
  <c r="A34" i="17"/>
  <c r="B34" i="17"/>
  <c r="X33" i="17"/>
  <c r="W33" i="17"/>
  <c r="S33" i="17"/>
  <c r="R33" i="17"/>
  <c r="Q33" i="17"/>
  <c r="N33" i="17"/>
  <c r="L33" i="17"/>
  <c r="J33" i="17"/>
  <c r="I33" i="17"/>
  <c r="H33" i="17"/>
  <c r="G33" i="17"/>
  <c r="F33" i="17"/>
  <c r="E33" i="17"/>
  <c r="D33" i="17"/>
  <c r="A33" i="17"/>
  <c r="Y32" i="17"/>
  <c r="X32" i="17"/>
  <c r="W32" i="17"/>
  <c r="S32" i="17"/>
  <c r="R32" i="17"/>
  <c r="Q32" i="17"/>
  <c r="N32" i="17"/>
  <c r="L32" i="17"/>
  <c r="J32" i="17"/>
  <c r="I32" i="17"/>
  <c r="H32" i="17"/>
  <c r="G32" i="17"/>
  <c r="F32" i="17"/>
  <c r="E32" i="17"/>
  <c r="D32" i="17"/>
  <c r="A32" i="17"/>
  <c r="B32" i="17"/>
  <c r="X31" i="17"/>
  <c r="W31" i="17"/>
  <c r="S31" i="17"/>
  <c r="R31" i="17"/>
  <c r="Q31" i="17"/>
  <c r="N31" i="17"/>
  <c r="L31" i="17"/>
  <c r="J31" i="17"/>
  <c r="I31" i="17"/>
  <c r="H31" i="17"/>
  <c r="G31" i="17"/>
  <c r="F31" i="17"/>
  <c r="E31" i="17"/>
  <c r="D31" i="17"/>
  <c r="C31" i="17"/>
  <c r="B31" i="17"/>
  <c r="A31" i="17"/>
  <c r="X30" i="17"/>
  <c r="W30" i="17"/>
  <c r="S30" i="17"/>
  <c r="R30" i="17"/>
  <c r="Q30" i="17"/>
  <c r="N30" i="17"/>
  <c r="L30" i="17"/>
  <c r="K30" i="17"/>
  <c r="J30" i="17"/>
  <c r="I30" i="17"/>
  <c r="H30" i="17"/>
  <c r="G30" i="17"/>
  <c r="F30" i="17"/>
  <c r="E30" i="17"/>
  <c r="D30" i="17"/>
  <c r="A30" i="17"/>
  <c r="B30" i="17"/>
  <c r="Y29" i="17"/>
  <c r="X29" i="17"/>
  <c r="W29" i="17"/>
  <c r="S29" i="17"/>
  <c r="R29" i="17"/>
  <c r="Q29" i="17"/>
  <c r="N29" i="17"/>
  <c r="L29" i="17"/>
  <c r="K29" i="17"/>
  <c r="J29" i="17"/>
  <c r="I29" i="17"/>
  <c r="H29" i="17"/>
  <c r="G29" i="17"/>
  <c r="F29" i="17"/>
  <c r="E29" i="17"/>
  <c r="D29" i="17"/>
  <c r="A29" i="17"/>
  <c r="X28" i="17"/>
  <c r="W28" i="17"/>
  <c r="V28" i="17"/>
  <c r="S28" i="17"/>
  <c r="R28" i="17"/>
  <c r="Q28" i="17"/>
  <c r="P28" i="17"/>
  <c r="O28" i="17"/>
  <c r="N28" i="17"/>
  <c r="M28" i="17"/>
  <c r="L28" i="17"/>
  <c r="K28" i="17"/>
  <c r="J28" i="17"/>
  <c r="I28" i="17"/>
  <c r="H28" i="17"/>
  <c r="G28" i="17"/>
  <c r="F28" i="17"/>
  <c r="E28" i="17"/>
  <c r="D28" i="17"/>
  <c r="C28" i="17"/>
  <c r="B28" i="17"/>
  <c r="A28" i="17"/>
  <c r="Y27" i="17"/>
  <c r="X27" i="17"/>
  <c r="W27" i="17"/>
  <c r="V27" i="17"/>
  <c r="U27" i="17"/>
  <c r="T27" i="17"/>
  <c r="S27" i="17"/>
  <c r="R27" i="17"/>
  <c r="Q27" i="17"/>
  <c r="P27" i="17"/>
  <c r="O27" i="17"/>
  <c r="N27" i="17"/>
  <c r="M27" i="17"/>
  <c r="L27" i="17"/>
  <c r="K27" i="17"/>
  <c r="J27" i="17"/>
  <c r="I27" i="17"/>
  <c r="H27" i="17"/>
  <c r="G27" i="17"/>
  <c r="F27" i="17"/>
  <c r="E27" i="17"/>
  <c r="D27" i="17"/>
  <c r="C27" i="17"/>
  <c r="B27" i="17"/>
  <c r="A27" i="17"/>
  <c r="X26" i="17"/>
  <c r="W26" i="17"/>
  <c r="V26" i="17"/>
  <c r="U26" i="17"/>
  <c r="T26" i="17"/>
  <c r="S26" i="17"/>
  <c r="R26" i="17"/>
  <c r="Q26" i="17"/>
  <c r="P26" i="17"/>
  <c r="O26" i="17"/>
  <c r="N26" i="17"/>
  <c r="M26" i="17"/>
  <c r="L26" i="17"/>
  <c r="K26" i="17"/>
  <c r="J26" i="17"/>
  <c r="I26" i="17"/>
  <c r="H26" i="17"/>
  <c r="G26" i="17"/>
  <c r="F26" i="17"/>
  <c r="E26" i="17"/>
  <c r="D26" i="17"/>
  <c r="A26" i="17"/>
  <c r="X25" i="17"/>
  <c r="W25" i="17"/>
  <c r="V25" i="17"/>
  <c r="U25" i="17"/>
  <c r="T25" i="17"/>
  <c r="S25" i="17"/>
  <c r="R25" i="17"/>
  <c r="Q25" i="17"/>
  <c r="P25" i="17"/>
  <c r="O25" i="17"/>
  <c r="N25" i="17"/>
  <c r="M25" i="17"/>
  <c r="L25" i="17"/>
  <c r="K25" i="17"/>
  <c r="J25" i="17"/>
  <c r="I25" i="17"/>
  <c r="H25" i="17"/>
  <c r="G25" i="17"/>
  <c r="F25" i="17"/>
  <c r="E25" i="17"/>
  <c r="D25" i="17"/>
  <c r="A25" i="17"/>
  <c r="B25" i="17"/>
  <c r="X24" i="17"/>
  <c r="W24" i="17"/>
  <c r="V24" i="17"/>
  <c r="U24" i="17"/>
  <c r="T24" i="17"/>
  <c r="S24" i="17"/>
  <c r="R24" i="17"/>
  <c r="Q24" i="17"/>
  <c r="P24" i="17"/>
  <c r="O24" i="17"/>
  <c r="N24" i="17"/>
  <c r="M24" i="17"/>
  <c r="L24" i="17"/>
  <c r="J24" i="17"/>
  <c r="I24" i="17"/>
  <c r="H24" i="17"/>
  <c r="G24" i="17"/>
  <c r="F24" i="17"/>
  <c r="E24" i="17"/>
  <c r="D24" i="17"/>
  <c r="A24" i="17"/>
  <c r="K24" i="17"/>
  <c r="Y23" i="17"/>
  <c r="X23" i="17"/>
  <c r="W23" i="17"/>
  <c r="V23" i="17"/>
  <c r="U23" i="17"/>
  <c r="T23" i="17"/>
  <c r="S23" i="17"/>
  <c r="R23" i="17"/>
  <c r="Q23" i="17"/>
  <c r="P23" i="17"/>
  <c r="O23" i="17"/>
  <c r="N23" i="17"/>
  <c r="L23" i="17"/>
  <c r="J23" i="17"/>
  <c r="I23" i="17"/>
  <c r="H23" i="17"/>
  <c r="G23" i="17"/>
  <c r="F23" i="17"/>
  <c r="E23" i="17"/>
  <c r="D23" i="17"/>
  <c r="A23" i="17"/>
  <c r="C23" i="17"/>
  <c r="Y22" i="17"/>
  <c r="X22" i="17"/>
  <c r="W22" i="17"/>
  <c r="V22" i="17"/>
  <c r="U22" i="17"/>
  <c r="T22" i="17"/>
  <c r="S22" i="17"/>
  <c r="R22" i="17"/>
  <c r="Q22" i="17"/>
  <c r="N22" i="17"/>
  <c r="L22" i="17"/>
  <c r="J22" i="17"/>
  <c r="I22" i="17"/>
  <c r="H22" i="17"/>
  <c r="G22" i="17"/>
  <c r="F22" i="17"/>
  <c r="E22" i="17"/>
  <c r="D22" i="17"/>
  <c r="A22" i="17"/>
  <c r="B22" i="17"/>
  <c r="Y21" i="17"/>
  <c r="X21" i="17"/>
  <c r="W21" i="17"/>
  <c r="V21" i="17"/>
  <c r="U21" i="17"/>
  <c r="S21" i="17"/>
  <c r="R21" i="17"/>
  <c r="Q21" i="17"/>
  <c r="P21" i="17"/>
  <c r="N21" i="17"/>
  <c r="L21" i="17"/>
  <c r="K21" i="17"/>
  <c r="J21" i="17"/>
  <c r="I21" i="17"/>
  <c r="H21" i="17"/>
  <c r="G21" i="17"/>
  <c r="F21" i="17"/>
  <c r="E21" i="17"/>
  <c r="D21" i="17"/>
  <c r="A21" i="17"/>
  <c r="C21" i="17"/>
  <c r="Y20" i="17"/>
  <c r="X20" i="17"/>
  <c r="W20" i="17"/>
  <c r="T20" i="17"/>
  <c r="S20" i="17"/>
  <c r="R20" i="17"/>
  <c r="Q20" i="17"/>
  <c r="P20" i="17"/>
  <c r="O20" i="17"/>
  <c r="N20" i="17"/>
  <c r="M20" i="17"/>
  <c r="L20" i="17"/>
  <c r="K20" i="17"/>
  <c r="J20" i="17"/>
  <c r="I20" i="17"/>
  <c r="H20" i="17"/>
  <c r="G20" i="17"/>
  <c r="F20" i="17"/>
  <c r="E20" i="17"/>
  <c r="D20" i="17"/>
  <c r="C20" i="17"/>
  <c r="B20" i="17"/>
  <c r="A20" i="17"/>
  <c r="V20" i="17"/>
  <c r="X19" i="17"/>
  <c r="W19" i="17"/>
  <c r="V19" i="17"/>
  <c r="U19" i="17"/>
  <c r="T19" i="17"/>
  <c r="S19" i="17"/>
  <c r="R19" i="17"/>
  <c r="Q19" i="17"/>
  <c r="O19" i="17"/>
  <c r="N19" i="17"/>
  <c r="L19" i="17"/>
  <c r="K19" i="17"/>
  <c r="J19" i="17"/>
  <c r="I19" i="17"/>
  <c r="H19" i="17"/>
  <c r="G19" i="17"/>
  <c r="F19" i="17"/>
  <c r="E19" i="17"/>
  <c r="D19" i="17"/>
  <c r="A19" i="17"/>
  <c r="X18" i="17"/>
  <c r="W18" i="17"/>
  <c r="U18" i="17"/>
  <c r="T18" i="17"/>
  <c r="S18" i="17"/>
  <c r="R18" i="17"/>
  <c r="Q18" i="17"/>
  <c r="P18" i="17"/>
  <c r="N18" i="17"/>
  <c r="M18" i="17"/>
  <c r="L18" i="17"/>
  <c r="K18" i="17"/>
  <c r="J18" i="17"/>
  <c r="I18" i="17"/>
  <c r="H18" i="17"/>
  <c r="G18" i="17"/>
  <c r="F18" i="17"/>
  <c r="E18" i="17"/>
  <c r="D18" i="17"/>
  <c r="A18" i="17"/>
  <c r="C18" i="17"/>
  <c r="X17" i="17"/>
  <c r="W17" i="17"/>
  <c r="S17" i="17"/>
  <c r="R17" i="17"/>
  <c r="Q17" i="17"/>
  <c r="P17" i="17"/>
  <c r="N17" i="17"/>
  <c r="M17" i="17"/>
  <c r="L17" i="17"/>
  <c r="K17" i="17"/>
  <c r="J17" i="17"/>
  <c r="I17" i="17"/>
  <c r="H17" i="17"/>
  <c r="G17" i="17"/>
  <c r="F17" i="17"/>
  <c r="E17" i="17"/>
  <c r="D17" i="17"/>
  <c r="A17" i="17"/>
  <c r="C17" i="17"/>
  <c r="X16" i="17"/>
  <c r="W16" i="17"/>
  <c r="V16" i="17"/>
  <c r="U16" i="17"/>
  <c r="T16" i="17"/>
  <c r="S16" i="17"/>
  <c r="R16" i="17"/>
  <c r="Q16" i="17"/>
  <c r="P16" i="17"/>
  <c r="O16" i="17"/>
  <c r="N16" i="17"/>
  <c r="L16" i="17"/>
  <c r="J16" i="17"/>
  <c r="I16" i="17"/>
  <c r="H16" i="17"/>
  <c r="G16" i="17"/>
  <c r="F16" i="17"/>
  <c r="E16" i="17"/>
  <c r="D16" i="17"/>
  <c r="C16" i="17"/>
  <c r="B16" i="17"/>
  <c r="A16" i="17"/>
  <c r="X15" i="17"/>
  <c r="W15" i="17"/>
  <c r="V15" i="17"/>
  <c r="U15" i="17"/>
  <c r="T15" i="17"/>
  <c r="S15" i="17"/>
  <c r="R15" i="17"/>
  <c r="Q15" i="17"/>
  <c r="N15" i="17"/>
  <c r="M15" i="17"/>
  <c r="L15" i="17"/>
  <c r="K15" i="17"/>
  <c r="J15" i="17"/>
  <c r="I15" i="17"/>
  <c r="H15" i="17"/>
  <c r="G15" i="17"/>
  <c r="F15" i="17"/>
  <c r="E15" i="17"/>
  <c r="D15" i="17"/>
  <c r="C15" i="17"/>
  <c r="A15" i="17"/>
  <c r="X14" i="17"/>
  <c r="W14" i="17"/>
  <c r="U14" i="17"/>
  <c r="T14" i="17"/>
  <c r="S14" i="17"/>
  <c r="R14" i="17"/>
  <c r="Q14" i="17"/>
  <c r="P14" i="17"/>
  <c r="O14" i="17"/>
  <c r="N14" i="17"/>
  <c r="M14" i="17"/>
  <c r="L14" i="17"/>
  <c r="K14" i="17"/>
  <c r="J14" i="17"/>
  <c r="I14" i="17"/>
  <c r="H14" i="17"/>
  <c r="G14" i="17"/>
  <c r="F14" i="17"/>
  <c r="E14" i="17"/>
  <c r="D14" i="17"/>
  <c r="A14" i="17"/>
  <c r="X13" i="17"/>
  <c r="W13" i="17"/>
  <c r="S13" i="17"/>
  <c r="R13" i="17"/>
  <c r="Q13" i="17"/>
  <c r="P13" i="17"/>
  <c r="O13" i="17"/>
  <c r="N13" i="17"/>
  <c r="M13" i="17"/>
  <c r="L13" i="17"/>
  <c r="K13" i="17"/>
  <c r="J13" i="17"/>
  <c r="I13" i="17"/>
  <c r="H13" i="17"/>
  <c r="G13" i="17"/>
  <c r="F13" i="17"/>
  <c r="E13" i="17"/>
  <c r="D13" i="17"/>
  <c r="B13" i="17"/>
  <c r="A13" i="17"/>
  <c r="Y12" i="17"/>
  <c r="X12" i="17"/>
  <c r="W12" i="17"/>
  <c r="V12" i="17"/>
  <c r="U12" i="17"/>
  <c r="T12" i="17"/>
  <c r="S12" i="17"/>
  <c r="R12" i="17"/>
  <c r="Q12" i="17"/>
  <c r="P12" i="17"/>
  <c r="O12" i="17"/>
  <c r="N12" i="17"/>
  <c r="M12" i="17"/>
  <c r="L12" i="17"/>
  <c r="K12" i="17"/>
  <c r="J12" i="17"/>
  <c r="I12" i="17"/>
  <c r="H12" i="17"/>
  <c r="G12" i="17"/>
  <c r="F12" i="17"/>
  <c r="E12" i="17"/>
  <c r="D12" i="17"/>
  <c r="C12" i="17"/>
  <c r="A12" i="17"/>
  <c r="B12" i="17"/>
  <c r="X11" i="17"/>
  <c r="W11" i="17"/>
  <c r="V11" i="17"/>
  <c r="U11" i="17"/>
  <c r="T11" i="17"/>
  <c r="S11" i="17"/>
  <c r="R11" i="17"/>
  <c r="Q11" i="17"/>
  <c r="P11" i="17"/>
  <c r="O11" i="17"/>
  <c r="N11" i="17"/>
  <c r="M11" i="17"/>
  <c r="L11" i="17"/>
  <c r="K11" i="17"/>
  <c r="J11" i="17"/>
  <c r="I11" i="17"/>
  <c r="H11" i="17"/>
  <c r="G11" i="17"/>
  <c r="F11" i="17"/>
  <c r="E11" i="17"/>
  <c r="D11" i="17"/>
  <c r="A11" i="17"/>
  <c r="Y11" i="17"/>
  <c r="Y10" i="17"/>
  <c r="X10" i="17"/>
  <c r="W10" i="17"/>
  <c r="V10" i="17"/>
  <c r="U10" i="17"/>
  <c r="S10" i="17"/>
  <c r="R10" i="17"/>
  <c r="Q10" i="17"/>
  <c r="N10" i="17"/>
  <c r="L10" i="17"/>
  <c r="J10" i="17"/>
  <c r="I10" i="17"/>
  <c r="H10" i="17"/>
  <c r="G10" i="17"/>
  <c r="F10" i="17"/>
  <c r="E10" i="17"/>
  <c r="D10" i="17"/>
  <c r="A10" i="17"/>
  <c r="X9" i="17"/>
  <c r="W9" i="17"/>
  <c r="V9" i="17"/>
  <c r="T9" i="17"/>
  <c r="S9" i="17"/>
  <c r="R9" i="17"/>
  <c r="Q9" i="17"/>
  <c r="N9" i="17"/>
  <c r="L9" i="17"/>
  <c r="J9" i="17"/>
  <c r="I9" i="17"/>
  <c r="H9" i="17"/>
  <c r="G9" i="17"/>
  <c r="F9" i="17"/>
  <c r="E9" i="17"/>
  <c r="D9" i="17"/>
  <c r="A9" i="17"/>
  <c r="M9" i="17"/>
  <c r="Y8" i="17"/>
  <c r="X8" i="17"/>
  <c r="W8" i="17"/>
  <c r="V8" i="17"/>
  <c r="T8" i="17"/>
  <c r="S8" i="17"/>
  <c r="R8" i="17"/>
  <c r="Q8" i="17"/>
  <c r="N8" i="17"/>
  <c r="L8" i="17"/>
  <c r="J8" i="17"/>
  <c r="I8" i="17"/>
  <c r="H8" i="17"/>
  <c r="G8" i="17"/>
  <c r="F8" i="17"/>
  <c r="E8" i="17"/>
  <c r="D8" i="17"/>
  <c r="A8" i="17"/>
  <c r="U8" i="17"/>
  <c r="Y7" i="17"/>
  <c r="X7" i="17"/>
  <c r="W7" i="17"/>
  <c r="V7" i="17"/>
  <c r="U7" i="17"/>
  <c r="S7" i="17"/>
  <c r="R7" i="17"/>
  <c r="Q7" i="17"/>
  <c r="O7" i="17"/>
  <c r="N7" i="17"/>
  <c r="L7" i="17"/>
  <c r="K7" i="17"/>
  <c r="J7" i="17"/>
  <c r="I7" i="17"/>
  <c r="H7" i="17"/>
  <c r="G7" i="17"/>
  <c r="F7" i="17"/>
  <c r="E7" i="17"/>
  <c r="D7" i="17"/>
  <c r="A7" i="17"/>
  <c r="Y6" i="17"/>
  <c r="X6" i="17"/>
  <c r="W6" i="17"/>
  <c r="V6" i="17"/>
  <c r="S6" i="17"/>
  <c r="R6" i="17"/>
  <c r="Q6" i="17"/>
  <c r="P6" i="17"/>
  <c r="O6" i="17"/>
  <c r="N6" i="17"/>
  <c r="M6" i="17"/>
  <c r="L6" i="17"/>
  <c r="J6" i="17"/>
  <c r="I6" i="17"/>
  <c r="H6" i="17"/>
  <c r="G6" i="17"/>
  <c r="F6" i="17"/>
  <c r="E6" i="17"/>
  <c r="D6" i="17"/>
  <c r="B6" i="17"/>
  <c r="A6" i="17"/>
  <c r="Y5" i="17"/>
  <c r="X5" i="17"/>
  <c r="W5" i="17"/>
  <c r="V5" i="17"/>
  <c r="U5" i="17"/>
  <c r="T5" i="17"/>
  <c r="S5" i="17"/>
  <c r="R5" i="17"/>
  <c r="Q5" i="17"/>
  <c r="P5" i="17"/>
  <c r="O5" i="17"/>
  <c r="N5" i="17"/>
  <c r="M5" i="17"/>
  <c r="L5" i="17"/>
  <c r="K5" i="17"/>
  <c r="J5" i="17"/>
  <c r="I5" i="17"/>
  <c r="H5" i="17"/>
  <c r="G5" i="17"/>
  <c r="F5" i="17"/>
  <c r="E5" i="17"/>
  <c r="D5" i="17"/>
  <c r="C5" i="17"/>
  <c r="B5" i="17"/>
  <c r="A5" i="17"/>
  <c r="X4" i="17"/>
  <c r="W4" i="17"/>
  <c r="V4" i="17"/>
  <c r="U4" i="17"/>
  <c r="T4" i="17"/>
  <c r="S4" i="17"/>
  <c r="R4" i="17"/>
  <c r="Q4" i="17"/>
  <c r="P4" i="17"/>
  <c r="O4" i="17"/>
  <c r="N4" i="17"/>
  <c r="M4" i="17"/>
  <c r="L4" i="17"/>
  <c r="K4" i="17"/>
  <c r="J4" i="17"/>
  <c r="I4" i="17"/>
  <c r="H4" i="17"/>
  <c r="G4" i="17"/>
  <c r="F4" i="17"/>
  <c r="E4" i="17"/>
  <c r="D4" i="17"/>
  <c r="B4" i="17"/>
  <c r="A4" i="17"/>
  <c r="X3" i="17"/>
  <c r="W3" i="17"/>
  <c r="V3" i="17"/>
  <c r="T3" i="17"/>
  <c r="S3" i="17"/>
  <c r="R3" i="17"/>
  <c r="Q3" i="17"/>
  <c r="N3" i="17"/>
  <c r="L3" i="17"/>
  <c r="J3" i="17"/>
  <c r="I3" i="17"/>
  <c r="H3" i="17"/>
  <c r="G3" i="17"/>
  <c r="F3" i="17"/>
  <c r="E3" i="17"/>
  <c r="D3" i="17"/>
  <c r="A3" i="17"/>
  <c r="E122" i="13"/>
  <c r="D122" i="13"/>
  <c r="C122" i="13"/>
  <c r="B122" i="13"/>
  <c r="A122" i="13"/>
  <c r="E121" i="13"/>
  <c r="D121" i="13"/>
  <c r="C121" i="13"/>
  <c r="B121" i="13"/>
  <c r="A121" i="13"/>
  <c r="E120" i="13"/>
  <c r="D120" i="13"/>
  <c r="C120" i="13"/>
  <c r="B120" i="13"/>
  <c r="A120" i="13"/>
  <c r="E119" i="13"/>
  <c r="D119" i="13"/>
  <c r="C119" i="13"/>
  <c r="B119" i="13"/>
  <c r="A119" i="13"/>
  <c r="E118" i="13"/>
  <c r="D118" i="13"/>
  <c r="C118" i="13"/>
  <c r="B118" i="13"/>
  <c r="A118" i="13"/>
  <c r="E117" i="13"/>
  <c r="D117" i="13"/>
  <c r="C117" i="13"/>
  <c r="B117" i="13"/>
  <c r="A117" i="13"/>
  <c r="E116" i="13"/>
  <c r="D116" i="13"/>
  <c r="C116" i="13"/>
  <c r="B116" i="13"/>
  <c r="A116" i="13"/>
  <c r="E115" i="13"/>
  <c r="D115" i="13"/>
  <c r="C115" i="13"/>
  <c r="B115" i="13"/>
  <c r="A115" i="13"/>
  <c r="E114" i="13"/>
  <c r="D114" i="13"/>
  <c r="C114" i="13"/>
  <c r="B114" i="13"/>
  <c r="A114" i="13"/>
  <c r="E113" i="13"/>
  <c r="D113" i="13"/>
  <c r="C113" i="13"/>
  <c r="B113" i="13"/>
  <c r="A113" i="13"/>
  <c r="E112" i="13"/>
  <c r="D112" i="13"/>
  <c r="C112" i="13"/>
  <c r="B112" i="13"/>
  <c r="A112" i="13"/>
  <c r="E111" i="13"/>
  <c r="D111" i="13"/>
  <c r="C111" i="13"/>
  <c r="B111" i="13"/>
  <c r="A111" i="13"/>
  <c r="E110" i="13"/>
  <c r="D110" i="13"/>
  <c r="C110" i="13"/>
  <c r="B110" i="13"/>
  <c r="A110" i="13"/>
  <c r="E109" i="13"/>
  <c r="D109" i="13"/>
  <c r="C109" i="13"/>
  <c r="B109" i="13"/>
  <c r="A109" i="13"/>
  <c r="E108" i="13"/>
  <c r="D108" i="13"/>
  <c r="C108" i="13"/>
  <c r="B108" i="13"/>
  <c r="A108" i="13"/>
  <c r="E107" i="13"/>
  <c r="D107" i="13"/>
  <c r="C107" i="13"/>
  <c r="B107" i="13"/>
  <c r="A107" i="13"/>
  <c r="E106" i="13"/>
  <c r="D106" i="13"/>
  <c r="C106" i="13"/>
  <c r="B106" i="13"/>
  <c r="A106" i="13"/>
  <c r="E105" i="13"/>
  <c r="D105" i="13"/>
  <c r="C105" i="13"/>
  <c r="B105" i="13"/>
  <c r="A105" i="13"/>
  <c r="E104" i="13"/>
  <c r="D104" i="13"/>
  <c r="C104" i="13"/>
  <c r="B104" i="13"/>
  <c r="A104" i="13"/>
  <c r="E103" i="13"/>
  <c r="D103" i="13"/>
  <c r="C103" i="13"/>
  <c r="B103" i="13"/>
  <c r="A103" i="13"/>
  <c r="E102" i="13"/>
  <c r="D102" i="13"/>
  <c r="C102" i="13"/>
  <c r="B102" i="13"/>
  <c r="A102" i="13"/>
  <c r="E101" i="13"/>
  <c r="D101" i="13"/>
  <c r="C101" i="13"/>
  <c r="B101" i="13"/>
  <c r="A101" i="13"/>
  <c r="E100" i="13"/>
  <c r="D100" i="13"/>
  <c r="C100" i="13"/>
  <c r="B100" i="13"/>
  <c r="A100" i="13"/>
  <c r="E99" i="13"/>
  <c r="D99" i="13"/>
  <c r="C99" i="13"/>
  <c r="B99" i="13"/>
  <c r="A99" i="13"/>
  <c r="E98" i="13"/>
  <c r="D98" i="13"/>
  <c r="C98" i="13"/>
  <c r="B98" i="13"/>
  <c r="A98" i="13"/>
  <c r="E97" i="13"/>
  <c r="D97" i="13"/>
  <c r="C97" i="13"/>
  <c r="B97" i="13"/>
  <c r="A97" i="13"/>
  <c r="E96" i="13"/>
  <c r="D96" i="13"/>
  <c r="C96" i="13"/>
  <c r="B96" i="13"/>
  <c r="A96" i="13"/>
  <c r="E95" i="13"/>
  <c r="D95" i="13"/>
  <c r="C95" i="13"/>
  <c r="B95" i="13"/>
  <c r="A95" i="13"/>
  <c r="E94" i="13"/>
  <c r="D94" i="13"/>
  <c r="C94" i="13"/>
  <c r="B94" i="13"/>
  <c r="A94" i="13"/>
  <c r="E93" i="13"/>
  <c r="D93" i="13"/>
  <c r="C93" i="13"/>
  <c r="B93" i="13"/>
  <c r="A93" i="13"/>
  <c r="E92" i="13"/>
  <c r="D92" i="13"/>
  <c r="C92" i="13"/>
  <c r="B92" i="13"/>
  <c r="A92" i="13"/>
  <c r="E91" i="13"/>
  <c r="D91" i="13"/>
  <c r="C91" i="13"/>
  <c r="B91" i="13"/>
  <c r="A91" i="13"/>
  <c r="E90" i="13"/>
  <c r="D90" i="13"/>
  <c r="C90" i="13"/>
  <c r="B90" i="13"/>
  <c r="A90" i="13"/>
  <c r="E89" i="13"/>
  <c r="D89" i="13"/>
  <c r="C89" i="13"/>
  <c r="B89" i="13"/>
  <c r="A89" i="13"/>
  <c r="E88" i="13"/>
  <c r="D88" i="13"/>
  <c r="C88" i="13"/>
  <c r="B88" i="13"/>
  <c r="A88" i="13"/>
  <c r="E87" i="13"/>
  <c r="D87" i="13"/>
  <c r="C87" i="13"/>
  <c r="B87" i="13"/>
  <c r="A87" i="13"/>
  <c r="E86" i="13"/>
  <c r="D86" i="13"/>
  <c r="C86" i="13"/>
  <c r="B86" i="13"/>
  <c r="A86" i="13"/>
  <c r="E85" i="13"/>
  <c r="D85" i="13"/>
  <c r="C85" i="13"/>
  <c r="B85" i="13"/>
  <c r="A85" i="13"/>
  <c r="E84" i="13"/>
  <c r="D84" i="13"/>
  <c r="C84" i="13"/>
  <c r="B84" i="13"/>
  <c r="A84" i="13"/>
  <c r="E83" i="13"/>
  <c r="D83" i="13"/>
  <c r="C83" i="13"/>
  <c r="B83" i="13"/>
  <c r="A83" i="13"/>
  <c r="E82" i="13"/>
  <c r="D82" i="13"/>
  <c r="C82" i="13"/>
  <c r="B82" i="13"/>
  <c r="A82" i="13"/>
  <c r="E81" i="13"/>
  <c r="D81" i="13"/>
  <c r="C81" i="13"/>
  <c r="B81" i="13"/>
  <c r="A81" i="13"/>
  <c r="E80" i="13"/>
  <c r="D80" i="13"/>
  <c r="C80" i="13"/>
  <c r="B80" i="13"/>
  <c r="A80" i="13"/>
  <c r="E79" i="13"/>
  <c r="D79" i="13"/>
  <c r="C79" i="13"/>
  <c r="B79" i="13"/>
  <c r="A79" i="13"/>
  <c r="E78" i="13"/>
  <c r="D78" i="13"/>
  <c r="C78" i="13"/>
  <c r="B78" i="13"/>
  <c r="A78" i="13"/>
  <c r="E77" i="13"/>
  <c r="D77" i="13"/>
  <c r="C77" i="13"/>
  <c r="B77" i="13"/>
  <c r="A77" i="13"/>
  <c r="E76" i="13"/>
  <c r="D76" i="13"/>
  <c r="C76" i="13"/>
  <c r="B76" i="13"/>
  <c r="A76" i="13"/>
  <c r="E75" i="13"/>
  <c r="D75" i="13"/>
  <c r="C75" i="13"/>
  <c r="B75" i="13"/>
  <c r="A75" i="13"/>
  <c r="E74" i="13"/>
  <c r="D74" i="13"/>
  <c r="C74" i="13"/>
  <c r="B74" i="13"/>
  <c r="A74" i="13"/>
  <c r="E73" i="13"/>
  <c r="D73" i="13"/>
  <c r="C73" i="13"/>
  <c r="B73" i="13"/>
  <c r="A73" i="13"/>
  <c r="E72" i="13"/>
  <c r="D72" i="13"/>
  <c r="C72" i="13"/>
  <c r="B72" i="13"/>
  <c r="A72" i="13"/>
  <c r="E71" i="13"/>
  <c r="D71" i="13"/>
  <c r="C71" i="13"/>
  <c r="B71" i="13"/>
  <c r="A71" i="13"/>
  <c r="E70" i="13"/>
  <c r="D70" i="13"/>
  <c r="C70" i="13"/>
  <c r="B70" i="13"/>
  <c r="A70" i="13"/>
  <c r="E69" i="13"/>
  <c r="D69" i="13"/>
  <c r="C69" i="13"/>
  <c r="B69" i="13"/>
  <c r="A69" i="13"/>
  <c r="E68" i="13"/>
  <c r="D68" i="13"/>
  <c r="C68" i="13"/>
  <c r="B68" i="13"/>
  <c r="A68" i="13"/>
  <c r="E67" i="13"/>
  <c r="D67" i="13"/>
  <c r="C67" i="13"/>
  <c r="B67" i="13"/>
  <c r="A67" i="13"/>
  <c r="E66" i="13"/>
  <c r="D66" i="13"/>
  <c r="C66" i="13"/>
  <c r="B66" i="13"/>
  <c r="A66" i="13"/>
  <c r="E65" i="13"/>
  <c r="D65" i="13"/>
  <c r="C65" i="13"/>
  <c r="B65" i="13"/>
  <c r="A65" i="13"/>
  <c r="E64" i="13"/>
  <c r="D64" i="13"/>
  <c r="C64" i="13"/>
  <c r="B64" i="13"/>
  <c r="A64" i="13"/>
  <c r="E63" i="13"/>
  <c r="D63" i="13"/>
  <c r="C63" i="13"/>
  <c r="B63" i="13"/>
  <c r="A63" i="13"/>
  <c r="E62" i="13"/>
  <c r="D62" i="13"/>
  <c r="C62" i="13"/>
  <c r="B62" i="13"/>
  <c r="A62" i="13"/>
  <c r="E61" i="13"/>
  <c r="D61" i="13"/>
  <c r="C61" i="13"/>
  <c r="B61" i="13"/>
  <c r="A61" i="13"/>
  <c r="E60" i="13"/>
  <c r="D60" i="13"/>
  <c r="C60" i="13"/>
  <c r="B60" i="13"/>
  <c r="A60" i="13"/>
  <c r="E59" i="13"/>
  <c r="D59" i="13"/>
  <c r="C59" i="13"/>
  <c r="B59" i="13"/>
  <c r="A59" i="13"/>
  <c r="E58" i="13"/>
  <c r="D58" i="13"/>
  <c r="C58" i="13"/>
  <c r="B58" i="13"/>
  <c r="A58" i="13"/>
  <c r="E57" i="13"/>
  <c r="D57" i="13"/>
  <c r="C57" i="13"/>
  <c r="B57" i="13"/>
  <c r="A57" i="13"/>
  <c r="E56" i="13"/>
  <c r="D56" i="13"/>
  <c r="C56" i="13"/>
  <c r="B56" i="13"/>
  <c r="A56" i="13"/>
  <c r="E55" i="13"/>
  <c r="D55" i="13"/>
  <c r="C55" i="13"/>
  <c r="B55" i="13"/>
  <c r="A55" i="13"/>
  <c r="E54" i="13"/>
  <c r="D54" i="13"/>
  <c r="C54" i="13"/>
  <c r="B54" i="13"/>
  <c r="A54" i="13"/>
  <c r="E53" i="13"/>
  <c r="D53" i="13"/>
  <c r="C53" i="13"/>
  <c r="B53" i="13"/>
  <c r="A53" i="13"/>
  <c r="E52" i="13"/>
  <c r="D52" i="13"/>
  <c r="C52" i="13"/>
  <c r="B52" i="13"/>
  <c r="A52" i="13"/>
  <c r="E51" i="13"/>
  <c r="D51" i="13"/>
  <c r="C51" i="13"/>
  <c r="B51" i="13"/>
  <c r="A51" i="13"/>
  <c r="E50" i="13"/>
  <c r="D50" i="13"/>
  <c r="C50" i="13"/>
  <c r="B50" i="13"/>
  <c r="A50" i="13"/>
  <c r="E49" i="13"/>
  <c r="D49" i="13"/>
  <c r="C49" i="13"/>
  <c r="B49" i="13"/>
  <c r="A49" i="13"/>
  <c r="E48" i="13"/>
  <c r="D48" i="13"/>
  <c r="C48" i="13"/>
  <c r="B48" i="13"/>
  <c r="A48" i="13"/>
  <c r="E47" i="13"/>
  <c r="D47" i="13"/>
  <c r="C47" i="13"/>
  <c r="B47" i="13"/>
  <c r="A47" i="13"/>
  <c r="E46" i="13"/>
  <c r="D46" i="13"/>
  <c r="C46" i="13"/>
  <c r="B46" i="13"/>
  <c r="A46" i="13"/>
  <c r="E45" i="13"/>
  <c r="D45" i="13"/>
  <c r="C45" i="13"/>
  <c r="B45" i="13"/>
  <c r="A45" i="13"/>
  <c r="E44" i="13"/>
  <c r="D44" i="13"/>
  <c r="C44" i="13"/>
  <c r="B44" i="13"/>
  <c r="A44" i="13"/>
  <c r="E43" i="13"/>
  <c r="D43" i="13"/>
  <c r="C43" i="13"/>
  <c r="B43" i="13"/>
  <c r="A43" i="13"/>
  <c r="E42" i="13"/>
  <c r="D42" i="13"/>
  <c r="C42" i="13"/>
  <c r="B42" i="13"/>
  <c r="A42" i="13"/>
  <c r="E41" i="13"/>
  <c r="D41" i="13"/>
  <c r="C41" i="13"/>
  <c r="B41" i="13"/>
  <c r="A41" i="13"/>
  <c r="E40" i="13"/>
  <c r="D40" i="13"/>
  <c r="C40" i="13"/>
  <c r="B40" i="13"/>
  <c r="A40" i="13"/>
  <c r="E39" i="13"/>
  <c r="D39" i="13"/>
  <c r="C39" i="13"/>
  <c r="B39" i="13"/>
  <c r="A39" i="13"/>
  <c r="E38" i="13"/>
  <c r="D38" i="13"/>
  <c r="C38" i="13"/>
  <c r="B38" i="13"/>
  <c r="A38" i="13"/>
  <c r="E37" i="13"/>
  <c r="D37" i="13"/>
  <c r="C37" i="13"/>
  <c r="B37" i="13"/>
  <c r="A37" i="13"/>
  <c r="E36" i="13"/>
  <c r="D36" i="13"/>
  <c r="C36" i="13"/>
  <c r="B36" i="13"/>
  <c r="A36" i="13"/>
  <c r="E35" i="13"/>
  <c r="D35" i="13"/>
  <c r="C35" i="13"/>
  <c r="B35" i="13"/>
  <c r="A35" i="13"/>
  <c r="E34" i="13"/>
  <c r="D34" i="13"/>
  <c r="C34" i="13"/>
  <c r="B34" i="13"/>
  <c r="A34" i="13"/>
  <c r="E33" i="13"/>
  <c r="D33" i="13"/>
  <c r="C33" i="13"/>
  <c r="B33" i="13"/>
  <c r="A33" i="13"/>
  <c r="E32" i="13"/>
  <c r="D32" i="13"/>
  <c r="C32" i="13"/>
  <c r="B32" i="13"/>
  <c r="A32" i="13"/>
  <c r="E31" i="13"/>
  <c r="D31" i="13"/>
  <c r="C31" i="13"/>
  <c r="B31" i="13"/>
  <c r="A31" i="13"/>
  <c r="E30" i="13"/>
  <c r="D30" i="13"/>
  <c r="C30" i="13"/>
  <c r="B30" i="13"/>
  <c r="A30" i="13"/>
  <c r="E29" i="13"/>
  <c r="D29" i="13"/>
  <c r="C29" i="13"/>
  <c r="B29" i="13"/>
  <c r="A29" i="13"/>
  <c r="E28" i="13"/>
  <c r="D28" i="13"/>
  <c r="C28" i="13"/>
  <c r="B28" i="13"/>
  <c r="A28" i="13"/>
  <c r="E27" i="13"/>
  <c r="D27" i="13"/>
  <c r="C27" i="13"/>
  <c r="B27" i="13"/>
  <c r="A27" i="13"/>
  <c r="E26" i="13"/>
  <c r="D26" i="13"/>
  <c r="C26" i="13"/>
  <c r="B26" i="13"/>
  <c r="A26" i="13"/>
  <c r="E25" i="13"/>
  <c r="D25" i="13"/>
  <c r="C25" i="13"/>
  <c r="B25" i="13"/>
  <c r="A25" i="13"/>
  <c r="E24" i="13"/>
  <c r="D24" i="13"/>
  <c r="C24" i="13"/>
  <c r="B24" i="13"/>
  <c r="A24" i="13"/>
  <c r="E23" i="13"/>
  <c r="D23" i="13"/>
  <c r="C23" i="13"/>
  <c r="B23" i="13"/>
  <c r="A23" i="13"/>
  <c r="E22" i="13"/>
  <c r="D22" i="13"/>
  <c r="C22" i="13"/>
  <c r="B22" i="13"/>
  <c r="A22" i="13"/>
  <c r="E21" i="13"/>
  <c r="D21" i="13"/>
  <c r="C21" i="13"/>
  <c r="B21" i="13"/>
  <c r="A21" i="13"/>
  <c r="E20" i="13"/>
  <c r="D20" i="13"/>
  <c r="C20" i="13"/>
  <c r="B20" i="13"/>
  <c r="A20" i="13"/>
  <c r="E19" i="13"/>
  <c r="D19" i="13"/>
  <c r="C19" i="13"/>
  <c r="B19" i="13"/>
  <c r="A19" i="13"/>
  <c r="E18" i="13"/>
  <c r="D18" i="13"/>
  <c r="C18" i="13"/>
  <c r="B18" i="13"/>
  <c r="A18" i="13"/>
  <c r="E17" i="13"/>
  <c r="D17" i="13"/>
  <c r="C17" i="13"/>
  <c r="B17" i="13"/>
  <c r="A17" i="13"/>
  <c r="E16" i="13"/>
  <c r="D16" i="13"/>
  <c r="C16" i="13"/>
  <c r="B16" i="13"/>
  <c r="A16" i="13"/>
  <c r="E15" i="13"/>
  <c r="D15" i="13"/>
  <c r="C15" i="13"/>
  <c r="B15" i="13"/>
  <c r="A15" i="13"/>
  <c r="E14" i="13"/>
  <c r="D14" i="13"/>
  <c r="C14" i="13"/>
  <c r="B14" i="13"/>
  <c r="A14" i="13"/>
  <c r="E13" i="13"/>
  <c r="D13" i="13"/>
  <c r="C13" i="13"/>
  <c r="B13" i="13"/>
  <c r="A13" i="13"/>
  <c r="E12" i="13"/>
  <c r="D12" i="13"/>
  <c r="C12" i="13"/>
  <c r="B12" i="13"/>
  <c r="B2" i="13"/>
  <c r="A12" i="13"/>
  <c r="A2" i="13"/>
  <c r="E1" i="13"/>
  <c r="E2" i="13"/>
  <c r="D1" i="13"/>
  <c r="D2" i="13"/>
  <c r="C1" i="13"/>
  <c r="C2" i="13"/>
  <c r="B1" i="13"/>
  <c r="A1" i="13"/>
  <c r="R56" i="5"/>
  <c r="R55" i="5"/>
  <c r="R54" i="5"/>
  <c r="R53" i="5"/>
  <c r="R52" i="5"/>
  <c r="R51" i="5"/>
  <c r="R50" i="5"/>
  <c r="R49" i="5"/>
  <c r="R48" i="5"/>
  <c r="R47" i="5"/>
  <c r="R46" i="5"/>
  <c r="R45" i="5"/>
  <c r="R44" i="5"/>
  <c r="R43" i="5"/>
  <c r="R42" i="5"/>
  <c r="R41" i="5"/>
  <c r="R40" i="5"/>
  <c r="R39" i="5"/>
  <c r="R38" i="5"/>
  <c r="R37" i="5"/>
  <c r="R36" i="5"/>
  <c r="R35" i="5"/>
  <c r="R34" i="5"/>
  <c r="R33" i="5"/>
  <c r="R32" i="5"/>
  <c r="R31" i="5"/>
  <c r="R30" i="5"/>
  <c r="R29" i="5"/>
  <c r="R28" i="5"/>
  <c r="R27" i="5"/>
  <c r="R26" i="5"/>
  <c r="R25" i="5"/>
  <c r="R24" i="5"/>
  <c r="R23" i="5"/>
  <c r="R22" i="5"/>
  <c r="R21" i="5"/>
  <c r="R20" i="5"/>
  <c r="R19" i="5"/>
  <c r="R18" i="5"/>
  <c r="R17" i="5"/>
  <c r="R16" i="5"/>
  <c r="R15" i="5"/>
  <c r="R14" i="5"/>
  <c r="R13" i="5"/>
  <c r="R12" i="5"/>
  <c r="R11" i="5"/>
  <c r="R10" i="5"/>
  <c r="R9" i="5"/>
  <c r="R8" i="5"/>
  <c r="R7" i="5"/>
  <c r="R6" i="5"/>
  <c r="R5" i="5"/>
  <c r="R4" i="5"/>
  <c r="R3" i="5"/>
  <c r="C18" i="5"/>
  <c r="C17" i="5"/>
  <c r="C16" i="5"/>
  <c r="C15" i="5"/>
  <c r="C14" i="5"/>
  <c r="T13" i="5"/>
  <c r="C13" i="5"/>
  <c r="C12" i="5"/>
  <c r="C11" i="5"/>
  <c r="Q9" i="5"/>
  <c r="CF4" i="7"/>
  <c r="CD4" i="7"/>
  <c r="C10" i="5"/>
  <c r="C9" i="5"/>
  <c r="C8" i="5"/>
  <c r="A8" i="5"/>
  <c r="C7" i="5"/>
  <c r="A7" i="5"/>
  <c r="C6" i="5"/>
  <c r="A6" i="5"/>
  <c r="C5" i="5"/>
  <c r="A5" i="5"/>
  <c r="C4" i="5"/>
  <c r="A4" i="5"/>
  <c r="N3" i="5"/>
  <c r="C3" i="5"/>
  <c r="A3" i="5"/>
  <c r="R2" i="5"/>
  <c r="C2" i="5"/>
  <c r="A2" i="5"/>
  <c r="E1" i="5"/>
  <c r="C1" i="5"/>
  <c r="A59" i="15"/>
  <c r="A51" i="15"/>
  <c r="A49" i="15"/>
  <c r="A25" i="15"/>
  <c r="BR3" i="8"/>
  <c r="BR2" i="8"/>
  <c r="BQ3" i="8"/>
  <c r="BQ2" i="8"/>
  <c r="BP3" i="8"/>
  <c r="BP2" i="8"/>
  <c r="BO3" i="8"/>
  <c r="BN3" i="8"/>
  <c r="BN2" i="8"/>
  <c r="BM3" i="8"/>
  <c r="BM2" i="8"/>
  <c r="BL3" i="8"/>
  <c r="BL2" i="8"/>
  <c r="BK3" i="8"/>
  <c r="BK2" i="8"/>
  <c r="BJ3" i="8"/>
  <c r="BJ2" i="8"/>
  <c r="BI3" i="8"/>
  <c r="BI2" i="8"/>
  <c r="BH3" i="8"/>
  <c r="BH2" i="8"/>
  <c r="BG3" i="8"/>
  <c r="BF3" i="8"/>
  <c r="BF2" i="8"/>
  <c r="BE3" i="8"/>
  <c r="BE2" i="8"/>
  <c r="BD3" i="8"/>
  <c r="BC3" i="8"/>
  <c r="BB3" i="8"/>
  <c r="BA3" i="8"/>
  <c r="AZ3" i="8"/>
  <c r="AZ2" i="8"/>
  <c r="AY3" i="8"/>
  <c r="AX3" i="8"/>
  <c r="AX2" i="8"/>
  <c r="AW3" i="8"/>
  <c r="AW2" i="8"/>
  <c r="AV3" i="8"/>
  <c r="AU3" i="8"/>
  <c r="AU2" i="8"/>
  <c r="AT3" i="8"/>
  <c r="AT2" i="8"/>
  <c r="AS3" i="8"/>
  <c r="AS2" i="8"/>
  <c r="AR3" i="8"/>
  <c r="AR2" i="8"/>
  <c r="AQ3" i="8"/>
  <c r="AQ2" i="8"/>
  <c r="AP3" i="8"/>
  <c r="AP2" i="8"/>
  <c r="AO3" i="8"/>
  <c r="AO2" i="8"/>
  <c r="AN3" i="8"/>
  <c r="AN2" i="8"/>
  <c r="AM3" i="8"/>
  <c r="AM2" i="8"/>
  <c r="AL3" i="8"/>
  <c r="AK3" i="8"/>
  <c r="AJ3" i="8"/>
  <c r="AJ2" i="8"/>
  <c r="AI3" i="8"/>
  <c r="AH3" i="8"/>
  <c r="AH2" i="8"/>
  <c r="AG3" i="8"/>
  <c r="AG2" i="8"/>
  <c r="AF3" i="8"/>
  <c r="AE3" i="8"/>
  <c r="AD3" i="8"/>
  <c r="AC3" i="8"/>
  <c r="AC2" i="8"/>
  <c r="AB3" i="8"/>
  <c r="AB2" i="8"/>
  <c r="AA3" i="8"/>
  <c r="AA2" i="8"/>
  <c r="Z3" i="8"/>
  <c r="Z2" i="8"/>
  <c r="Y3" i="8"/>
  <c r="Y2" i="8"/>
  <c r="X3" i="8"/>
  <c r="X2" i="8"/>
  <c r="W3" i="8"/>
  <c r="W2" i="8"/>
  <c r="V3" i="8"/>
  <c r="V2" i="8"/>
  <c r="U3" i="8"/>
  <c r="U2" i="8"/>
  <c r="T3" i="8"/>
  <c r="T2" i="8"/>
  <c r="S3" i="8"/>
  <c r="S2" i="8"/>
  <c r="R3" i="8"/>
  <c r="R2" i="8"/>
  <c r="Q3" i="8"/>
  <c r="Q2" i="8"/>
  <c r="P3" i="8"/>
  <c r="P2" i="8"/>
  <c r="O3" i="8"/>
  <c r="O2" i="8"/>
  <c r="N3" i="8"/>
  <c r="N2" i="8"/>
  <c r="M3" i="8"/>
  <c r="M2" i="8"/>
  <c r="L3" i="8"/>
  <c r="L2" i="8"/>
  <c r="K3" i="8"/>
  <c r="J3" i="8"/>
  <c r="J2" i="8"/>
  <c r="H3" i="8"/>
  <c r="H2" i="8"/>
  <c r="BO2" i="8"/>
  <c r="BG2" i="8"/>
  <c r="BD2" i="8"/>
  <c r="BC2" i="8"/>
  <c r="BB2" i="8"/>
  <c r="BA2" i="8"/>
  <c r="AY2" i="8"/>
  <c r="AV2" i="8"/>
  <c r="AL2" i="8"/>
  <c r="AK2" i="8"/>
  <c r="AI2" i="8"/>
  <c r="AF2" i="8"/>
  <c r="AE2" i="8"/>
  <c r="AD2" i="8"/>
  <c r="K2" i="8"/>
  <c r="BQ1" i="8"/>
  <c r="BP1" i="8"/>
  <c r="BO1" i="8"/>
  <c r="BN1" i="8"/>
  <c r="BM1" i="8"/>
  <c r="BL1" i="8"/>
  <c r="BK1" i="8"/>
  <c r="BJ1" i="8"/>
  <c r="BI1" i="8"/>
  <c r="BH1" i="8"/>
  <c r="BG1" i="8"/>
  <c r="BF1" i="8"/>
  <c r="BE1" i="8"/>
  <c r="BD1" i="8"/>
  <c r="BC1" i="8"/>
  <c r="BB1" i="8"/>
  <c r="BA1" i="8"/>
  <c r="AZ1" i="8"/>
  <c r="AY1" i="8"/>
  <c r="AX1" i="8"/>
  <c r="AW1" i="8"/>
  <c r="AV1" i="8"/>
  <c r="AU1" i="8"/>
  <c r="AT1" i="8"/>
  <c r="AS1" i="8"/>
  <c r="AR1" i="8"/>
  <c r="AQ1" i="8"/>
  <c r="AP1" i="8"/>
  <c r="AO1" i="8"/>
  <c r="AN1" i="8"/>
  <c r="AM1" i="8"/>
  <c r="AL1" i="8"/>
  <c r="AK1" i="8"/>
  <c r="AJ1" i="8"/>
  <c r="AI1" i="8"/>
  <c r="AH1" i="8"/>
  <c r="AG1" i="8"/>
  <c r="AF1" i="8"/>
  <c r="AE1" i="8"/>
  <c r="AD1" i="8"/>
  <c r="AC1" i="8"/>
  <c r="AB1" i="8"/>
  <c r="AA1" i="8"/>
  <c r="Z1" i="8"/>
  <c r="Y1" i="8"/>
  <c r="X1" i="8"/>
  <c r="W1" i="8"/>
  <c r="V1" i="8"/>
  <c r="U1" i="8"/>
  <c r="T1" i="8"/>
  <c r="R1" i="8"/>
  <c r="I1" i="8"/>
  <c r="CG4" i="7"/>
  <c r="CE4" i="7"/>
  <c r="CC4" i="7"/>
  <c r="CB4" i="7"/>
  <c r="CA4" i="7"/>
  <c r="BY4" i="7"/>
  <c r="BV4" i="7"/>
  <c r="BU4" i="7"/>
  <c r="BT4" i="7"/>
  <c r="BS4" i="7"/>
  <c r="BQ4" i="7"/>
  <c r="BP4" i="7"/>
  <c r="BO4" i="7"/>
  <c r="BM4" i="7"/>
  <c r="BL4" i="7"/>
  <c r="BK4" i="7"/>
  <c r="BJ4" i="7"/>
  <c r="BH4" i="7"/>
  <c r="BF4" i="7"/>
  <c r="BD4" i="7"/>
  <c r="BC4" i="7"/>
  <c r="BB4" i="7"/>
  <c r="BA4" i="7"/>
  <c r="AZ4" i="7"/>
  <c r="AY4" i="7"/>
  <c r="AX4" i="7"/>
  <c r="AW4" i="7"/>
  <c r="AV4" i="7"/>
  <c r="AU4" i="7"/>
  <c r="AT4" i="7"/>
  <c r="AS4" i="7"/>
  <c r="AR4" i="7"/>
  <c r="AQ4" i="7"/>
  <c r="AP4" i="7"/>
  <c r="AO4" i="7"/>
  <c r="AN4" i="7"/>
  <c r="AM4" i="7"/>
  <c r="AL4" i="7"/>
  <c r="AK4" i="7"/>
  <c r="AJ4" i="7"/>
  <c r="AI4" i="7"/>
  <c r="AH4" i="7"/>
  <c r="AG4" i="7"/>
  <c r="AF4" i="7"/>
  <c r="AE4" i="7"/>
  <c r="AD4" i="7"/>
  <c r="AC4" i="7"/>
  <c r="AB4" i="7"/>
  <c r="AA4" i="7"/>
  <c r="Z4" i="7"/>
  <c r="Y4" i="7"/>
  <c r="X4" i="7"/>
  <c r="W4" i="7"/>
  <c r="V4" i="7"/>
  <c r="U4" i="7"/>
  <c r="T4" i="7"/>
  <c r="S4" i="7"/>
  <c r="R4" i="7"/>
  <c r="Q4" i="7"/>
  <c r="P4" i="7"/>
  <c r="O4" i="7"/>
  <c r="N4" i="7"/>
  <c r="M4" i="7"/>
  <c r="L4" i="7"/>
  <c r="K4" i="7"/>
  <c r="J4" i="7"/>
  <c r="G4" i="7"/>
  <c r="E4" i="7"/>
  <c r="D4" i="7"/>
  <c r="C4" i="7"/>
  <c r="CG3" i="7"/>
  <c r="CG2" i="7"/>
  <c r="CF3" i="7"/>
  <c r="CF2" i="7"/>
  <c r="CE3" i="7"/>
  <c r="CE2" i="7"/>
  <c r="CD3" i="7"/>
  <c r="CD2" i="7"/>
  <c r="CC3" i="7"/>
  <c r="CC2" i="7"/>
  <c r="CB3" i="7"/>
  <c r="CB2" i="7"/>
  <c r="CA3" i="7"/>
  <c r="CA2" i="7"/>
  <c r="BZ3" i="7"/>
  <c r="BZ2" i="7"/>
  <c r="BY3" i="7"/>
  <c r="BY2" i="7"/>
  <c r="BX3" i="7"/>
  <c r="BW3" i="7"/>
  <c r="BW2" i="7"/>
  <c r="BV3" i="7"/>
  <c r="BU3" i="7"/>
  <c r="BT3" i="7"/>
  <c r="BT2" i="7"/>
  <c r="BR3" i="7"/>
  <c r="BS3" i="7"/>
  <c r="BS2" i="7"/>
  <c r="BQ3" i="7"/>
  <c r="BQ2" i="7"/>
  <c r="BO3" i="7"/>
  <c r="BO2" i="7"/>
  <c r="BN3" i="7"/>
  <c r="BN2" i="7"/>
  <c r="BM3" i="7"/>
  <c r="BM2" i="7"/>
  <c r="BL3" i="7"/>
  <c r="BL2" i="7"/>
  <c r="BK3" i="7"/>
  <c r="BK2" i="7"/>
  <c r="BI3" i="7"/>
  <c r="BI2" i="7"/>
  <c r="BG3" i="7"/>
  <c r="BH3" i="7"/>
  <c r="BH2" i="7"/>
  <c r="BE3" i="7"/>
  <c r="BF3" i="7"/>
  <c r="BF2" i="7"/>
  <c r="BC3" i="7"/>
  <c r="BD3" i="7"/>
  <c r="BD2" i="7"/>
  <c r="BB3" i="7"/>
  <c r="BB2" i="7"/>
  <c r="BA3" i="7"/>
  <c r="BA2" i="7"/>
  <c r="AZ3" i="7"/>
  <c r="AZ2" i="7"/>
  <c r="AY3" i="7"/>
  <c r="AY2" i="7"/>
  <c r="AX3" i="7"/>
  <c r="AX2" i="7"/>
  <c r="AW3" i="7"/>
  <c r="AW2" i="7"/>
  <c r="AV3" i="7"/>
  <c r="AV2" i="7"/>
  <c r="AU3" i="7"/>
  <c r="AT3" i="7"/>
  <c r="AT2" i="7"/>
  <c r="AS3" i="7"/>
  <c r="AS2" i="7"/>
  <c r="AR3" i="7"/>
  <c r="AQ3" i="7"/>
  <c r="AQ2" i="7"/>
  <c r="AP3" i="7"/>
  <c r="AP2" i="7"/>
  <c r="AO3" i="7"/>
  <c r="AO2" i="7"/>
  <c r="AN3" i="7"/>
  <c r="AN2" i="7"/>
  <c r="AM3" i="7"/>
  <c r="AM2" i="7"/>
  <c r="AL3" i="7"/>
  <c r="AL2" i="7"/>
  <c r="AK3" i="7"/>
  <c r="AK2" i="7"/>
  <c r="AJ3" i="7"/>
  <c r="AJ2" i="7"/>
  <c r="AI3" i="7"/>
  <c r="AI2" i="7"/>
  <c r="AH3" i="7"/>
  <c r="AH2" i="7"/>
  <c r="AG3" i="7"/>
  <c r="AG2" i="7"/>
  <c r="AF3" i="7"/>
  <c r="AF2" i="7"/>
  <c r="AE3" i="7"/>
  <c r="AE2" i="7"/>
  <c r="AD3" i="7"/>
  <c r="AD2" i="7"/>
  <c r="AC3" i="7"/>
  <c r="AC2" i="7"/>
  <c r="AB3" i="7"/>
  <c r="AB2" i="7"/>
  <c r="AA3" i="7"/>
  <c r="AA2" i="7"/>
  <c r="Z3" i="7"/>
  <c r="Z2" i="7"/>
  <c r="Y3" i="7"/>
  <c r="Y2" i="7"/>
  <c r="X3" i="7"/>
  <c r="X2" i="7"/>
  <c r="W3" i="7"/>
  <c r="W2" i="7"/>
  <c r="V3" i="7"/>
  <c r="V2" i="7"/>
  <c r="U3" i="7"/>
  <c r="U2" i="7"/>
  <c r="T3" i="7"/>
  <c r="T2" i="7"/>
  <c r="S3" i="7"/>
  <c r="S2" i="7"/>
  <c r="R3" i="7"/>
  <c r="R2" i="7"/>
  <c r="Q3" i="7"/>
  <c r="Q2" i="7"/>
  <c r="P3" i="7"/>
  <c r="P2" i="7"/>
  <c r="O3" i="7"/>
  <c r="O2" i="7"/>
  <c r="N3" i="7"/>
  <c r="N2" i="7"/>
  <c r="M3" i="7"/>
  <c r="M2" i="7"/>
  <c r="L3" i="7"/>
  <c r="L2" i="7"/>
  <c r="K3" i="7"/>
  <c r="K2" i="7"/>
  <c r="J3" i="7"/>
  <c r="J2" i="7"/>
  <c r="I3" i="7"/>
  <c r="I2" i="7"/>
  <c r="H3" i="7"/>
  <c r="H2" i="7"/>
  <c r="F3" i="7"/>
  <c r="G3" i="7"/>
  <c r="G2" i="7"/>
  <c r="B3" i="7"/>
  <c r="B2" i="7"/>
  <c r="BX2" i="7"/>
  <c r="BV2" i="7"/>
  <c r="BU2" i="7"/>
  <c r="BC2" i="7"/>
  <c r="AU2" i="7"/>
  <c r="AR2" i="7"/>
  <c r="B499" i="6"/>
  <c r="AA498" i="6"/>
  <c r="AB498" i="6"/>
  <c r="Z498" i="6"/>
  <c r="C498" i="6"/>
  <c r="AA497" i="6"/>
  <c r="AC497" i="6"/>
  <c r="AB497" i="6"/>
  <c r="Z497" i="6"/>
  <c r="C497" i="6"/>
  <c r="AA496" i="6"/>
  <c r="AC496" i="6"/>
  <c r="AB496" i="6"/>
  <c r="Z496" i="6"/>
  <c r="C496" i="6"/>
  <c r="AA495" i="6"/>
  <c r="AC495" i="6"/>
  <c r="AB495" i="6"/>
  <c r="Z495" i="6"/>
  <c r="B495" i="6"/>
  <c r="C495" i="6"/>
  <c r="AA494" i="6"/>
  <c r="AC494" i="6"/>
  <c r="AB494" i="6"/>
  <c r="Z494" i="6"/>
  <c r="B494" i="6"/>
  <c r="C494" i="6"/>
  <c r="AA493" i="6"/>
  <c r="AC493" i="6"/>
  <c r="AB493" i="6"/>
  <c r="Z493" i="6"/>
  <c r="C493" i="6"/>
  <c r="AA492" i="6"/>
  <c r="AC492" i="6"/>
  <c r="AB492" i="6"/>
  <c r="Z492" i="6"/>
  <c r="C492" i="6"/>
  <c r="AA491" i="6"/>
  <c r="AC491" i="6"/>
  <c r="AB491" i="6"/>
  <c r="Z491" i="6"/>
  <c r="C491" i="6"/>
  <c r="AA490" i="6"/>
  <c r="AB490" i="6"/>
  <c r="Z490" i="6"/>
  <c r="C490" i="6"/>
  <c r="AA489" i="6"/>
  <c r="AC489" i="6"/>
  <c r="AB489" i="6"/>
  <c r="Z489" i="6"/>
  <c r="C489" i="6"/>
  <c r="AA488" i="6"/>
  <c r="AC488" i="6"/>
  <c r="AB488" i="6"/>
  <c r="Z488" i="6"/>
  <c r="C488" i="6"/>
  <c r="AA487" i="6"/>
  <c r="AC487" i="6"/>
  <c r="AB487" i="6"/>
  <c r="Z487" i="6"/>
  <c r="C487" i="6"/>
  <c r="AA486" i="6"/>
  <c r="AB486" i="6"/>
  <c r="Z486" i="6"/>
  <c r="C486" i="6"/>
  <c r="AA485" i="6"/>
  <c r="AC485" i="6"/>
  <c r="AB485" i="6"/>
  <c r="Z485" i="6"/>
  <c r="B485" i="6"/>
  <c r="W485" i="6"/>
  <c r="C485" i="6"/>
  <c r="AA484" i="6"/>
  <c r="AC484" i="6"/>
  <c r="AB484" i="6"/>
  <c r="Z484" i="6"/>
  <c r="W484" i="6"/>
  <c r="C484" i="6"/>
  <c r="AA483" i="6"/>
  <c r="B483" i="6"/>
  <c r="AC483" i="6"/>
  <c r="AB483" i="6"/>
  <c r="Z483" i="6"/>
  <c r="W483" i="6"/>
  <c r="C483" i="6"/>
  <c r="AA482" i="6"/>
  <c r="AC482" i="6"/>
  <c r="AB482" i="6"/>
  <c r="Z482" i="6"/>
  <c r="B482" i="6"/>
  <c r="W482" i="6"/>
  <c r="C482" i="6"/>
  <c r="AA481" i="6"/>
  <c r="AC481" i="6"/>
  <c r="AB481" i="6"/>
  <c r="Z481" i="6"/>
  <c r="B481" i="6"/>
  <c r="W481" i="6"/>
  <c r="C481" i="6"/>
  <c r="AA480" i="6"/>
  <c r="AC480" i="6"/>
  <c r="AB480" i="6"/>
  <c r="Z480" i="6"/>
  <c r="B480" i="6"/>
  <c r="W480" i="6"/>
  <c r="C480" i="6"/>
  <c r="AA479" i="6"/>
  <c r="AC479" i="6"/>
  <c r="AB479" i="6"/>
  <c r="Z479" i="6"/>
  <c r="W479" i="6"/>
  <c r="C479" i="6"/>
  <c r="AA478" i="6"/>
  <c r="AB478" i="6"/>
  <c r="Z478" i="6"/>
  <c r="W478" i="6"/>
  <c r="C478" i="6"/>
  <c r="AA477" i="6"/>
  <c r="AB477" i="6"/>
  <c r="Z477" i="6"/>
  <c r="W477" i="6"/>
  <c r="C477" i="6"/>
  <c r="AA476" i="6"/>
  <c r="AC476" i="6"/>
  <c r="AB476" i="6"/>
  <c r="Z476" i="6"/>
  <c r="B476" i="6"/>
  <c r="C476" i="6"/>
  <c r="AA475" i="6"/>
  <c r="AC475" i="6"/>
  <c r="AB475" i="6"/>
  <c r="Z475" i="6"/>
  <c r="C475" i="6"/>
  <c r="AA474" i="6"/>
  <c r="B474" i="6"/>
  <c r="AC474" i="6"/>
  <c r="AB474" i="6"/>
  <c r="Z474" i="6"/>
  <c r="W474" i="6"/>
  <c r="C474" i="6"/>
  <c r="AA473" i="6"/>
  <c r="AC473" i="6"/>
  <c r="AB473" i="6"/>
  <c r="Z473" i="6"/>
  <c r="B473" i="6"/>
  <c r="W473" i="6"/>
  <c r="C473" i="6"/>
  <c r="AA471" i="6"/>
  <c r="B471" i="6"/>
  <c r="AB471" i="6"/>
  <c r="Z471" i="6"/>
  <c r="C471" i="6"/>
  <c r="AA470" i="6"/>
  <c r="AC470" i="6"/>
  <c r="AB470" i="6"/>
  <c r="Z470" i="6"/>
  <c r="C470" i="6"/>
  <c r="AA469" i="6"/>
  <c r="AC469" i="6"/>
  <c r="AB469" i="6"/>
  <c r="Z469" i="6"/>
  <c r="W469" i="6"/>
  <c r="C469" i="6"/>
  <c r="AA468" i="6"/>
  <c r="AC468" i="6"/>
  <c r="AB468" i="6"/>
  <c r="Z468" i="6"/>
  <c r="W468" i="6"/>
  <c r="AA467" i="6"/>
  <c r="AB467" i="6"/>
  <c r="Z467" i="6"/>
  <c r="W467" i="6"/>
  <c r="C467" i="6"/>
  <c r="AA466" i="6"/>
  <c r="AB466" i="6"/>
  <c r="Z466" i="6"/>
  <c r="W466" i="6"/>
  <c r="C466" i="6"/>
  <c r="AA465" i="6"/>
  <c r="AC465" i="6"/>
  <c r="AB465" i="6"/>
  <c r="Z465" i="6"/>
  <c r="W465" i="6"/>
  <c r="C465" i="6"/>
  <c r="AA464" i="6"/>
  <c r="B464" i="6"/>
  <c r="AC464" i="6"/>
  <c r="AB464" i="6"/>
  <c r="Z464" i="6"/>
  <c r="W464" i="6"/>
  <c r="C464" i="6"/>
  <c r="AA463" i="6"/>
  <c r="B463" i="6"/>
  <c r="AC463" i="6"/>
  <c r="AB463" i="6"/>
  <c r="Z463" i="6"/>
  <c r="W463" i="6"/>
  <c r="C463" i="6"/>
  <c r="AA462" i="6"/>
  <c r="AC462" i="6"/>
  <c r="AB462" i="6"/>
  <c r="Z462" i="6"/>
  <c r="W462" i="6"/>
  <c r="C462" i="6"/>
  <c r="AA461" i="6"/>
  <c r="AC461" i="6"/>
  <c r="AB461" i="6"/>
  <c r="Z461" i="6"/>
  <c r="B461" i="6"/>
  <c r="W461" i="6"/>
  <c r="C461" i="6"/>
  <c r="AA460" i="6"/>
  <c r="AC460" i="6"/>
  <c r="AB460" i="6"/>
  <c r="Z460" i="6"/>
  <c r="B460" i="6"/>
  <c r="W460" i="6"/>
  <c r="C460" i="6"/>
  <c r="AA459" i="6"/>
  <c r="AC459" i="6"/>
  <c r="AB459" i="6"/>
  <c r="Z459" i="6"/>
  <c r="W459" i="6"/>
  <c r="C459" i="6"/>
  <c r="AA458" i="6"/>
  <c r="AC458" i="6"/>
  <c r="AB458" i="6"/>
  <c r="Z458" i="6"/>
  <c r="W458" i="6"/>
  <c r="C458" i="6"/>
  <c r="AA456" i="6"/>
  <c r="AC456" i="6"/>
  <c r="AB456" i="6"/>
  <c r="Z456" i="6"/>
  <c r="W456" i="6"/>
  <c r="C456" i="6"/>
  <c r="AA455" i="6"/>
  <c r="AC455" i="6"/>
  <c r="AB455" i="6"/>
  <c r="Z455" i="6"/>
  <c r="B455" i="6"/>
  <c r="W455" i="6"/>
  <c r="C455" i="6"/>
  <c r="AA454" i="6"/>
  <c r="B454" i="6"/>
  <c r="AC454" i="6"/>
  <c r="AB454" i="6"/>
  <c r="Z454" i="6"/>
  <c r="W454" i="6"/>
  <c r="C454" i="6"/>
  <c r="AA453" i="6"/>
  <c r="AC453" i="6"/>
  <c r="AB453" i="6"/>
  <c r="Z453" i="6"/>
  <c r="B453" i="6"/>
  <c r="W453" i="6"/>
  <c r="C453" i="6"/>
  <c r="AA452" i="6"/>
  <c r="AC452" i="6"/>
  <c r="AB452" i="6"/>
  <c r="Z452" i="6"/>
  <c r="W452" i="6"/>
  <c r="C452" i="6"/>
  <c r="AA451" i="6"/>
  <c r="AC451" i="6"/>
  <c r="AB451" i="6"/>
  <c r="Z451" i="6"/>
  <c r="B451" i="6"/>
  <c r="W451" i="6"/>
  <c r="C451" i="6"/>
  <c r="AA450" i="6"/>
  <c r="AB450" i="6"/>
  <c r="Z450" i="6"/>
  <c r="W450" i="6"/>
  <c r="C450" i="6"/>
  <c r="AA449" i="6"/>
  <c r="AC449" i="6"/>
  <c r="AB449" i="6"/>
  <c r="Z449" i="6"/>
  <c r="B449" i="6"/>
  <c r="W449" i="6"/>
  <c r="C449" i="6"/>
  <c r="AA448" i="6"/>
  <c r="AC448" i="6"/>
  <c r="AB448" i="6"/>
  <c r="Z448" i="6"/>
  <c r="W448" i="6"/>
  <c r="C448" i="6"/>
  <c r="AA447" i="6"/>
  <c r="AC447" i="6"/>
  <c r="AB447" i="6"/>
  <c r="Z447" i="6"/>
  <c r="B447" i="6"/>
  <c r="W447" i="6"/>
  <c r="C447" i="6"/>
  <c r="AA446" i="6"/>
  <c r="AC446" i="6"/>
  <c r="AB446" i="6"/>
  <c r="Z446" i="6"/>
  <c r="W446" i="6"/>
  <c r="C446" i="6"/>
  <c r="AA445" i="6"/>
  <c r="AC445" i="6"/>
  <c r="AB445" i="6"/>
  <c r="Z445" i="6"/>
  <c r="W445" i="6"/>
  <c r="C445" i="6"/>
  <c r="AA444" i="6"/>
  <c r="AC444" i="6"/>
  <c r="AB444" i="6"/>
  <c r="Z444" i="6"/>
  <c r="W444" i="6"/>
  <c r="C444" i="6"/>
  <c r="AA443" i="6"/>
  <c r="AC443" i="6"/>
  <c r="AB443" i="6"/>
  <c r="Z443" i="6"/>
  <c r="W443" i="6"/>
  <c r="C443" i="6"/>
  <c r="AA442" i="6"/>
  <c r="B442" i="6"/>
  <c r="AB442" i="6"/>
  <c r="Z442" i="6"/>
  <c r="W442" i="6"/>
  <c r="C442" i="6"/>
  <c r="AA441" i="6"/>
  <c r="AC441" i="6"/>
  <c r="AB441" i="6"/>
  <c r="Z441" i="6"/>
  <c r="W441" i="6"/>
  <c r="C441" i="6"/>
  <c r="AA440" i="6"/>
  <c r="AC440" i="6"/>
  <c r="AB440" i="6"/>
  <c r="Z440" i="6"/>
  <c r="W440" i="6"/>
  <c r="C440" i="6"/>
  <c r="AA439" i="6"/>
  <c r="AC439" i="6"/>
  <c r="AB439" i="6"/>
  <c r="Z439" i="6"/>
  <c r="W439" i="6"/>
  <c r="C439" i="6"/>
  <c r="AA438" i="6"/>
  <c r="AC438" i="6"/>
  <c r="AB438" i="6"/>
  <c r="Z438" i="6"/>
  <c r="W438" i="6"/>
  <c r="C438" i="6"/>
  <c r="AA437" i="6"/>
  <c r="B437" i="6"/>
  <c r="AC437" i="6"/>
  <c r="AB437" i="6"/>
  <c r="Z437" i="6"/>
  <c r="W437" i="6"/>
  <c r="C437" i="6"/>
  <c r="AA436" i="6"/>
  <c r="AC436" i="6"/>
  <c r="AB436" i="6"/>
  <c r="Z436" i="6"/>
  <c r="W436" i="6"/>
  <c r="C436" i="6"/>
  <c r="AA435" i="6"/>
  <c r="B435" i="6"/>
  <c r="AC435" i="6"/>
  <c r="AB435" i="6"/>
  <c r="Z435" i="6"/>
  <c r="W435" i="6"/>
  <c r="C435" i="6"/>
  <c r="AA434" i="6"/>
  <c r="AC434" i="6"/>
  <c r="AB434" i="6"/>
  <c r="Z434" i="6"/>
  <c r="W434" i="6"/>
  <c r="C434" i="6"/>
  <c r="AA433" i="6"/>
  <c r="AB433" i="6"/>
  <c r="Z433" i="6"/>
  <c r="W433" i="6"/>
  <c r="C433" i="6"/>
  <c r="AA432" i="6"/>
  <c r="AC432" i="6"/>
  <c r="AB432" i="6"/>
  <c r="Z432" i="6"/>
  <c r="W432" i="6"/>
  <c r="C432" i="6"/>
  <c r="AA431" i="6"/>
  <c r="B431" i="6"/>
  <c r="AC431" i="6"/>
  <c r="AB431" i="6"/>
  <c r="Z431" i="6"/>
  <c r="W431" i="6"/>
  <c r="C431" i="6"/>
  <c r="AA430" i="6"/>
  <c r="AC430" i="6"/>
  <c r="AB430" i="6"/>
  <c r="Z430" i="6"/>
  <c r="W430" i="6"/>
  <c r="C430" i="6"/>
  <c r="AA429" i="6"/>
  <c r="AC429" i="6"/>
  <c r="AB429" i="6"/>
  <c r="Z429" i="6"/>
  <c r="W429" i="6"/>
  <c r="C429" i="6"/>
  <c r="AA428" i="6"/>
  <c r="AC428" i="6"/>
  <c r="AB428" i="6"/>
  <c r="Z428" i="6"/>
  <c r="W428" i="6"/>
  <c r="C428" i="6"/>
  <c r="AA427" i="6"/>
  <c r="AC427" i="6"/>
  <c r="AB427" i="6"/>
  <c r="Z427" i="6"/>
  <c r="W427" i="6"/>
  <c r="C427" i="6"/>
  <c r="AA426" i="6"/>
  <c r="AC426" i="6"/>
  <c r="AB426" i="6"/>
  <c r="Z426" i="6"/>
  <c r="W426" i="6"/>
  <c r="C426" i="6"/>
  <c r="AA425" i="6"/>
  <c r="AC425" i="6"/>
  <c r="AB425" i="6"/>
  <c r="Z425" i="6"/>
  <c r="W425" i="6"/>
  <c r="C425" i="6"/>
  <c r="AA424" i="6"/>
  <c r="AC424" i="6"/>
  <c r="AB424" i="6"/>
  <c r="Z424" i="6"/>
  <c r="W424" i="6"/>
  <c r="C424" i="6"/>
  <c r="AA423" i="6"/>
  <c r="AC423" i="6"/>
  <c r="AB423" i="6"/>
  <c r="Z423" i="6"/>
  <c r="B423" i="6"/>
  <c r="W423" i="6"/>
  <c r="C423" i="6"/>
  <c r="AA422" i="6"/>
  <c r="AC422" i="6"/>
  <c r="AB422" i="6"/>
  <c r="Z422" i="6"/>
  <c r="W422" i="6"/>
  <c r="C422" i="6"/>
  <c r="AA421" i="6"/>
  <c r="AC421" i="6"/>
  <c r="AB421" i="6"/>
  <c r="Z421" i="6"/>
  <c r="W421" i="6"/>
  <c r="C421" i="6"/>
  <c r="AA420" i="6"/>
  <c r="AC420" i="6"/>
  <c r="AB420" i="6"/>
  <c r="Z420" i="6"/>
  <c r="W420" i="6"/>
  <c r="C420" i="6"/>
  <c r="AA419" i="6"/>
  <c r="AC419" i="6"/>
  <c r="AB419" i="6"/>
  <c r="Z419" i="6"/>
  <c r="B419" i="6"/>
  <c r="W419" i="6"/>
  <c r="C419" i="6"/>
  <c r="AA418" i="6"/>
  <c r="AC418" i="6"/>
  <c r="AB418" i="6"/>
  <c r="Z418" i="6"/>
  <c r="W418" i="6"/>
  <c r="C418" i="6"/>
  <c r="AA417" i="6"/>
  <c r="AC417" i="6"/>
  <c r="AB417" i="6"/>
  <c r="Z417" i="6"/>
  <c r="W417" i="6"/>
  <c r="C417" i="6"/>
  <c r="AA416" i="6"/>
  <c r="AC416" i="6"/>
  <c r="AB416" i="6"/>
  <c r="Z416" i="6"/>
  <c r="W416" i="6"/>
  <c r="C416" i="6"/>
  <c r="AA415" i="6"/>
  <c r="AB415" i="6"/>
  <c r="Z415" i="6"/>
  <c r="W415" i="6"/>
  <c r="C415" i="6"/>
  <c r="AA414" i="6"/>
  <c r="AC414" i="6"/>
  <c r="AB414" i="6"/>
  <c r="Z414" i="6"/>
  <c r="W414" i="6"/>
  <c r="C414" i="6"/>
  <c r="AA413" i="6"/>
  <c r="AC413" i="6"/>
  <c r="AB413" i="6"/>
  <c r="Z413" i="6"/>
  <c r="B413" i="6"/>
  <c r="W413" i="6"/>
  <c r="C413" i="6"/>
  <c r="AA412" i="6"/>
  <c r="AC412" i="6"/>
  <c r="AB412" i="6"/>
  <c r="Z412" i="6"/>
  <c r="B412" i="6"/>
  <c r="W412" i="6"/>
  <c r="C412" i="6"/>
  <c r="AA411" i="6"/>
  <c r="AC411" i="6"/>
  <c r="AB411" i="6"/>
  <c r="Z411" i="6"/>
  <c r="W411" i="6"/>
  <c r="C411" i="6"/>
  <c r="AA410" i="6"/>
  <c r="AB410" i="6"/>
  <c r="Z410" i="6"/>
  <c r="W410" i="6"/>
  <c r="C410" i="6"/>
  <c r="AA409" i="6"/>
  <c r="AC409" i="6"/>
  <c r="AB409" i="6"/>
  <c r="Z409" i="6"/>
  <c r="W409" i="6"/>
  <c r="C409" i="6"/>
  <c r="AA408" i="6"/>
  <c r="AC408" i="6"/>
  <c r="AB408" i="6"/>
  <c r="Z408" i="6"/>
  <c r="B408" i="6"/>
  <c r="W408" i="6"/>
  <c r="C408" i="6"/>
  <c r="AA407" i="6"/>
  <c r="AC407" i="6"/>
  <c r="AB407" i="6"/>
  <c r="Z407" i="6"/>
  <c r="W407" i="6"/>
  <c r="C407" i="6"/>
  <c r="AA406" i="6"/>
  <c r="AC406" i="6"/>
  <c r="AB406" i="6"/>
  <c r="Z406" i="6"/>
  <c r="W406" i="6"/>
  <c r="C406" i="6"/>
  <c r="AA405" i="6"/>
  <c r="AC405" i="6"/>
  <c r="AB405" i="6"/>
  <c r="Z405" i="6"/>
  <c r="W405" i="6"/>
  <c r="C405" i="6"/>
  <c r="AA404" i="6"/>
  <c r="AC404" i="6"/>
  <c r="AB404" i="6"/>
  <c r="Z404" i="6"/>
  <c r="B404" i="6"/>
  <c r="W404" i="6"/>
  <c r="C404" i="6"/>
  <c r="AA403" i="6"/>
  <c r="AC403" i="6"/>
  <c r="AB403" i="6"/>
  <c r="Z403" i="6"/>
  <c r="W403" i="6"/>
  <c r="C403" i="6"/>
  <c r="AA402" i="6"/>
  <c r="AB402" i="6"/>
  <c r="Z402" i="6"/>
  <c r="W402" i="6"/>
  <c r="C402" i="6"/>
  <c r="AA401" i="6"/>
  <c r="AB401" i="6"/>
  <c r="Z401" i="6"/>
  <c r="W401" i="6"/>
  <c r="C401" i="6"/>
  <c r="AA400" i="6"/>
  <c r="AC400" i="6"/>
  <c r="AB400" i="6"/>
  <c r="Z400" i="6"/>
  <c r="W400" i="6"/>
  <c r="C400" i="6"/>
  <c r="AA399" i="6"/>
  <c r="AB399" i="6"/>
  <c r="Z399" i="6"/>
  <c r="W399" i="6"/>
  <c r="C399" i="6"/>
  <c r="AA398" i="6"/>
  <c r="AC398" i="6"/>
  <c r="AB398" i="6"/>
  <c r="Z398" i="6"/>
  <c r="W398" i="6"/>
  <c r="C398" i="6"/>
  <c r="AA397" i="6"/>
  <c r="AC397" i="6"/>
  <c r="AB397" i="6"/>
  <c r="Z397" i="6"/>
  <c r="W397" i="6"/>
  <c r="C397" i="6"/>
  <c r="AA396" i="6"/>
  <c r="AC396" i="6"/>
  <c r="AB396" i="6"/>
  <c r="Z396" i="6"/>
  <c r="W396" i="6"/>
  <c r="C396" i="6"/>
  <c r="AA395" i="6"/>
  <c r="AC395" i="6"/>
  <c r="AB395" i="6"/>
  <c r="Z395" i="6"/>
  <c r="W395" i="6"/>
  <c r="C395" i="6"/>
  <c r="AA394" i="6"/>
  <c r="AB394" i="6"/>
  <c r="Z394" i="6"/>
  <c r="W394" i="6"/>
  <c r="C394" i="6"/>
  <c r="AA393" i="6"/>
  <c r="AC393" i="6"/>
  <c r="AB393" i="6"/>
  <c r="Z393" i="6"/>
  <c r="W393" i="6"/>
  <c r="C393" i="6"/>
  <c r="AA392" i="6"/>
  <c r="AC392" i="6"/>
  <c r="AB392" i="6"/>
  <c r="Z392" i="6"/>
  <c r="W392" i="6"/>
  <c r="C392" i="6"/>
  <c r="AA391" i="6"/>
  <c r="AC391" i="6"/>
  <c r="AB391" i="6"/>
  <c r="Z391" i="6"/>
  <c r="W391" i="6"/>
  <c r="C391" i="6"/>
  <c r="AA390" i="6"/>
  <c r="AC390" i="6"/>
  <c r="AB390" i="6"/>
  <c r="Z390" i="6"/>
  <c r="W390" i="6"/>
  <c r="C390" i="6"/>
  <c r="AA389" i="6"/>
  <c r="AC389" i="6"/>
  <c r="AB389" i="6"/>
  <c r="Z389" i="6"/>
  <c r="W389" i="6"/>
  <c r="C389" i="6"/>
  <c r="AA388" i="6"/>
  <c r="AB388" i="6"/>
  <c r="Z388" i="6"/>
  <c r="W388" i="6"/>
  <c r="C388" i="6"/>
  <c r="AA387" i="6"/>
  <c r="AC387" i="6"/>
  <c r="AB387" i="6"/>
  <c r="Z387" i="6"/>
  <c r="B387" i="6"/>
  <c r="W387" i="6"/>
  <c r="C387" i="6"/>
  <c r="AA386" i="6"/>
  <c r="B386" i="6"/>
  <c r="AB386" i="6"/>
  <c r="Z386" i="6"/>
  <c r="W386" i="6"/>
  <c r="C386" i="6"/>
  <c r="AA385" i="6"/>
  <c r="AC385" i="6"/>
  <c r="AB385" i="6"/>
  <c r="Z385" i="6"/>
  <c r="W385" i="6"/>
  <c r="C385" i="6"/>
  <c r="AA384" i="6"/>
  <c r="AC384" i="6"/>
  <c r="AB384" i="6"/>
  <c r="Z384" i="6"/>
  <c r="W384" i="6"/>
  <c r="C384" i="6"/>
  <c r="AA383" i="6"/>
  <c r="AC383" i="6"/>
  <c r="AB383" i="6"/>
  <c r="Z383" i="6"/>
  <c r="B383" i="6"/>
  <c r="C383" i="6"/>
  <c r="AA382" i="6"/>
  <c r="AC382" i="6"/>
  <c r="AB382" i="6"/>
  <c r="Z382" i="6"/>
  <c r="C382" i="6"/>
  <c r="AA381" i="6"/>
  <c r="AC381" i="6"/>
  <c r="AB381" i="6"/>
  <c r="Z381" i="6"/>
  <c r="C381" i="6"/>
  <c r="AA380" i="6"/>
  <c r="AC380" i="6"/>
  <c r="AB380" i="6"/>
  <c r="Z380" i="6"/>
  <c r="W380" i="6"/>
  <c r="C380" i="6"/>
  <c r="AA379" i="6"/>
  <c r="AC379" i="6"/>
  <c r="AB379" i="6"/>
  <c r="Z379" i="6"/>
  <c r="B379" i="6"/>
  <c r="W379" i="6"/>
  <c r="C379" i="6"/>
  <c r="AA378" i="6"/>
  <c r="AC378" i="6"/>
  <c r="AB378" i="6"/>
  <c r="Z378" i="6"/>
  <c r="W378" i="6"/>
  <c r="C378" i="6"/>
  <c r="AA377" i="6"/>
  <c r="AC377" i="6"/>
  <c r="AB377" i="6"/>
  <c r="Z377" i="6"/>
  <c r="W377" i="6"/>
  <c r="C377" i="6"/>
  <c r="AA376" i="6"/>
  <c r="AC376" i="6"/>
  <c r="AB376" i="6"/>
  <c r="Z376" i="6"/>
  <c r="B376" i="6"/>
  <c r="W376" i="6"/>
  <c r="C376" i="6"/>
  <c r="AA375" i="6"/>
  <c r="B375" i="6"/>
  <c r="AC375" i="6"/>
  <c r="AB375" i="6"/>
  <c r="Z375" i="6"/>
  <c r="W375" i="6"/>
  <c r="C375" i="6"/>
  <c r="AA374" i="6"/>
  <c r="B374" i="6"/>
  <c r="AC374" i="6"/>
  <c r="AB374" i="6"/>
  <c r="Z374" i="6"/>
  <c r="W374" i="6"/>
  <c r="C374" i="6"/>
  <c r="AA373" i="6"/>
  <c r="AB373" i="6"/>
  <c r="Z373" i="6"/>
  <c r="W373" i="6"/>
  <c r="C373" i="6"/>
  <c r="AA372" i="6"/>
  <c r="AC372" i="6"/>
  <c r="AB372" i="6"/>
  <c r="Z372" i="6"/>
  <c r="W372" i="6"/>
  <c r="C372" i="6"/>
  <c r="AA371" i="6"/>
  <c r="AC371" i="6"/>
  <c r="AB371" i="6"/>
  <c r="Z371" i="6"/>
  <c r="W371" i="6"/>
  <c r="C371" i="6"/>
  <c r="AA370" i="6"/>
  <c r="AC370" i="6"/>
  <c r="AB370" i="6"/>
  <c r="Z370" i="6"/>
  <c r="W370" i="6"/>
  <c r="C370" i="6"/>
  <c r="AA369" i="6"/>
  <c r="AC369" i="6"/>
  <c r="AB369" i="6"/>
  <c r="Z369" i="6"/>
  <c r="W369" i="6"/>
  <c r="C369" i="6"/>
  <c r="AA368" i="6"/>
  <c r="AC368" i="6"/>
  <c r="AB368" i="6"/>
  <c r="Z368" i="6"/>
  <c r="W368" i="6"/>
  <c r="C368" i="6"/>
  <c r="AA367" i="6"/>
  <c r="AB367" i="6"/>
  <c r="Z367" i="6"/>
  <c r="W367" i="6"/>
  <c r="C367" i="6"/>
  <c r="AA366" i="6"/>
  <c r="AC366" i="6"/>
  <c r="AB366" i="6"/>
  <c r="Z366" i="6"/>
  <c r="W366" i="6"/>
  <c r="C366" i="6"/>
  <c r="AA365" i="6"/>
  <c r="AB365" i="6"/>
  <c r="Z365" i="6"/>
  <c r="W365" i="6"/>
  <c r="C365" i="6"/>
  <c r="AA364" i="6"/>
  <c r="AB364" i="6"/>
  <c r="Z364" i="6"/>
  <c r="W364" i="6"/>
  <c r="C364" i="6"/>
  <c r="AA363" i="6"/>
  <c r="AC363" i="6"/>
  <c r="AB363" i="6"/>
  <c r="Z363" i="6"/>
  <c r="B363" i="6"/>
  <c r="W363" i="6"/>
  <c r="C363" i="6"/>
  <c r="AA362" i="6"/>
  <c r="AC362" i="6"/>
  <c r="AB362" i="6"/>
  <c r="Z362" i="6"/>
  <c r="W362" i="6"/>
  <c r="C362" i="6"/>
  <c r="AA361" i="6"/>
  <c r="AC361" i="6"/>
  <c r="AB361" i="6"/>
  <c r="Z361" i="6"/>
  <c r="W361" i="6"/>
  <c r="C361" i="6"/>
  <c r="AA360" i="6"/>
  <c r="AC360" i="6"/>
  <c r="AB360" i="6"/>
  <c r="Z360" i="6"/>
  <c r="B360" i="6"/>
  <c r="W360" i="6"/>
  <c r="C360" i="6"/>
  <c r="AA359" i="6"/>
  <c r="AB359" i="6"/>
  <c r="Z359" i="6"/>
  <c r="W359" i="6"/>
  <c r="C359" i="6"/>
  <c r="AA358" i="6"/>
  <c r="AC358" i="6"/>
  <c r="AB358" i="6"/>
  <c r="Z358" i="6"/>
  <c r="W358" i="6"/>
  <c r="C358" i="6"/>
  <c r="AA357" i="6"/>
  <c r="AB357" i="6"/>
  <c r="Z357" i="6"/>
  <c r="W357" i="6"/>
  <c r="C357" i="6"/>
  <c r="AA356" i="6"/>
  <c r="AC356" i="6"/>
  <c r="AB356" i="6"/>
  <c r="Z356" i="6"/>
  <c r="W356" i="6"/>
  <c r="C356" i="6"/>
  <c r="AA355" i="6"/>
  <c r="AC355" i="6"/>
  <c r="AB355" i="6"/>
  <c r="Z355" i="6"/>
  <c r="W355" i="6"/>
  <c r="C355" i="6"/>
  <c r="AA354" i="6"/>
  <c r="AC354" i="6"/>
  <c r="AB354" i="6"/>
  <c r="Z354" i="6"/>
  <c r="W354" i="6"/>
  <c r="C354" i="6"/>
  <c r="AA353" i="6"/>
  <c r="AC353" i="6"/>
  <c r="AB353" i="6"/>
  <c r="Z353" i="6"/>
  <c r="W353" i="6"/>
  <c r="C353" i="6"/>
  <c r="AA352" i="6"/>
  <c r="B352" i="6"/>
  <c r="AC352" i="6"/>
  <c r="AB352" i="6"/>
  <c r="Z352" i="6"/>
  <c r="W352" i="6"/>
  <c r="C352" i="6"/>
  <c r="AA351" i="6"/>
  <c r="AC351" i="6"/>
  <c r="AB351" i="6"/>
  <c r="Z351" i="6"/>
  <c r="W351" i="6"/>
  <c r="C351" i="6"/>
  <c r="AA350" i="6"/>
  <c r="AC350" i="6"/>
  <c r="AB350" i="6"/>
  <c r="Z350" i="6"/>
  <c r="W350" i="6"/>
  <c r="C350" i="6"/>
  <c r="AA349" i="6"/>
  <c r="AB349" i="6"/>
  <c r="Z349" i="6"/>
  <c r="W349" i="6"/>
  <c r="C349" i="6"/>
  <c r="AA348" i="6"/>
  <c r="B348" i="6"/>
  <c r="AC348" i="6"/>
  <c r="AB348" i="6"/>
  <c r="Z348" i="6"/>
  <c r="W348" i="6"/>
  <c r="C348" i="6"/>
  <c r="AA347" i="6"/>
  <c r="AC347" i="6"/>
  <c r="AB347" i="6"/>
  <c r="Z347" i="6"/>
  <c r="B347" i="6"/>
  <c r="W347" i="6"/>
  <c r="C347" i="6"/>
  <c r="AA346" i="6"/>
  <c r="AC346" i="6"/>
  <c r="AB346" i="6"/>
  <c r="Z346" i="6"/>
  <c r="W346" i="6"/>
  <c r="C346" i="6"/>
  <c r="AA345" i="6"/>
  <c r="AB345" i="6"/>
  <c r="Z345" i="6"/>
  <c r="W345" i="6"/>
  <c r="C345" i="6"/>
  <c r="AA344" i="6"/>
  <c r="B344" i="6"/>
  <c r="AC344" i="6"/>
  <c r="AB344" i="6"/>
  <c r="Z344" i="6"/>
  <c r="W344" i="6"/>
  <c r="C344" i="6"/>
  <c r="AA343" i="6"/>
  <c r="AC343" i="6"/>
  <c r="AB343" i="6"/>
  <c r="Z343" i="6"/>
  <c r="B343" i="6"/>
  <c r="W343" i="6"/>
  <c r="C343" i="6"/>
  <c r="AA342" i="6"/>
  <c r="AB342" i="6"/>
  <c r="Z342" i="6"/>
  <c r="W342" i="6"/>
  <c r="C342" i="6"/>
  <c r="AA341" i="6"/>
  <c r="AC341" i="6"/>
  <c r="AB341" i="6"/>
  <c r="Z341" i="6"/>
  <c r="W341" i="6"/>
  <c r="C341" i="6"/>
  <c r="AA340" i="6"/>
  <c r="B340" i="6"/>
  <c r="AC340" i="6"/>
  <c r="AB340" i="6"/>
  <c r="Z340" i="6"/>
  <c r="W340" i="6"/>
  <c r="C340" i="6"/>
  <c r="AA339" i="6"/>
  <c r="AC339" i="6"/>
  <c r="AB339" i="6"/>
  <c r="Z339" i="6"/>
  <c r="B339" i="6"/>
  <c r="W339" i="6"/>
  <c r="C339" i="6"/>
  <c r="AA338" i="6"/>
  <c r="AC338" i="6"/>
  <c r="AB338" i="6"/>
  <c r="Z338" i="6"/>
  <c r="W338" i="6"/>
  <c r="C338" i="6"/>
  <c r="AA337" i="6"/>
  <c r="AB337" i="6"/>
  <c r="Z337" i="6"/>
  <c r="W337" i="6"/>
  <c r="C337" i="6"/>
  <c r="AA336" i="6"/>
  <c r="B336" i="6"/>
  <c r="AC336" i="6"/>
  <c r="AB336" i="6"/>
  <c r="Z336" i="6"/>
  <c r="W336" i="6"/>
  <c r="C336" i="6"/>
  <c r="AA335" i="6"/>
  <c r="B335" i="6"/>
  <c r="AC335" i="6"/>
  <c r="AB335" i="6"/>
  <c r="Z335" i="6"/>
  <c r="W335" i="6"/>
  <c r="C335" i="6"/>
  <c r="AA334" i="6"/>
  <c r="AC334" i="6"/>
  <c r="AB334" i="6"/>
  <c r="Z334" i="6"/>
  <c r="W334" i="6"/>
  <c r="C334" i="6"/>
  <c r="AA333" i="6"/>
  <c r="AC333" i="6"/>
  <c r="AB333" i="6"/>
  <c r="Z333" i="6"/>
  <c r="B333" i="6"/>
  <c r="W333" i="6"/>
  <c r="C333" i="6"/>
  <c r="AA332" i="6"/>
  <c r="AC332" i="6"/>
  <c r="AB332" i="6"/>
  <c r="Z332" i="6"/>
  <c r="W332" i="6"/>
  <c r="C332" i="6"/>
  <c r="AA331" i="6"/>
  <c r="B331" i="6"/>
  <c r="AC331" i="6"/>
  <c r="AB331" i="6"/>
  <c r="Z331" i="6"/>
  <c r="W331" i="6"/>
  <c r="C331" i="6"/>
  <c r="AA330" i="6"/>
  <c r="AC330" i="6"/>
  <c r="AB330" i="6"/>
  <c r="Z330" i="6"/>
  <c r="W330" i="6"/>
  <c r="C330" i="6"/>
  <c r="AA329" i="6"/>
  <c r="AC329" i="6"/>
  <c r="AB329" i="6"/>
  <c r="Z329" i="6"/>
  <c r="W329" i="6"/>
  <c r="C329" i="6"/>
  <c r="AA328" i="6"/>
  <c r="AC328" i="6"/>
  <c r="AB328" i="6"/>
  <c r="Z328" i="6"/>
  <c r="W328" i="6"/>
  <c r="C328" i="6"/>
  <c r="AA327" i="6"/>
  <c r="B327" i="6"/>
  <c r="AC327" i="6"/>
  <c r="AB327" i="6"/>
  <c r="Z327" i="6"/>
  <c r="W327" i="6"/>
  <c r="C327" i="6"/>
  <c r="AA326" i="6"/>
  <c r="AC326" i="6"/>
  <c r="AB326" i="6"/>
  <c r="Z326" i="6"/>
  <c r="B326" i="6"/>
  <c r="W326" i="6"/>
  <c r="C326" i="6"/>
  <c r="AA325" i="6"/>
  <c r="AC325" i="6"/>
  <c r="AB325" i="6"/>
  <c r="Z325" i="6"/>
  <c r="B325" i="6"/>
  <c r="W325" i="6"/>
  <c r="C325" i="6"/>
  <c r="AA324" i="6"/>
  <c r="AC324" i="6"/>
  <c r="AB324" i="6"/>
  <c r="Z324" i="6"/>
  <c r="W324" i="6"/>
  <c r="C324" i="6"/>
  <c r="AA323" i="6"/>
  <c r="B323" i="6"/>
  <c r="AB323" i="6"/>
  <c r="Z323" i="6"/>
  <c r="W323" i="6"/>
  <c r="C323" i="6"/>
  <c r="AA322" i="6"/>
  <c r="AC322" i="6"/>
  <c r="AB322" i="6"/>
  <c r="Z322" i="6"/>
  <c r="W322" i="6"/>
  <c r="C322" i="6"/>
  <c r="AA321" i="6"/>
  <c r="AC321" i="6"/>
  <c r="AB321" i="6"/>
  <c r="Z321" i="6"/>
  <c r="B321" i="6"/>
  <c r="W321" i="6"/>
  <c r="C321" i="6"/>
  <c r="AA320" i="6"/>
  <c r="AC320" i="6"/>
  <c r="AB320" i="6"/>
  <c r="Z320" i="6"/>
  <c r="W320" i="6"/>
  <c r="C320" i="6"/>
  <c r="AA319" i="6"/>
  <c r="AC319" i="6"/>
  <c r="AB319" i="6"/>
  <c r="Z319" i="6"/>
  <c r="W319" i="6"/>
  <c r="C319" i="6"/>
  <c r="AA318" i="6"/>
  <c r="AC318" i="6"/>
  <c r="AB318" i="6"/>
  <c r="Z318" i="6"/>
  <c r="W318" i="6"/>
  <c r="C318" i="6"/>
  <c r="AA317" i="6"/>
  <c r="AB317" i="6"/>
  <c r="Z317" i="6"/>
  <c r="W317" i="6"/>
  <c r="C317" i="6"/>
  <c r="AA316" i="6"/>
  <c r="AC316" i="6"/>
  <c r="AB316" i="6"/>
  <c r="Z316" i="6"/>
  <c r="B316" i="6"/>
  <c r="W316" i="6"/>
  <c r="C316" i="6"/>
  <c r="AA315" i="6"/>
  <c r="AC315" i="6"/>
  <c r="AB315" i="6"/>
  <c r="Z315" i="6"/>
  <c r="W315" i="6"/>
  <c r="C315" i="6"/>
  <c r="AA314" i="6"/>
  <c r="AC314" i="6"/>
  <c r="AB314" i="6"/>
  <c r="Z314" i="6"/>
  <c r="W314" i="6"/>
  <c r="C314" i="6"/>
  <c r="AA313" i="6"/>
  <c r="AC313" i="6"/>
  <c r="AB313" i="6"/>
  <c r="Z313" i="6"/>
  <c r="W313" i="6"/>
  <c r="C313" i="6"/>
  <c r="AA312" i="6"/>
  <c r="B312" i="6"/>
  <c r="AC312" i="6"/>
  <c r="AB312" i="6"/>
  <c r="Z312" i="6"/>
  <c r="W312" i="6"/>
  <c r="C312" i="6"/>
  <c r="AA311" i="6"/>
  <c r="AC311" i="6"/>
  <c r="AB311" i="6"/>
  <c r="Z311" i="6"/>
  <c r="W311" i="6"/>
  <c r="C311" i="6"/>
  <c r="AA310" i="6"/>
  <c r="AC310" i="6"/>
  <c r="AB310" i="6"/>
  <c r="Z310" i="6"/>
  <c r="B310" i="6"/>
  <c r="W310" i="6"/>
  <c r="C310" i="6"/>
  <c r="AA309" i="6"/>
  <c r="AC309" i="6"/>
  <c r="AB309" i="6"/>
  <c r="Z309" i="6"/>
  <c r="W309" i="6"/>
  <c r="C309" i="6"/>
  <c r="AA308" i="6"/>
  <c r="AC308" i="6"/>
  <c r="AB308" i="6"/>
  <c r="Z308" i="6"/>
  <c r="W308" i="6"/>
  <c r="C308" i="6"/>
  <c r="AA307" i="6"/>
  <c r="AC307" i="6"/>
  <c r="AB307" i="6"/>
  <c r="Z307" i="6"/>
  <c r="W307" i="6"/>
  <c r="C307" i="6"/>
  <c r="AA306" i="6"/>
  <c r="AC306" i="6"/>
  <c r="AB306" i="6"/>
  <c r="Z306" i="6"/>
  <c r="B306" i="6"/>
  <c r="W306" i="6"/>
  <c r="C306" i="6"/>
  <c r="AA305" i="6"/>
  <c r="AC305" i="6"/>
  <c r="AB305" i="6"/>
  <c r="Z305" i="6"/>
  <c r="B305" i="6"/>
  <c r="W305" i="6"/>
  <c r="C305" i="6"/>
  <c r="AA304" i="6"/>
  <c r="AB304" i="6"/>
  <c r="Z304" i="6"/>
  <c r="W304" i="6"/>
  <c r="C304" i="6"/>
  <c r="AA303" i="6"/>
  <c r="AB303" i="6"/>
  <c r="Z303" i="6"/>
  <c r="W303" i="6"/>
  <c r="C303" i="6"/>
  <c r="AA302" i="6"/>
  <c r="AC302" i="6"/>
  <c r="AB302" i="6"/>
  <c r="Z302" i="6"/>
  <c r="W302" i="6"/>
  <c r="C302" i="6"/>
  <c r="AA301" i="6"/>
  <c r="B301" i="6"/>
  <c r="AB301" i="6"/>
  <c r="Z301" i="6"/>
  <c r="W301" i="6"/>
  <c r="C301" i="6"/>
  <c r="AA300" i="6"/>
  <c r="AB300" i="6"/>
  <c r="Z300" i="6"/>
  <c r="W300" i="6"/>
  <c r="C300" i="6"/>
  <c r="AA299" i="6"/>
  <c r="AC299" i="6"/>
  <c r="AB299" i="6"/>
  <c r="Z299" i="6"/>
  <c r="W299" i="6"/>
  <c r="C299" i="6"/>
  <c r="AA298" i="6"/>
  <c r="AC298" i="6"/>
  <c r="AB298" i="6"/>
  <c r="Z298" i="6"/>
  <c r="W298" i="6"/>
  <c r="C298" i="6"/>
  <c r="AA297" i="6"/>
  <c r="AC297" i="6"/>
  <c r="AB297" i="6"/>
  <c r="Z297" i="6"/>
  <c r="W297" i="6"/>
  <c r="C297" i="6"/>
  <c r="AA296" i="6"/>
  <c r="AC296" i="6"/>
  <c r="AB296" i="6"/>
  <c r="Z296" i="6"/>
  <c r="B296" i="6"/>
  <c r="W296" i="6"/>
  <c r="C296" i="6"/>
  <c r="AA295" i="6"/>
  <c r="AC295" i="6"/>
  <c r="AB295" i="6"/>
  <c r="Z295" i="6"/>
  <c r="W295" i="6"/>
  <c r="AA294" i="6"/>
  <c r="AC294" i="6"/>
  <c r="AB294" i="6"/>
  <c r="Z294" i="6"/>
  <c r="W294" i="6"/>
  <c r="C294" i="6"/>
  <c r="AA293" i="6"/>
  <c r="AC293" i="6"/>
  <c r="AB293" i="6"/>
  <c r="Z293" i="6"/>
  <c r="B293" i="6"/>
  <c r="W293" i="6"/>
  <c r="C293" i="6"/>
  <c r="AA292" i="6"/>
  <c r="AC292" i="6"/>
  <c r="AB292" i="6"/>
  <c r="Z292" i="6"/>
  <c r="B292" i="6"/>
  <c r="W292" i="6"/>
  <c r="C292" i="6"/>
  <c r="AA291" i="6"/>
  <c r="AC291" i="6"/>
  <c r="AB291" i="6"/>
  <c r="Z291" i="6"/>
  <c r="B291" i="6"/>
  <c r="W291" i="6"/>
  <c r="C291" i="6"/>
  <c r="AA290" i="6"/>
  <c r="AC290" i="6"/>
  <c r="AB290" i="6"/>
  <c r="Z290" i="6"/>
  <c r="W290" i="6"/>
  <c r="C290" i="6"/>
  <c r="AA289" i="6"/>
  <c r="AB289" i="6"/>
  <c r="Z289" i="6"/>
  <c r="W289" i="6"/>
  <c r="C289" i="6"/>
  <c r="AA288" i="6"/>
  <c r="AC288" i="6"/>
  <c r="AB288" i="6"/>
  <c r="Z288" i="6"/>
  <c r="W288" i="6"/>
  <c r="C288" i="6"/>
  <c r="AA287" i="6"/>
  <c r="AC287" i="6"/>
  <c r="AB287" i="6"/>
  <c r="Z287" i="6"/>
  <c r="W287" i="6"/>
  <c r="C287" i="6"/>
  <c r="AA286" i="6"/>
  <c r="AC286" i="6"/>
  <c r="AB286" i="6"/>
  <c r="Z286" i="6"/>
  <c r="W286" i="6"/>
  <c r="C286" i="6"/>
  <c r="AA285" i="6"/>
  <c r="B285" i="6"/>
  <c r="AC285" i="6"/>
  <c r="AB285" i="6"/>
  <c r="Z285" i="6"/>
  <c r="W285" i="6"/>
  <c r="C285" i="6"/>
  <c r="AA284" i="6"/>
  <c r="B284" i="6"/>
  <c r="AC284" i="6"/>
  <c r="AB284" i="6"/>
  <c r="Z284" i="6"/>
  <c r="W284" i="6"/>
  <c r="C284" i="6"/>
  <c r="AA283" i="6"/>
  <c r="AC283" i="6"/>
  <c r="AB283" i="6"/>
  <c r="Z283" i="6"/>
  <c r="W283" i="6"/>
  <c r="C283" i="6"/>
  <c r="AA282" i="6"/>
  <c r="AB282" i="6"/>
  <c r="Z282" i="6"/>
  <c r="W282" i="6"/>
  <c r="C282" i="6"/>
  <c r="AA281" i="6"/>
  <c r="AB281" i="6"/>
  <c r="Z281" i="6"/>
  <c r="W281" i="6"/>
  <c r="C281" i="6"/>
  <c r="AA280" i="6"/>
  <c r="AC280" i="6"/>
  <c r="AB280" i="6"/>
  <c r="Z280" i="6"/>
  <c r="W280" i="6"/>
  <c r="C280" i="6"/>
  <c r="AA279" i="6"/>
  <c r="AC279" i="6"/>
  <c r="AB279" i="6"/>
  <c r="Z279" i="6"/>
  <c r="W279" i="6"/>
  <c r="C279" i="6"/>
  <c r="AA278" i="6"/>
  <c r="B278" i="6"/>
  <c r="AC278" i="6"/>
  <c r="AB278" i="6"/>
  <c r="Z278" i="6"/>
  <c r="W278" i="6"/>
  <c r="C278" i="6"/>
  <c r="AA277" i="6"/>
  <c r="AB277" i="6"/>
  <c r="Z277" i="6"/>
  <c r="W277" i="6"/>
  <c r="C277" i="6"/>
  <c r="AA276" i="6"/>
  <c r="AC276" i="6"/>
  <c r="AB276" i="6"/>
  <c r="Z276" i="6"/>
  <c r="B276" i="6"/>
  <c r="W276" i="6"/>
  <c r="C276" i="6"/>
  <c r="AA275" i="6"/>
  <c r="AC275" i="6"/>
  <c r="AB275" i="6"/>
  <c r="Z275" i="6"/>
  <c r="W275" i="6"/>
  <c r="C275" i="6"/>
  <c r="AA274" i="6"/>
  <c r="AC274" i="6"/>
  <c r="AB274" i="6"/>
  <c r="Z274" i="6"/>
  <c r="W274" i="6"/>
  <c r="C274" i="6"/>
  <c r="AA273" i="6"/>
  <c r="B273" i="6"/>
  <c r="AB273" i="6"/>
  <c r="Z273" i="6"/>
  <c r="W273" i="6"/>
  <c r="C273" i="6"/>
  <c r="AA272" i="6"/>
  <c r="AC272" i="6"/>
  <c r="AB272" i="6"/>
  <c r="Z272" i="6"/>
  <c r="W272" i="6"/>
  <c r="C272" i="6"/>
  <c r="AA271" i="6"/>
  <c r="AC271" i="6"/>
  <c r="AB271" i="6"/>
  <c r="Z271" i="6"/>
  <c r="W271" i="6"/>
  <c r="C271" i="6"/>
  <c r="AA270" i="6"/>
  <c r="AC270" i="6"/>
  <c r="AB270" i="6"/>
  <c r="Z270" i="6"/>
  <c r="W270" i="6"/>
  <c r="C270" i="6"/>
  <c r="AA269" i="6"/>
  <c r="AC269" i="6"/>
  <c r="AB269" i="6"/>
  <c r="Z269" i="6"/>
  <c r="W269" i="6"/>
  <c r="C269" i="6"/>
  <c r="AA268" i="6"/>
  <c r="AC268" i="6"/>
  <c r="AB268" i="6"/>
  <c r="Z268" i="6"/>
  <c r="B268" i="6"/>
  <c r="W268" i="6"/>
  <c r="C268" i="6"/>
  <c r="AA267" i="6"/>
  <c r="AC267" i="6"/>
  <c r="AB267" i="6"/>
  <c r="Z267" i="6"/>
  <c r="W267" i="6"/>
  <c r="C267" i="6"/>
  <c r="AA266" i="6"/>
  <c r="B266" i="6"/>
  <c r="AC266" i="6"/>
  <c r="AB266" i="6"/>
  <c r="Z266" i="6"/>
  <c r="C266" i="6"/>
  <c r="AA265" i="6"/>
  <c r="AC265" i="6"/>
  <c r="AB265" i="6"/>
  <c r="Z265" i="6"/>
  <c r="W265" i="6"/>
  <c r="C265" i="6"/>
  <c r="AA229" i="6"/>
  <c r="AB229" i="6"/>
  <c r="Z229" i="6"/>
  <c r="W229" i="6"/>
  <c r="C229" i="6"/>
  <c r="AA228" i="6"/>
  <c r="AB228" i="6"/>
  <c r="Z228" i="6"/>
  <c r="W228" i="6"/>
  <c r="C228" i="6"/>
  <c r="AA227" i="6"/>
  <c r="B227" i="6"/>
  <c r="AB227" i="6"/>
  <c r="Z227" i="6"/>
  <c r="W227" i="6"/>
  <c r="C227" i="6"/>
  <c r="AA226" i="6"/>
  <c r="B226" i="6"/>
  <c r="AB226" i="6"/>
  <c r="Z226" i="6"/>
  <c r="W226" i="6"/>
  <c r="C226" i="6"/>
  <c r="AA225" i="6"/>
  <c r="B225" i="6"/>
  <c r="AB225" i="6"/>
  <c r="Z225" i="6"/>
  <c r="W225" i="6"/>
  <c r="C225" i="6"/>
  <c r="AA224" i="6"/>
  <c r="AB224" i="6"/>
  <c r="Z224" i="6"/>
  <c r="C224" i="6"/>
  <c r="AA223" i="6"/>
  <c r="AC223" i="6"/>
  <c r="AB223" i="6"/>
  <c r="Z223" i="6"/>
  <c r="W223" i="6"/>
  <c r="C223" i="6"/>
  <c r="AA222" i="6"/>
  <c r="AB222" i="6"/>
  <c r="Z222" i="6"/>
  <c r="C222" i="6"/>
  <c r="AA221" i="6"/>
  <c r="B221" i="6"/>
  <c r="AC221" i="6"/>
  <c r="AB221" i="6"/>
  <c r="Z221" i="6"/>
  <c r="C221" i="6"/>
  <c r="AA220" i="6"/>
  <c r="B220" i="6"/>
  <c r="AB220" i="6"/>
  <c r="Z220" i="6"/>
  <c r="C220" i="6"/>
  <c r="AA216" i="6"/>
  <c r="AB216" i="6"/>
  <c r="Z216" i="6"/>
  <c r="C216" i="6"/>
  <c r="AA215" i="6"/>
  <c r="AB215" i="6"/>
  <c r="Z215" i="6"/>
  <c r="W215" i="6"/>
  <c r="C215" i="6"/>
  <c r="AA214" i="6"/>
  <c r="B214" i="6"/>
  <c r="AB214" i="6"/>
  <c r="Z214" i="6"/>
  <c r="W214" i="6"/>
  <c r="C214" i="6"/>
  <c r="AA213" i="6"/>
  <c r="B213" i="6"/>
  <c r="AB213" i="6"/>
  <c r="Z213" i="6"/>
  <c r="C213" i="6"/>
  <c r="AA212" i="6"/>
  <c r="B212" i="6"/>
  <c r="AB212" i="6"/>
  <c r="Z212" i="6"/>
  <c r="W212" i="6"/>
  <c r="C212" i="6"/>
  <c r="AA211" i="6"/>
  <c r="AB211" i="6"/>
  <c r="Z211" i="6"/>
  <c r="C211" i="6"/>
  <c r="AA210" i="6"/>
  <c r="B210" i="6"/>
  <c r="AB210" i="6"/>
  <c r="Z210" i="6"/>
  <c r="W210" i="6"/>
  <c r="C210" i="6"/>
  <c r="AA209" i="6"/>
  <c r="AC209" i="6"/>
  <c r="AB209" i="6"/>
  <c r="Z209" i="6"/>
  <c r="W209" i="6"/>
  <c r="C209" i="6"/>
  <c r="AA208" i="6"/>
  <c r="B208" i="6"/>
  <c r="AB208" i="6"/>
  <c r="Z208" i="6"/>
  <c r="W208" i="6"/>
  <c r="C208" i="6"/>
  <c r="AA207" i="6"/>
  <c r="AC207" i="6"/>
  <c r="AB207" i="6"/>
  <c r="Z207" i="6"/>
  <c r="W207" i="6"/>
  <c r="C207" i="6"/>
  <c r="AA206" i="6"/>
  <c r="AC206" i="6"/>
  <c r="AB206" i="6"/>
  <c r="Z206" i="6"/>
  <c r="B206" i="6"/>
  <c r="W206" i="6"/>
  <c r="C206" i="6"/>
  <c r="AA205" i="6"/>
  <c r="B205" i="6"/>
  <c r="AC205" i="6"/>
  <c r="AB205" i="6"/>
  <c r="Z205" i="6"/>
  <c r="W205" i="6"/>
  <c r="C205" i="6"/>
  <c r="AA204" i="6"/>
  <c r="B204" i="6"/>
  <c r="AC204" i="6"/>
  <c r="AB204" i="6"/>
  <c r="Z204" i="6"/>
  <c r="W204" i="6"/>
  <c r="C204" i="6"/>
  <c r="AA203" i="6"/>
  <c r="AC203" i="6"/>
  <c r="AB203" i="6"/>
  <c r="Z203" i="6"/>
  <c r="W203" i="6"/>
  <c r="C203" i="6"/>
  <c r="AA202" i="6"/>
  <c r="B202" i="6"/>
  <c r="AC202" i="6"/>
  <c r="AB202" i="6"/>
  <c r="Z202" i="6"/>
  <c r="W202" i="6"/>
  <c r="C202" i="6"/>
  <c r="AA201" i="6"/>
  <c r="AC201" i="6"/>
  <c r="AB201" i="6"/>
  <c r="Z201" i="6"/>
  <c r="B201" i="6"/>
  <c r="W201" i="6"/>
  <c r="C201" i="6"/>
  <c r="AA200" i="6"/>
  <c r="AB200" i="6"/>
  <c r="Z200" i="6"/>
  <c r="C200" i="6"/>
  <c r="AA199" i="6"/>
  <c r="AB199" i="6"/>
  <c r="Z199" i="6"/>
  <c r="C199" i="6"/>
  <c r="AA198" i="6"/>
  <c r="AB198" i="6"/>
  <c r="Z198" i="6"/>
  <c r="C198" i="6"/>
  <c r="AA197" i="6"/>
  <c r="AC197" i="6"/>
  <c r="AB197" i="6"/>
  <c r="Z197" i="6"/>
  <c r="W197" i="6"/>
  <c r="C197" i="6"/>
  <c r="AA196" i="6"/>
  <c r="AC196" i="6"/>
  <c r="AB196" i="6"/>
  <c r="Z196" i="6"/>
  <c r="B196" i="6"/>
  <c r="W196" i="6"/>
  <c r="C196" i="6"/>
  <c r="AA195" i="6"/>
  <c r="AB195" i="6"/>
  <c r="Z195" i="6"/>
  <c r="C195" i="6"/>
  <c r="AA194" i="6"/>
  <c r="AC194" i="6"/>
  <c r="AB194" i="6"/>
  <c r="Z194" i="6"/>
  <c r="C194" i="6"/>
  <c r="AA193" i="6"/>
  <c r="AC193" i="6"/>
  <c r="AB193" i="6"/>
  <c r="Z193" i="6"/>
  <c r="C193" i="6"/>
  <c r="AA192" i="6"/>
  <c r="B192" i="6"/>
  <c r="AC192" i="6"/>
  <c r="AB192" i="6"/>
  <c r="Z192" i="6"/>
  <c r="C192" i="6"/>
  <c r="AA191" i="6"/>
  <c r="B191" i="6"/>
  <c r="AB191" i="6"/>
  <c r="Z191" i="6"/>
  <c r="C191" i="6"/>
  <c r="AA190" i="6"/>
  <c r="B190" i="6"/>
  <c r="AC190" i="6"/>
  <c r="AB190" i="6"/>
  <c r="Z190" i="6"/>
  <c r="C190" i="6"/>
  <c r="AA189" i="6"/>
  <c r="AC189" i="6"/>
  <c r="AB189" i="6"/>
  <c r="Z189" i="6"/>
  <c r="C189" i="6"/>
  <c r="AA188" i="6"/>
  <c r="AC188" i="6"/>
  <c r="AB188" i="6"/>
  <c r="Z188" i="6"/>
  <c r="B188" i="6"/>
  <c r="C188" i="6"/>
  <c r="AA187" i="6"/>
  <c r="B187" i="6"/>
  <c r="AB187" i="6"/>
  <c r="Z187" i="6"/>
  <c r="C187" i="6"/>
  <c r="AA186" i="6"/>
  <c r="AC186" i="6"/>
  <c r="AB186" i="6"/>
  <c r="Z186" i="6"/>
  <c r="W186" i="6"/>
  <c r="C186" i="6"/>
  <c r="AA185" i="6"/>
  <c r="AC185" i="6"/>
  <c r="AB185" i="6"/>
  <c r="Z185" i="6"/>
  <c r="W185" i="6"/>
  <c r="C185" i="6"/>
  <c r="AA184" i="6"/>
  <c r="AC184" i="6"/>
  <c r="AB184" i="6"/>
  <c r="Z184" i="6"/>
  <c r="W184" i="6"/>
  <c r="C184" i="6"/>
  <c r="AA183" i="6"/>
  <c r="AC183" i="6"/>
  <c r="AB183" i="6"/>
  <c r="Z183" i="6"/>
  <c r="W183" i="6"/>
  <c r="C183" i="6"/>
  <c r="AA182" i="6"/>
  <c r="AC182" i="6"/>
  <c r="AB182" i="6"/>
  <c r="Z182" i="6"/>
  <c r="W182" i="6"/>
  <c r="C182" i="6"/>
  <c r="AA179" i="6"/>
  <c r="AC179" i="6"/>
  <c r="AB179" i="6"/>
  <c r="Z179" i="6"/>
  <c r="C179" i="6"/>
  <c r="AA177" i="6"/>
  <c r="AC177" i="6"/>
  <c r="AB177" i="6"/>
  <c r="Z177" i="6"/>
  <c r="W177" i="6"/>
  <c r="C177" i="6"/>
  <c r="AA176" i="6"/>
  <c r="AC176" i="6"/>
  <c r="AB176" i="6"/>
  <c r="Z176" i="6"/>
  <c r="B176" i="6"/>
  <c r="W176" i="6"/>
  <c r="C176" i="6"/>
  <c r="AA175" i="6"/>
  <c r="AC175" i="6"/>
  <c r="AB175" i="6"/>
  <c r="Z175" i="6"/>
  <c r="C175" i="6"/>
  <c r="AA174" i="6"/>
  <c r="AB174" i="6"/>
  <c r="Z174" i="6"/>
  <c r="C174" i="6"/>
  <c r="AA173" i="6"/>
  <c r="AC173" i="6"/>
  <c r="AB173" i="6"/>
  <c r="Z173" i="6"/>
  <c r="C173" i="6"/>
  <c r="AA172" i="6"/>
  <c r="AC172" i="6"/>
  <c r="AB172" i="6"/>
  <c r="Z172" i="6"/>
  <c r="C172" i="6"/>
  <c r="AA171" i="6"/>
  <c r="AC171" i="6"/>
  <c r="AB171" i="6"/>
  <c r="Z171" i="6"/>
  <c r="C171" i="6"/>
  <c r="AA170" i="6"/>
  <c r="AC170" i="6"/>
  <c r="AB170" i="6"/>
  <c r="Z170" i="6"/>
  <c r="W170" i="6"/>
  <c r="C170" i="6"/>
  <c r="AA169" i="6"/>
  <c r="AB169" i="6"/>
  <c r="Z169" i="6"/>
  <c r="W169" i="6"/>
  <c r="C169" i="6"/>
  <c r="AA168" i="6"/>
  <c r="AB168" i="6"/>
  <c r="Z168" i="6"/>
  <c r="W168" i="6"/>
  <c r="C168" i="6"/>
  <c r="AA167" i="6"/>
  <c r="AB167" i="6"/>
  <c r="Z167" i="6"/>
  <c r="W167" i="6"/>
  <c r="C167" i="6"/>
  <c r="AA166" i="6"/>
  <c r="AB166" i="6"/>
  <c r="Z166" i="6"/>
  <c r="W166" i="6"/>
  <c r="C166" i="6"/>
  <c r="AA165" i="6"/>
  <c r="AC165" i="6"/>
  <c r="AB165" i="6"/>
  <c r="Z165" i="6"/>
  <c r="W165" i="6"/>
  <c r="C165" i="6"/>
  <c r="AA164" i="6"/>
  <c r="AC164" i="6"/>
  <c r="AB164" i="6"/>
  <c r="Z164" i="6"/>
  <c r="W164" i="6"/>
  <c r="C164" i="6"/>
  <c r="AA163" i="6"/>
  <c r="AC163" i="6"/>
  <c r="AB163" i="6"/>
  <c r="Z163" i="6"/>
  <c r="W163" i="6"/>
  <c r="C163" i="6"/>
  <c r="AA162" i="6"/>
  <c r="AC162" i="6"/>
  <c r="AB162" i="6"/>
  <c r="Z162" i="6"/>
  <c r="C162" i="6"/>
  <c r="AA161" i="6"/>
  <c r="AC161" i="6"/>
  <c r="AB161" i="6"/>
  <c r="Z161" i="6"/>
  <c r="C161" i="6"/>
  <c r="AA160" i="6"/>
  <c r="AC160" i="6"/>
  <c r="AB160" i="6"/>
  <c r="Z160" i="6"/>
  <c r="C160" i="6"/>
  <c r="AA159" i="6"/>
  <c r="AC159" i="6"/>
  <c r="AB159" i="6"/>
  <c r="Z159" i="6"/>
  <c r="W159" i="6"/>
  <c r="C159" i="6"/>
  <c r="AA158" i="6"/>
  <c r="AC158" i="6"/>
  <c r="AB158" i="6"/>
  <c r="Z158" i="6"/>
  <c r="W158" i="6"/>
  <c r="C158" i="6"/>
  <c r="AA157" i="6"/>
  <c r="AC157" i="6"/>
  <c r="AB157" i="6"/>
  <c r="Z157" i="6"/>
  <c r="W157" i="6"/>
  <c r="C157" i="6"/>
  <c r="AA156" i="6"/>
  <c r="AC156" i="6"/>
  <c r="AB156" i="6"/>
  <c r="Z156" i="6"/>
  <c r="W156" i="6"/>
  <c r="C156" i="6"/>
  <c r="AA155" i="6"/>
  <c r="AC155" i="6"/>
  <c r="AB155" i="6"/>
  <c r="Z155" i="6"/>
  <c r="W155" i="6"/>
  <c r="C155" i="6"/>
  <c r="AA154" i="6"/>
  <c r="AC154" i="6"/>
  <c r="AB154" i="6"/>
  <c r="Z154" i="6"/>
  <c r="W154" i="6"/>
  <c r="C154" i="6"/>
  <c r="AA153" i="6"/>
  <c r="AC153" i="6"/>
  <c r="AB153" i="6"/>
  <c r="Z153" i="6"/>
  <c r="W153" i="6"/>
  <c r="C153" i="6"/>
  <c r="AA152" i="6"/>
  <c r="B152" i="6"/>
  <c r="AC152" i="6"/>
  <c r="AB152" i="6"/>
  <c r="Z152" i="6"/>
  <c r="W152" i="6"/>
  <c r="C152" i="6"/>
  <c r="AA151" i="6"/>
  <c r="AC151" i="6"/>
  <c r="AB151" i="6"/>
  <c r="Z151" i="6"/>
  <c r="B151" i="6"/>
  <c r="W151" i="6"/>
  <c r="C151" i="6"/>
  <c r="AA150" i="6"/>
  <c r="AC150" i="6"/>
  <c r="AB150" i="6"/>
  <c r="Z150" i="6"/>
  <c r="W150" i="6"/>
  <c r="C150" i="6"/>
  <c r="AA149" i="6"/>
  <c r="AB149" i="6"/>
  <c r="Z149" i="6"/>
  <c r="W149" i="6"/>
  <c r="C149" i="6"/>
  <c r="AA148" i="6"/>
  <c r="AC148" i="6"/>
  <c r="AB148" i="6"/>
  <c r="Z148" i="6"/>
  <c r="C148" i="6"/>
  <c r="AA147" i="6"/>
  <c r="AB147" i="6"/>
  <c r="Z147" i="6"/>
  <c r="C147" i="6"/>
  <c r="AA146" i="6"/>
  <c r="AC146" i="6"/>
  <c r="AB146" i="6"/>
  <c r="Z146" i="6"/>
  <c r="C146" i="6"/>
  <c r="AA145" i="6"/>
  <c r="AC145" i="6"/>
  <c r="AB145" i="6"/>
  <c r="Z145" i="6"/>
  <c r="C145" i="6"/>
  <c r="AA144" i="6"/>
  <c r="AC144" i="6"/>
  <c r="AB144" i="6"/>
  <c r="Z144" i="6"/>
  <c r="C144" i="6"/>
  <c r="AA143" i="6"/>
  <c r="AC143" i="6"/>
  <c r="AB143" i="6"/>
  <c r="Z143" i="6"/>
  <c r="C143" i="6"/>
  <c r="AA142" i="6"/>
  <c r="AC142" i="6"/>
  <c r="AB142" i="6"/>
  <c r="Z142" i="6"/>
  <c r="C142" i="6"/>
  <c r="AA141" i="6"/>
  <c r="AB141" i="6"/>
  <c r="Z141" i="6"/>
  <c r="C141" i="6"/>
  <c r="AA140" i="6"/>
  <c r="AC140" i="6"/>
  <c r="AB140" i="6"/>
  <c r="Z140" i="6"/>
  <c r="W140" i="6"/>
  <c r="C140" i="6"/>
  <c r="AA139" i="6"/>
  <c r="B139" i="6"/>
  <c r="AC139" i="6"/>
  <c r="AB139" i="6"/>
  <c r="Z139" i="6"/>
  <c r="W139" i="6"/>
  <c r="C139" i="6"/>
  <c r="AA138" i="6"/>
  <c r="AC138" i="6"/>
  <c r="AB138" i="6"/>
  <c r="Z138" i="6"/>
  <c r="B138" i="6"/>
  <c r="W138" i="6"/>
  <c r="C138" i="6"/>
  <c r="AA137" i="6"/>
  <c r="AC137" i="6"/>
  <c r="AB137" i="6"/>
  <c r="Z137" i="6"/>
  <c r="W137" i="6"/>
  <c r="C137" i="6"/>
  <c r="AA136" i="6"/>
  <c r="AC136" i="6"/>
  <c r="AB136" i="6"/>
  <c r="Z136" i="6"/>
  <c r="B136" i="6"/>
  <c r="W136" i="6"/>
  <c r="C136" i="6"/>
  <c r="AA135" i="6"/>
  <c r="B135" i="6"/>
  <c r="AC135" i="6"/>
  <c r="AB135" i="6"/>
  <c r="Z135" i="6"/>
  <c r="W135" i="6"/>
  <c r="C135" i="6"/>
  <c r="AA134" i="6"/>
  <c r="AC134" i="6"/>
  <c r="AB134" i="6"/>
  <c r="Z134" i="6"/>
  <c r="W134" i="6"/>
  <c r="C134" i="6"/>
  <c r="AA133" i="6"/>
  <c r="AB133" i="6"/>
  <c r="Z133" i="6"/>
  <c r="W133" i="6"/>
  <c r="C133" i="6"/>
  <c r="AA132" i="6"/>
  <c r="AC132" i="6"/>
  <c r="AB132" i="6"/>
  <c r="Z132" i="6"/>
  <c r="W132" i="6"/>
  <c r="C132" i="6"/>
  <c r="AA131" i="6"/>
  <c r="B131" i="6"/>
  <c r="AC131" i="6"/>
  <c r="AB131" i="6"/>
  <c r="Z131" i="6"/>
  <c r="W131" i="6"/>
  <c r="C131" i="6"/>
  <c r="AA129" i="6"/>
  <c r="AB129" i="6"/>
  <c r="Z129" i="6"/>
  <c r="W129" i="6"/>
  <c r="C129" i="6"/>
  <c r="AA128" i="6"/>
  <c r="AB128" i="6"/>
  <c r="Z128" i="6"/>
  <c r="B128" i="6"/>
  <c r="W128" i="6"/>
  <c r="C128" i="6"/>
  <c r="AA127" i="6"/>
  <c r="AC127" i="6"/>
  <c r="AB127" i="6"/>
  <c r="Z127" i="6"/>
  <c r="W127" i="6"/>
  <c r="C127" i="6"/>
  <c r="AA126" i="6"/>
  <c r="AC126" i="6"/>
  <c r="O126" i="6"/>
  <c r="AB126" i="6"/>
  <c r="Z126" i="6"/>
  <c r="C126" i="6"/>
  <c r="AA125" i="6"/>
  <c r="AC125" i="6"/>
  <c r="AB125" i="6"/>
  <c r="Z125" i="6"/>
  <c r="W125" i="6"/>
  <c r="C125" i="6"/>
  <c r="AA124" i="6"/>
  <c r="AB124" i="6"/>
  <c r="Z124" i="6"/>
  <c r="W124" i="6"/>
  <c r="C124" i="6"/>
  <c r="AA123" i="6"/>
  <c r="AC123" i="6"/>
  <c r="AB123" i="6"/>
  <c r="Z123" i="6"/>
  <c r="B123" i="6"/>
  <c r="W123" i="6"/>
  <c r="C123" i="6"/>
  <c r="AA122" i="6"/>
  <c r="AB122" i="6"/>
  <c r="Z122" i="6"/>
  <c r="W122" i="6"/>
  <c r="C122" i="6"/>
  <c r="AA121" i="6"/>
  <c r="AB121" i="6"/>
  <c r="Z121" i="6"/>
  <c r="W121" i="6"/>
  <c r="C121" i="6"/>
  <c r="AA120" i="6"/>
  <c r="AC120" i="6"/>
  <c r="AB120" i="6"/>
  <c r="Z120" i="6"/>
  <c r="W120" i="6"/>
  <c r="C120" i="6"/>
  <c r="AA119" i="6"/>
  <c r="AC119" i="6"/>
  <c r="AB119" i="6"/>
  <c r="Z119" i="6"/>
  <c r="W119" i="6"/>
  <c r="C119" i="6"/>
  <c r="AA118" i="6"/>
  <c r="AC118" i="6"/>
  <c r="AB118" i="6"/>
  <c r="Z118" i="6"/>
  <c r="B118" i="6"/>
  <c r="W118" i="6"/>
  <c r="C118" i="6"/>
  <c r="AA117" i="6"/>
  <c r="AC117" i="6"/>
  <c r="AB117" i="6"/>
  <c r="Z117" i="6"/>
  <c r="W117" i="6"/>
  <c r="C117" i="6"/>
  <c r="AA116" i="6"/>
  <c r="AB116" i="6"/>
  <c r="Z116" i="6"/>
  <c r="W116" i="6"/>
  <c r="C116" i="6"/>
  <c r="AA115" i="6"/>
  <c r="AC115" i="6"/>
  <c r="AB115" i="6"/>
  <c r="Z115" i="6"/>
  <c r="W115" i="6"/>
  <c r="C115" i="6"/>
  <c r="AA114" i="6"/>
  <c r="AC114" i="6"/>
  <c r="AB114" i="6"/>
  <c r="Z114" i="6"/>
  <c r="W114" i="6"/>
  <c r="C114" i="6"/>
  <c r="AA113" i="6"/>
  <c r="AC113" i="6"/>
  <c r="AB113" i="6"/>
  <c r="Z113" i="6"/>
  <c r="W113" i="6"/>
  <c r="C113" i="6"/>
  <c r="AA112" i="6"/>
  <c r="AC112" i="6"/>
  <c r="AB112" i="6"/>
  <c r="Z112" i="6"/>
  <c r="W112" i="6"/>
  <c r="C112" i="6"/>
  <c r="AA111" i="6"/>
  <c r="AC111" i="6"/>
  <c r="AB111" i="6"/>
  <c r="Z111" i="6"/>
  <c r="W111" i="6"/>
  <c r="C111" i="6"/>
  <c r="AA108" i="6"/>
  <c r="AC108" i="6"/>
  <c r="AB108" i="6"/>
  <c r="Z108" i="6"/>
  <c r="W108" i="6"/>
  <c r="C108" i="6"/>
  <c r="AA107" i="6"/>
  <c r="AC107" i="6"/>
  <c r="AB107" i="6"/>
  <c r="Z107" i="6"/>
  <c r="W107" i="6"/>
  <c r="C107" i="6"/>
  <c r="AA106" i="6"/>
  <c r="AC106" i="6"/>
  <c r="AB106" i="6"/>
  <c r="Z106" i="6"/>
  <c r="B106" i="6"/>
  <c r="W106" i="6"/>
  <c r="C106" i="6"/>
  <c r="AA105" i="6"/>
  <c r="AB105" i="6"/>
  <c r="Z105" i="6"/>
  <c r="W105" i="6"/>
  <c r="C105" i="6"/>
  <c r="AA104" i="6"/>
  <c r="AB104" i="6"/>
  <c r="Z104" i="6"/>
  <c r="W104" i="6"/>
  <c r="C104" i="6"/>
  <c r="AA103" i="6"/>
  <c r="AC103" i="6"/>
  <c r="AB103" i="6"/>
  <c r="Z103" i="6"/>
  <c r="W103" i="6"/>
  <c r="C103" i="6"/>
  <c r="AA102" i="6"/>
  <c r="AC102" i="6"/>
  <c r="AB102" i="6"/>
  <c r="Z102" i="6"/>
  <c r="W102" i="6"/>
  <c r="C102" i="6"/>
  <c r="AA101" i="6"/>
  <c r="AC101" i="6"/>
  <c r="AB101" i="6"/>
  <c r="Z101" i="6"/>
  <c r="W101" i="6"/>
  <c r="C101" i="6"/>
  <c r="AA100" i="6"/>
  <c r="AC100" i="6"/>
  <c r="AB100" i="6"/>
  <c r="Z100" i="6"/>
  <c r="W100" i="6"/>
  <c r="C100" i="6"/>
  <c r="AA99" i="6"/>
  <c r="AC99" i="6"/>
  <c r="AB99" i="6"/>
  <c r="Z99" i="6"/>
  <c r="W99" i="6"/>
  <c r="C99" i="6"/>
  <c r="AA98" i="6"/>
  <c r="AC98" i="6"/>
  <c r="AB98" i="6"/>
  <c r="Z98" i="6"/>
  <c r="W98" i="6"/>
  <c r="C98" i="6"/>
  <c r="AA97" i="6"/>
  <c r="AC97" i="6"/>
  <c r="AB97" i="6"/>
  <c r="Z97" i="6"/>
  <c r="W97" i="6"/>
  <c r="C97" i="6"/>
  <c r="AA96" i="6"/>
  <c r="AB96" i="6"/>
  <c r="Z96" i="6"/>
  <c r="W96" i="6"/>
  <c r="C96" i="6"/>
  <c r="AA95" i="6"/>
  <c r="AC95" i="6"/>
  <c r="AB95" i="6"/>
  <c r="Z95" i="6"/>
  <c r="W95" i="6"/>
  <c r="C95" i="6"/>
  <c r="AA94" i="6"/>
  <c r="AC94" i="6"/>
  <c r="AB94" i="6"/>
  <c r="Z94" i="6"/>
  <c r="B94" i="6"/>
  <c r="W94" i="6"/>
  <c r="C94" i="6"/>
  <c r="AA93" i="6"/>
  <c r="AC93" i="6"/>
  <c r="AB93" i="6"/>
  <c r="Z93" i="6"/>
  <c r="W93" i="6"/>
  <c r="C93" i="6"/>
  <c r="AA92" i="6"/>
  <c r="AC92" i="6"/>
  <c r="AB92" i="6"/>
  <c r="Z92" i="6"/>
  <c r="W92" i="6"/>
  <c r="C92" i="6"/>
  <c r="AA91" i="6"/>
  <c r="AB91" i="6"/>
  <c r="Z91" i="6"/>
  <c r="W91" i="6"/>
  <c r="C91" i="6"/>
  <c r="AA90" i="6"/>
  <c r="AB90" i="6"/>
  <c r="Z90" i="6"/>
  <c r="W90" i="6"/>
  <c r="C90" i="6"/>
  <c r="AA89" i="6"/>
  <c r="AB89" i="6"/>
  <c r="Z89" i="6"/>
  <c r="W89" i="6"/>
  <c r="C89" i="6"/>
  <c r="AA88" i="6"/>
  <c r="AC88" i="6"/>
  <c r="AB88" i="6"/>
  <c r="Z88" i="6"/>
  <c r="W88" i="6"/>
  <c r="C88" i="6"/>
  <c r="AA87" i="6"/>
  <c r="AB87" i="6"/>
  <c r="Z87" i="6"/>
  <c r="W87" i="6"/>
  <c r="C87" i="6"/>
  <c r="AA86" i="6"/>
  <c r="AB86" i="6"/>
  <c r="Z86" i="6"/>
  <c r="W86" i="6"/>
  <c r="C86" i="6"/>
  <c r="AA85" i="6"/>
  <c r="AB85" i="6"/>
  <c r="Z85" i="6"/>
  <c r="W85" i="6"/>
  <c r="C85" i="6"/>
  <c r="AA84" i="6"/>
  <c r="B84" i="6"/>
  <c r="AC84" i="6"/>
  <c r="AB84" i="6"/>
  <c r="Z84" i="6"/>
  <c r="W84" i="6"/>
  <c r="C84" i="6"/>
  <c r="AA83" i="6"/>
  <c r="AC83" i="6"/>
  <c r="AB83" i="6"/>
  <c r="Z83" i="6"/>
  <c r="W83" i="6"/>
  <c r="C83" i="6"/>
  <c r="AA82" i="6"/>
  <c r="AB82" i="6"/>
  <c r="Z82" i="6"/>
  <c r="W82" i="6"/>
  <c r="C82" i="6"/>
  <c r="AA81" i="6"/>
  <c r="AC81" i="6"/>
  <c r="AB81" i="6"/>
  <c r="Z81" i="6"/>
  <c r="W81" i="6"/>
  <c r="C81" i="6"/>
  <c r="AA80" i="6"/>
  <c r="B80" i="6"/>
  <c r="AC80" i="6"/>
  <c r="AB80" i="6"/>
  <c r="Z80" i="6"/>
  <c r="W80" i="6"/>
  <c r="C80" i="6"/>
  <c r="AA79" i="6"/>
  <c r="AC79" i="6"/>
  <c r="AB79" i="6"/>
  <c r="Z79" i="6"/>
  <c r="W79" i="6"/>
  <c r="C79" i="6"/>
  <c r="AA78" i="6"/>
  <c r="AB78" i="6"/>
  <c r="Z78" i="6"/>
  <c r="W78" i="6"/>
  <c r="C78" i="6"/>
  <c r="AA77" i="6"/>
  <c r="B77" i="6"/>
  <c r="AB77" i="6"/>
  <c r="Z77" i="6"/>
  <c r="W77" i="6"/>
  <c r="C77" i="6"/>
  <c r="AA76" i="6"/>
  <c r="AB76" i="6"/>
  <c r="Z76" i="6"/>
  <c r="W76" i="6"/>
  <c r="C76" i="6"/>
  <c r="AA75" i="6"/>
  <c r="AC75" i="6"/>
  <c r="AB75" i="6"/>
  <c r="Z75" i="6"/>
  <c r="W75" i="6"/>
  <c r="C75" i="6"/>
  <c r="AA74" i="6"/>
  <c r="AC74" i="6"/>
  <c r="AB74" i="6"/>
  <c r="Z74" i="6"/>
  <c r="W74" i="6"/>
  <c r="C74" i="6"/>
  <c r="AA73" i="6"/>
  <c r="AC73" i="6"/>
  <c r="AB73" i="6"/>
  <c r="Z73" i="6"/>
  <c r="W73" i="6"/>
  <c r="C73" i="6"/>
  <c r="AA72" i="6"/>
  <c r="AC72" i="6"/>
  <c r="AB72" i="6"/>
  <c r="Z72" i="6"/>
  <c r="W72" i="6"/>
  <c r="C72" i="6"/>
  <c r="AA71" i="6"/>
  <c r="AC71" i="6"/>
  <c r="AB71" i="6"/>
  <c r="Z71" i="6"/>
  <c r="B71" i="6"/>
  <c r="W71" i="6"/>
  <c r="C71" i="6"/>
  <c r="AA70" i="6"/>
  <c r="B70" i="6"/>
  <c r="AB70" i="6"/>
  <c r="Z70" i="6"/>
  <c r="W70" i="6"/>
  <c r="C70" i="6"/>
  <c r="AA69" i="6"/>
  <c r="AC69" i="6"/>
  <c r="AB69" i="6"/>
  <c r="Z69" i="6"/>
  <c r="W69" i="6"/>
  <c r="C69" i="6"/>
  <c r="AA68" i="6"/>
  <c r="AC68" i="6"/>
  <c r="AB68" i="6"/>
  <c r="Z68" i="6"/>
  <c r="B68" i="6"/>
  <c r="W68" i="6"/>
  <c r="C68" i="6"/>
  <c r="AA67" i="6"/>
  <c r="B67" i="6"/>
  <c r="AC67" i="6"/>
  <c r="AB67" i="6"/>
  <c r="Z67" i="6"/>
  <c r="W67" i="6"/>
  <c r="C67" i="6"/>
  <c r="AA66" i="6"/>
  <c r="AC66" i="6"/>
  <c r="AB66" i="6"/>
  <c r="Z66" i="6"/>
  <c r="W66" i="6"/>
  <c r="C66" i="6"/>
  <c r="AA65" i="6"/>
  <c r="AC65" i="6"/>
  <c r="AB65" i="6"/>
  <c r="Z65" i="6"/>
  <c r="W65" i="6"/>
  <c r="C65" i="6"/>
  <c r="AA64" i="6"/>
  <c r="AB64" i="6"/>
  <c r="Z64" i="6"/>
  <c r="W64" i="6"/>
  <c r="C64" i="6"/>
  <c r="AA63" i="6"/>
  <c r="AC63" i="6"/>
  <c r="AB63" i="6"/>
  <c r="Z63" i="6"/>
  <c r="W63" i="6"/>
  <c r="AA62" i="6"/>
  <c r="B62" i="6"/>
  <c r="AC62" i="6"/>
  <c r="AB62" i="6"/>
  <c r="Z62" i="6"/>
  <c r="W62" i="6"/>
  <c r="C62" i="6"/>
  <c r="AA61" i="6"/>
  <c r="AC61" i="6"/>
  <c r="AB61" i="6"/>
  <c r="Z61" i="6"/>
  <c r="W61" i="6"/>
  <c r="C61" i="6"/>
  <c r="AA60" i="6"/>
  <c r="AC60" i="6"/>
  <c r="AB60" i="6"/>
  <c r="Z60" i="6"/>
  <c r="W60" i="6"/>
  <c r="C60" i="6"/>
  <c r="AA59" i="6"/>
  <c r="B59" i="6"/>
  <c r="AC59" i="6"/>
  <c r="AB59" i="6"/>
  <c r="Z59" i="6"/>
  <c r="W59" i="6"/>
  <c r="C59" i="6"/>
  <c r="AA58" i="6"/>
  <c r="AB58" i="6"/>
  <c r="Z58" i="6"/>
  <c r="W58" i="6"/>
  <c r="C58" i="6"/>
  <c r="AA57" i="6"/>
  <c r="AC57" i="6"/>
  <c r="AB57" i="6"/>
  <c r="Z57" i="6"/>
  <c r="W57" i="6"/>
  <c r="C57" i="6"/>
  <c r="AA56" i="6"/>
  <c r="AC56" i="6"/>
  <c r="AB56" i="6"/>
  <c r="Z56" i="6"/>
  <c r="W56" i="6"/>
  <c r="C56" i="6"/>
  <c r="AA55" i="6"/>
  <c r="AB55" i="6"/>
  <c r="Z55" i="6"/>
  <c r="W55" i="6"/>
  <c r="C55" i="6"/>
  <c r="AA54" i="6"/>
  <c r="AC54" i="6"/>
  <c r="AB54" i="6"/>
  <c r="Z54" i="6"/>
  <c r="B54" i="6"/>
  <c r="W54" i="6"/>
  <c r="C54" i="6"/>
  <c r="AA53" i="6"/>
  <c r="B53" i="6"/>
  <c r="AB53" i="6"/>
  <c r="Z53" i="6"/>
  <c r="W53" i="6"/>
  <c r="C53" i="6"/>
  <c r="AA52" i="6"/>
  <c r="AC52" i="6"/>
  <c r="AB52" i="6"/>
  <c r="Z52" i="6"/>
  <c r="W52" i="6"/>
  <c r="C52" i="6"/>
  <c r="AA51" i="6"/>
  <c r="B51" i="6"/>
  <c r="AC51" i="6"/>
  <c r="AB51" i="6"/>
  <c r="Z51" i="6"/>
  <c r="W51" i="6"/>
  <c r="C51" i="6"/>
  <c r="AA50" i="6"/>
  <c r="AB50" i="6"/>
  <c r="Z50" i="6"/>
  <c r="W50" i="6"/>
  <c r="C50" i="6"/>
  <c r="AA49" i="6"/>
  <c r="AC49" i="6"/>
  <c r="AB49" i="6"/>
  <c r="Z49" i="6"/>
  <c r="W49" i="6"/>
  <c r="C49" i="6"/>
  <c r="AA48" i="6"/>
  <c r="AC48" i="6"/>
  <c r="AB48" i="6"/>
  <c r="Z48" i="6"/>
  <c r="B48" i="6"/>
  <c r="W48" i="6"/>
  <c r="C48" i="6"/>
  <c r="AA47" i="6"/>
  <c r="AC47" i="6"/>
  <c r="AB47" i="6"/>
  <c r="Z47" i="6"/>
  <c r="B47" i="6"/>
  <c r="W47" i="6"/>
  <c r="C47" i="6"/>
  <c r="AA46" i="6"/>
  <c r="AC46" i="6"/>
  <c r="AB46" i="6"/>
  <c r="Z46" i="6"/>
  <c r="W46" i="6"/>
  <c r="C46" i="6"/>
  <c r="AA45" i="6"/>
  <c r="B45" i="6"/>
  <c r="AC45" i="6"/>
  <c r="AB45" i="6"/>
  <c r="Z45" i="6"/>
  <c r="W45" i="6"/>
  <c r="C45" i="6"/>
  <c r="AA44" i="6"/>
  <c r="B44" i="6"/>
  <c r="AC44" i="6"/>
  <c r="AB44" i="6"/>
  <c r="Z44" i="6"/>
  <c r="W44" i="6"/>
  <c r="C44" i="6"/>
  <c r="AA43" i="6"/>
  <c r="B43" i="6"/>
  <c r="AC43" i="6"/>
  <c r="AB43" i="6"/>
  <c r="Z43" i="6"/>
  <c r="W43" i="6"/>
  <c r="C43" i="6"/>
  <c r="AA42" i="6"/>
  <c r="AC42" i="6"/>
  <c r="AB42" i="6"/>
  <c r="Z42" i="6"/>
  <c r="W42" i="6"/>
  <c r="C42" i="6"/>
  <c r="AA41" i="6"/>
  <c r="AC41" i="6"/>
  <c r="AB41" i="6"/>
  <c r="Z41" i="6"/>
  <c r="W41" i="6"/>
  <c r="C41" i="6"/>
  <c r="AA40" i="6"/>
  <c r="AC40" i="6"/>
  <c r="AB40" i="6"/>
  <c r="Z40" i="6"/>
  <c r="W40" i="6"/>
  <c r="C40" i="6"/>
  <c r="AA39" i="6"/>
  <c r="AC39" i="6"/>
  <c r="AB39" i="6"/>
  <c r="Z39" i="6"/>
  <c r="W39" i="6"/>
  <c r="C39" i="6"/>
  <c r="AA38" i="6"/>
  <c r="B38" i="6"/>
  <c r="AC38" i="6"/>
  <c r="AB38" i="6"/>
  <c r="Z38" i="6"/>
  <c r="W38" i="6"/>
  <c r="C38" i="6"/>
  <c r="AA37" i="6"/>
  <c r="B37" i="6"/>
  <c r="AC37" i="6"/>
  <c r="AB37" i="6"/>
  <c r="Z37" i="6"/>
  <c r="W37" i="6"/>
  <c r="C37" i="6"/>
  <c r="AA36" i="6"/>
  <c r="AC36" i="6"/>
  <c r="AB36" i="6"/>
  <c r="Z36" i="6"/>
  <c r="W36" i="6"/>
  <c r="C36" i="6"/>
  <c r="AA35" i="6"/>
  <c r="AC35" i="6"/>
  <c r="AB35" i="6"/>
  <c r="Z35" i="6"/>
  <c r="W35" i="6"/>
  <c r="C35" i="6"/>
  <c r="AA34" i="6"/>
  <c r="AB34" i="6"/>
  <c r="Z34" i="6"/>
  <c r="W34" i="6"/>
  <c r="C34" i="6"/>
  <c r="AA33" i="6"/>
  <c r="AC33" i="6"/>
  <c r="AB33" i="6"/>
  <c r="Z33" i="6"/>
  <c r="W33" i="6"/>
  <c r="C33" i="6"/>
  <c r="AA32" i="6"/>
  <c r="AC32" i="6"/>
  <c r="AB32" i="6"/>
  <c r="Z32" i="6"/>
  <c r="W32" i="6"/>
  <c r="C32" i="6"/>
  <c r="AA31" i="6"/>
  <c r="AC31" i="6"/>
  <c r="AB31" i="6"/>
  <c r="Z31" i="6"/>
  <c r="C31" i="6"/>
  <c r="AA30" i="6"/>
  <c r="AC30" i="6"/>
  <c r="AB30" i="6"/>
  <c r="Z30" i="6"/>
  <c r="B30" i="6"/>
  <c r="C30" i="6"/>
  <c r="AA29" i="6"/>
  <c r="AB29" i="6"/>
  <c r="Z29" i="6"/>
  <c r="W29" i="6"/>
  <c r="C29" i="6"/>
  <c r="AA28" i="6"/>
  <c r="AC28" i="6"/>
  <c r="AB28" i="6"/>
  <c r="Z28" i="6"/>
  <c r="W28" i="6"/>
  <c r="C28" i="6"/>
  <c r="AA27" i="6"/>
  <c r="B27" i="6"/>
  <c r="AC27" i="6"/>
  <c r="AB27" i="6"/>
  <c r="Z27" i="6"/>
  <c r="W27" i="6"/>
  <c r="C27" i="6"/>
  <c r="AA26" i="6"/>
  <c r="AC26" i="6"/>
  <c r="AB26" i="6"/>
  <c r="Z26" i="6"/>
  <c r="W26" i="6"/>
  <c r="C26" i="6"/>
  <c r="AA25" i="6"/>
  <c r="AC25" i="6"/>
  <c r="AB25" i="6"/>
  <c r="Z25" i="6"/>
  <c r="B25" i="6"/>
  <c r="W25" i="6"/>
  <c r="C25" i="6"/>
  <c r="AA24" i="6"/>
  <c r="AC24" i="6"/>
  <c r="AB24" i="6"/>
  <c r="Z24" i="6"/>
  <c r="W24" i="6"/>
  <c r="C24" i="6"/>
  <c r="AA23" i="6"/>
  <c r="AC23" i="6"/>
  <c r="AB23" i="6"/>
  <c r="Z23" i="6"/>
  <c r="W23" i="6"/>
  <c r="C23" i="6"/>
  <c r="AA22" i="6"/>
  <c r="AC22" i="6"/>
  <c r="AB22" i="6"/>
  <c r="Z22" i="6"/>
  <c r="W22" i="6"/>
  <c r="C22" i="6"/>
  <c r="AA21" i="6"/>
  <c r="AC21" i="6"/>
  <c r="AB21" i="6"/>
  <c r="Z21" i="6"/>
  <c r="B21" i="6"/>
  <c r="W21" i="6"/>
  <c r="C21" i="6"/>
  <c r="AA20" i="6"/>
  <c r="AB20" i="6"/>
  <c r="Z20" i="6"/>
  <c r="W20" i="6"/>
  <c r="C20" i="6"/>
  <c r="AA19" i="6"/>
  <c r="AB19" i="6"/>
  <c r="Z19" i="6"/>
  <c r="W19" i="6"/>
  <c r="C19" i="6"/>
  <c r="AA18" i="6"/>
  <c r="B18" i="6"/>
  <c r="AB18" i="6"/>
  <c r="Z18" i="6"/>
  <c r="W18" i="6"/>
  <c r="C18" i="6"/>
  <c r="AA17" i="6"/>
  <c r="AC17" i="6"/>
  <c r="AB17" i="6"/>
  <c r="Z17" i="6"/>
  <c r="W17" i="6"/>
  <c r="C17" i="6"/>
  <c r="AA16" i="6"/>
  <c r="AC16" i="6"/>
  <c r="AB16" i="6"/>
  <c r="Z16" i="6"/>
  <c r="B16" i="6"/>
  <c r="W16" i="6"/>
  <c r="C16" i="6"/>
  <c r="AA15" i="6"/>
  <c r="AC15" i="6"/>
  <c r="AB15" i="6"/>
  <c r="Z15" i="6"/>
  <c r="W15" i="6"/>
  <c r="C15" i="6"/>
  <c r="AA14" i="6"/>
  <c r="AC14" i="6"/>
  <c r="AB14" i="6"/>
  <c r="Z14" i="6"/>
  <c r="B14" i="6"/>
  <c r="W14" i="6"/>
  <c r="C14" i="6"/>
  <c r="AA13" i="6"/>
  <c r="AC13" i="6"/>
  <c r="AB13" i="6"/>
  <c r="Z13" i="6"/>
  <c r="B13" i="6"/>
  <c r="W13" i="6"/>
  <c r="C13" i="6"/>
  <c r="AA12" i="6"/>
  <c r="AC12" i="6"/>
  <c r="AB12" i="6"/>
  <c r="Z12" i="6"/>
  <c r="W12" i="6"/>
  <c r="C12" i="6"/>
  <c r="AA11" i="6"/>
  <c r="AC11" i="6"/>
  <c r="AB11" i="6"/>
  <c r="Z11" i="6"/>
  <c r="W11" i="6"/>
  <c r="C11" i="6"/>
  <c r="AA10" i="6"/>
  <c r="AC10" i="6"/>
  <c r="AB10" i="6"/>
  <c r="Z10" i="6"/>
  <c r="B10" i="6"/>
  <c r="W10" i="6"/>
  <c r="C10" i="6"/>
  <c r="AA9" i="6"/>
  <c r="AC9" i="6"/>
  <c r="AB9" i="6"/>
  <c r="Z9" i="6"/>
  <c r="W9" i="6"/>
  <c r="C9" i="6"/>
  <c r="AA8" i="6"/>
  <c r="B8" i="6"/>
  <c r="AC8" i="6"/>
  <c r="AB8" i="6"/>
  <c r="Z8" i="6"/>
  <c r="W8" i="6"/>
  <c r="C8" i="6"/>
  <c r="AA7" i="6"/>
  <c r="AC7" i="6"/>
  <c r="AB7" i="6"/>
  <c r="Z7" i="6"/>
  <c r="W7" i="6"/>
  <c r="C7" i="6"/>
  <c r="AA6" i="6"/>
  <c r="AC6" i="6"/>
  <c r="AB6" i="6"/>
  <c r="Z6" i="6"/>
  <c r="W6" i="6"/>
  <c r="AA5" i="6"/>
  <c r="B5" i="6"/>
  <c r="AB5" i="6"/>
  <c r="Z5" i="6"/>
  <c r="C5" i="6"/>
  <c r="AA4" i="6"/>
  <c r="B4" i="6"/>
  <c r="AC4" i="6"/>
  <c r="AB4" i="6"/>
  <c r="Z4" i="6"/>
  <c r="C4" i="6"/>
  <c r="AA3" i="6"/>
  <c r="AC3" i="6"/>
  <c r="AB3" i="6"/>
  <c r="Z3" i="6"/>
  <c r="C3" i="6"/>
  <c r="AA2" i="6"/>
  <c r="AC2" i="6"/>
  <c r="AB2" i="6"/>
  <c r="Z2" i="6"/>
  <c r="B11" i="1"/>
  <c r="B10" i="1"/>
  <c r="B9" i="1"/>
  <c r="B159" i="6"/>
  <c r="B130" i="6"/>
  <c r="B436" i="6"/>
  <c r="B452" i="6"/>
  <c r="B403" i="6"/>
  <c r="BG2" i="7"/>
  <c r="B164" i="6"/>
  <c r="B172" i="6"/>
  <c r="B330" i="6"/>
  <c r="B388" i="6"/>
  <c r="B496" i="6"/>
  <c r="B144" i="6"/>
  <c r="B265" i="6"/>
  <c r="B394" i="6"/>
  <c r="B173" i="6"/>
  <c r="B346" i="6"/>
  <c r="B11" i="6"/>
  <c r="B137" i="6"/>
  <c r="B49" i="6"/>
  <c r="B34" i="6"/>
  <c r="B52" i="6"/>
  <c r="B72" i="6"/>
  <c r="B287" i="6"/>
  <c r="B401" i="6"/>
  <c r="B209" i="6"/>
  <c r="B194" i="6"/>
  <c r="AC128" i="6"/>
  <c r="B318" i="6"/>
  <c r="B381" i="6"/>
  <c r="AC401" i="6"/>
  <c r="B444" i="6"/>
  <c r="AC388" i="6"/>
  <c r="I3" i="8"/>
  <c r="I2" i="8"/>
  <c r="AC166" i="6"/>
  <c r="B311" i="6"/>
  <c r="B351" i="6"/>
  <c r="B362" i="6"/>
  <c r="B391" i="6"/>
  <c r="B322" i="6"/>
  <c r="B155" i="6"/>
  <c r="B2" i="8"/>
  <c r="B380" i="6"/>
  <c r="B393" i="6"/>
  <c r="B177" i="6"/>
  <c r="B58" i="6"/>
  <c r="B410" i="6"/>
  <c r="B168" i="6"/>
  <c r="B425" i="6"/>
  <c r="B207" i="6"/>
  <c r="B50" i="6"/>
  <c r="B57" i="6"/>
  <c r="B402" i="6"/>
  <c r="B409" i="6"/>
  <c r="B3" i="6"/>
  <c r="B286" i="6"/>
  <c r="B349" i="6"/>
  <c r="B356" i="6"/>
  <c r="B486" i="6"/>
  <c r="B15" i="6"/>
  <c r="B23" i="6"/>
  <c r="AC34" i="6"/>
  <c r="AC50" i="6"/>
  <c r="AC58" i="6"/>
  <c r="B61" i="6"/>
  <c r="AC147" i="6"/>
  <c r="AC167" i="6"/>
  <c r="B183" i="6"/>
  <c r="AC187" i="6"/>
  <c r="B189" i="6"/>
  <c r="AC191" i="6"/>
  <c r="B193" i="6"/>
  <c r="AC200" i="6"/>
  <c r="B203" i="6"/>
  <c r="AC301" i="6"/>
  <c r="AC349" i="6"/>
  <c r="AC357" i="6"/>
  <c r="AC373" i="6"/>
  <c r="B389" i="6"/>
  <c r="AC394" i="6"/>
  <c r="AC402" i="6"/>
  <c r="AC410" i="6"/>
  <c r="B421" i="6"/>
  <c r="B429" i="6"/>
  <c r="AC478" i="6"/>
  <c r="F2" i="7"/>
  <c r="BR2" i="7"/>
  <c r="B134" i="6"/>
  <c r="B163" i="6"/>
  <c r="AC168" i="6"/>
  <c r="B184" i="6"/>
  <c r="B267" i="6"/>
  <c r="B377" i="6"/>
  <c r="B398" i="6"/>
  <c r="B406" i="6"/>
  <c r="B446" i="6"/>
  <c r="B488" i="6"/>
  <c r="B26" i="6"/>
  <c r="B307" i="6"/>
  <c r="B416" i="6"/>
  <c r="B424" i="6"/>
  <c r="B432" i="6"/>
  <c r="B440" i="6"/>
  <c r="B456" i="6"/>
  <c r="B465" i="6"/>
  <c r="B484" i="6"/>
  <c r="B491" i="6"/>
  <c r="AC78" i="6"/>
  <c r="B215" i="6"/>
  <c r="B222" i="6"/>
  <c r="B216" i="6"/>
  <c r="AC210" i="6"/>
  <c r="AC86" i="6"/>
  <c r="B98" i="6"/>
  <c r="AC121" i="6"/>
  <c r="AC109" i="6"/>
  <c r="AC110" i="6"/>
  <c r="B232" i="6"/>
  <c r="B359" i="6"/>
  <c r="B438" i="6"/>
  <c r="B195" i="6"/>
  <c r="AC195" i="6"/>
  <c r="B39" i="6"/>
  <c r="B256" i="6"/>
  <c r="B414" i="6"/>
  <c r="B304" i="6"/>
  <c r="B371" i="6"/>
  <c r="B64" i="6"/>
  <c r="B370" i="6"/>
  <c r="B158" i="6"/>
  <c r="AC64" i="6"/>
  <c r="B33" i="6"/>
  <c r="B319" i="6"/>
  <c r="AC18" i="6"/>
  <c r="AC53" i="6"/>
  <c r="B93" i="6"/>
  <c r="B97" i="6"/>
  <c r="B385" i="6"/>
  <c r="B405" i="6"/>
  <c r="AC218" i="6"/>
  <c r="B230" i="6"/>
  <c r="B186" i="6"/>
  <c r="B355" i="6"/>
  <c r="B439" i="6"/>
  <c r="B108" i="6"/>
  <c r="B153" i="6"/>
  <c r="B127" i="6"/>
  <c r="B489" i="6"/>
  <c r="B358" i="6"/>
  <c r="AC77" i="6"/>
  <c r="B373" i="6"/>
  <c r="B479" i="6"/>
  <c r="AC254" i="6"/>
  <c r="B160" i="6"/>
  <c r="B92" i="6"/>
  <c r="B400" i="6"/>
  <c r="B132" i="6"/>
  <c r="B329" i="6"/>
  <c r="B150" i="6"/>
  <c r="B83" i="6"/>
  <c r="B324" i="6"/>
  <c r="AC220" i="6"/>
  <c r="B378" i="6"/>
  <c r="B467" i="6"/>
  <c r="AC5" i="6"/>
  <c r="B396" i="6"/>
  <c r="B269" i="6"/>
  <c r="B313" i="6"/>
  <c r="B368" i="6"/>
  <c r="B441" i="6"/>
  <c r="B200" i="6"/>
  <c r="B126" i="6"/>
  <c r="B390" i="6"/>
  <c r="B28" i="6"/>
  <c r="B96" i="6"/>
  <c r="B395" i="6"/>
  <c r="B56" i="6"/>
  <c r="B100" i="6"/>
  <c r="B372" i="6"/>
  <c r="B146" i="6"/>
  <c r="B353" i="6"/>
  <c r="B475" i="6"/>
  <c r="B487" i="6"/>
  <c r="B314" i="6"/>
  <c r="B469" i="6"/>
  <c r="B197" i="6"/>
  <c r="B154" i="6"/>
  <c r="B31" i="6"/>
  <c r="B35" i="6"/>
  <c r="B342" i="6"/>
  <c r="B354" i="6"/>
  <c r="B445" i="6"/>
  <c r="B458" i="6"/>
  <c r="AC442" i="6"/>
  <c r="B174" i="6"/>
  <c r="B478" i="6"/>
  <c r="B76" i="6"/>
  <c r="B290" i="6"/>
  <c r="AC76" i="6"/>
  <c r="B75" i="6"/>
  <c r="B315" i="6"/>
  <c r="B366" i="6"/>
  <c r="B422" i="6"/>
  <c r="B426" i="6"/>
  <c r="B434" i="6"/>
  <c r="B91" i="6"/>
  <c r="B399" i="6"/>
  <c r="B407" i="6"/>
  <c r="B308" i="6"/>
  <c r="B32" i="6"/>
  <c r="B289" i="6"/>
  <c r="B157" i="6"/>
  <c r="B170" i="6"/>
  <c r="B175" i="6"/>
  <c r="B332" i="6"/>
  <c r="AC273" i="6"/>
  <c r="B459" i="6"/>
  <c r="B145" i="6"/>
  <c r="B41" i="6"/>
  <c r="B105" i="6"/>
  <c r="B171" i="6"/>
  <c r="B274" i="6"/>
  <c r="AC178" i="6"/>
  <c r="B79" i="6"/>
  <c r="B243" i="6"/>
  <c r="B341" i="6"/>
  <c r="B275" i="6"/>
  <c r="B320" i="6"/>
  <c r="AC289" i="6"/>
  <c r="B199" i="6"/>
  <c r="B420" i="6"/>
  <c r="B270" i="6"/>
  <c r="B148" i="6"/>
  <c r="B12" i="6"/>
  <c r="B78" i="6"/>
  <c r="B82" i="6"/>
  <c r="B156" i="6"/>
  <c r="B272" i="6"/>
  <c r="B288" i="6"/>
  <c r="B299" i="6"/>
  <c r="AC246" i="6"/>
  <c r="B90" i="6"/>
  <c r="B112" i="6"/>
  <c r="B114" i="6"/>
  <c r="B115" i="6"/>
  <c r="B119" i="6"/>
  <c r="B116" i="6"/>
  <c r="B109" i="6"/>
  <c r="B86" i="6"/>
  <c r="AC105" i="6"/>
  <c r="B88" i="6"/>
  <c r="AC96" i="6"/>
  <c r="B111" i="6"/>
  <c r="B124" i="6"/>
  <c r="AC91" i="6"/>
  <c r="B95" i="6"/>
  <c r="B103" i="6"/>
  <c r="M202" i="17"/>
  <c r="P202" i="17"/>
  <c r="O202" i="17"/>
  <c r="K202" i="17"/>
  <c r="F1" i="8"/>
  <c r="AC212" i="6"/>
  <c r="D1" i="8"/>
  <c r="J1" i="8"/>
  <c r="AC214" i="6"/>
  <c r="H1" i="8"/>
  <c r="AC213" i="6"/>
  <c r="BR1" i="8"/>
  <c r="AC486" i="6"/>
  <c r="B1" i="8"/>
  <c r="AC208" i="6"/>
  <c r="Q1" i="8"/>
  <c r="B44" i="17"/>
  <c r="U60" i="17"/>
  <c r="C60" i="17"/>
  <c r="T60" i="17"/>
  <c r="O60" i="17"/>
  <c r="K60" i="17"/>
  <c r="U69" i="17"/>
  <c r="M69" i="17"/>
  <c r="K69" i="17"/>
  <c r="B311" i="17"/>
  <c r="M429" i="17"/>
  <c r="Y429" i="17"/>
  <c r="C429" i="17"/>
  <c r="K429" i="17"/>
  <c r="B429" i="17"/>
  <c r="P429" i="17"/>
  <c r="O429" i="17"/>
  <c r="B140" i="6"/>
  <c r="AC90" i="6"/>
  <c r="AC116" i="6"/>
  <c r="AC124" i="6"/>
  <c r="AC225" i="6"/>
  <c r="B462" i="6"/>
  <c r="B466" i="6"/>
  <c r="AC466" i="6"/>
  <c r="Y9" i="17"/>
  <c r="B43" i="17"/>
  <c r="B59" i="17"/>
  <c r="V59" i="17"/>
  <c r="U59" i="17"/>
  <c r="T59" i="17"/>
  <c r="K59" i="17"/>
  <c r="C59" i="17"/>
  <c r="K151" i="17"/>
  <c r="C151" i="17"/>
  <c r="T151" i="17"/>
  <c r="U198" i="17"/>
  <c r="T198" i="17"/>
  <c r="V198" i="17"/>
  <c r="K198" i="17"/>
  <c r="C198" i="17"/>
  <c r="M257" i="17"/>
  <c r="T257" i="17"/>
  <c r="C257" i="17"/>
  <c r="B257" i="17"/>
  <c r="V257" i="17"/>
  <c r="U257" i="17"/>
  <c r="P257" i="17"/>
  <c r="O257" i="17"/>
  <c r="K257" i="17"/>
  <c r="V287" i="17"/>
  <c r="T287" i="17"/>
  <c r="P287" i="17"/>
  <c r="U287" i="17"/>
  <c r="K287" i="17"/>
  <c r="C287" i="17"/>
  <c r="T289" i="17"/>
  <c r="P289" i="17"/>
  <c r="O289" i="17"/>
  <c r="C289" i="17"/>
  <c r="U289" i="17"/>
  <c r="K289" i="17"/>
  <c r="B289" i="17"/>
  <c r="O326" i="17"/>
  <c r="P326" i="17"/>
  <c r="T326" i="17"/>
  <c r="C326" i="17"/>
  <c r="B326" i="17"/>
  <c r="V326" i="17"/>
  <c r="U326" i="17"/>
  <c r="Y326" i="17"/>
  <c r="P373" i="17"/>
  <c r="Y373" i="17"/>
  <c r="B373" i="17"/>
  <c r="V373" i="17"/>
  <c r="U373" i="17"/>
  <c r="T373" i="17"/>
  <c r="K373" i="17"/>
  <c r="C414" i="17"/>
  <c r="U425" i="17"/>
  <c r="T425" i="17"/>
  <c r="O425" i="17"/>
  <c r="M425" i="17"/>
  <c r="P425" i="17"/>
  <c r="K425" i="17"/>
  <c r="B425" i="17"/>
  <c r="Y440" i="17"/>
  <c r="C440" i="17"/>
  <c r="M440" i="17"/>
  <c r="O440" i="17"/>
  <c r="B440" i="17"/>
  <c r="V440" i="17"/>
  <c r="U440" i="17"/>
  <c r="T440" i="17"/>
  <c r="AC262" i="6"/>
  <c r="B262" i="6"/>
  <c r="B290" i="17"/>
  <c r="B166" i="6"/>
  <c r="B430" i="6"/>
  <c r="B418" i="6"/>
  <c r="B185" i="6"/>
  <c r="AC82" i="6"/>
  <c r="B141" i="6"/>
  <c r="AC141" i="6"/>
  <c r="AC399" i="6"/>
  <c r="B498" i="6"/>
  <c r="AC498" i="6"/>
  <c r="K1" i="8"/>
  <c r="AC215" i="6"/>
  <c r="M10" i="17"/>
  <c r="K10" i="17"/>
  <c r="B10" i="17"/>
  <c r="C10" i="17"/>
  <c r="T10" i="17"/>
  <c r="K31" i="17"/>
  <c r="T31" i="17"/>
  <c r="O31" i="17"/>
  <c r="Y31" i="17"/>
  <c r="P31" i="17"/>
  <c r="V31" i="17"/>
  <c r="U31" i="17"/>
  <c r="C43" i="17"/>
  <c r="B68" i="17"/>
  <c r="V68" i="17"/>
  <c r="K68" i="17"/>
  <c r="P68" i="17"/>
  <c r="O68" i="17"/>
  <c r="M68" i="17"/>
  <c r="Y68" i="17"/>
  <c r="P371" i="17"/>
  <c r="U371" i="17"/>
  <c r="B371" i="17"/>
  <c r="Y371" i="17"/>
  <c r="V371" i="17"/>
  <c r="K371" i="17"/>
  <c r="B238" i="6"/>
  <c r="AC149" i="6"/>
  <c r="B149" i="6"/>
  <c r="B35" i="17"/>
  <c r="AC85" i="6"/>
  <c r="B85" i="6"/>
  <c r="P169" i="17"/>
  <c r="K169" i="17"/>
  <c r="O169" i="17"/>
  <c r="M169" i="17"/>
  <c r="B169" i="17"/>
  <c r="S1" i="8"/>
  <c r="AC219" i="6"/>
  <c r="T172" i="17"/>
  <c r="V172" i="17"/>
  <c r="U172" i="17"/>
  <c r="K172" i="17"/>
  <c r="C172" i="17"/>
  <c r="M1" i="8"/>
  <c r="AC222" i="6"/>
  <c r="O45" i="17"/>
  <c r="P45" i="17"/>
  <c r="K45" i="17"/>
  <c r="C45" i="17"/>
  <c r="V45" i="17"/>
  <c r="B170" i="17"/>
  <c r="G23" i="7"/>
  <c r="I23" i="7"/>
  <c r="I22" i="7"/>
  <c r="B382" i="6"/>
  <c r="L1" i="8"/>
  <c r="AC216" i="6"/>
  <c r="AC20" i="6"/>
  <c r="B20" i="6"/>
  <c r="B415" i="6"/>
  <c r="AC415" i="6"/>
  <c r="O99" i="17"/>
  <c r="M38" i="17"/>
  <c r="K38" i="17"/>
  <c r="C38" i="17"/>
  <c r="P38" i="17"/>
  <c r="O38" i="17"/>
  <c r="Y38" i="17"/>
  <c r="T46" i="17"/>
  <c r="K143" i="17"/>
  <c r="U143" i="17"/>
  <c r="T143" i="17"/>
  <c r="P143" i="17"/>
  <c r="O143" i="17"/>
  <c r="M143" i="17"/>
  <c r="P165" i="17"/>
  <c r="O165" i="17"/>
  <c r="V165" i="17"/>
  <c r="K165" i="17"/>
  <c r="B166" i="17"/>
  <c r="O172" i="17"/>
  <c r="U174" i="17"/>
  <c r="M211" i="17"/>
  <c r="C211" i="17"/>
  <c r="Y211" i="17"/>
  <c r="B211" i="17"/>
  <c r="O211" i="17"/>
  <c r="K211" i="17"/>
  <c r="T216" i="17"/>
  <c r="P216" i="17"/>
  <c r="U216" i="17"/>
  <c r="C216" i="17"/>
  <c r="Y216" i="17"/>
  <c r="K216" i="17"/>
  <c r="B216" i="17"/>
  <c r="V216" i="17"/>
  <c r="O232" i="17"/>
  <c r="V263" i="17"/>
  <c r="K292" i="17"/>
  <c r="M292" i="17"/>
  <c r="U292" i="17"/>
  <c r="T292" i="17"/>
  <c r="P292" i="17"/>
  <c r="Y292" i="17"/>
  <c r="V292" i="17"/>
  <c r="O292" i="17"/>
  <c r="K326" i="17"/>
  <c r="M379" i="17"/>
  <c r="O379" i="17"/>
  <c r="P379" i="17"/>
  <c r="C379" i="17"/>
  <c r="B379" i="17"/>
  <c r="Y379" i="17"/>
  <c r="U379" i="17"/>
  <c r="V379" i="17"/>
  <c r="T379" i="17"/>
  <c r="T430" i="17"/>
  <c r="K440" i="17"/>
  <c r="B204" i="17"/>
  <c r="B182" i="6"/>
  <c r="C70" i="17"/>
  <c r="O199" i="17"/>
  <c r="T199" i="17"/>
  <c r="K199" i="17"/>
  <c r="M199" i="17"/>
  <c r="B334" i="6"/>
  <c r="AC477" i="6"/>
  <c r="B477" i="6"/>
  <c r="B125" i="6"/>
  <c r="M60" i="17"/>
  <c r="K65" i="17"/>
  <c r="P65" i="17"/>
  <c r="O65" i="17"/>
  <c r="M65" i="17"/>
  <c r="P29" i="17"/>
  <c r="V29" i="17"/>
  <c r="U29" i="17"/>
  <c r="T29" i="17"/>
  <c r="O29" i="17"/>
  <c r="M29" i="17"/>
  <c r="B165" i="6"/>
  <c r="AC364" i="6"/>
  <c r="B364" i="6"/>
  <c r="B384" i="6"/>
  <c r="B392" i="6"/>
  <c r="B29" i="17"/>
  <c r="M32" i="17"/>
  <c r="B38" i="17"/>
  <c r="P44" i="17"/>
  <c r="U46" i="17"/>
  <c r="M59" i="17"/>
  <c r="P60" i="17"/>
  <c r="P64" i="17"/>
  <c r="O64" i="17"/>
  <c r="K64" i="17"/>
  <c r="M64" i="17"/>
  <c r="Y64" i="17"/>
  <c r="C65" i="17"/>
  <c r="O69" i="17"/>
  <c r="P70" i="17"/>
  <c r="B143" i="17"/>
  <c r="B165" i="17"/>
  <c r="P172" i="17"/>
  <c r="V174" i="17"/>
  <c r="M191" i="17"/>
  <c r="V191" i="17"/>
  <c r="U191" i="17"/>
  <c r="B191" i="17"/>
  <c r="C191" i="17"/>
  <c r="T252" i="17"/>
  <c r="Y252" i="17"/>
  <c r="B252" i="17"/>
  <c r="O252" i="17"/>
  <c r="K252" i="17"/>
  <c r="M252" i="17"/>
  <c r="M289" i="17"/>
  <c r="B292" i="17"/>
  <c r="O311" i="17"/>
  <c r="B405" i="17"/>
  <c r="T405" i="17"/>
  <c r="V405" i="17"/>
  <c r="K405" i="17"/>
  <c r="M405" i="17"/>
  <c r="U405" i="17"/>
  <c r="Y405" i="17"/>
  <c r="O405" i="17"/>
  <c r="P405" i="17"/>
  <c r="AC303" i="6"/>
  <c r="B303" i="6"/>
  <c r="M33" i="17"/>
  <c r="V33" i="17"/>
  <c r="U33" i="17"/>
  <c r="T33" i="17"/>
  <c r="P33" i="17"/>
  <c r="O33" i="17"/>
  <c r="B173" i="17"/>
  <c r="B203" i="17"/>
  <c r="M312" i="17"/>
  <c r="V312" i="17"/>
  <c r="K312" i="17"/>
  <c r="T312" i="17"/>
  <c r="O312" i="17"/>
  <c r="P312" i="17"/>
  <c r="K402" i="17"/>
  <c r="V402" i="17"/>
  <c r="O402" i="17"/>
  <c r="C402" i="17"/>
  <c r="P402" i="17"/>
  <c r="U402" i="17"/>
  <c r="M402" i="17"/>
  <c r="T402" i="17"/>
  <c r="O430" i="17"/>
  <c r="K430" i="17"/>
  <c r="C430" i="17"/>
  <c r="M430" i="17"/>
  <c r="P430" i="17"/>
  <c r="B430" i="17"/>
  <c r="Y75" i="17"/>
  <c r="C75" i="17"/>
  <c r="O75" i="17"/>
  <c r="M75" i="17"/>
  <c r="T75" i="17"/>
  <c r="K75" i="17"/>
  <c r="B75" i="17"/>
  <c r="V75" i="17"/>
  <c r="C173" i="17"/>
  <c r="U227" i="17"/>
  <c r="T227" i="17"/>
  <c r="P227" i="17"/>
  <c r="K227" i="17"/>
  <c r="O227" i="17"/>
  <c r="M227" i="17"/>
  <c r="B227" i="17"/>
  <c r="B200" i="17"/>
  <c r="M200" i="17"/>
  <c r="K200" i="17"/>
  <c r="O200" i="17"/>
  <c r="B301" i="17"/>
  <c r="K301" i="17"/>
  <c r="O301" i="17"/>
  <c r="U301" i="17"/>
  <c r="T301" i="17"/>
  <c r="M301" i="17"/>
  <c r="V301" i="17"/>
  <c r="P301" i="17"/>
  <c r="C32" i="17"/>
  <c r="C169" i="17"/>
  <c r="T147" i="17"/>
  <c r="C147" i="17"/>
  <c r="O147" i="17"/>
  <c r="M147" i="17"/>
  <c r="K147" i="17"/>
  <c r="M300" i="17"/>
  <c r="P300" i="17"/>
  <c r="U300" i="17"/>
  <c r="T300" i="17"/>
  <c r="K300" i="17"/>
  <c r="O300" i="17"/>
  <c r="C300" i="17"/>
  <c r="Y41" i="17"/>
  <c r="C41" i="17"/>
  <c r="B41" i="17"/>
  <c r="V41" i="17"/>
  <c r="U41" i="17"/>
  <c r="T41" i="17"/>
  <c r="M41" i="17"/>
  <c r="K41" i="17"/>
  <c r="T150" i="17"/>
  <c r="K150" i="17"/>
  <c r="V150" i="17"/>
  <c r="U150" i="17"/>
  <c r="B150" i="17"/>
  <c r="C150" i="17"/>
  <c r="P217" i="17"/>
  <c r="C217" i="17"/>
  <c r="M217" i="17"/>
  <c r="K217" i="17"/>
  <c r="V217" i="17"/>
  <c r="M400" i="17"/>
  <c r="T400" i="17"/>
  <c r="V400" i="17"/>
  <c r="U400" i="17"/>
  <c r="B400" i="17"/>
  <c r="O400" i="17"/>
  <c r="K400" i="17"/>
  <c r="B67" i="17"/>
  <c r="K67" i="17"/>
  <c r="M67" i="17"/>
  <c r="O67" i="17"/>
  <c r="P67" i="17"/>
  <c r="Y67" i="17"/>
  <c r="Y412" i="17"/>
  <c r="C412" i="17"/>
  <c r="U412" i="17"/>
  <c r="V412" i="17"/>
  <c r="K412" i="17"/>
  <c r="T412" i="17"/>
  <c r="P412" i="17"/>
  <c r="O412" i="17"/>
  <c r="M412" i="17"/>
  <c r="Y39" i="17"/>
  <c r="C39" i="17"/>
  <c r="B39" i="17"/>
  <c r="U39" i="17"/>
  <c r="P39" i="17"/>
  <c r="O39" i="17"/>
  <c r="K39" i="17"/>
  <c r="M39" i="17"/>
  <c r="C67" i="17"/>
  <c r="O204" i="17"/>
  <c r="P1" i="8"/>
  <c r="AC226" i="6"/>
  <c r="O173" i="17"/>
  <c r="O439" i="17"/>
  <c r="T439" i="17"/>
  <c r="M439" i="17"/>
  <c r="C439" i="17"/>
  <c r="B439" i="17"/>
  <c r="Y439" i="17"/>
  <c r="V439" i="17"/>
  <c r="U439" i="17"/>
  <c r="P439" i="17"/>
  <c r="AC244" i="6"/>
  <c r="B244" i="6"/>
  <c r="B113" i="6"/>
  <c r="B121" i="6"/>
  <c r="AC129" i="6"/>
  <c r="B129" i="6"/>
  <c r="B17" i="6"/>
  <c r="B198" i="6"/>
  <c r="AC198" i="6"/>
  <c r="B337" i="6"/>
  <c r="AC337" i="6"/>
  <c r="C3" i="7"/>
  <c r="P7" i="17"/>
  <c r="M7" i="17"/>
  <c r="B7" i="17"/>
  <c r="C7" i="17"/>
  <c r="T7" i="17"/>
  <c r="C29" i="17"/>
  <c r="B64" i="17"/>
  <c r="P69" i="17"/>
  <c r="U75" i="17"/>
  <c r="C143" i="17"/>
  <c r="M151" i="17"/>
  <c r="C165" i="17"/>
  <c r="T170" i="17"/>
  <c r="M198" i="17"/>
  <c r="P199" i="17"/>
  <c r="T202" i="17"/>
  <c r="T203" i="17"/>
  <c r="T204" i="17"/>
  <c r="V227" i="17"/>
  <c r="M236" i="17"/>
  <c r="O236" i="17"/>
  <c r="P236" i="17"/>
  <c r="K236" i="17"/>
  <c r="C252" i="17"/>
  <c r="M287" i="17"/>
  <c r="V290" i="17"/>
  <c r="C292" i="17"/>
  <c r="U312" i="17"/>
  <c r="M326" i="17"/>
  <c r="M373" i="17"/>
  <c r="C405" i="17"/>
  <c r="B411" i="17"/>
  <c r="M411" i="17"/>
  <c r="Y411" i="17"/>
  <c r="C411" i="17"/>
  <c r="T411" i="17"/>
  <c r="U411" i="17"/>
  <c r="O411" i="17"/>
  <c r="P411" i="17"/>
  <c r="K411" i="17"/>
  <c r="V430" i="17"/>
  <c r="B33" i="17"/>
  <c r="C200" i="17"/>
  <c r="U277" i="17"/>
  <c r="K277" i="17"/>
  <c r="T277" i="17"/>
  <c r="O277" i="17"/>
  <c r="Y277" i="17"/>
  <c r="M277" i="17"/>
  <c r="P277" i="17"/>
  <c r="C277" i="17"/>
  <c r="B101" i="6"/>
  <c r="B328" i="6"/>
  <c r="AC282" i="6"/>
  <c r="B282" i="6"/>
  <c r="B40" i="6"/>
  <c r="BJ3" i="7"/>
  <c r="BJ2" i="7"/>
  <c r="U6" i="17"/>
  <c r="T6" i="17"/>
  <c r="K6" i="17"/>
  <c r="C6" i="17"/>
  <c r="O10" i="17"/>
  <c r="P36" i="17"/>
  <c r="M36" i="17"/>
  <c r="K36" i="17"/>
  <c r="O36" i="17"/>
  <c r="Y36" i="17"/>
  <c r="C36" i="17"/>
  <c r="T45" i="17"/>
  <c r="K48" i="17"/>
  <c r="C48" i="17"/>
  <c r="T48" i="17"/>
  <c r="O59" i="17"/>
  <c r="C64" i="17"/>
  <c r="V142" i="17"/>
  <c r="M142" i="17"/>
  <c r="U142" i="17"/>
  <c r="T142" i="17"/>
  <c r="K142" i="17"/>
  <c r="Y142" i="17"/>
  <c r="U202" i="17"/>
  <c r="P210" i="17"/>
  <c r="U210" i="17"/>
  <c r="T210" i="17"/>
  <c r="C210" i="17"/>
  <c r="B210" i="17"/>
  <c r="K210" i="17"/>
  <c r="U262" i="17"/>
  <c r="V264" i="17"/>
  <c r="C264" i="17"/>
  <c r="O264" i="17"/>
  <c r="K264" i="17"/>
  <c r="M264" i="17"/>
  <c r="P264" i="17"/>
  <c r="B264" i="17"/>
  <c r="M371" i="17"/>
  <c r="K384" i="17"/>
  <c r="Y402" i="17"/>
  <c r="P440" i="17"/>
  <c r="B224" i="6"/>
  <c r="AC224" i="6"/>
  <c r="V35" i="17"/>
  <c r="U35" i="17"/>
  <c r="T35" i="17"/>
  <c r="M35" i="17"/>
  <c r="K35" i="17"/>
  <c r="P35" i="17"/>
  <c r="O35" i="17"/>
  <c r="C35" i="17"/>
  <c r="U173" i="17"/>
  <c r="T173" i="17"/>
  <c r="K173" i="17"/>
  <c r="M173" i="17"/>
  <c r="O203" i="17"/>
  <c r="M203" i="17"/>
  <c r="K203" i="17"/>
  <c r="B89" i="6"/>
  <c r="AC89" i="6"/>
  <c r="U129" i="17"/>
  <c r="M129" i="17"/>
  <c r="K129" i="17"/>
  <c r="C129" i="17"/>
  <c r="Y129" i="17"/>
  <c r="T129" i="17"/>
  <c r="P129" i="17"/>
  <c r="V129" i="17"/>
  <c r="Y170" i="17"/>
  <c r="C170" i="17"/>
  <c r="P170" i="17"/>
  <c r="O170" i="17"/>
  <c r="M170" i="17"/>
  <c r="K170" i="17"/>
  <c r="V353" i="17"/>
  <c r="P353" i="17"/>
  <c r="U353" i="17"/>
  <c r="C353" i="17"/>
  <c r="Y353" i="17"/>
  <c r="T353" i="17"/>
  <c r="O353" i="17"/>
  <c r="AC433" i="6"/>
  <c r="B433" i="6"/>
  <c r="B497" i="6"/>
  <c r="C33" i="17"/>
  <c r="V232" i="17"/>
  <c r="P232" i="17"/>
  <c r="U232" i="17"/>
  <c r="T232" i="17"/>
  <c r="M232" i="17"/>
  <c r="K232" i="17"/>
  <c r="C232" i="17"/>
  <c r="Y232" i="17"/>
  <c r="C44" i="17"/>
  <c r="B60" i="17"/>
  <c r="B69" i="17"/>
  <c r="Y195" i="17"/>
  <c r="C195" i="17"/>
  <c r="B195" i="17"/>
  <c r="P195" i="17"/>
  <c r="O195" i="17"/>
  <c r="K195" i="17"/>
  <c r="M195" i="17"/>
  <c r="B389" i="17"/>
  <c r="Y389" i="17"/>
  <c r="C389" i="17"/>
  <c r="O389" i="17"/>
  <c r="U389" i="17"/>
  <c r="P389" i="17"/>
  <c r="T389" i="17"/>
  <c r="M389" i="17"/>
  <c r="V389" i="17"/>
  <c r="K389" i="17"/>
  <c r="AC70" i="6"/>
  <c r="M99" i="17"/>
  <c r="C400" i="17"/>
  <c r="B450" i="6"/>
  <c r="O1" i="8"/>
  <c r="O30" i="17"/>
  <c r="M30" i="17"/>
  <c r="V30" i="17"/>
  <c r="T30" i="17"/>
  <c r="U30" i="17"/>
  <c r="Y30" i="17"/>
  <c r="P30" i="17"/>
  <c r="K33" i="17"/>
  <c r="T297" i="17"/>
  <c r="U297" i="17"/>
  <c r="B297" i="17"/>
  <c r="K297" i="17"/>
  <c r="M297" i="17"/>
  <c r="V297" i="17"/>
  <c r="P297" i="17"/>
  <c r="O297" i="17"/>
  <c r="B279" i="6"/>
  <c r="B87" i="6"/>
  <c r="AC87" i="6"/>
  <c r="B142" i="6"/>
  <c r="P203" i="17"/>
  <c r="Y253" i="17"/>
  <c r="C253" i="17"/>
  <c r="B253" i="17"/>
  <c r="O253" i="17"/>
  <c r="T253" i="17"/>
  <c r="P253" i="17"/>
  <c r="K253" i="17"/>
  <c r="M253" i="17"/>
  <c r="T263" i="17"/>
  <c r="M46" i="17"/>
  <c r="P46" i="17"/>
  <c r="O46" i="17"/>
  <c r="K46" i="17"/>
  <c r="C46" i="17"/>
  <c r="V46" i="17"/>
  <c r="U201" i="17"/>
  <c r="O201" i="17"/>
  <c r="P201" i="17"/>
  <c r="K201" i="17"/>
  <c r="C203" i="17"/>
  <c r="B492" i="6"/>
  <c r="B45" i="17"/>
  <c r="B201" i="17"/>
  <c r="B259" i="17"/>
  <c r="T262" i="17"/>
  <c r="M262" i="17"/>
  <c r="K262" i="17"/>
  <c r="C262" i="17"/>
  <c r="Y262" i="17"/>
  <c r="P262" i="17"/>
  <c r="O262" i="17"/>
  <c r="U43" i="17"/>
  <c r="V43" i="17"/>
  <c r="T43" i="17"/>
  <c r="M43" i="17"/>
  <c r="K43" i="17"/>
  <c r="Y43" i="17"/>
  <c r="N1" i="8"/>
  <c r="B293" i="17"/>
  <c r="B280" i="6"/>
  <c r="V325" i="17"/>
  <c r="T325" i="17"/>
  <c r="C325" i="17"/>
  <c r="P325" i="17"/>
  <c r="M325" i="17"/>
  <c r="O325" i="17"/>
  <c r="K325" i="17"/>
  <c r="U325" i="17"/>
  <c r="K353" i="17"/>
  <c r="B55" i="6"/>
  <c r="AC55" i="6"/>
  <c r="P75" i="17"/>
  <c r="O129" i="17"/>
  <c r="O192" i="17"/>
  <c r="K192" i="17"/>
  <c r="V192" i="17"/>
  <c r="U192" i="17"/>
  <c r="T192" i="17"/>
  <c r="B192" i="17"/>
  <c r="C192" i="17"/>
  <c r="M201" i="17"/>
  <c r="Y267" i="17"/>
  <c r="C267" i="17"/>
  <c r="V267" i="17"/>
  <c r="M267" i="17"/>
  <c r="P267" i="17"/>
  <c r="O267" i="17"/>
  <c r="K267" i="17"/>
  <c r="B383" i="17"/>
  <c r="T383" i="17"/>
  <c r="P383" i="17"/>
  <c r="V383" i="17"/>
  <c r="U383" i="17"/>
  <c r="M383" i="17"/>
  <c r="O383" i="17"/>
  <c r="K383" i="17"/>
  <c r="AC471" i="6"/>
  <c r="B179" i="6"/>
  <c r="B9" i="6"/>
  <c r="B36" i="6"/>
  <c r="B317" i="6"/>
  <c r="AC317" i="6"/>
  <c r="AC345" i="6"/>
  <c r="B345" i="6"/>
  <c r="B66" i="6"/>
  <c r="M31" i="17"/>
  <c r="P43" i="17"/>
  <c r="U45" i="17"/>
  <c r="Y46" i="17"/>
  <c r="P59" i="17"/>
  <c r="M150" i="17"/>
  <c r="O151" i="17"/>
  <c r="T169" i="17"/>
  <c r="V170" i="17"/>
  <c r="M177" i="17"/>
  <c r="K177" i="17"/>
  <c r="U177" i="17"/>
  <c r="B178" i="17"/>
  <c r="K178" i="17"/>
  <c r="C178" i="17"/>
  <c r="T178" i="17"/>
  <c r="V202" i="17"/>
  <c r="M235" i="17"/>
  <c r="P235" i="17"/>
  <c r="O235" i="17"/>
  <c r="K235" i="17"/>
  <c r="Y235" i="17"/>
  <c r="V262" i="17"/>
  <c r="B315" i="17"/>
  <c r="P315" i="17"/>
  <c r="O315" i="17"/>
  <c r="K315" i="17"/>
  <c r="M315" i="17"/>
  <c r="Y315" i="17"/>
  <c r="O373" i="17"/>
  <c r="M403" i="17"/>
  <c r="C403" i="17"/>
  <c r="P403" i="17"/>
  <c r="V403" i="17"/>
  <c r="O403" i="17"/>
  <c r="K403" i="17"/>
  <c r="Y403" i="17"/>
  <c r="U403" i="17"/>
  <c r="T403" i="17"/>
  <c r="T429" i="17"/>
  <c r="B60" i="6"/>
  <c r="B211" i="6"/>
  <c r="AC211" i="6"/>
  <c r="Y33" i="17"/>
  <c r="O41" i="17"/>
  <c r="U47" i="17"/>
  <c r="K47" i="17"/>
  <c r="M47" i="17"/>
  <c r="C47" i="17"/>
  <c r="V47" i="17"/>
  <c r="V60" i="17"/>
  <c r="Y99" i="17"/>
  <c r="Y136" i="17"/>
  <c r="C136" i="17"/>
  <c r="B136" i="17"/>
  <c r="V136" i="17"/>
  <c r="U136" i="17"/>
  <c r="T136" i="17"/>
  <c r="P136" i="17"/>
  <c r="O136" i="17"/>
  <c r="C142" i="17"/>
  <c r="P147" i="17"/>
  <c r="P151" i="17"/>
  <c r="V164" i="17"/>
  <c r="T164" i="17"/>
  <c r="P164" i="17"/>
  <c r="O164" i="17"/>
  <c r="Y164" i="17"/>
  <c r="B164" i="17"/>
  <c r="C164" i="17"/>
  <c r="U164" i="17"/>
  <c r="U169" i="17"/>
  <c r="K175" i="17"/>
  <c r="M175" i="17"/>
  <c r="O175" i="17"/>
  <c r="K176" i="17"/>
  <c r="P176" i="17"/>
  <c r="O176" i="17"/>
  <c r="M176" i="17"/>
  <c r="B177" i="17"/>
  <c r="P198" i="17"/>
  <c r="U200" i="17"/>
  <c r="V201" i="17"/>
  <c r="Y227" i="17"/>
  <c r="P234" i="17"/>
  <c r="K234" i="17"/>
  <c r="M234" i="17"/>
  <c r="O234" i="17"/>
  <c r="B235" i="17"/>
  <c r="V277" i="17"/>
  <c r="Y312" i="17"/>
  <c r="K314" i="17"/>
  <c r="O314" i="17"/>
  <c r="P314" i="17"/>
  <c r="M314" i="17"/>
  <c r="C315" i="17"/>
  <c r="O371" i="17"/>
  <c r="M378" i="17"/>
  <c r="P378" i="17"/>
  <c r="C378" i="17"/>
  <c r="U378" i="17"/>
  <c r="V378" i="17"/>
  <c r="K378" i="17"/>
  <c r="O378" i="17"/>
  <c r="B378" i="17"/>
  <c r="B403" i="17"/>
  <c r="U429" i="17"/>
  <c r="Y430" i="17"/>
  <c r="Y204" i="17"/>
  <c r="C204" i="17"/>
  <c r="K204" i="17"/>
  <c r="M204" i="17"/>
  <c r="V204" i="17"/>
  <c r="B228" i="6"/>
  <c r="AC228" i="6"/>
  <c r="M44" i="17"/>
  <c r="K44" i="17"/>
  <c r="V44" i="17"/>
  <c r="B129" i="17"/>
  <c r="B202" i="17"/>
  <c r="U259" i="17"/>
  <c r="T259" i="17"/>
  <c r="P259" i="17"/>
  <c r="O259" i="17"/>
  <c r="V259" i="17"/>
  <c r="M259" i="17"/>
  <c r="K259" i="17"/>
  <c r="M290" i="17"/>
  <c r="O290" i="17"/>
  <c r="C290" i="17"/>
  <c r="U290" i="17"/>
  <c r="T290" i="17"/>
  <c r="K290" i="17"/>
  <c r="P290" i="17"/>
  <c r="B312" i="17"/>
  <c r="B402" i="17"/>
  <c r="AC237" i="6"/>
  <c r="B237" i="6"/>
  <c r="P32" i="17"/>
  <c r="O32" i="17"/>
  <c r="T32" i="17"/>
  <c r="V32" i="17"/>
  <c r="U32" i="17"/>
  <c r="B70" i="17"/>
  <c r="M70" i="17"/>
  <c r="K70" i="17"/>
  <c r="U70" i="17"/>
  <c r="B172" i="17"/>
  <c r="C202" i="17"/>
  <c r="C312" i="17"/>
  <c r="B470" i="6"/>
  <c r="C259" i="17"/>
  <c r="T311" i="17"/>
  <c r="P311" i="17"/>
  <c r="M311" i="17"/>
  <c r="U311" i="17"/>
  <c r="K311" i="17"/>
  <c r="C311" i="17"/>
  <c r="O414" i="17"/>
  <c r="K414" i="17"/>
  <c r="V414" i="17"/>
  <c r="U414" i="17"/>
  <c r="T414" i="17"/>
  <c r="Y414" i="17"/>
  <c r="M414" i="17"/>
  <c r="P414" i="17"/>
  <c r="AC386" i="6"/>
  <c r="AC19" i="6"/>
  <c r="B19" i="6"/>
  <c r="B162" i="6"/>
  <c r="C69" i="17"/>
  <c r="B199" i="17"/>
  <c r="C301" i="17"/>
  <c r="V307" i="17"/>
  <c r="C307" i="17"/>
  <c r="O307" i="17"/>
  <c r="P307" i="17"/>
  <c r="K307" i="17"/>
  <c r="U307" i="17"/>
  <c r="T307" i="17"/>
  <c r="M307" i="17"/>
  <c r="B161" i="6"/>
  <c r="B133" i="6"/>
  <c r="AC133" i="6"/>
  <c r="U384" i="17"/>
  <c r="C384" i="17"/>
  <c r="V384" i="17"/>
  <c r="T384" i="17"/>
  <c r="P384" i="17"/>
  <c r="O384" i="17"/>
  <c r="M384" i="17"/>
  <c r="B367" i="6"/>
  <c r="AC367" i="6"/>
  <c r="M145" i="17"/>
  <c r="C145" i="17"/>
  <c r="Y145" i="17"/>
  <c r="B145" i="17"/>
  <c r="K145" i="17"/>
  <c r="P145" i="17"/>
  <c r="O145" i="17"/>
  <c r="B147" i="17"/>
  <c r="U269" i="17"/>
  <c r="C269" i="17"/>
  <c r="Y269" i="17"/>
  <c r="B269" i="17"/>
  <c r="M269" i="17"/>
  <c r="O269" i="17"/>
  <c r="P269" i="17"/>
  <c r="K269" i="17"/>
  <c r="T293" i="17"/>
  <c r="P293" i="17"/>
  <c r="O293" i="17"/>
  <c r="Y293" i="17"/>
  <c r="U293" i="17"/>
  <c r="V293" i="17"/>
  <c r="B300" i="17"/>
  <c r="K424" i="17"/>
  <c r="T424" i="17"/>
  <c r="P424" i="17"/>
  <c r="O424" i="17"/>
  <c r="C424" i="17"/>
  <c r="M424" i="17"/>
  <c r="B248" i="6"/>
  <c r="AC248" i="6"/>
  <c r="K9" i="17"/>
  <c r="P9" i="17"/>
  <c r="O9" i="17"/>
  <c r="B9" i="17"/>
  <c r="C9" i="17"/>
  <c r="U9" i="17"/>
  <c r="B217" i="17"/>
  <c r="B424" i="17"/>
  <c r="B271" i="6"/>
  <c r="AC359" i="6"/>
  <c r="B493" i="6"/>
  <c r="B411" i="6"/>
  <c r="C293" i="17"/>
  <c r="B412" i="17"/>
  <c r="AC258" i="6"/>
  <c r="B258" i="6"/>
  <c r="M45" i="17"/>
  <c r="M172" i="17"/>
  <c r="P204" i="17"/>
  <c r="C297" i="17"/>
  <c r="B180" i="6"/>
  <c r="B24" i="6"/>
  <c r="B107" i="6"/>
  <c r="B117" i="6"/>
  <c r="C30" i="17"/>
  <c r="K32" i="17"/>
  <c r="P166" i="17"/>
  <c r="O166" i="17"/>
  <c r="M166" i="17"/>
  <c r="K166" i="17"/>
  <c r="Y166" i="17"/>
  <c r="T166" i="17"/>
  <c r="P173" i="17"/>
  <c r="M353" i="17"/>
  <c r="B102" i="6"/>
  <c r="B309" i="6"/>
  <c r="O44" i="17"/>
  <c r="B65" i="17"/>
  <c r="O70" i="17"/>
  <c r="AC467" i="6"/>
  <c r="B73" i="6"/>
  <c r="B427" i="6"/>
  <c r="B74" i="6"/>
  <c r="B99" i="6"/>
  <c r="AC450" i="6"/>
  <c r="B69" i="6"/>
  <c r="AC227" i="6"/>
  <c r="B294" i="6"/>
  <c r="B298" i="6"/>
  <c r="B302" i="6"/>
  <c r="Y3" i="17"/>
  <c r="C3" i="17"/>
  <c r="B3" i="17"/>
  <c r="U3" i="17"/>
  <c r="P3" i="17"/>
  <c r="O3" i="17"/>
  <c r="K3" i="17"/>
  <c r="M3" i="17"/>
  <c r="P10" i="17"/>
  <c r="M101" i="17"/>
  <c r="P101" i="17"/>
  <c r="C101" i="17"/>
  <c r="B101" i="17"/>
  <c r="T101" i="17"/>
  <c r="O198" i="17"/>
  <c r="T200" i="17"/>
  <c r="T201" i="17"/>
  <c r="V203" i="17"/>
  <c r="O287" i="17"/>
  <c r="B223" i="6"/>
  <c r="AC169" i="6"/>
  <c r="B169" i="6"/>
  <c r="AC199" i="6"/>
  <c r="B283" i="6"/>
  <c r="B357" i="6"/>
  <c r="BP3" i="7"/>
  <c r="BP2" i="7"/>
  <c r="P41" i="17"/>
  <c r="U44" i="17"/>
  <c r="B47" i="17"/>
  <c r="T69" i="17"/>
  <c r="V70" i="17"/>
  <c r="P100" i="17"/>
  <c r="T100" i="17"/>
  <c r="K100" i="17"/>
  <c r="C100" i="17"/>
  <c r="U100" i="17"/>
  <c r="O150" i="17"/>
  <c r="V169" i="17"/>
  <c r="Y173" i="17"/>
  <c r="B175" i="17"/>
  <c r="B176" i="17"/>
  <c r="C177" i="17"/>
  <c r="U199" i="17"/>
  <c r="V200" i="17"/>
  <c r="V205" i="17"/>
  <c r="K205" i="17"/>
  <c r="T205" i="17"/>
  <c r="Y206" i="17"/>
  <c r="C206" i="17"/>
  <c r="K206" i="17"/>
  <c r="B206" i="17"/>
  <c r="O217" i="17"/>
  <c r="T233" i="17"/>
  <c r="M233" i="17"/>
  <c r="O233" i="17"/>
  <c r="K233" i="17"/>
  <c r="B234" i="17"/>
  <c r="C235" i="17"/>
  <c r="V289" i="17"/>
  <c r="Y301" i="17"/>
  <c r="B314" i="17"/>
  <c r="P400" i="17"/>
  <c r="V425" i="17"/>
  <c r="V429" i="17"/>
  <c r="U431" i="17"/>
  <c r="V431" i="17"/>
  <c r="T431" i="17"/>
  <c r="B431" i="17"/>
  <c r="O431" i="17"/>
  <c r="K431" i="17"/>
  <c r="P431" i="17"/>
  <c r="M431" i="17"/>
  <c r="C431" i="17"/>
  <c r="K439" i="17"/>
  <c r="K99" i="17"/>
  <c r="V99" i="17"/>
  <c r="U99" i="17"/>
  <c r="T99" i="17"/>
  <c r="B99" i="17"/>
  <c r="C99" i="17"/>
  <c r="C227" i="17"/>
  <c r="B353" i="17"/>
  <c r="AC174" i="6"/>
  <c r="Y45" i="17"/>
  <c r="M63" i="17"/>
  <c r="V63" i="17"/>
  <c r="U63" i="17"/>
  <c r="T63" i="17"/>
  <c r="P63" i="17"/>
  <c r="O63" i="17"/>
  <c r="K63" i="17"/>
  <c r="C63" i="17"/>
  <c r="Y63" i="17"/>
  <c r="V69" i="17"/>
  <c r="Y172" i="17"/>
  <c r="P174" i="17"/>
  <c r="O174" i="17"/>
  <c r="T174" i="17"/>
  <c r="K174" i="17"/>
  <c r="M174" i="17"/>
  <c r="T195" i="17"/>
  <c r="V199" i="17"/>
  <c r="Y202" i="17"/>
  <c r="Y203" i="17"/>
  <c r="Y263" i="17"/>
  <c r="C263" i="17"/>
  <c r="K263" i="17"/>
  <c r="P263" i="17"/>
  <c r="M263" i="17"/>
  <c r="O263" i="17"/>
  <c r="B263" i="17"/>
  <c r="Y302" i="17"/>
  <c r="C302" i="17"/>
  <c r="U302" i="17"/>
  <c r="M302" i="17"/>
  <c r="T302" i="17"/>
  <c r="K302" i="17"/>
  <c r="P302" i="17"/>
  <c r="O302" i="17"/>
  <c r="V302" i="17"/>
  <c r="Y307" i="17"/>
  <c r="O17" i="17"/>
  <c r="O18" i="17"/>
  <c r="T55" i="17"/>
  <c r="U62" i="17"/>
  <c r="M66" i="17"/>
  <c r="K66" i="17"/>
  <c r="Y66" i="17"/>
  <c r="O80" i="17"/>
  <c r="V80" i="17"/>
  <c r="U80" i="17"/>
  <c r="T81" i="17"/>
  <c r="O81" i="17"/>
  <c r="Y81" i="17"/>
  <c r="V84" i="17"/>
  <c r="P89" i="17"/>
  <c r="P109" i="17"/>
  <c r="P144" i="17"/>
  <c r="M144" i="17"/>
  <c r="Y144" i="17"/>
  <c r="T152" i="17"/>
  <c r="M167" i="17"/>
  <c r="K167" i="17"/>
  <c r="V167" i="17"/>
  <c r="K168" i="17"/>
  <c r="V168" i="17"/>
  <c r="U168" i="17"/>
  <c r="T168" i="17"/>
  <c r="U194" i="17"/>
  <c r="K237" i="17"/>
  <c r="P237" i="17"/>
  <c r="O237" i="17"/>
  <c r="K291" i="17"/>
  <c r="Y291" i="17"/>
  <c r="B291" i="17"/>
  <c r="O291" i="17"/>
  <c r="U291" i="17"/>
  <c r="T291" i="17"/>
  <c r="P291" i="17"/>
  <c r="M291" i="17"/>
  <c r="T377" i="17"/>
  <c r="P377" i="17"/>
  <c r="U377" i="17"/>
  <c r="V377" i="17"/>
  <c r="B401" i="17"/>
  <c r="P401" i="17"/>
  <c r="V401" i="17"/>
  <c r="U401" i="17"/>
  <c r="T401" i="17"/>
  <c r="O8" i="17"/>
  <c r="M8" i="17"/>
  <c r="P8" i="17"/>
  <c r="K8" i="17"/>
  <c r="P56" i="17"/>
  <c r="M56" i="17"/>
  <c r="C56" i="17"/>
  <c r="B56" i="17"/>
  <c r="Y141" i="17"/>
  <c r="C141" i="17"/>
  <c r="K141" i="17"/>
  <c r="P141" i="17"/>
  <c r="O141" i="17"/>
  <c r="V141" i="17"/>
  <c r="U141" i="17"/>
  <c r="K153" i="17"/>
  <c r="C153" i="17"/>
  <c r="Y153" i="17"/>
  <c r="B153" i="17"/>
  <c r="P153" i="17"/>
  <c r="O153" i="17"/>
  <c r="Y286" i="17"/>
  <c r="C286" i="17"/>
  <c r="V286" i="17"/>
  <c r="U286" i="17"/>
  <c r="T286" i="17"/>
  <c r="B339" i="17"/>
  <c r="T339" i="17"/>
  <c r="U339" i="17"/>
  <c r="P339" i="17"/>
  <c r="M339" i="17"/>
  <c r="Y339" i="17"/>
  <c r="B147" i="6"/>
  <c r="AC304" i="6"/>
  <c r="AC323" i="6"/>
  <c r="B338" i="6"/>
  <c r="AC342" i="6"/>
  <c r="B361" i="6"/>
  <c r="B365" i="6"/>
  <c r="AC365" i="6"/>
  <c r="B8" i="17"/>
  <c r="B11" i="17"/>
  <c r="Y17" i="17"/>
  <c r="V18" i="17"/>
  <c r="B49" i="17"/>
  <c r="Y49" i="17"/>
  <c r="T86" i="17"/>
  <c r="O86" i="17"/>
  <c r="M86" i="17"/>
  <c r="K87" i="17"/>
  <c r="M87" i="17"/>
  <c r="Y87" i="17"/>
  <c r="B98" i="17"/>
  <c r="K107" i="17"/>
  <c r="P107" i="17"/>
  <c r="O107" i="17"/>
  <c r="M108" i="17"/>
  <c r="K108" i="17"/>
  <c r="Y108" i="17"/>
  <c r="B141" i="17"/>
  <c r="P188" i="17"/>
  <c r="C188" i="17"/>
  <c r="Y188" i="17"/>
  <c r="B188" i="17"/>
  <c r="T188" i="17"/>
  <c r="U190" i="17"/>
  <c r="T190" i="17"/>
  <c r="O190" i="17"/>
  <c r="M190" i="17"/>
  <c r="Y190" i="17"/>
  <c r="B285" i="17"/>
  <c r="U285" i="17"/>
  <c r="V285" i="17"/>
  <c r="T285" i="17"/>
  <c r="B286" i="17"/>
  <c r="P305" i="17"/>
  <c r="K305" i="17"/>
  <c r="M305" i="17"/>
  <c r="M306" i="17"/>
  <c r="Y306" i="17"/>
  <c r="B306" i="17"/>
  <c r="P306" i="17"/>
  <c r="K306" i="17"/>
  <c r="T306" i="17"/>
  <c r="C339" i="17"/>
  <c r="V397" i="17"/>
  <c r="Y397" i="17"/>
  <c r="B397" i="17"/>
  <c r="K397" i="17"/>
  <c r="T397" i="17"/>
  <c r="U397" i="17"/>
  <c r="C397" i="17"/>
  <c r="Y410" i="17"/>
  <c r="C410" i="17"/>
  <c r="T410" i="17"/>
  <c r="M410" i="17"/>
  <c r="B410" i="17"/>
  <c r="P410" i="17"/>
  <c r="O410" i="17"/>
  <c r="K410" i="17"/>
  <c r="B235" i="6"/>
  <c r="AC259" i="6"/>
  <c r="B259" i="6"/>
  <c r="B229" i="6"/>
  <c r="AC229" i="6"/>
  <c r="B167" i="6"/>
  <c r="C11" i="17"/>
  <c r="C14" i="17"/>
  <c r="Y14" i="17"/>
  <c r="V14" i="17"/>
  <c r="Y163" i="17"/>
  <c r="C163" i="17"/>
  <c r="V163" i="17"/>
  <c r="U163" i="17"/>
  <c r="P163" i="17"/>
  <c r="O163" i="17"/>
  <c r="T163" i="17"/>
  <c r="K358" i="17"/>
  <c r="C358" i="17"/>
  <c r="M358" i="17"/>
  <c r="P358" i="17"/>
  <c r="O358" i="17"/>
  <c r="B367" i="17"/>
  <c r="Y367" i="17"/>
  <c r="C367" i="17"/>
  <c r="V367" i="17"/>
  <c r="U367" i="17"/>
  <c r="T367" i="17"/>
  <c r="B443" i="6"/>
  <c r="Y53" i="17"/>
  <c r="C53" i="17"/>
  <c r="P53" i="17"/>
  <c r="U53" i="17"/>
  <c r="T53" i="17"/>
  <c r="T106" i="17"/>
  <c r="M106" i="17"/>
  <c r="P106" i="17"/>
  <c r="K106" i="17"/>
  <c r="Y18" i="17"/>
  <c r="P96" i="17"/>
  <c r="O96" i="17"/>
  <c r="V96" i="17"/>
  <c r="U96" i="17"/>
  <c r="K144" i="17"/>
  <c r="B7" i="6"/>
  <c r="B104" i="6"/>
  <c r="AC104" i="6"/>
  <c r="BE2" i="7"/>
  <c r="V13" i="17"/>
  <c r="U13" i="17"/>
  <c r="T13" i="17"/>
  <c r="C13" i="17"/>
  <c r="Y13" i="17"/>
  <c r="Y19" i="17"/>
  <c r="C19" i="17"/>
  <c r="B19" i="17"/>
  <c r="P19" i="17"/>
  <c r="M19" i="17"/>
  <c r="B21" i="17"/>
  <c r="B24" i="17"/>
  <c r="Y24" i="17"/>
  <c r="O93" i="17"/>
  <c r="Y93" i="17"/>
  <c r="B93" i="17"/>
  <c r="V93" i="17"/>
  <c r="U93" i="17"/>
  <c r="B96" i="17"/>
  <c r="Y117" i="17"/>
  <c r="V120" i="17"/>
  <c r="K120" i="17"/>
  <c r="Y120" i="17"/>
  <c r="Y122" i="17"/>
  <c r="M124" i="17"/>
  <c r="C124" i="17"/>
  <c r="Y124" i="17"/>
  <c r="B124" i="17"/>
  <c r="P124" i="17"/>
  <c r="O124" i="17"/>
  <c r="U126" i="17"/>
  <c r="T126" i="17"/>
  <c r="K126" i="17"/>
  <c r="M168" i="17"/>
  <c r="M237" i="17"/>
  <c r="V303" i="17"/>
  <c r="U303" i="17"/>
  <c r="M303" i="17"/>
  <c r="P303" i="17"/>
  <c r="O303" i="17"/>
  <c r="K303" i="17"/>
  <c r="M313" i="17"/>
  <c r="M401" i="17"/>
  <c r="K407" i="17"/>
  <c r="T407" i="17"/>
  <c r="P407" i="17"/>
  <c r="O407" i="17"/>
  <c r="M407" i="17"/>
  <c r="P55" i="17"/>
  <c r="O55" i="17"/>
  <c r="C55" i="17"/>
  <c r="T84" i="17"/>
  <c r="C84" i="17"/>
  <c r="U84" i="17"/>
  <c r="M84" i="17"/>
  <c r="K84" i="17"/>
  <c r="V98" i="17"/>
  <c r="M98" i="17"/>
  <c r="K98" i="17"/>
  <c r="U98" i="17"/>
  <c r="Y102" i="17"/>
  <c r="C102" i="17"/>
  <c r="B102" i="17"/>
  <c r="P102" i="17"/>
  <c r="O102" i="17"/>
  <c r="T155" i="17"/>
  <c r="K155" i="17"/>
  <c r="B155" i="17"/>
  <c r="T399" i="17"/>
  <c r="P399" i="17"/>
  <c r="U399" i="17"/>
  <c r="V399" i="17"/>
  <c r="O399" i="17"/>
  <c r="C399" i="17"/>
  <c r="B399" i="17"/>
  <c r="AC29" i="6"/>
  <c r="B29" i="6"/>
  <c r="C49" i="17"/>
  <c r="O88" i="17"/>
  <c r="K88" i="17"/>
  <c r="C88" i="17"/>
  <c r="B53" i="17"/>
  <c r="B88" i="17"/>
  <c r="B106" i="17"/>
  <c r="M140" i="17"/>
  <c r="P140" i="17"/>
  <c r="O140" i="17"/>
  <c r="V140" i="17"/>
  <c r="U140" i="17"/>
  <c r="T140" i="17"/>
  <c r="V409" i="17"/>
  <c r="P409" i="17"/>
  <c r="O409" i="17"/>
  <c r="M409" i="17"/>
  <c r="K409" i="17"/>
  <c r="B350" i="6"/>
  <c r="C24" i="17"/>
  <c r="M81" i="17"/>
  <c r="T121" i="17"/>
  <c r="P121" i="17"/>
  <c r="O121" i="17"/>
  <c r="M123" i="17"/>
  <c r="P123" i="17"/>
  <c r="C123" i="17"/>
  <c r="O123" i="17"/>
  <c r="K366" i="17"/>
  <c r="T366" i="17"/>
  <c r="C366" i="17"/>
  <c r="B366" i="17"/>
  <c r="V366" i="17"/>
  <c r="U366" i="17"/>
  <c r="P152" i="17"/>
  <c r="O152" i="17"/>
  <c r="C152" i="17"/>
  <c r="T194" i="17"/>
  <c r="P194" i="17"/>
  <c r="O194" i="17"/>
  <c r="K194" i="17"/>
  <c r="M209" i="17"/>
  <c r="V209" i="17"/>
  <c r="C209" i="17"/>
  <c r="Y209" i="17"/>
  <c r="U247" i="17"/>
  <c r="V247" i="17"/>
  <c r="P247" i="17"/>
  <c r="K247" i="17"/>
  <c r="Y247" i="17"/>
  <c r="C247" i="17"/>
  <c r="B247" i="17"/>
  <c r="AC300" i="6"/>
  <c r="B300" i="6"/>
  <c r="AC490" i="6"/>
  <c r="B490" i="6"/>
  <c r="C8" i="17"/>
  <c r="V17" i="17"/>
  <c r="U17" i="17"/>
  <c r="T17" i="17"/>
  <c r="B50" i="17"/>
  <c r="Y50" i="17"/>
  <c r="C50" i="17"/>
  <c r="U157" i="17"/>
  <c r="O157" i="17"/>
  <c r="C157" i="17"/>
  <c r="B157" i="17"/>
  <c r="U161" i="17"/>
  <c r="T161" i="17"/>
  <c r="V161" i="17"/>
  <c r="P161" i="17"/>
  <c r="O304" i="17"/>
  <c r="T304" i="17"/>
  <c r="M304" i="17"/>
  <c r="K304" i="17"/>
  <c r="B17" i="17"/>
  <c r="M23" i="17"/>
  <c r="K23" i="17"/>
  <c r="C89" i="17"/>
  <c r="Y97" i="17"/>
  <c r="C97" i="17"/>
  <c r="O97" i="17"/>
  <c r="M97" i="17"/>
  <c r="V97" i="17"/>
  <c r="U97" i="17"/>
  <c r="Y109" i="17"/>
  <c r="M328" i="17"/>
  <c r="C328" i="17"/>
  <c r="Y328" i="17"/>
  <c r="B328" i="17"/>
  <c r="V328" i="17"/>
  <c r="U328" i="17"/>
  <c r="B143" i="6"/>
  <c r="B277" i="6"/>
  <c r="AC277" i="6"/>
  <c r="V52" i="17"/>
  <c r="U52" i="17"/>
  <c r="T52" i="17"/>
  <c r="C52" i="17"/>
  <c r="Y52" i="17"/>
  <c r="K81" i="17"/>
  <c r="C106" i="17"/>
  <c r="C109" i="17"/>
  <c r="Y110" i="17"/>
  <c r="C110" i="17"/>
  <c r="B110" i="17"/>
  <c r="T138" i="17"/>
  <c r="U138" i="17"/>
  <c r="V138" i="17"/>
  <c r="B140" i="17"/>
  <c r="B163" i="17"/>
  <c r="V281" i="17"/>
  <c r="K281" i="17"/>
  <c r="C281" i="17"/>
  <c r="M281" i="17"/>
  <c r="Y281" i="17"/>
  <c r="B281" i="17"/>
  <c r="K377" i="17"/>
  <c r="B409" i="17"/>
  <c r="BZ4" i="7"/>
  <c r="C138" i="17"/>
  <c r="B297" i="6"/>
  <c r="I4" i="7"/>
  <c r="Y26" i="17"/>
  <c r="C26" i="17"/>
  <c r="P66" i="17"/>
  <c r="C120" i="17"/>
  <c r="B121" i="17"/>
  <c r="B123" i="17"/>
  <c r="C126" i="17"/>
  <c r="O144" i="17"/>
  <c r="P167" i="17"/>
  <c r="O168" i="17"/>
  <c r="C303" i="17"/>
  <c r="O313" i="17"/>
  <c r="P327" i="17"/>
  <c r="Y327" i="17"/>
  <c r="B327" i="17"/>
  <c r="C327" i="17"/>
  <c r="V327" i="17"/>
  <c r="U327" i="17"/>
  <c r="T327" i="17"/>
  <c r="V365" i="17"/>
  <c r="U365" i="17"/>
  <c r="T365" i="17"/>
  <c r="P365" i="17"/>
  <c r="O401" i="17"/>
  <c r="C407" i="17"/>
  <c r="V54" i="17"/>
  <c r="Y54" i="17"/>
  <c r="B54" i="17"/>
  <c r="T62" i="17"/>
  <c r="O62" i="17"/>
  <c r="V62" i="17"/>
  <c r="P62" i="17"/>
  <c r="M62" i="17"/>
  <c r="U179" i="17"/>
  <c r="C179" i="17"/>
  <c r="Y179" i="17"/>
  <c r="B179" i="17"/>
  <c r="K179" i="17"/>
  <c r="B369" i="6"/>
  <c r="C62" i="17"/>
  <c r="C194" i="17"/>
  <c r="M284" i="17"/>
  <c r="U284" i="17"/>
  <c r="V284" i="17"/>
  <c r="C284" i="17"/>
  <c r="AC281" i="6"/>
  <c r="B281" i="6"/>
  <c r="B428" i="6"/>
  <c r="B18" i="17"/>
  <c r="Y89" i="17"/>
  <c r="B109" i="17"/>
  <c r="B161" i="17"/>
  <c r="B122" i="6"/>
  <c r="AC122" i="6"/>
  <c r="Q10" i="5"/>
  <c r="H4" i="7"/>
  <c r="BX4" i="7"/>
  <c r="BW4" i="7"/>
  <c r="BG4" i="7"/>
  <c r="BE4" i="7"/>
  <c r="B14" i="17"/>
  <c r="T21" i="17"/>
  <c r="O21" i="17"/>
  <c r="M21" i="17"/>
  <c r="P22" i="17"/>
  <c r="O22" i="17"/>
  <c r="M22" i="17"/>
  <c r="K22" i="17"/>
  <c r="B23" i="17"/>
  <c r="K80" i="17"/>
  <c r="B90" i="17"/>
  <c r="Y90" i="17"/>
  <c r="C90" i="17"/>
  <c r="V90" i="17"/>
  <c r="B97" i="17"/>
  <c r="P139" i="17"/>
  <c r="V139" i="17"/>
  <c r="U139" i="17"/>
  <c r="T139" i="17"/>
  <c r="C161" i="17"/>
  <c r="C304" i="17"/>
  <c r="B358" i="17"/>
  <c r="B22" i="6"/>
  <c r="C22" i="17"/>
  <c r="Y25" i="17"/>
  <c r="C25" i="17"/>
  <c r="O66" i="17"/>
  <c r="M80" i="17"/>
  <c r="C96" i="17"/>
  <c r="B112" i="17"/>
  <c r="T112" i="17"/>
  <c r="C112" i="17"/>
  <c r="P117" i="17"/>
  <c r="V117" i="17"/>
  <c r="U117" i="17"/>
  <c r="O118" i="17"/>
  <c r="M118" i="17"/>
  <c r="V118" i="17"/>
  <c r="U118" i="17"/>
  <c r="T118" i="17"/>
  <c r="P122" i="17"/>
  <c r="O122" i="17"/>
  <c r="M122" i="17"/>
  <c r="O137" i="17"/>
  <c r="V137" i="17"/>
  <c r="U137" i="17"/>
  <c r="T137" i="17"/>
  <c r="Y137" i="17"/>
  <c r="C139" i="17"/>
  <c r="O167" i="17"/>
  <c r="B357" i="17"/>
  <c r="P357" i="17"/>
  <c r="O357" i="17"/>
  <c r="M357" i="17"/>
  <c r="C357" i="17"/>
  <c r="Y357" i="17"/>
  <c r="M377" i="17"/>
  <c r="BN4" i="7"/>
  <c r="BR4" i="7"/>
  <c r="B397" i="6"/>
  <c r="B4" i="7"/>
  <c r="BI4" i="7"/>
  <c r="F4" i="7"/>
  <c r="B120" i="6"/>
  <c r="B417" i="6"/>
  <c r="B42" i="6"/>
  <c r="B65" i="6"/>
  <c r="B81" i="6"/>
  <c r="B26" i="17"/>
  <c r="K56" i="17"/>
  <c r="P80" i="17"/>
  <c r="P81" i="17"/>
  <c r="K102" i="17"/>
  <c r="C117" i="17"/>
  <c r="C118" i="17"/>
  <c r="C121" i="17"/>
  <c r="C122" i="17"/>
  <c r="K130" i="17"/>
  <c r="C130" i="17"/>
  <c r="Y130" i="17"/>
  <c r="C137" i="17"/>
  <c r="P168" i="17"/>
  <c r="Y280" i="17"/>
  <c r="C280" i="17"/>
  <c r="M280" i="17"/>
  <c r="O280" i="17"/>
  <c r="K280" i="17"/>
  <c r="V280" i="17"/>
  <c r="B280" i="17"/>
  <c r="V291" i="17"/>
  <c r="P313" i="17"/>
  <c r="M356" i="17"/>
  <c r="P356" i="17"/>
  <c r="O356" i="17"/>
  <c r="C356" i="17"/>
  <c r="B356" i="17"/>
  <c r="B365" i="17"/>
  <c r="O377" i="17"/>
  <c r="V391" i="17"/>
  <c r="M391" i="17"/>
  <c r="T391" i="17"/>
  <c r="C391" i="17"/>
  <c r="B391" i="17"/>
  <c r="U391" i="17"/>
  <c r="Y391" i="17"/>
  <c r="K399" i="17"/>
  <c r="U406" i="17"/>
  <c r="M406" i="17"/>
  <c r="V406" i="17"/>
  <c r="T406" i="17"/>
  <c r="O406" i="17"/>
  <c r="K406" i="17"/>
  <c r="P37" i="17"/>
  <c r="O37" i="17"/>
  <c r="Y37" i="17"/>
  <c r="O181" i="17"/>
  <c r="U181" i="17"/>
  <c r="T181" i="17"/>
  <c r="O249" i="17"/>
  <c r="Y249" i="17"/>
  <c r="B249" i="17"/>
  <c r="K249" i="17"/>
  <c r="K251" i="17"/>
  <c r="T251" i="17"/>
  <c r="V251" i="17"/>
  <c r="U251" i="17"/>
  <c r="B255" i="17"/>
  <c r="V255" i="17"/>
  <c r="P255" i="17"/>
  <c r="P256" i="17"/>
  <c r="V256" i="17"/>
  <c r="T256" i="17"/>
  <c r="C256" i="17"/>
  <c r="B256" i="17"/>
  <c r="V266" i="17"/>
  <c r="K266" i="17"/>
  <c r="Y266" i="17"/>
  <c r="V395" i="17"/>
  <c r="U395" i="17"/>
  <c r="T395" i="17"/>
  <c r="V423" i="17"/>
  <c r="Y423" i="17"/>
  <c r="B423" i="17"/>
  <c r="P423" i="17"/>
  <c r="O423" i="17"/>
  <c r="V441" i="17"/>
  <c r="K441" i="17"/>
  <c r="M441" i="17"/>
  <c r="AC236" i="6"/>
  <c r="B236" i="6"/>
  <c r="M422" i="17"/>
  <c r="Y422" i="17"/>
  <c r="B422" i="17"/>
  <c r="C422" i="17"/>
  <c r="P422" i="17"/>
  <c r="B433" i="17"/>
  <c r="U433" i="17"/>
  <c r="C433" i="17"/>
  <c r="M57" i="17"/>
  <c r="K57" i="17"/>
  <c r="Y57" i="17"/>
  <c r="U113" i="17"/>
  <c r="C113" i="17"/>
  <c r="Y113" i="17"/>
  <c r="K131" i="17"/>
  <c r="P131" i="17"/>
  <c r="O131" i="17"/>
  <c r="O183" i="17"/>
  <c r="C183" i="17"/>
  <c r="Y183" i="17"/>
  <c r="B183" i="17"/>
  <c r="V186" i="17"/>
  <c r="U186" i="17"/>
  <c r="T186" i="17"/>
  <c r="K218" i="17"/>
  <c r="C218" i="17"/>
  <c r="Y218" i="17"/>
  <c r="B218" i="17"/>
  <c r="P218" i="17"/>
  <c r="U220" i="17"/>
  <c r="T220" i="17"/>
  <c r="M220" i="17"/>
  <c r="Y221" i="17"/>
  <c r="C221" i="17"/>
  <c r="M221" i="17"/>
  <c r="B222" i="17"/>
  <c r="M222" i="17"/>
  <c r="K222" i="17"/>
  <c r="U223" i="17"/>
  <c r="T223" i="17"/>
  <c r="O223" i="17"/>
  <c r="V242" i="17"/>
  <c r="U242" i="17"/>
  <c r="C242" i="17"/>
  <c r="K243" i="17"/>
  <c r="T243" i="17"/>
  <c r="C243" i="17"/>
  <c r="B243" i="17"/>
  <c r="O342" i="17"/>
  <c r="K342" i="17"/>
  <c r="V342" i="17"/>
  <c r="T343" i="17"/>
  <c r="V343" i="17"/>
  <c r="U343" i="17"/>
  <c r="Y344" i="17"/>
  <c r="C344" i="17"/>
  <c r="T344" i="17"/>
  <c r="Y346" i="17"/>
  <c r="C346" i="17"/>
  <c r="U346" i="17"/>
  <c r="B346" i="17"/>
  <c r="T346" i="17"/>
  <c r="V375" i="17"/>
  <c r="U375" i="17"/>
  <c r="T375" i="17"/>
  <c r="P437" i="17"/>
  <c r="T437" i="17"/>
  <c r="O437" i="17"/>
  <c r="M438" i="17"/>
  <c r="V438" i="17"/>
  <c r="K438" i="17"/>
  <c r="P438" i="17"/>
  <c r="O438" i="17"/>
  <c r="M444" i="17"/>
  <c r="C444" i="17"/>
  <c r="Y444" i="17"/>
  <c r="B46" i="6"/>
  <c r="P15" i="17"/>
  <c r="O15" i="17"/>
  <c r="Y15" i="17"/>
  <c r="B57" i="17"/>
  <c r="B73" i="17"/>
  <c r="Y73" i="17"/>
  <c r="V77" i="17"/>
  <c r="M77" i="17"/>
  <c r="K77" i="17"/>
  <c r="P78" i="17"/>
  <c r="T78" i="17"/>
  <c r="K78" i="17"/>
  <c r="U91" i="17"/>
  <c r="C91" i="17"/>
  <c r="Y91" i="17"/>
  <c r="B91" i="17"/>
  <c r="V94" i="17"/>
  <c r="U94" i="17"/>
  <c r="T94" i="17"/>
  <c r="B113" i="17"/>
  <c r="B131" i="17"/>
  <c r="B132" i="17"/>
  <c r="Y132" i="17"/>
  <c r="B158" i="17"/>
  <c r="Y158" i="17"/>
  <c r="Y185" i="17"/>
  <c r="C185" i="17"/>
  <c r="V185" i="17"/>
  <c r="U185" i="17"/>
  <c r="B186" i="17"/>
  <c r="B187" i="17"/>
  <c r="B220" i="17"/>
  <c r="B221" i="17"/>
  <c r="C222" i="17"/>
  <c r="B223" i="17"/>
  <c r="B224" i="17"/>
  <c r="Y224" i="17"/>
  <c r="B242" i="17"/>
  <c r="U273" i="17"/>
  <c r="C273" i="17"/>
  <c r="Y273" i="17"/>
  <c r="B273" i="17"/>
  <c r="M278" i="17"/>
  <c r="V278" i="17"/>
  <c r="U278" i="17"/>
  <c r="O279" i="17"/>
  <c r="P279" i="17"/>
  <c r="K279" i="17"/>
  <c r="V279" i="17"/>
  <c r="U279" i="17"/>
  <c r="V331" i="17"/>
  <c r="P331" i="17"/>
  <c r="B331" i="17"/>
  <c r="O331" i="17"/>
  <c r="C331" i="17"/>
  <c r="B342" i="17"/>
  <c r="B343" i="17"/>
  <c r="B344" i="17"/>
  <c r="Y352" i="17"/>
  <c r="C352" i="17"/>
  <c r="P352" i="17"/>
  <c r="V352" i="17"/>
  <c r="U352" i="17"/>
  <c r="O352" i="17"/>
  <c r="T355" i="17"/>
  <c r="P355" i="17"/>
  <c r="K355" i="17"/>
  <c r="U355" i="17"/>
  <c r="O355" i="17"/>
  <c r="U362" i="17"/>
  <c r="P362" i="17"/>
  <c r="T362" i="17"/>
  <c r="B375" i="17"/>
  <c r="O392" i="17"/>
  <c r="U392" i="17"/>
  <c r="K392" i="17"/>
  <c r="T392" i="17"/>
  <c r="C392" i="17"/>
  <c r="B392" i="17"/>
  <c r="Y392" i="17"/>
  <c r="P415" i="17"/>
  <c r="U415" i="17"/>
  <c r="T415" i="17"/>
  <c r="M416" i="17"/>
  <c r="O416" i="17"/>
  <c r="T416" i="17"/>
  <c r="U416" i="17"/>
  <c r="B417" i="17"/>
  <c r="Y417" i="17"/>
  <c r="V419" i="17"/>
  <c r="Y419" i="17"/>
  <c r="B419" i="17"/>
  <c r="P419" i="17"/>
  <c r="O419" i="17"/>
  <c r="B437" i="17"/>
  <c r="B438" i="17"/>
  <c r="B444" i="17"/>
  <c r="B448" i="6"/>
  <c r="Y4" i="17"/>
  <c r="C4" i="17"/>
  <c r="B15" i="17"/>
  <c r="M16" i="17"/>
  <c r="K16" i="17"/>
  <c r="Y16" i="17"/>
  <c r="U28" i="17"/>
  <c r="T28" i="17"/>
  <c r="Y28" i="17"/>
  <c r="C57" i="17"/>
  <c r="C73" i="17"/>
  <c r="P74" i="17"/>
  <c r="O74" i="17"/>
  <c r="Y74" i="17"/>
  <c r="V76" i="17"/>
  <c r="Y76" i="17"/>
  <c r="B76" i="17"/>
  <c r="M76" i="17"/>
  <c r="B77" i="17"/>
  <c r="B78" i="17"/>
  <c r="B79" i="17"/>
  <c r="Y79" i="17"/>
  <c r="B94" i="17"/>
  <c r="U116" i="17"/>
  <c r="T116" i="17"/>
  <c r="Y116" i="17"/>
  <c r="C131" i="17"/>
  <c r="C132" i="17"/>
  <c r="C158" i="17"/>
  <c r="O159" i="17"/>
  <c r="C159" i="17"/>
  <c r="Y159" i="17"/>
  <c r="B159" i="17"/>
  <c r="B185" i="17"/>
  <c r="C186" i="17"/>
  <c r="C187" i="17"/>
  <c r="C220" i="17"/>
  <c r="C223" i="17"/>
  <c r="C224" i="17"/>
  <c r="O225" i="17"/>
  <c r="P225" i="17"/>
  <c r="K225" i="17"/>
  <c r="C268" i="17"/>
  <c r="Y268" i="17"/>
  <c r="B278" i="17"/>
  <c r="B279" i="17"/>
  <c r="Y337" i="17"/>
  <c r="C337" i="17"/>
  <c r="T337" i="17"/>
  <c r="P337" i="17"/>
  <c r="C342" i="17"/>
  <c r="C343" i="17"/>
  <c r="B352" i="17"/>
  <c r="B355" i="17"/>
  <c r="B361" i="17"/>
  <c r="T361" i="17"/>
  <c r="V361" i="17"/>
  <c r="O361" i="17"/>
  <c r="B362" i="17"/>
  <c r="Y374" i="17"/>
  <c r="C374" i="17"/>
  <c r="V374" i="17"/>
  <c r="U374" i="17"/>
  <c r="T374" i="17"/>
  <c r="C375" i="17"/>
  <c r="B415" i="17"/>
  <c r="B416" i="17"/>
  <c r="C417" i="17"/>
  <c r="Y418" i="17"/>
  <c r="C418" i="17"/>
  <c r="P418" i="17"/>
  <c r="O418" i="17"/>
  <c r="C419" i="17"/>
  <c r="T421" i="17"/>
  <c r="P421" i="17"/>
  <c r="C421" i="17"/>
  <c r="B421" i="17"/>
  <c r="K421" i="17"/>
  <c r="O421" i="17"/>
  <c r="C437" i="17"/>
  <c r="C438" i="17"/>
  <c r="U20" i="17"/>
  <c r="V42" i="17"/>
  <c r="U72" i="17"/>
  <c r="U104" i="17"/>
  <c r="V115" i="17"/>
  <c r="V135" i="17"/>
  <c r="U250" i="17"/>
  <c r="O271" i="17"/>
  <c r="V271" i="17"/>
  <c r="U271" i="17"/>
  <c r="B272" i="17"/>
  <c r="T272" i="17"/>
  <c r="V272" i="17"/>
  <c r="U272" i="17"/>
  <c r="P319" i="17"/>
  <c r="V319" i="17"/>
  <c r="Y319" i="17"/>
  <c r="Y324" i="17"/>
  <c r="C324" i="17"/>
  <c r="U324" i="17"/>
  <c r="T324" i="17"/>
  <c r="V324" i="17"/>
  <c r="Y330" i="17"/>
  <c r="C330" i="17"/>
  <c r="P330" i="17"/>
  <c r="O330" i="17"/>
  <c r="K446" i="17"/>
  <c r="Y446" i="17"/>
  <c r="B446" i="17"/>
  <c r="O447" i="17"/>
  <c r="V447" i="17"/>
  <c r="Y447" i="17"/>
  <c r="B71" i="17"/>
  <c r="Y71" i="17"/>
  <c r="B103" i="17"/>
  <c r="Y103" i="17"/>
  <c r="B114" i="17"/>
  <c r="Y114" i="17"/>
  <c r="C134" i="17"/>
  <c r="Y134" i="17"/>
  <c r="B148" i="17"/>
  <c r="Y148" i="17"/>
  <c r="P212" i="17"/>
  <c r="O212" i="17"/>
  <c r="Y212" i="17"/>
  <c r="C244" i="17"/>
  <c r="Y244" i="17"/>
  <c r="B271" i="17"/>
  <c r="C272" i="17"/>
  <c r="U274" i="17"/>
  <c r="C274" i="17"/>
  <c r="O274" i="17"/>
  <c r="B319" i="17"/>
  <c r="B324" i="17"/>
  <c r="T329" i="17"/>
  <c r="K329" i="17"/>
  <c r="O329" i="17"/>
  <c r="P329" i="17"/>
  <c r="B330" i="17"/>
  <c r="T333" i="17"/>
  <c r="P333" i="17"/>
  <c r="K333" i="17"/>
  <c r="M334" i="17"/>
  <c r="U334" i="17"/>
  <c r="K334" i="17"/>
  <c r="B335" i="17"/>
  <c r="K335" i="17"/>
  <c r="Y335" i="17"/>
  <c r="U381" i="17"/>
  <c r="K381" i="17"/>
  <c r="Y381" i="17"/>
  <c r="C446" i="17"/>
  <c r="B447" i="17"/>
  <c r="Y196" i="17"/>
  <c r="C196" i="17"/>
  <c r="Y213" i="17"/>
  <c r="C213" i="17"/>
  <c r="M213" i="17"/>
  <c r="V214" i="17"/>
  <c r="K214" i="17"/>
  <c r="Y214" i="17"/>
  <c r="U245" i="17"/>
  <c r="K245" i="17"/>
  <c r="P245" i="17"/>
  <c r="O245" i="17"/>
  <c r="O248" i="17"/>
  <c r="K248" i="17"/>
  <c r="Y248" i="17"/>
  <c r="Y282" i="17"/>
  <c r="C282" i="17"/>
  <c r="M282" i="17"/>
  <c r="B282" i="17"/>
  <c r="K322" i="17"/>
  <c r="V322" i="17"/>
  <c r="T322" i="17"/>
  <c r="B323" i="17"/>
  <c r="T323" i="17"/>
  <c r="V323" i="17"/>
  <c r="K323" i="17"/>
  <c r="U323" i="17"/>
  <c r="K336" i="17"/>
  <c r="V336" i="17"/>
  <c r="Y336" i="17"/>
  <c r="P341" i="17"/>
  <c r="M341" i="17"/>
  <c r="Y341" i="17"/>
  <c r="P393" i="17"/>
  <c r="C393" i="17"/>
  <c r="Y393" i="17"/>
  <c r="O452" i="17"/>
  <c r="K452" i="17"/>
  <c r="C452" i="17"/>
  <c r="B452" i="17"/>
  <c r="Y452" i="17"/>
  <c r="AC261" i="6"/>
  <c r="B261" i="6"/>
  <c r="Y207" i="17"/>
  <c r="C207" i="17"/>
  <c r="Y229" i="17"/>
  <c r="C229" i="17"/>
  <c r="B317" i="17"/>
  <c r="T317" i="17"/>
  <c r="Y317" i="17"/>
  <c r="V369" i="17"/>
  <c r="Y369" i="17"/>
  <c r="B369" i="17"/>
  <c r="Y390" i="17"/>
  <c r="C390" i="17"/>
  <c r="U390" i="17"/>
  <c r="T390" i="17"/>
  <c r="B449" i="17"/>
  <c r="T449" i="17"/>
  <c r="Y449" i="17"/>
  <c r="I25" i="7"/>
  <c r="G26" i="7"/>
  <c r="Y119" i="17"/>
  <c r="C119" i="17"/>
  <c r="B207" i="17"/>
  <c r="V208" i="17"/>
  <c r="O208" i="17"/>
  <c r="Y208" i="17"/>
  <c r="B229" i="17"/>
  <c r="V230" i="17"/>
  <c r="C230" i="17"/>
  <c r="Y230" i="17"/>
  <c r="O241" i="17"/>
  <c r="V241" i="17"/>
  <c r="Y241" i="17"/>
  <c r="C317" i="17"/>
  <c r="U318" i="17"/>
  <c r="T318" i="17"/>
  <c r="Y318" i="17"/>
  <c r="B345" i="17"/>
  <c r="O345" i="17"/>
  <c r="Y345" i="17"/>
  <c r="V347" i="17"/>
  <c r="Y347" i="17"/>
  <c r="B347" i="17"/>
  <c r="O348" i="17"/>
  <c r="Y348" i="17"/>
  <c r="B348" i="17"/>
  <c r="P349" i="17"/>
  <c r="M349" i="17"/>
  <c r="C349" i="17"/>
  <c r="Y368" i="17"/>
  <c r="C368" i="17"/>
  <c r="U368" i="17"/>
  <c r="B368" i="17"/>
  <c r="C369" i="17"/>
  <c r="B370" i="17"/>
  <c r="Y370" i="17"/>
  <c r="P388" i="17"/>
  <c r="U388" i="17"/>
  <c r="Y388" i="17"/>
  <c r="B390" i="17"/>
  <c r="B394" i="17"/>
  <c r="Y394" i="17"/>
  <c r="B427" i="17"/>
  <c r="T427" i="17"/>
  <c r="P427" i="17"/>
  <c r="U428" i="17"/>
  <c r="O428" i="17"/>
  <c r="Y428" i="17"/>
  <c r="C449" i="17"/>
  <c r="U450" i="17"/>
  <c r="P450" i="17"/>
  <c r="C450" i="17"/>
  <c r="O450" i="17"/>
  <c r="C451" i="17"/>
  <c r="Y451" i="17"/>
  <c r="M254" i="17"/>
  <c r="M275" i="17"/>
  <c r="O298" i="17"/>
  <c r="K298" i="17"/>
  <c r="T298" i="17"/>
  <c r="M309" i="17"/>
  <c r="M350" i="17"/>
  <c r="U350" i="17"/>
  <c r="V350" i="17"/>
  <c r="O364" i="17"/>
  <c r="K364" i="17"/>
  <c r="Y364" i="17"/>
  <c r="Y396" i="17"/>
  <c r="C396" i="17"/>
  <c r="V413" i="17"/>
  <c r="T413" i="17"/>
  <c r="Y413" i="17"/>
  <c r="B257" i="6"/>
  <c r="AC257" i="6"/>
  <c r="K265" i="17"/>
  <c r="T265" i="17"/>
  <c r="Y265" i="17"/>
  <c r="Y308" i="17"/>
  <c r="C308" i="17"/>
  <c r="T308" i="17"/>
  <c r="O320" i="17"/>
  <c r="K320" i="17"/>
  <c r="C320" i="17"/>
  <c r="U340" i="17"/>
  <c r="O340" i="17"/>
  <c r="Y340" i="17"/>
  <c r="O386" i="17"/>
  <c r="K386" i="17"/>
  <c r="V386" i="17"/>
  <c r="O436" i="17"/>
  <c r="V436" i="17"/>
  <c r="Y436" i="17"/>
  <c r="O408" i="17"/>
  <c r="K408" i="17"/>
  <c r="Y408" i="17"/>
  <c r="Y434" i="17"/>
  <c r="C434" i="17"/>
  <c r="U434" i="17"/>
  <c r="B240" i="6"/>
  <c r="I17" i="7"/>
  <c r="B242" i="6"/>
  <c r="B295" i="17"/>
  <c r="T295" i="17"/>
  <c r="Y295" i="17"/>
  <c r="T443" i="17"/>
  <c r="P443" i="17"/>
  <c r="Y443" i="17"/>
  <c r="B181" i="6"/>
  <c r="AC256" i="6"/>
  <c r="C2" i="7"/>
  <c r="D3" i="7"/>
  <c r="E3" i="7"/>
  <c r="E2" i="7"/>
  <c r="D2" i="7"/>
</calcChain>
</file>

<file path=xl/comments1.xml><?xml version="1.0" encoding="utf-8"?>
<comments xmlns="http://schemas.openxmlformats.org/spreadsheetml/2006/main">
  <authors>
    <author>Frank</author>
    <author>Frank Beister</author>
  </authors>
  <commentList>
    <comment ref="D1" authorId="0" shapeId="0">
      <text>
        <r>
          <rPr>
            <b/>
            <sz val="9"/>
            <color indexed="81"/>
            <rFont val="Tahoma"/>
            <family val="2"/>
          </rPr>
          <t>Frank:</t>
        </r>
        <r>
          <rPr>
            <sz val="9"/>
            <color indexed="81"/>
            <rFont val="Tahoma"/>
            <family val="2"/>
          </rPr>
          <t xml:space="preserve">
Proprties: Zuordnung zu Elementklassen aktiv?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</rPr>
          <t>Frank:</t>
        </r>
        <r>
          <rPr>
            <sz val="9"/>
            <color indexed="81"/>
            <rFont val="Tahoma"/>
            <family val="2"/>
          </rPr>
          <t xml:space="preserve">
ArchiCAD intern / Subtype-Parameter</t>
        </r>
      </text>
    </comment>
    <comment ref="Y73" authorId="1" shapeId="0">
      <text>
        <r>
          <rPr>
            <b/>
            <sz val="9"/>
            <color indexed="81"/>
            <rFont val="Tahoma"/>
            <family val="2"/>
          </rPr>
          <t>Frank Beister:</t>
        </r>
        <r>
          <rPr>
            <sz val="9"/>
            <color indexed="81"/>
            <rFont val="Tahoma"/>
            <family val="2"/>
          </rPr>
          <t xml:space="preserve">
Wofür die Anzahl? Wichtiger ist doch die Qualität, Ausführung und Teilung</t>
        </r>
      </text>
    </comment>
    <comment ref="Y78" authorId="1" shapeId="0">
      <text>
        <r>
          <rPr>
            <b/>
            <sz val="9"/>
            <color indexed="81"/>
            <rFont val="Tahoma"/>
            <family val="2"/>
          </rPr>
          <t>Frank Beister:</t>
        </r>
        <r>
          <rPr>
            <sz val="9"/>
            <color indexed="81"/>
            <rFont val="Tahoma"/>
            <family val="2"/>
          </rPr>
          <t xml:space="preserve">
Minimal und/oder maximal? Was, wenn der Wert nicht definiert ist. Woran erkennt man das? Standardwert 90°?</t>
        </r>
      </text>
    </comment>
    <comment ref="Y82" authorId="1" shapeId="0">
      <text>
        <r>
          <rPr>
            <b/>
            <sz val="9"/>
            <color indexed="81"/>
            <rFont val="Tahoma"/>
            <family val="2"/>
          </rPr>
          <t>Frank Beister:</t>
        </r>
        <r>
          <rPr>
            <sz val="9"/>
            <color indexed="81"/>
            <rFont val="Tahoma"/>
            <family val="2"/>
          </rPr>
          <t xml:space="preserve">
Boolean oder besser Aus, 230V, Steuerung?
Oder zusätzliche Parameter für die Qualitäten?</t>
        </r>
      </text>
    </comment>
  </commentList>
</comments>
</file>

<file path=xl/comments2.xml><?xml version="1.0" encoding="utf-8"?>
<comments xmlns="http://schemas.openxmlformats.org/spreadsheetml/2006/main">
  <authors>
    <author>Frank</author>
  </authors>
  <commentList>
    <comment ref="B1" authorId="0" shapeId="0">
      <text>
        <r>
          <rPr>
            <b/>
            <sz val="9"/>
            <color indexed="81"/>
            <rFont val="Tahoma"/>
            <family val="2"/>
          </rPr>
          <t>Frank:</t>
        </r>
        <r>
          <rPr>
            <sz val="9"/>
            <color indexed="81"/>
            <rFont val="Tahoma"/>
            <family val="2"/>
          </rPr>
          <t xml:space="preserve">
ArchiCAD intern / Subtype-Parameter</t>
        </r>
      </text>
    </comment>
    <comment ref="D1" authorId="0" shapeId="0">
      <text>
        <r>
          <rPr>
            <b/>
            <sz val="9"/>
            <color indexed="81"/>
            <rFont val="Tahoma"/>
            <family val="2"/>
          </rPr>
          <t>Frank:</t>
        </r>
        <r>
          <rPr>
            <sz val="9"/>
            <color indexed="81"/>
            <rFont val="Tahoma"/>
            <family val="2"/>
          </rPr>
          <t xml:space="preserve">
Proprties: Zuordnung zu Elementklassen aktiv?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</rPr>
          <t>Frank:</t>
        </r>
        <r>
          <rPr>
            <sz val="9"/>
            <color indexed="81"/>
            <rFont val="Tahoma"/>
            <family val="2"/>
          </rPr>
          <t xml:space="preserve">
ArchiCAD intern / Subtype-Parameter</t>
        </r>
      </text>
    </comment>
  </commentList>
</comments>
</file>

<file path=xl/sharedStrings.xml><?xml version="1.0" encoding="utf-8"?>
<sst xmlns="http://schemas.openxmlformats.org/spreadsheetml/2006/main" count="9545" uniqueCount="2289">
  <si>
    <t>Object name:</t>
  </si>
  <si>
    <t>Status:</t>
  </si>
  <si>
    <t>Date:</t>
  </si>
  <si>
    <t>GDL Version:</t>
  </si>
  <si>
    <t>Parameters:</t>
  </si>
  <si>
    <t>insert rows for more</t>
  </si>
  <si>
    <t>insert columns for more</t>
  </si>
  <si>
    <t>Value lists:</t>
  </si>
  <si>
    <t>Value array:</t>
  </si>
  <si>
    <t>x</t>
  </si>
  <si>
    <t>INTERNAL</t>
  </si>
  <si>
    <t>TYPE / CLASS</t>
  </si>
  <si>
    <t>PRIORITY</t>
  </si>
  <si>
    <t>VALUES</t>
  </si>
  <si>
    <t>FRAC DIGIT</t>
  </si>
  <si>
    <t>XML-NODE:</t>
  </si>
  <si>
    <t>Class-ID</t>
  </si>
  <si>
    <t>AVAILABILITY</t>
  </si>
  <si>
    <t>String</t>
  </si>
  <si>
    <t>S</t>
  </si>
  <si>
    <t>B0485A4F-F7A8-4798-A06A-8EFA6EC97E59</t>
  </si>
  <si>
    <t>info</t>
  </si>
  <si>
    <t>ValueDescriptor</t>
  </si>
  <si>
    <t>512896AD-F784-49FB-B45E-B741E45CCC7A</t>
  </si>
  <si>
    <t>Length</t>
  </si>
  <si>
    <t>Numeric</t>
  </si>
  <si>
    <t>BEA7C323-ACFB-4DE4-83FA-22F8439FB713</t>
  </si>
  <si>
    <t>model</t>
  </si>
  <si>
    <t>empty</t>
  </si>
  <si>
    <t>C</t>
  </si>
  <si>
    <t>CE925ECE-7090-4F83-B45D-C4D9349C9667</t>
  </si>
  <si>
    <t>Angle</t>
  </si>
  <si>
    <t>logic</t>
  </si>
  <si>
    <t>{array}</t>
  </si>
  <si>
    <t>O</t>
  </si>
  <si>
    <t>87FECB96-0931-4CA1-A911-AC6BA507502A</t>
  </si>
  <si>
    <t>RealNum</t>
  </si>
  <si>
    <t>E0BF337E-40C2-43C4-86E5-FB8F2186D7F1</t>
  </si>
  <si>
    <t>internal</t>
  </si>
  <si>
    <t>Variant</t>
  </si>
  <si>
    <t>see left, depending of type</t>
  </si>
  <si>
    <t>ColorRGB</t>
  </si>
  <si>
    <t>Availability</t>
  </si>
  <si>
    <t>52132DF7-B99F-4187-A93D-EA1B568D1A80</t>
  </si>
  <si>
    <t>Integer</t>
  </si>
  <si>
    <t>AvailabilityItem</t>
  </si>
  <si>
    <t>CFF457CF-0CE6-482F-8737-1580DC58D1C7</t>
  </si>
  <si>
    <t>Boolean</t>
  </si>
  <si>
    <t>B</t>
  </si>
  <si>
    <t>A2CE25B9-2C60-4852-8AC0-62FEFE90D34F</t>
  </si>
  <si>
    <t>Material</t>
  </si>
  <si>
    <t>LineType</t>
  </si>
  <si>
    <t>FillPattern</t>
  </si>
  <si>
    <t>PenColor</t>
  </si>
  <si>
    <t>LightSwitch</t>
  </si>
  <si>
    <t>Intensity</t>
  </si>
  <si>
    <t>Separator</t>
  </si>
  <si>
    <t>Title</t>
  </si>
  <si>
    <t>Optionset</t>
  </si>
  <si>
    <t>7F8BA35B-ED11-4752-AFF1-D4BCF0A0317D</t>
  </si>
  <si>
    <t>Itemlist</t>
  </si>
  <si>
    <t>I</t>
  </si>
  <si>
    <t>634B037F-50D5-4C67-8B4B-B06979BE3B09</t>
  </si>
  <si>
    <t>Checkbox</t>
  </si>
  <si>
    <t>addit. Values</t>
  </si>
  <si>
    <t>#</t>
  </si>
  <si>
    <t>available</t>
  </si>
  <si>
    <t>multipleSelect</t>
  </si>
  <si>
    <t>fix</t>
  </si>
  <si>
    <t>hidden</t>
  </si>
  <si>
    <t>bold</t>
  </si>
  <si>
    <t>child</t>
  </si>
  <si>
    <t>unique</t>
  </si>
  <si>
    <t>VARIABLE / PARAMETER</t>
  </si>
  <si>
    <t>DEFAULT VALUE</t>
  </si>
  <si>
    <t>UNIT</t>
  </si>
  <si>
    <t>custom values</t>
  </si>
  <si>
    <t>SOURCE</t>
  </si>
  <si>
    <t>ANNOTATION / LONG DESCRIPTION</t>
  </si>
  <si>
    <t>DEFAULT
ARRAY
LINE</t>
  </si>
  <si>
    <t>VALUE
ARRAY
LINE</t>
  </si>
  <si>
    <t>CLASS</t>
  </si>
  <si>
    <t>VALUE TYPE / CLASS</t>
  </si>
  <si>
    <t>Class</t>
  </si>
  <si>
    <t>G</t>
  </si>
  <si>
    <t>P</t>
  </si>
  <si>
    <t>A</t>
  </si>
  <si>
    <t>PARAMETER</t>
  </si>
  <si>
    <t>&lt; COPY FORMULAS TO NEW COLUMNS</t>
  </si>
  <si>
    <t>&lt; NO EMPTY FIELDS BETWEEN VALUES</t>
  </si>
  <si>
    <t>ZZYZX</t>
  </si>
  <si>
    <t>{empty}</t>
  </si>
  <si>
    <t>Nominalbreite</t>
  </si>
  <si>
    <t>Nominalhöhe</t>
  </si>
  <si>
    <t>Z-Achse</t>
  </si>
  <si>
    <t>Brandschutz</t>
  </si>
  <si>
    <t>Produkt</t>
  </si>
  <si>
    <t>Version:</t>
  </si>
  <si>
    <t>Freitext</t>
  </si>
  <si>
    <t>Ganzzahl</t>
  </si>
  <si>
    <t>Diskret</t>
  </si>
  <si>
    <t>Jeder</t>
  </si>
  <si>
    <t>FM</t>
  </si>
  <si>
    <t>BS</t>
  </si>
  <si>
    <t>GS</t>
  </si>
  <si>
    <t>Planer</t>
  </si>
  <si>
    <t>STAKEHOLDER</t>
  </si>
  <si>
    <t>ABMESSUNGEN - ÖFFNUNG</t>
  </si>
  <si>
    <t>IFC</t>
  </si>
  <si>
    <t>READ</t>
  </si>
  <si>
    <t>WRITE</t>
  </si>
  <si>
    <t>R/W</t>
  </si>
  <si>
    <t>all</t>
  </si>
  <si>
    <t>FPE</t>
  </si>
  <si>
    <t>Planner</t>
  </si>
  <si>
    <t>Manuf.</t>
  </si>
  <si>
    <t>[-]</t>
  </si>
  <si>
    <t>Ja/Nein</t>
  </si>
  <si>
    <t>Fließkomma</t>
  </si>
  <si>
    <t>[m]</t>
  </si>
  <si>
    <t>[cm]</t>
  </si>
  <si>
    <t>[°]</t>
  </si>
  <si>
    <t xml:space="preserve"> </t>
  </si>
  <si>
    <t>[mm]</t>
  </si>
  <si>
    <t>mm</t>
  </si>
  <si>
    <t>IMPORT TRANSLATION</t>
  </si>
  <si>
    <t>°</t>
  </si>
  <si>
    <t>m</t>
  </si>
  <si>
    <t>cm</t>
  </si>
  <si>
    <t>Winkel</t>
  </si>
  <si>
    <t>Länge</t>
  </si>
  <si>
    <t>makeGUID</t>
  </si>
  <si>
    <t>SHORT DESCRIPTION (NAME)</t>
  </si>
  <si>
    <t>ALTERNATIVE
PARAMETER
NAME (e.g. IFC/Building Smart)</t>
  </si>
  <si>
    <t>undefiniert</t>
  </si>
  <si>
    <t>VALUE LIST</t>
  </si>
  <si>
    <t>UIpicIdxArray</t>
  </si>
  <si>
    <t>UItextArray</t>
  </si>
  <si>
    <t>UIvaluesArray</t>
  </si>
  <si>
    <t>AVVariableNames UI</t>
  </si>
  <si>
    <t>VALIDATE</t>
  </si>
  <si>
    <t>ECD_Properties.XML</t>
  </si>
  <si>
    <t>ARRAYs</t>
  </si>
  <si>
    <t>Breite</t>
  </si>
  <si>
    <t>Index prefix</t>
  </si>
  <si>
    <t>PREVIEW:</t>
  </si>
  <si>
    <t>SORT_IMPORT col</t>
  </si>
  <si>
    <t>SORT_IMPORT  row</t>
  </si>
  <si>
    <t>&lt; INSERT COLUMNS LEFT "INSIDE"</t>
  </si>
  <si>
    <t>GUID (1st part)</t>
  </si>
  <si>
    <t>DEFAULTS</t>
  </si>
  <si>
    <r>
      <t xml:space="preserve">Indexname
</t>
    </r>
    <r>
      <rPr>
        <sz val="11"/>
        <rFont val="Arial"/>
        <family val="2"/>
      </rPr>
      <t>-
Parameternamen</t>
    </r>
  </si>
  <si>
    <t>90_Parameters.xml</t>
  </si>
  <si>
    <t>Filename</t>
  </si>
  <si>
    <t>Content</t>
  </si>
  <si>
    <r>
      <t xml:space="preserve">Define significant </t>
    </r>
    <r>
      <rPr>
        <b/>
        <sz val="11"/>
        <color indexed="8"/>
        <rFont val="Arial"/>
        <family val="2"/>
      </rPr>
      <t>IndexNameVariables</t>
    </r>
    <r>
      <rPr>
        <sz val="11"/>
        <color indexed="8"/>
        <rFont val="Arial"/>
        <family val="2"/>
      </rPr>
      <t xml:space="preserve"> of Array parameters</t>
    </r>
  </si>
  <si>
    <r>
      <rPr>
        <b/>
        <sz val="11"/>
        <color indexed="8"/>
        <rFont val="Arial"/>
        <family val="2"/>
      </rPr>
      <t>SUBs</t>
    </r>
    <r>
      <rPr>
        <sz val="11"/>
        <color indexed="8"/>
        <rFont val="Arial"/>
        <family val="2"/>
      </rPr>
      <t xml:space="preserve"> to define Values-Arrays for User Interface Script</t>
    </r>
  </si>
  <si>
    <r>
      <rPr>
        <b/>
        <sz val="11"/>
        <color indexed="8"/>
        <rFont val="Arial"/>
        <family val="2"/>
      </rPr>
      <t>VALUES</t>
    </r>
    <r>
      <rPr>
        <sz val="11"/>
        <color indexed="8"/>
        <rFont val="Arial"/>
        <family val="2"/>
      </rPr>
      <t xml:space="preserve"> commands for Parameter Script</t>
    </r>
  </si>
  <si>
    <t>Action</t>
  </si>
  <si>
    <t>Source.Code:</t>
  </si>
  <si>
    <t>This sheet is used for automatic import and export. Handle with care to prevent data loss.</t>
  </si>
  <si>
    <t>ATTENTION!</t>
  </si>
  <si>
    <r>
      <t xml:space="preserve">Read bitmap schedule and merge to </t>
    </r>
    <r>
      <rPr>
        <b/>
        <sz val="11"/>
        <color indexed="8"/>
        <rFont val="Arial"/>
        <family val="2"/>
      </rPr>
      <t>bitmaps XML</t>
    </r>
    <r>
      <rPr>
        <sz val="11"/>
        <color indexed="8"/>
        <rFont val="Arial"/>
        <family val="2"/>
      </rPr>
      <t xml:space="preserve"> part.</t>
    </r>
  </si>
  <si>
    <t>list of bitmaps.xlsx</t>
  </si>
  <si>
    <t>95_Pictures.xml</t>
  </si>
  <si>
    <t>[work in progress, not for productive use]</t>
  </si>
  <si>
    <t>42_Parameter-Script.gdl</t>
  </si>
  <si>
    <t>12_Master-Script.gdl</t>
  </si>
  <si>
    <t>14_Master-Script.gdl</t>
  </si>
  <si>
    <t>Variable name</t>
  </si>
  <si>
    <t>Index</t>
  </si>
  <si>
    <t>Deutsch</t>
  </si>
  <si>
    <t>Parameter Script - VALUES</t>
  </si>
  <si>
    <t>User Interface - UI_xxxFIELD text</t>
  </si>
  <si>
    <t>User Interface - Tooltip text</t>
  </si>
  <si>
    <t>Multilingual Text divisions</t>
  </si>
  <si>
    <t>Sprachparameter</t>
  </si>
  <si>
    <t>language</t>
  </si>
  <si>
    <t>Common Text</t>
  </si>
  <si>
    <t>AC_show2DHotspotsIn3D</t>
  </si>
  <si>
    <t>ac_bottomlevel</t>
  </si>
  <si>
    <t>ac_toplevel</t>
  </si>
  <si>
    <t>Standard</t>
  </si>
  <si>
    <t>ZEILE:
Offset / beginning</t>
  </si>
  <si>
    <t>xxx</t>
  </si>
  <si>
    <t>BuildingMat</t>
  </si>
  <si>
    <t>Profile</t>
  </si>
  <si>
    <t>52_User-interface-Script.gdl</t>
  </si>
  <si>
    <t>54_User-Interface-Script.txt</t>
  </si>
  <si>
    <t>Höhe</t>
  </si>
  <si>
    <t>Gruppe</t>
  </si>
  <si>
    <t>Name</t>
  </si>
  <si>
    <t>Tiefe</t>
  </si>
  <si>
    <t>dki_</t>
  </si>
  <si>
    <t>VERWALTUNGSPARAMETER</t>
  </si>
  <si>
    <t>gs_2D_representation</t>
  </si>
  <si>
    <t>2D-Darstellung</t>
  </si>
  <si>
    <t>dk_fill_settings</t>
  </si>
  <si>
    <t>Schraffuren</t>
  </si>
  <si>
    <t>dk_fills</t>
  </si>
  <si>
    <t>Array für Schraffuren</t>
  </si>
  <si>
    <t>DK</t>
  </si>
  <si>
    <t>gs_pen_settings</t>
  </si>
  <si>
    <t>Stifte</t>
  </si>
  <si>
    <t>dk_cont_pens</t>
  </si>
  <si>
    <t>Array für Konturstifte</t>
  </si>
  <si>
    <t>dk_fill_pens</t>
  </si>
  <si>
    <t>Array für Schraffurstifte</t>
  </si>
  <si>
    <t>dk_bkg_pens</t>
  </si>
  <si>
    <t>Array für Schraffurhintergrundstifte</t>
  </si>
  <si>
    <t>gs_door_material</t>
  </si>
  <si>
    <t>Oberflächenmaterialien allgemein</t>
  </si>
  <si>
    <t>dk_materials</t>
  </si>
  <si>
    <t>Array für Oberflächenmaterialien</t>
  </si>
  <si>
    <t>VERFAHRENSBEDINGTE + INTERNE PARAMETER</t>
  </si>
  <si>
    <t>dk_bim</t>
  </si>
  <si>
    <t>BIM + Struktur</t>
  </si>
  <si>
    <t>dk_LOI</t>
  </si>
  <si>
    <t>Level of Input</t>
  </si>
  <si>
    <t>dk_LOD</t>
  </si>
  <si>
    <t>Level of Detail</t>
  </si>
  <si>
    <t>allgemein</t>
  </si>
  <si>
    <t>ac_library</t>
  </si>
  <si>
    <t>User Interface + Editing</t>
  </si>
  <si>
    <t>LibraryLangCode</t>
  </si>
  <si>
    <t>Sprachversion der Bibliothek</t>
  </si>
  <si>
    <t>GER</t>
  </si>
  <si>
    <t>dk_dlg_subset</t>
  </si>
  <si>
    <t>Dialogseiten-Gruppe</t>
  </si>
  <si>
    <t>gs_ui_current_page</t>
  </si>
  <si>
    <t>Aktuelle UI-Seite</t>
  </si>
  <si>
    <t>gs_ui_sub_tabpage</t>
  </si>
  <si>
    <t>UI-Unterseite</t>
  </si>
  <si>
    <t>gs_ui_sub_tabpage_closure</t>
  </si>
  <si>
    <t>gs_RevealTypeEnable</t>
  </si>
  <si>
    <t>---</t>
  </si>
  <si>
    <t>gs_subHandle</t>
  </si>
  <si>
    <t>gs_GLOB_MODPAR_NAME</t>
  </si>
  <si>
    <t>Zuletzt geänderter Parameter</t>
  </si>
  <si>
    <t>iUIPictIndex</t>
  </si>
  <si>
    <t>Index auf UI-Bitmaps</t>
  </si>
  <si>
    <t>gs_full_edit</t>
  </si>
  <si>
    <t>Bearbeitbare Fixpunkte</t>
  </si>
  <si>
    <t>develop</t>
  </si>
  <si>
    <t>Entwicklungsmodus</t>
  </si>
  <si>
    <t>Typ</t>
  </si>
  <si>
    <t>TÜR - ANFORDERUNGEN</t>
  </si>
  <si>
    <t>bs_requirement_basic</t>
  </si>
  <si>
    <t>Grundanforderungen an die Tür</t>
  </si>
  <si>
    <t>bs_demand_FireResistance</t>
  </si>
  <si>
    <t>Brandschutzanforderung</t>
  </si>
  <si>
    <t>LoI 0</t>
  </si>
  <si>
    <t>bs_demand_SmokeResistance</t>
  </si>
  <si>
    <t>Rauchschutzanforderung</t>
  </si>
  <si>
    <t>bs_demand_NoiseInsulaion</t>
  </si>
  <si>
    <t>Schallschutzanforderung</t>
  </si>
  <si>
    <t>bs_demand_Accessibility</t>
  </si>
  <si>
    <t>Anforderungen Barrierefreiheit</t>
  </si>
  <si>
    <t>Anforderung Barrierefreiheit</t>
  </si>
  <si>
    <t>bs_demand_AdmissionControl</t>
  </si>
  <si>
    <t>Anforderung Zugangskontrolle</t>
  </si>
  <si>
    <t>bs_demand_MoistureProofing</t>
  </si>
  <si>
    <t>Klimatische Anforderungen</t>
  </si>
  <si>
    <t>Feuchteschutzanforderung</t>
  </si>
  <si>
    <t>bs_demand_EscapeRoute</t>
  </si>
  <si>
    <t>Fluchtweg- und Rettungsweganforderung</t>
  </si>
  <si>
    <t>Fluchtweganforderung</t>
  </si>
  <si>
    <t>bs_requirement_protection</t>
  </si>
  <si>
    <t>Schutzanforderungen</t>
  </si>
  <si>
    <t>bs_quality_FireResistanceRating</t>
  </si>
  <si>
    <t/>
  </si>
  <si>
    <t>FM, Brandschutz</t>
  </si>
  <si>
    <t>Anforderungen hinsichtlich Brandschutz</t>
  </si>
  <si>
    <t>bs_quality_SmokeResistance</t>
  </si>
  <si>
    <t>Rauchschutz</t>
  </si>
  <si>
    <t>Anforderungen hinsichtlich Rauchschutz</t>
  </si>
  <si>
    <t>bs_quality_NoiseInsulaion</t>
  </si>
  <si>
    <t>Schallschutz</t>
  </si>
  <si>
    <t>Anforderungen hinsichtlich Schallschutz</t>
  </si>
  <si>
    <t>bs_quality_ThermalInsulaion</t>
  </si>
  <si>
    <t>max. Wärmedurchgangskoeffizient</t>
  </si>
  <si>
    <t>Wärmeschutz</t>
  </si>
  <si>
    <t>Anforderungen hinsichtlich Wärmeschutz</t>
  </si>
  <si>
    <t>bs_quality_BurglaryProtection</t>
  </si>
  <si>
    <t>Einbruchschutz</t>
  </si>
  <si>
    <t>Anforderungen hinsichtlich Einbruchschutz</t>
  </si>
  <si>
    <t>bs_quality_StrafingProtection</t>
  </si>
  <si>
    <t>Beschußsicherheit</t>
  </si>
  <si>
    <t>Anforderungen hinsichtlich Beschußsicherheit</t>
  </si>
  <si>
    <t>bs_quality_DetonationProtection</t>
  </si>
  <si>
    <t>Sprengwirkungsschutz</t>
  </si>
  <si>
    <t>Anforderungen hinsichtlich Sprengwirkungsschutz</t>
  </si>
  <si>
    <t>bs_quality_RadiationProtection</t>
  </si>
  <si>
    <t>Strahlenschutz</t>
  </si>
  <si>
    <t>Anforderungen hinsichtlich Strahlenschutz</t>
  </si>
  <si>
    <t>bs_quality_LaserProtection</t>
  </si>
  <si>
    <t>Laserschutz</t>
  </si>
  <si>
    <t>Anforderungen hinsichtlich Laserschutz</t>
  </si>
  <si>
    <t>bs_quality_FloodProtection</t>
  </si>
  <si>
    <t>Hochwasserschutz</t>
  </si>
  <si>
    <t>Anforderungen hinsichtlich Hochwasserschutz</t>
  </si>
  <si>
    <t>bs_quality_VandalismProtection</t>
  </si>
  <si>
    <t>Vandalismus</t>
  </si>
  <si>
    <t>Anforderungen hinsichtlich Vandalismus</t>
  </si>
  <si>
    <t>bs_quality_GasDefense</t>
  </si>
  <si>
    <t>Gasschutz</t>
  </si>
  <si>
    <t>Dichtigkeit</t>
  </si>
  <si>
    <t>Anforderungen hinsichtlich Dichtigkeit</t>
  </si>
  <si>
    <t>bs_requirement_functional</t>
  </si>
  <si>
    <t>Funktionale Anforderungen</t>
  </si>
  <si>
    <t>bs_quality_EscapeRoute</t>
  </si>
  <si>
    <t>Flucht- und Rettungsweg</t>
  </si>
  <si>
    <t>Flucht-Rettungsweg</t>
  </si>
  <si>
    <t>Anforderungen hinsichtlich eines Einsatzen in Flucht- und Rettungswegen</t>
  </si>
  <si>
    <t>bs_quality_UsableClearance</t>
  </si>
  <si>
    <t>Mindestdurchgangsbreite</t>
  </si>
  <si>
    <t>bs_quality_UsableHeight</t>
  </si>
  <si>
    <t>Mindestdurchgangshöhe</t>
  </si>
  <si>
    <t>bs_quality_OpeningAngle</t>
  </si>
  <si>
    <t>Mindestöffnungswinkel</t>
  </si>
  <si>
    <t>bs_quality_GuardrailHeight</t>
  </si>
  <si>
    <t>Absturzsicherung</t>
  </si>
  <si>
    <t>Anforderungen hinsichtlich einer Sicherung gegen Absturz</t>
  </si>
  <si>
    <t>bs_quality_SHE</t>
  </si>
  <si>
    <t>RWA-Zuluft</t>
  </si>
  <si>
    <t>Anforderungen hinsichtlich RWA-Zuluft</t>
  </si>
  <si>
    <t>bs_quality_SelfClosing</t>
  </si>
  <si>
    <t>Selbstschließend</t>
  </si>
  <si>
    <t>Angabe, ob die Tür selbstständig schließend ausgeführt werden muss</t>
  </si>
  <si>
    <t>bs_quality_Automation</t>
  </si>
  <si>
    <t>Automatisiert</t>
  </si>
  <si>
    <t>Angabe, ob die Tür mit einem automatik Antrieb ausgestattet werden muss</t>
  </si>
  <si>
    <t>bs_quality_AntiTrapProtection</t>
  </si>
  <si>
    <t>Klemmschutz</t>
  </si>
  <si>
    <t>Angabe, ob ein Klemmschutz an der Tür vorhanden sein muss</t>
  </si>
  <si>
    <t>bs_quality_ClimateClass</t>
  </si>
  <si>
    <t>Klimaklasse</t>
  </si>
  <si>
    <t>Anforderungen hinsichtlich Klimaklasse</t>
  </si>
  <si>
    <t>bs_quality_WetRoom</t>
  </si>
  <si>
    <t>Nassraum</t>
  </si>
  <si>
    <t>Anforderungen hinsichtlich eines Einsatzes im Nassraum</t>
  </si>
  <si>
    <t>bs_quality_DampArea</t>
  </si>
  <si>
    <t>Feuchtraum</t>
  </si>
  <si>
    <t>Anforderungen hinsichtlich eines Einsatzes im Feuchtraum</t>
  </si>
  <si>
    <t>bs_quality_Tightness</t>
  </si>
  <si>
    <t>bs_quality_Hygiene</t>
  </si>
  <si>
    <t>Hygiene</t>
  </si>
  <si>
    <t>Anforderungen hinsichtlich Hygiene</t>
  </si>
  <si>
    <t>bs_quality_Sustainability</t>
  </si>
  <si>
    <t>Nachhaltigkeit</t>
  </si>
  <si>
    <t>Anforderungen hinsichtlich der Nachhaltigkeit nach LEED, DGNB etc.</t>
  </si>
  <si>
    <t>bs_quality_ExplosionSafety</t>
  </si>
  <si>
    <t>Explosionsschutz</t>
  </si>
  <si>
    <t>Anforderungen hinsichtlich Explosionsschutz</t>
  </si>
  <si>
    <t>bs_quality_MechanicalLoad</t>
  </si>
  <si>
    <t>Mechanische Beanspruchung</t>
  </si>
  <si>
    <t>Anforderungen hinsichtlich mechanischer Beanspruchung</t>
  </si>
  <si>
    <t>bs_quality_CorrosionPrevention</t>
  </si>
  <si>
    <t>Korrosionschutz</t>
  </si>
  <si>
    <t>Anforderungen hinsichtlich Korrosionsschutz</t>
  </si>
  <si>
    <t>bs_quality_UsefulLife</t>
  </si>
  <si>
    <t>Nutzungsdauer</t>
  </si>
  <si>
    <t>Anforderungen hinsichtlich Dauerbeständigkeit. Z.B. Angabe der geforderten minimalen Anzahl von Lastzyklen</t>
  </si>
  <si>
    <t>bs_quality_IntensityOfUse</t>
  </si>
  <si>
    <t>Nutzungsintensität</t>
  </si>
  <si>
    <t>bs_quality_EMShielding</t>
  </si>
  <si>
    <t>Elektromagnetische Abschirmung</t>
  </si>
  <si>
    <t>Anforderungen hinsichtlich elektromagnetischer Abschirmung</t>
  </si>
  <si>
    <t>bs_quality_Occupancy</t>
  </si>
  <si>
    <t>Nutzungstyp</t>
  </si>
  <si>
    <t>Art der typischen Nutzung. Angabe des Verwendungsgebietes wie beispielsweise Schule, Kindergarten, Hospital, Verwaltung</t>
  </si>
  <si>
    <t>bs_quality_BurglaryAlarmSystem</t>
  </si>
  <si>
    <t>Einbruchmeldeanlage</t>
  </si>
  <si>
    <t>VDS-Klasse</t>
  </si>
  <si>
    <t xml:space="preserve">Geforderte VDS-Klasse Einbruchmeldeanlagen </t>
  </si>
  <si>
    <t>bs_quality_AccidentPrevention</t>
  </si>
  <si>
    <t>Unfallverhütung</t>
  </si>
  <si>
    <t>Anforderungen hinsichtlich Unfallverhütung nach DGUV</t>
  </si>
  <si>
    <t>bs_quality_Accessibility</t>
  </si>
  <si>
    <t>Barrierefreiheit</t>
  </si>
  <si>
    <t>Anforderungen hinsichtlich Barrierefreiheit</t>
  </si>
  <si>
    <t>bs_quality_ActuatingForce</t>
  </si>
  <si>
    <t>Bedienkraft</t>
  </si>
  <si>
    <t>Angabe zur geforderte bzw. ausgeführten Bedienkraft der Tür</t>
  </si>
  <si>
    <t>bs_access_control</t>
  </si>
  <si>
    <t>Anforderungen Zutrittskontrolle</t>
  </si>
  <si>
    <t>bs_ac_identify1</t>
  </si>
  <si>
    <t>Zugang von der  BS</t>
  </si>
  <si>
    <t>Jeder (J); Identifikation (ID); zeitweise Identifikation (ZID)</t>
  </si>
  <si>
    <t>bs_ac_identify2</t>
  </si>
  <si>
    <t>Zugang von der BGS</t>
  </si>
  <si>
    <t>bs_ac_opening1</t>
  </si>
  <si>
    <t>Öffnen von der BS</t>
  </si>
  <si>
    <t>manuell (MÖ); unterstützt (UÖ); automatisch (AÖ)</t>
  </si>
  <si>
    <t>bs_ac_opening2</t>
  </si>
  <si>
    <t>Öffnen von der BGS</t>
  </si>
  <si>
    <t>bs_ac_closing</t>
  </si>
  <si>
    <t>Schließverhalten</t>
  </si>
  <si>
    <t>manuell schließen (MS); permanent selbstschließend (PS); gesteuert selbsschließend (GS)</t>
  </si>
  <si>
    <t>bs_ac_status</t>
  </si>
  <si>
    <t>Flügelposition im Betrieb</t>
  </si>
  <si>
    <t>geschlossen (G); zeitweise offen (ZO); im Betrieb offen (IBO)</t>
  </si>
  <si>
    <t>bs_ac_control</t>
  </si>
  <si>
    <t>Überwachung Türzustand</t>
  </si>
  <si>
    <t>Türflügelposition; Verriegelung, Drückerbetätigung, Schlüsselbetätigung; Fernentriegelung; Türoffenzeit; Notöffnung; Durchbruch; Aufbruch; Sabotage</t>
  </si>
  <si>
    <t>TÜR - TYPDEFINITION</t>
  </si>
  <si>
    <t>dk_basic_features</t>
  </si>
  <si>
    <t>Grundeigenschaften</t>
  </si>
  <si>
    <t>bs_door_OpeningType</t>
  </si>
  <si>
    <t>Türtyp / Öffnungsart</t>
  </si>
  <si>
    <t>Drehflügel</t>
  </si>
  <si>
    <t>Öffnungsart</t>
  </si>
  <si>
    <t>Angabe, wie das Türblatt bewegt wird. Beschreibt die Hauptcharakteristik der Tür</t>
  </si>
  <si>
    <t>bs_door_ConstructionType</t>
  </si>
  <si>
    <t>Konstruktionstyp</t>
  </si>
  <si>
    <t>Türtyp</t>
  </si>
  <si>
    <t>Holzkonstruktion, Rohrrahmentür, Stahlblechtür</t>
  </si>
  <si>
    <t>gs_list_doortype</t>
  </si>
  <si>
    <t>Türart</t>
  </si>
  <si>
    <t>gs_mountingFrame</t>
  </si>
  <si>
    <t>Einbaurahmen</t>
  </si>
  <si>
    <t>bs_door_leafs</t>
  </si>
  <si>
    <t>Anzahl der Türblätter</t>
  </si>
  <si>
    <t>Flügelanzahl</t>
  </si>
  <si>
    <t>Anzahl der Türflügel bzw. beweglichen Elemente</t>
  </si>
  <si>
    <t>Durchgangsbreite nutzbar</t>
  </si>
  <si>
    <t>Die nutzbare Öffnungsweite der Tür. Entspricht der Lichten Türbreite abzüglich vorstehender Anbauteile wie Griffe, Drücker etc.</t>
  </si>
  <si>
    <t>Durchgangshöhe nutzbar</t>
  </si>
  <si>
    <t>Die nutzbare Öffnungshöhe der Tür. Entspricht der Lichten Türhöhe abzüglich vorstehender Anbauteile wie Griffe, Drücker etc.</t>
  </si>
  <si>
    <t>gs_kamp</t>
  </si>
  <si>
    <t>Oberlicht / Kämpfer / Riegel</t>
  </si>
  <si>
    <t>Oberlicht</t>
  </si>
  <si>
    <t>Oberlicht Anzahl</t>
  </si>
  <si>
    <r>
      <rPr>
        <strike/>
        <sz val="11"/>
        <color theme="0" tint="-0.34998626667073579"/>
        <rFont val="Arial"/>
        <family val="2"/>
      </rPr>
      <t>Gesamtanzahl der Oberlichter</t>
    </r>
    <r>
      <rPr>
        <strike/>
        <sz val="11"/>
        <color rgb="FFFF0000"/>
        <rFont val="Arial"/>
        <family val="2"/>
      </rPr>
      <t xml:space="preserve"> ??? Überflüssig?</t>
    </r>
  </si>
  <si>
    <t>bs_door_sidelight</t>
  </si>
  <si>
    <t>Seitenfelder</t>
  </si>
  <si>
    <t>keine</t>
  </si>
  <si>
    <t>gs_sidelight_left</t>
  </si>
  <si>
    <t>Linkes Seitenfeld</t>
  </si>
  <si>
    <t>Seitenteil links</t>
  </si>
  <si>
    <t>gs_sidelight_right</t>
  </si>
  <si>
    <t>Rechtes Seitenfeld</t>
  </si>
  <si>
    <t>Seitenteil rechts</t>
  </si>
  <si>
    <t>Seitenteile Anzahl</t>
  </si>
  <si>
    <t>Gesamtanzahl der Seitenteile ??? Überflüssig?</t>
  </si>
  <si>
    <t>Öffnungswinkel min / max</t>
  </si>
  <si>
    <t>Der minimale Öffnungswinkel des Türblattes. Kann bei Schiebetüren entfallen. ???</t>
  </si>
  <si>
    <t>Aufschlagrichtung</t>
  </si>
  <si>
    <t>Angabe, in welchen Raum sich die Tür öffnet. ??? redundant? Mögliche Angabe z.B. in Raum 5, Flur, Aussen, Innen.</t>
  </si>
  <si>
    <t>gs_list_orientationDef_m</t>
  </si>
  <si>
    <t>Türausrichtungsdefinition</t>
  </si>
  <si>
    <t>ac_OpeningSide</t>
  </si>
  <si>
    <t>Türausrichtung in Wandebene</t>
  </si>
  <si>
    <t>R</t>
  </si>
  <si>
    <t>Anschlagsseite</t>
  </si>
  <si>
    <t>Bezeichnung der deutschen DIN-Konformen Anschlagseite DIN-Rechts oder DIN-Links</t>
  </si>
  <si>
    <t>bs_door_electrified</t>
  </si>
  <si>
    <t>Elektrische Zuleitungen</t>
  </si>
  <si>
    <t>Elektroausstattung</t>
  </si>
  <si>
    <r>
      <t xml:space="preserve">Angabe, ob an der Tür elektronische Bauteile verwendet werden </t>
    </r>
    <r>
      <rPr>
        <sz val="11"/>
        <color rgb="FFFF0000"/>
        <rFont val="Arial"/>
        <family val="2"/>
      </rPr>
      <t>???</t>
    </r>
  </si>
  <si>
    <t>bThreshold</t>
  </si>
  <si>
    <t>Schwelle</t>
  </si>
  <si>
    <t>gs_sill_outside</t>
  </si>
  <si>
    <t>Fensterbank außen</t>
  </si>
  <si>
    <t>generic</t>
  </si>
  <si>
    <t>gs_door_sizes</t>
  </si>
  <si>
    <t>Abmessungen Tür</t>
  </si>
  <si>
    <t>gs_tolerance_left</t>
  </si>
  <si>
    <t>Einbautoleranz links</t>
  </si>
  <si>
    <t>Montagefüge zu Baukörper links</t>
  </si>
  <si>
    <t>gs_tolerance_right</t>
  </si>
  <si>
    <t>Einbautoleranz rechts</t>
  </si>
  <si>
    <t>Montagefüge zu Baukörper rechts</t>
  </si>
  <si>
    <t>gs_tolerance_upper</t>
  </si>
  <si>
    <t>Einbautoleranz oben</t>
  </si>
  <si>
    <t>Montagefüge zu Baukörper oben</t>
  </si>
  <si>
    <t>gs_tolerance_lower</t>
  </si>
  <si>
    <t>Einbautoleranz unten</t>
  </si>
  <si>
    <t>Montagefüge zu Baukörper unten</t>
  </si>
  <si>
    <t>Fugenbreite</t>
  </si>
  <si>
    <t>Montagefuge zwischen Zarge und Baukörper</t>
  </si>
  <si>
    <t>gs_baurichtmass_outer_left</t>
  </si>
  <si>
    <t>Toleranz außen links</t>
  </si>
  <si>
    <t>gs_baurichtmass_inner_left</t>
  </si>
  <si>
    <t>Toleranz innen links</t>
  </si>
  <si>
    <t>gs_baurichtmass_outer_right</t>
  </si>
  <si>
    <t>Toleranz außen rechts</t>
  </si>
  <si>
    <t>gs_baurichtmass_inner_right</t>
  </si>
  <si>
    <t>Toleranz innen rechts</t>
  </si>
  <si>
    <t>gs_baurichtmass_outer_upper</t>
  </si>
  <si>
    <t>Toleranz außen oben</t>
  </si>
  <si>
    <t>gs_baurichtmass_inner_upper</t>
  </si>
  <si>
    <t>Toleranz innen oben</t>
  </si>
  <si>
    <t>gs_baurichtmass_outer_lower</t>
  </si>
  <si>
    <t>Toleranz außen unten</t>
  </si>
  <si>
    <t>gs_baurichtmass_inner_lower</t>
  </si>
  <si>
    <t>Toleranz innen unten</t>
  </si>
  <si>
    <t>ac_wallhole_width</t>
  </si>
  <si>
    <t>Rohbauöffnung Breite</t>
  </si>
  <si>
    <t>Öffnungsbreite Rohbau</t>
  </si>
  <si>
    <t>Die im Rohbau vorhandene tatsächliche Öffnungsbreite</t>
  </si>
  <si>
    <t>ac_wallhole_height</t>
  </si>
  <si>
    <t>Rohbauöffnung Höhe</t>
  </si>
  <si>
    <t>Öffnungshöhe Rohbau</t>
  </si>
  <si>
    <t>Die im Rohbau vorhandene tatsächliche Öffnungshöhe</t>
  </si>
  <si>
    <t>ac_wallhole_height_original</t>
  </si>
  <si>
    <t>ac_reveal_width</t>
  </si>
  <si>
    <t>Architekturlichte Breite</t>
  </si>
  <si>
    <t>ac_reveal_height</t>
  </si>
  <si>
    <t>Architekturlichte Höhe</t>
  </si>
  <si>
    <t>ac_reveal_height_original</t>
  </si>
  <si>
    <t>ac_unit_width</t>
  </si>
  <si>
    <t>Rahmen Breite</t>
  </si>
  <si>
    <t>ac_unit_height</t>
  </si>
  <si>
    <t>Rahmen Höhe</t>
  </si>
  <si>
    <t>ac_baurichtmass_width</t>
  </si>
  <si>
    <t>Breite Baurichtmaß</t>
  </si>
  <si>
    <t>ac_baurichtmass_height</t>
  </si>
  <si>
    <t>Höhe Baurichtmaß</t>
  </si>
  <si>
    <t>ac_egress_width</t>
  </si>
  <si>
    <t>Durchgangslichte Breite</t>
  </si>
  <si>
    <t>Durchgangsbreite auf Zarge gemessen</t>
  </si>
  <si>
    <t>ac_egress_height</t>
  </si>
  <si>
    <t>Durchgangslichte Höhe</t>
  </si>
  <si>
    <t>Durchgangshöhe auf Zarge gemessen</t>
  </si>
  <si>
    <t>bs_UsableClearance</t>
  </si>
  <si>
    <t>Effektive Durchgangsbreite</t>
  </si>
  <si>
    <t>Automatisch erzeugter Wert, nicht einstellbar</t>
  </si>
  <si>
    <t>bs_UsableHeight</t>
  </si>
  <si>
    <t>Effektive Durchgangshöhe</t>
  </si>
  <si>
    <t>ac_leaf_width</t>
  </si>
  <si>
    <t>Türblatt Breite (Flügelmaß)</t>
  </si>
  <si>
    <t>Türblatt Breite</t>
  </si>
  <si>
    <t>Angabe zum Türblattaußenmaß in der Breite</t>
  </si>
  <si>
    <t>ac_leaf_height</t>
  </si>
  <si>
    <t>Türblatt Höhe (Flügelmaß)</t>
  </si>
  <si>
    <t>Türblatt Höhe</t>
  </si>
  <si>
    <t>Angabe zum Türblattaußenmaß in der Höhe</t>
  </si>
  <si>
    <t>gs_nominal_size</t>
  </si>
  <si>
    <t>Nominalmaß</t>
  </si>
  <si>
    <t>gs_wallhole_nominal</t>
  </si>
  <si>
    <t>Rohbauöffnung als Nominalmaß einstellen</t>
  </si>
  <si>
    <t>gs_reveal_nominal</t>
  </si>
  <si>
    <t>Architekturlichte als Nominalmaß einstellen</t>
  </si>
  <si>
    <t>gs_unit_nominal</t>
  </si>
  <si>
    <t>Rahmen-Außenmaß als Nominalmaß einstellen</t>
  </si>
  <si>
    <t>gs_baurichtmass_nominal</t>
  </si>
  <si>
    <t>Baurichtmaß als Nominalmaß einstellen</t>
  </si>
  <si>
    <t>gs_egress_nominal</t>
  </si>
  <si>
    <t>Freies Öffnungsmaß als Nominalmaß einstellen</t>
  </si>
  <si>
    <t>gs_leaf_nominal</t>
  </si>
  <si>
    <t>Türblattmaß als Nominalmaß einstellen</t>
  </si>
  <si>
    <t>gs_retain_nominal_sizes</t>
  </si>
  <si>
    <t>Übertrage aktuelle Nominal Größe auf die Auswahl</t>
  </si>
  <si>
    <t>thresholdType</t>
  </si>
  <si>
    <t>Schwellentyp</t>
  </si>
  <si>
    <t>iThresholdType</t>
  </si>
  <si>
    <t>iNormalThresholdType</t>
  </si>
  <si>
    <t>Standard-Schwelle Typ</t>
  </si>
  <si>
    <t>bBlindThreshold</t>
  </si>
  <si>
    <t>Blindschwelle</t>
  </si>
  <si>
    <t>thresholdHeight3D</t>
  </si>
  <si>
    <t>Schwellenhöhe</t>
  </si>
  <si>
    <t>thresholdHeight1</t>
  </si>
  <si>
    <t>thresholdHeight2</t>
  </si>
  <si>
    <t>Schwellenhöhe (b)</t>
  </si>
  <si>
    <t>thresholdHeight3</t>
  </si>
  <si>
    <t>Schwellenhöhe (c)</t>
  </si>
  <si>
    <t>bShowThreshold2D</t>
  </si>
  <si>
    <t>Schwelle in 2D</t>
  </si>
  <si>
    <t>penThreshold</t>
  </si>
  <si>
    <t>Stift Schwelle</t>
  </si>
  <si>
    <t>ltThreshold</t>
  </si>
  <si>
    <t>Linientyp Schwelle</t>
  </si>
  <si>
    <t>holeUnderThreshold</t>
  </si>
  <si>
    <t>Wandöffnung unter Schwelle</t>
  </si>
  <si>
    <t>Wandöffnung zum aktuellen Geschoss</t>
  </si>
  <si>
    <t>iHoleUnderThreshold</t>
  </si>
  <si>
    <t>thresholdBottomOversize</t>
  </si>
  <si>
    <t>Eigene Wandöffnung Übergröße</t>
  </si>
  <si>
    <t>showSIASymbol</t>
  </si>
  <si>
    <t>Schwellensymbol nach SIA</t>
  </si>
  <si>
    <t>Maßstababhängig</t>
  </si>
  <si>
    <t>iShowSIASymbol</t>
  </si>
  <si>
    <t>bEditableSIASymbol</t>
  </si>
  <si>
    <t>Editierbare Schwellenhöhe im Symbol</t>
  </si>
  <si>
    <t>thresholdPos1</t>
  </si>
  <si>
    <t>Position Schwelle</t>
  </si>
  <si>
    <t>thresholdPos2</t>
  </si>
  <si>
    <t>thresholdPos3</t>
  </si>
  <si>
    <t>SIASymbolType</t>
  </si>
  <si>
    <t>Typ 1</t>
  </si>
  <si>
    <t>iSIASymbolType</t>
  </si>
  <si>
    <t>SIASymbolSide</t>
  </si>
  <si>
    <t>Position Schwellensymbol</t>
  </si>
  <si>
    <t>Rechts</t>
  </si>
  <si>
    <t>iSIASymbolSide</t>
  </si>
  <si>
    <t>matThreshold</t>
  </si>
  <si>
    <t>Schwelle Oberflächenmaterial</t>
  </si>
  <si>
    <t>matThresholdMet</t>
  </si>
  <si>
    <t>Schwelle Metallmaterial</t>
  </si>
  <si>
    <t>matBlindThreshold</t>
  </si>
  <si>
    <t>Blindschwelle Oberflächenmaterial</t>
  </si>
  <si>
    <t>gs_sill_oversize</t>
  </si>
  <si>
    <t>Übergröße Fensterbank Außen</t>
  </si>
  <si>
    <t>iSillType</t>
  </si>
  <si>
    <t>Fensterbanktyp</t>
  </si>
  <si>
    <t>gs_sill_width</t>
  </si>
  <si>
    <t>Fensterbank Breite</t>
  </si>
  <si>
    <t>gs_sill_topWidth</t>
  </si>
  <si>
    <t>Fensterbank obere Breite</t>
  </si>
  <si>
    <t>gs_sill_topHeight</t>
  </si>
  <si>
    <t>Fensterbank obere Höhe</t>
  </si>
  <si>
    <t>gs_sill_thk</t>
  </si>
  <si>
    <t>Schwellendicke</t>
  </si>
  <si>
    <t>gs_sill_endthk</t>
  </si>
  <si>
    <t>Fensterbank Vorderseite Dicke</t>
  </si>
  <si>
    <t>gs_sill_elev</t>
  </si>
  <si>
    <t>Schwelle Ansicht</t>
  </si>
  <si>
    <t>gs_sill_dripnos</t>
  </si>
  <si>
    <t>Fensterbank Tropfüberhang</t>
  </si>
  <si>
    <t>gs_sill_dripwidth</t>
  </si>
  <si>
    <t>Dicke Fensterbankkante</t>
  </si>
  <si>
    <t>gs_sill_nosing</t>
  </si>
  <si>
    <t>Schwelle Überstand</t>
  </si>
  <si>
    <t>gs_sill_angle</t>
  </si>
  <si>
    <t>Schwelle Winkel</t>
  </si>
  <si>
    <t>gs_sill_ovhg_left</t>
  </si>
  <si>
    <t>Fensterbank Überhang links</t>
  </si>
  <si>
    <t>gs_sill_ovhg_right</t>
  </si>
  <si>
    <t>Fensterbank Überhang rechts</t>
  </si>
  <si>
    <t>gs_sill_slip_in</t>
  </si>
  <si>
    <t>Fensterbank Einschub Tiefe</t>
  </si>
  <si>
    <t>gs_sill_slip_wall</t>
  </si>
  <si>
    <t>Fensterbank Einschub von Wand</t>
  </si>
  <si>
    <t>gs_sill_holeDepthBehind</t>
  </si>
  <si>
    <t>Hintere Lochtiefe</t>
  </si>
  <si>
    <t>gs_sill_curved</t>
  </si>
  <si>
    <t>Fensterbank ist gebogen in gebogenen Wänden</t>
  </si>
  <si>
    <t>gs_sill_ins_below</t>
  </si>
  <si>
    <t>Dämmung unter Fensterbank</t>
  </si>
  <si>
    <t>gs_sill_ins_use_wall_skin</t>
  </si>
  <si>
    <t>Wand-Dämmschicht benutzen</t>
  </si>
  <si>
    <t>iBrickSilldetlevel</t>
  </si>
  <si>
    <t>Rollschicht 3D Detaillierungsgrad</t>
  </si>
  <si>
    <t>gs_brick_sill_br_thk</t>
  </si>
  <si>
    <t>Steinbreite</t>
  </si>
  <si>
    <t>gs_brick_sill_mort_thk</t>
  </si>
  <si>
    <t>gs_sill_pen_3D</t>
  </si>
  <si>
    <t>Fensterbank Stift für 3D und Aufsicht</t>
  </si>
  <si>
    <t>gs_sill_pen_sectcont</t>
  </si>
  <si>
    <t>Fensterbank Schnitt Konturstift</t>
  </si>
  <si>
    <t>gs_sill_fill</t>
  </si>
  <si>
    <t>Fensterbank Schnitt Schraffurtyp</t>
  </si>
  <si>
    <t>gs_sill_pen_fg</t>
  </si>
  <si>
    <t>Fensterbank Schnitt Schraffurstift</t>
  </si>
  <si>
    <t>gs_sill_pen_bg</t>
  </si>
  <si>
    <t>Fensterbank Schnitt Schraffur Hintergrundstift</t>
  </si>
  <si>
    <t>gs_sill_pen_ins_sectcont</t>
  </si>
  <si>
    <t>Schnitt Dämmung Konturstift</t>
  </si>
  <si>
    <t>gs_sill_fill_ins_fg</t>
  </si>
  <si>
    <t>Schnitt Dämmung Schraffurtyp</t>
  </si>
  <si>
    <t>gs_sill_pen_ins_fg</t>
  </si>
  <si>
    <t>Schnitt Dämmung Schraffurstift</t>
  </si>
  <si>
    <t>gs_sill_pen_ins_bg</t>
  </si>
  <si>
    <t>Schnitt Dämmung Schraffur Hintergrundstift</t>
  </si>
  <si>
    <t>gs_sill_mat</t>
  </si>
  <si>
    <t>Fensterbank Oberflächenmaterial</t>
  </si>
  <si>
    <t>gs_brick_sill_mort_mat</t>
  </si>
  <si>
    <t>Mauerwerksbrüstung Mörtel Oberflächenmaterial</t>
  </si>
  <si>
    <t>gs_door_frame</t>
  </si>
  <si>
    <t>Türzarge</t>
  </si>
  <si>
    <t>bs_frame_type</t>
  </si>
  <si>
    <t>Zarge</t>
  </si>
  <si>
    <t>gs_frame_type</t>
  </si>
  <si>
    <t>Rahmentyp</t>
  </si>
  <si>
    <t>Zargentyp</t>
  </si>
  <si>
    <t>genaue Beschreibung des Zargentypes</t>
  </si>
  <si>
    <t>iFrameType</t>
  </si>
  <si>
    <t>Zarge4Seitig</t>
  </si>
  <si>
    <t>4 seitig umlaufende Zarge</t>
  </si>
  <si>
    <t>Zargenmaterial</t>
  </si>
  <si>
    <t>gs_different_framewidth</t>
  </si>
  <si>
    <t>Unterschiedliche Breiten</t>
  </si>
  <si>
    <t>gs_frame_width</t>
  </si>
  <si>
    <t>Rahmen-Breite</t>
  </si>
  <si>
    <t>gs_frame_width_right</t>
  </si>
  <si>
    <t>Rahmenbreite Seite 1</t>
  </si>
  <si>
    <t>gs_frame_width_left</t>
  </si>
  <si>
    <t>Rahmenbreite Seite 2</t>
  </si>
  <si>
    <t>gs_frame_width_right_2</t>
  </si>
  <si>
    <t>Mittlerer Rahmen Seite 1</t>
  </si>
  <si>
    <t>gs_frame_width_left_2</t>
  </si>
  <si>
    <t>Mittlerer Rahmen Seite 2</t>
  </si>
  <si>
    <t>gs_frame_width_upper</t>
  </si>
  <si>
    <t>Oberer Rahmen Breite</t>
  </si>
  <si>
    <t>gs_frame_width_transom</t>
  </si>
  <si>
    <t>Querbalken Rahmen Breite</t>
  </si>
  <si>
    <t>gs_frame_width_bottom_sl</t>
  </si>
  <si>
    <t>Unterer Rahmen Breite</t>
  </si>
  <si>
    <t>gs_frame_thk</t>
  </si>
  <si>
    <t>Rahmen-Dicke</t>
  </si>
  <si>
    <t>Zarge Spiegelbreite BS</t>
  </si>
  <si>
    <t>Ansichtsbreite der Zarge</t>
  </si>
  <si>
    <t>Zarge Spiegelbreite BGS</t>
  </si>
  <si>
    <t>Zarge Spiegelbreite BS oben</t>
  </si>
  <si>
    <t>Zarge Spiegelbreite BGS oben</t>
  </si>
  <si>
    <t>Maulweite</t>
  </si>
  <si>
    <t>lichtes Maß zwischen den Putzkanten</t>
  </si>
  <si>
    <t>Bodeneinstand</t>
  </si>
  <si>
    <t>Einstand der Zarge in den Boden unterhalb OKFF</t>
  </si>
  <si>
    <t>Putzkantentiefe</t>
  </si>
  <si>
    <t>Tiefe der Putzkante</t>
  </si>
  <si>
    <t>Schattennut</t>
  </si>
  <si>
    <t>Breite der Schattennut</t>
  </si>
  <si>
    <t>bs_folding_nmbr</t>
  </si>
  <si>
    <t>Falzdichtung Anzahl</t>
  </si>
  <si>
    <t>Anzahl der Dichtungsebenen (max. 3)</t>
  </si>
  <si>
    <t>gs_vb</t>
  </si>
  <si>
    <t>Falzbreite</t>
  </si>
  <si>
    <t xml:space="preserve"> ---&gt; Zarge?</t>
  </si>
  <si>
    <t>gs_vt</t>
  </si>
  <si>
    <t>Falztiefe</t>
  </si>
  <si>
    <t>dk_folding_dimensions</t>
  </si>
  <si>
    <t>Abmessungen Zargenfalze</t>
  </si>
  <si>
    <t>Gegenzarge</t>
  </si>
  <si>
    <t>Ergänzungszarge im Leibungsbereich</t>
  </si>
  <si>
    <t>gs_rev</t>
  </si>
  <si>
    <t>Seite Laibung</t>
  </si>
  <si>
    <t>gs_bl_thk</t>
  </si>
  <si>
    <t>Block Breite</t>
  </si>
  <si>
    <t>gs_bl_width</t>
  </si>
  <si>
    <t>Block Dicke</t>
  </si>
  <si>
    <t>gs_fuge</t>
  </si>
  <si>
    <t>Mörtel</t>
  </si>
  <si>
    <t>gs_ub_st1</t>
  </si>
  <si>
    <t>Überstand 1</t>
  </si>
  <si>
    <t>gs_ub_st2</t>
  </si>
  <si>
    <t>Überstand 2</t>
  </si>
  <si>
    <t>gs_frame_mat</t>
  </si>
  <si>
    <t>Rahmen</t>
  </si>
  <si>
    <t>Seitenfeld</t>
  </si>
  <si>
    <t>bDiffSidelightWidth</t>
  </si>
  <si>
    <t>Seitenfeld untersch. Breiten</t>
  </si>
  <si>
    <t>gs_sidelight_width_left</t>
  </si>
  <si>
    <t>gs_sidelight_width_right</t>
  </si>
  <si>
    <t>bAutoSideLightSize</t>
  </si>
  <si>
    <t>Automatische Seitenfeldhöhe</t>
  </si>
  <si>
    <t>sx</t>
  </si>
  <si>
    <t>Verglasung 1 Breite</t>
  </si>
  <si>
    <t>glazingWidthRight</t>
  </si>
  <si>
    <t>Verglasung 2 Breite</t>
  </si>
  <si>
    <t>glazingHeight</t>
  </si>
  <si>
    <t>Verglasung Höhe</t>
  </si>
  <si>
    <t>gs_frame_width_transom_sl</t>
  </si>
  <si>
    <t>Seitenfeld Querbalkenrahmen Breite</t>
  </si>
  <si>
    <t>gs_frame_width_upper_sl</t>
  </si>
  <si>
    <t>Seitenfeld oberer Rahmen Breite</t>
  </si>
  <si>
    <t>gs_door_transom</t>
  </si>
  <si>
    <t>gs_transom_height</t>
  </si>
  <si>
    <t>Höhe Kämpfer</t>
  </si>
  <si>
    <t>gs_am</t>
  </si>
  <si>
    <t>Höhe Oberlicht</t>
  </si>
  <si>
    <t>gs_door_panel</t>
  </si>
  <si>
    <t>Türblatt</t>
  </si>
  <si>
    <t>bs_panel_type</t>
  </si>
  <si>
    <t>Türblatt Typ</t>
  </si>
  <si>
    <t>Typenbezeichnung des Türblattes</t>
  </si>
  <si>
    <t>gs_cust_panel</t>
  </si>
  <si>
    <t>gs_cust_panel2</t>
  </si>
  <si>
    <t>bUniformPanels1</t>
  </si>
  <si>
    <t>Einheitliche Panele pro Blatt 1</t>
  </si>
  <si>
    <t>bUniformPanels2</t>
  </si>
  <si>
    <t>Einheitliche Panele pro Blatt 2</t>
  </si>
  <si>
    <t>iDoorPanelType</t>
  </si>
  <si>
    <t>iDoorPanelType2</t>
  </si>
  <si>
    <t>Türblatt 2</t>
  </si>
  <si>
    <t>symm</t>
  </si>
  <si>
    <t>Symmtrische Unterteilung</t>
  </si>
  <si>
    <t>gs_SecondLeaf_w</t>
  </si>
  <si>
    <t>Türblatt- Breite Seite 1</t>
  </si>
  <si>
    <t>gs_leaf_thk</t>
  </si>
  <si>
    <t>Türblatt Stärke</t>
  </si>
  <si>
    <t>Türblattstärke</t>
  </si>
  <si>
    <t>Angabe zur Dicke des Türblattes</t>
  </si>
  <si>
    <t>bs_leaf_oversize</t>
  </si>
  <si>
    <t>Spiegelbreite des Falzes</t>
  </si>
  <si>
    <t>gapHeightUnderPanel</t>
  </si>
  <si>
    <t>Spalt unter Türblatt</t>
  </si>
  <si>
    <t>Unterschnitt</t>
  </si>
  <si>
    <t>Höhe des Unterschnittes zur Belüftung</t>
  </si>
  <si>
    <t>bs_ancor_panel_BS</t>
  </si>
  <si>
    <t>Distanz Türblattoberfläche Bandseite</t>
  </si>
  <si>
    <t>Ankerparameter</t>
  </si>
  <si>
    <t>bs_ancor_panel_top</t>
  </si>
  <si>
    <t>OK Türblatt</t>
  </si>
  <si>
    <t>gs_door_panel_filling</t>
  </si>
  <si>
    <t>thkDoorFilling</t>
  </si>
  <si>
    <t>Dicke Türfüllung</t>
  </si>
  <si>
    <t>thkDoorFilling2</t>
  </si>
  <si>
    <t>Dicke Türfüllung 2</t>
  </si>
  <si>
    <t>gs_mat_h</t>
  </si>
  <si>
    <t>Türfüllung</t>
  </si>
  <si>
    <t>leafFrWidthLeft</t>
  </si>
  <si>
    <t>Rahmenbreite links</t>
  </si>
  <si>
    <t>leafFrWidthLeft2</t>
  </si>
  <si>
    <t>Rahmen-Breite links 2</t>
  </si>
  <si>
    <t>leafFrWidthRight</t>
  </si>
  <si>
    <t>Rahmenbreite rechts</t>
  </si>
  <si>
    <t>leafFrWidthRight2</t>
  </si>
  <si>
    <t>Rahmenbreite rechts 2</t>
  </si>
  <si>
    <t>leafFrWidthBottom</t>
  </si>
  <si>
    <t>Rahmenbreite unten</t>
  </si>
  <si>
    <t>leafFrWidthBottom2</t>
  </si>
  <si>
    <t>Rahmen-Breite unten 2</t>
  </si>
  <si>
    <t>leafFrWidthTop</t>
  </si>
  <si>
    <t>Rahmenbreite oben</t>
  </si>
  <si>
    <t>leafFrWidthTop2</t>
  </si>
  <si>
    <t>Rahmenbreite oben 2</t>
  </si>
  <si>
    <t>nMullHorizontal</t>
  </si>
  <si>
    <t>Sprossen horizontal</t>
  </si>
  <si>
    <t>nMullHorizontal2</t>
  </si>
  <si>
    <t>Sprossen - horizontal 2</t>
  </si>
  <si>
    <t>nMullVertical</t>
  </si>
  <si>
    <t>Sprossen vertical</t>
  </si>
  <si>
    <t>nMullVertical2</t>
  </si>
  <si>
    <t>Sprossen - vertikal 2</t>
  </si>
  <si>
    <t>mullWidth</t>
  </si>
  <si>
    <t>Sprossenbreite</t>
  </si>
  <si>
    <t>mullWidth2</t>
  </si>
  <si>
    <t>Sprossenbreite 2</t>
  </si>
  <si>
    <t>mullThickness</t>
  </si>
  <si>
    <t>Sprossentiefe</t>
  </si>
  <si>
    <t>mullThickness2</t>
  </si>
  <si>
    <t>Sprossentiefe 2</t>
  </si>
  <si>
    <t>radDoorFilling</t>
  </si>
  <si>
    <t>Radius Türfüllung</t>
  </si>
  <si>
    <t>radDoorFilling2</t>
  </si>
  <si>
    <t>Radius Türfüllung Radius 2</t>
  </si>
  <si>
    <t>centerOffsetLeft</t>
  </si>
  <si>
    <t>Abstand Mittelpunkt - links</t>
  </si>
  <si>
    <t>centerOffsetLeft2</t>
  </si>
  <si>
    <t>Abstand Mittelpunkt - links 2</t>
  </si>
  <si>
    <t>centerOffsetRight</t>
  </si>
  <si>
    <t>Abstand Mittelpunkt - rechts</t>
  </si>
  <si>
    <t>centerOffsetRight2</t>
  </si>
  <si>
    <t>Abstand Mittelpunkt - rechts 2</t>
  </si>
  <si>
    <t>centerOffsetBottom</t>
  </si>
  <si>
    <t>Abstand Mittelpunkt - unten</t>
  </si>
  <si>
    <t>centerOffsetBottom2</t>
  </si>
  <si>
    <t>Abstand Mittelpunkt - unten 2</t>
  </si>
  <si>
    <t>centerOffsetTop</t>
  </si>
  <si>
    <t>Abstand Mittelpunkt - oben</t>
  </si>
  <si>
    <t>centerOffsetTop2</t>
  </si>
  <si>
    <t>Abstand Mittelpunkt - oben 2</t>
  </si>
  <si>
    <t>gs_door_handle</t>
  </si>
  <si>
    <t>gs_handle_type</t>
  </si>
  <si>
    <t>gs_handle_type_m</t>
  </si>
  <si>
    <t>gs_cust_handle</t>
  </si>
  <si>
    <t>gs_handle_type2_m</t>
  </si>
  <si>
    <t>gs_cust_handle2</t>
  </si>
  <si>
    <t>gs_han_height</t>
  </si>
  <si>
    <t>gs_han_height2</t>
  </si>
  <si>
    <t>gs_handle_mat</t>
  </si>
  <si>
    <t>Griff</t>
  </si>
  <si>
    <t>Hersteller</t>
  </si>
  <si>
    <t>gs_handle_ac_mat</t>
  </si>
  <si>
    <t>Griff Zubehör</t>
  </si>
  <si>
    <t>gs_han_pos</t>
  </si>
  <si>
    <t>gs_han_pos2</t>
  </si>
  <si>
    <t>bs_door_hinge</t>
  </si>
  <si>
    <t>Bänder / Lager</t>
  </si>
  <si>
    <t>Bandtyp</t>
  </si>
  <si>
    <t>Beschreibung der Bänder</t>
  </si>
  <si>
    <t>Band Material</t>
  </si>
  <si>
    <t>Angabe des bestimmenden Bandmaterials</t>
  </si>
  <si>
    <t>Bandverstellung</t>
  </si>
  <si>
    <t>Angabe der Bandverstellung</t>
  </si>
  <si>
    <t>Bandanzahl</t>
  </si>
  <si>
    <t>Gesamtanzahl der Türbänder an der Tür</t>
  </si>
  <si>
    <t>Drehpunkt</t>
  </si>
  <si>
    <t>Angabe besonderer Anforderungen hinsichtlich des Drehpunktes des Türblattes</t>
  </si>
  <si>
    <t>Band Oberfläche</t>
  </si>
  <si>
    <t>Sicherungsbolzen Anzahl</t>
  </si>
  <si>
    <t>Gesamtanzahl der Sicherungsbolzen an der Tür</t>
  </si>
  <si>
    <t>Band Produktangabe</t>
  </si>
  <si>
    <t>bs_ancor_hinge_X</t>
  </si>
  <si>
    <t>Bandachse in X</t>
  </si>
  <si>
    <t>bs_ancor_hinge_Y</t>
  </si>
  <si>
    <t>Bandachse in Y</t>
  </si>
  <si>
    <t>bs_escape_door</t>
  </si>
  <si>
    <t>Fluchttürsteuerung</t>
  </si>
  <si>
    <t>bs_door_automation</t>
  </si>
  <si>
    <t>Automatisierung</t>
  </si>
  <si>
    <t>bs_automation_type</t>
  </si>
  <si>
    <t>Automatik</t>
  </si>
  <si>
    <t>Automatisierung Produktangabe</t>
  </si>
  <si>
    <t>Drehtürantrieb</t>
  </si>
  <si>
    <t>Art des Drehtürantriebes beim Gangflügel. Produktbezeichnung oder technische Bauart </t>
  </si>
  <si>
    <t>Drehtürantrieb SF</t>
  </si>
  <si>
    <t>Art des Drehtürantriebes beim Standflügel. Produktbezeichnung oder technische Bauart </t>
  </si>
  <si>
    <t>Öffnungsart Türantrieb</t>
  </si>
  <si>
    <t>Die Öffnungsart drückend oder ziehend des Gangflügels</t>
  </si>
  <si>
    <t>Öffnungsart Türantrieb SF</t>
  </si>
  <si>
    <t>Die Öffnungsart drückend oder ziehend des Standflügels</t>
  </si>
  <si>
    <t>Feststellwinkel</t>
  </si>
  <si>
    <t>Winkel mit dem das Türblatt des Gangflügels festgestellt werden kann</t>
  </si>
  <si>
    <t>Feststellwinkel SF</t>
  </si>
  <si>
    <t>Winkel mit dem das Türblatt des Standflügels festgestellt werden kann</t>
  </si>
  <si>
    <t>Schließfunktion Drehtürantrieb</t>
  </si>
  <si>
    <t>Angabe ob der Türantrieb mit einer Schließfunktion ausgestattet ist bzw. eine Benennung der Schließfunktion</t>
  </si>
  <si>
    <t>Oberfläche Drehtürantrieb SF</t>
  </si>
  <si>
    <t>Angabe zur Oberfläche des Antriebes am Standflügel</t>
  </si>
  <si>
    <t>Oberfläche Drehtürantrieb</t>
  </si>
  <si>
    <t>Angabe zur Oberfläche des Antriebes am Gangflügel</t>
  </si>
  <si>
    <t>Energielevel</t>
  </si>
  <si>
    <t>Angaben zum Antrieb nach DIN 18650 / EN 16005</t>
  </si>
  <si>
    <t>Windlastregelung</t>
  </si>
  <si>
    <t>Angaben zur Regelung der Antriebskräfte bei Windlasten</t>
  </si>
  <si>
    <t>Türantrieb Montageart</t>
  </si>
  <si>
    <t>Angaben zur Montageart</t>
  </si>
  <si>
    <t>Türantrieb Ansteuerung</t>
  </si>
  <si>
    <t>Angaben zur Ansteuerung des Türantrieben</t>
  </si>
  <si>
    <t>Absicherung Hauptschließkante</t>
  </si>
  <si>
    <t>Angaben zur Absicherung Kante an der Hauptschließkante</t>
  </si>
  <si>
    <t>Absicherung Nebenschließkante</t>
  </si>
  <si>
    <t>Angaben zur Absicherung Kante an der Nebenschließkante</t>
  </si>
  <si>
    <t>Zusatzfunktion</t>
  </si>
  <si>
    <t>Beschreibung vorhandener Zusatzfunktionen</t>
  </si>
  <si>
    <t>Antrieb Oberfläche</t>
  </si>
  <si>
    <t>Antrieb Ansteuerung Radar</t>
  </si>
  <si>
    <t>bs_additionals</t>
  </si>
  <si>
    <t>Zusätzliche Ausstattung + Eigenschaften</t>
  </si>
  <si>
    <t>gs_leaf_mat</t>
  </si>
  <si>
    <t>Paneel</t>
  </si>
  <si>
    <t>gs_glass_mat</t>
  </si>
  <si>
    <t>Glas</t>
  </si>
  <si>
    <t>gs_metal_mat</t>
  </si>
  <si>
    <t>Metallteile</t>
  </si>
  <si>
    <t>gs_mat_spr</t>
  </si>
  <si>
    <t>Sprossen</t>
  </si>
  <si>
    <t>bLinkCasingSurfaces</t>
  </si>
  <si>
    <t>Einheitliche Oberflächen Verkleidung</t>
  </si>
  <si>
    <t>stored_material</t>
  </si>
  <si>
    <t>gs_trim_in_mat</t>
  </si>
  <si>
    <t>Innenverkleidung Oberflächenmaterial</t>
  </si>
  <si>
    <t>gs_trim_out_mat</t>
  </si>
  <si>
    <t>Außenverkleidung Oberflächenmaterial</t>
  </si>
  <si>
    <t>gs_wall_contour_lines</t>
  </si>
  <si>
    <t>Wandkonturlinien</t>
  </si>
  <si>
    <t>gs_wallcontour</t>
  </si>
  <si>
    <t>seitliche Wandkontur</t>
  </si>
  <si>
    <t>Beide</t>
  </si>
  <si>
    <t>gs_wallcontour_id</t>
  </si>
  <si>
    <t>gs_wcont_line</t>
  </si>
  <si>
    <t>Wandkontur</t>
  </si>
  <si>
    <t>beide Seiten</t>
  </si>
  <si>
    <t>iWallContourLine</t>
  </si>
  <si>
    <t>gs_wcont_line_automatic</t>
  </si>
  <si>
    <t>Automatische Einstellungen</t>
  </si>
  <si>
    <t>gs_wcont_line_inside</t>
  </si>
  <si>
    <t>Wandkonturlinie innen - 1:50 und tiefer</t>
  </si>
  <si>
    <t>gs_wcont_line_inside2</t>
  </si>
  <si>
    <t>Wandkonturlinie innen - 1:100 und höher</t>
  </si>
  <si>
    <t>gs_wcont_line_in</t>
  </si>
  <si>
    <t>Wandkonturlinien Typ innen - 1:50 und tiefer</t>
  </si>
  <si>
    <t>gs_wcont_line_in2</t>
  </si>
  <si>
    <t>Wandkonturlinien Typ innen - 1:100 und höher</t>
  </si>
  <si>
    <t>gs_wcont_line_outside</t>
  </si>
  <si>
    <t>Wandkonturlinie außen - 1:50 und tiefer</t>
  </si>
  <si>
    <t>gs_wcont_line_outside2</t>
  </si>
  <si>
    <t>Wandkonturlinie außen - 1:100 und höher</t>
  </si>
  <si>
    <t>gs_wcont_line_out</t>
  </si>
  <si>
    <t>Wandkonturlinien Typ außen - 1:50 and tiefer</t>
  </si>
  <si>
    <t>gs_wcont_line_out2</t>
  </si>
  <si>
    <t>Wandkonturlinien Typ außen - 1:100 und höher</t>
  </si>
  <si>
    <t>gs_wcont_line_pen</t>
  </si>
  <si>
    <t>Wandkonturlinien Stift - 1:50 und tiefer</t>
  </si>
  <si>
    <t>gs_wcont_line_pen2</t>
  </si>
  <si>
    <t>Wandkonturlinien Stift - 1:100 und höher</t>
  </si>
  <si>
    <t>gs_mounting_frame_gap</t>
  </si>
  <si>
    <t>Fugenausfüllung</t>
  </si>
  <si>
    <t>iBlindstockTypeLeft</t>
  </si>
  <si>
    <t>Typ Links</t>
  </si>
  <si>
    <t>iBlindstockTypeRight</t>
  </si>
  <si>
    <t>Typ Rechts</t>
  </si>
  <si>
    <t>gs_TolerNBF_automatic</t>
  </si>
  <si>
    <t>Automatische Maße</t>
  </si>
  <si>
    <t>gs_TolerNBF_dist_left</t>
  </si>
  <si>
    <t>Position Links</t>
  </si>
  <si>
    <t>gs_TolerNBF_dist_right</t>
  </si>
  <si>
    <t>Position Rechts</t>
  </si>
  <si>
    <t>gs_TolerNBF_width_left</t>
  </si>
  <si>
    <t>Breite Links</t>
  </si>
  <si>
    <t>gs_TolerNBF_width_right</t>
  </si>
  <si>
    <t>Breite Rechts</t>
  </si>
  <si>
    <t>gs_TolerNBF_depth_left</t>
  </si>
  <si>
    <t>Tiefe Links</t>
  </si>
  <si>
    <t>gs_TolerNBF_depth_right</t>
  </si>
  <si>
    <t>Tiefe Rechts</t>
  </si>
  <si>
    <t>gs_TolerBlin_contour_pen</t>
  </si>
  <si>
    <t>Konturlinie-Stift Einbaurahmen</t>
  </si>
  <si>
    <t>gs_TolerBlin_contour_line_type</t>
  </si>
  <si>
    <t>Linientyp Kontur Einbaurahmen</t>
  </si>
  <si>
    <t>gs_TolerBlin_fill_type</t>
  </si>
  <si>
    <t>Schraffur-Typ Einbaurahmen</t>
  </si>
  <si>
    <t>gs_TolerBlin_fg_pen</t>
  </si>
  <si>
    <t>Schraffur-Stift Einbaurahmen</t>
  </si>
  <si>
    <t>gs_TolerBlin_bg_pen</t>
  </si>
  <si>
    <t>Schraffurhintergrund-Stift Einbaurahmen</t>
  </si>
  <si>
    <t>gs_TolerFill_contour_pen</t>
  </si>
  <si>
    <t>Schraffur-Stift Fugenausfüllung</t>
  </si>
  <si>
    <t>gs_TolerFill_contour_line_type</t>
  </si>
  <si>
    <t>Linientyp Kontur Fugenausfüllung</t>
  </si>
  <si>
    <t>gs_TolerFill_fill_type</t>
  </si>
  <si>
    <t>Schraffur-Typ Fugenausfüllung</t>
  </si>
  <si>
    <t>gs_TolerFill_fg_pen</t>
  </si>
  <si>
    <t>gs_TolerFill_bg_pen</t>
  </si>
  <si>
    <t>Schraffurhintergrund-Stift Fugenausfüllung</t>
  </si>
  <si>
    <t>gs_list_location</t>
  </si>
  <si>
    <t>gs_list_structure</t>
  </si>
  <si>
    <t>Gewerk</t>
  </si>
  <si>
    <t>gs_bOpeningToZone</t>
  </si>
  <si>
    <t>Tür gehört zum Raum, in den sie öffnet</t>
  </si>
  <si>
    <t>AC_WallContours</t>
  </si>
  <si>
    <t>AC_Hole_Hotspot_Control</t>
  </si>
  <si>
    <t>2D-Fixpunkte in 3D zeigen</t>
  </si>
  <si>
    <t>AC_Hole_Display_Option</t>
  </si>
  <si>
    <t>AC_Hole_Position_Angle</t>
  </si>
  <si>
    <t>Winkel Öffnungsposition</t>
  </si>
  <si>
    <t>AC_HoleSideMaterial</t>
  </si>
  <si>
    <t>AC_HoleMaterialCurved</t>
  </si>
  <si>
    <t>Öffnungsoberfläche ist gebogen in gebogenen Wänden</t>
  </si>
  <si>
    <t>AC_WallType</t>
  </si>
  <si>
    <t>Wand-Typ</t>
  </si>
  <si>
    <t>AC_WindowInWallContour</t>
  </si>
  <si>
    <t>Fenster in Wandkontur</t>
  </si>
  <si>
    <t>AC_WallContourPolygon</t>
  </si>
  <si>
    <t>Wandkonturpolygon</t>
  </si>
  <si>
    <t>AC_Wall_Direction_Type</t>
  </si>
  <si>
    <t>ac_revealAnchorPos</t>
  </si>
  <si>
    <t>Laibung Ankerposition</t>
  </si>
  <si>
    <t>ac_revealToWallCore</t>
  </si>
  <si>
    <t>AC_Wall_CrossSection_Type</t>
  </si>
  <si>
    <t>Wandquerschnittstyp</t>
  </si>
  <si>
    <t>ac_wido_hide_options</t>
  </si>
  <si>
    <t>ac_zone_on_reveal_side</t>
  </si>
  <si>
    <t>pwi</t>
  </si>
  <si>
    <t>AC_Sill_To_Curr_Story</t>
  </si>
  <si>
    <t>Brüstungshöhe zum aktuellen Geschoss</t>
  </si>
  <si>
    <t>bMasonryArch</t>
  </si>
  <si>
    <t>Rollschicht</t>
  </si>
  <si>
    <t>gs_masonry_arch_int</t>
  </si>
  <si>
    <t>gs_masonry_arch_structure</t>
  </si>
  <si>
    <t>Typ Sturz</t>
  </si>
  <si>
    <t>Verputzt</t>
  </si>
  <si>
    <t>gs_masonry_arch_structure_int</t>
  </si>
  <si>
    <t>gs_AutomaticArchHeight</t>
  </si>
  <si>
    <t>Sturz direkt über der Tür</t>
  </si>
  <si>
    <t>gs_MasonryArch_height</t>
  </si>
  <si>
    <t>Distanz zwischen Bogen und Tür</t>
  </si>
  <si>
    <t>gs_NicheBelowArch</t>
  </si>
  <si>
    <t>Nische unterm Bogen</t>
  </si>
  <si>
    <t>gs_masonry_arch_ovhg_left</t>
  </si>
  <si>
    <t>Sturz Überhang links</t>
  </si>
  <si>
    <t>gs_masonry_arch_ovhg_right</t>
  </si>
  <si>
    <t>Sturz Überhang rechts</t>
  </si>
  <si>
    <t>gs_masonry_arch_rise</t>
  </si>
  <si>
    <t>Sturz Bogenhöhe</t>
  </si>
  <si>
    <t>gs_masonry_arch_skewback_angle</t>
  </si>
  <si>
    <t>Neigungswinkel</t>
  </si>
  <si>
    <t>gs_masonry_arch_proj</t>
  </si>
  <si>
    <t>gs_masonry_arch_height</t>
  </si>
  <si>
    <t>Höhe Sichtmauerwerk</t>
  </si>
  <si>
    <t>gs_masonry_arch_depth</t>
  </si>
  <si>
    <t>Tiefe Sichtmauerwerk</t>
  </si>
  <si>
    <t>gs_masonry_arch_rearHoleDepth</t>
  </si>
  <si>
    <t>gs_masonry_arch_brick_thk</t>
  </si>
  <si>
    <t>gs_masonry_arch_mort_thk</t>
  </si>
  <si>
    <t>gs_masonry_arch_keystone_width</t>
  </si>
  <si>
    <t>gs_masonry_arch_keystone_osize</t>
  </si>
  <si>
    <t>gs_masonry_arch_keystone_proj</t>
  </si>
  <si>
    <t>bCustomMatNicheTop</t>
  </si>
  <si>
    <t>Eigenes Nischen-Oberflächenmaterial</t>
  </si>
  <si>
    <t>gs_masonry_arch_fill</t>
  </si>
  <si>
    <t>Schnittschraffur Bogen</t>
  </si>
  <si>
    <t>gs_masonry_arch_pen_fg</t>
  </si>
  <si>
    <t>Bogen Schnitt Schraffurstift</t>
  </si>
  <si>
    <t>gs_masonry_arch_pen_bg</t>
  </si>
  <si>
    <t>Hintergrundstift Bogen Schwelle</t>
  </si>
  <si>
    <t>gs_masonry_arch_pen</t>
  </si>
  <si>
    <t>Stift Ziegelsturz</t>
  </si>
  <si>
    <t>gs_masonry_arch_brick_mat</t>
  </si>
  <si>
    <t>Mauerwerksbogen Stein Oberflächenmaterial</t>
  </si>
  <si>
    <t>gs_masonry_arch_mort_mat</t>
  </si>
  <si>
    <t>Mauerwerksbogen Mörtel Oberflächenmaterial</t>
  </si>
  <si>
    <t>gs_masonry_arch_keystone_mat</t>
  </si>
  <si>
    <t>Mauerwerksbogen Schlusstein Oberflächenmaterial</t>
  </si>
  <si>
    <t>matNicheTop</t>
  </si>
  <si>
    <t>Nischen-Oberflächenmaterial</t>
  </si>
  <si>
    <t>Dämmung</t>
  </si>
  <si>
    <t>Schraffurhintergrund-Stift</t>
  </si>
  <si>
    <t>Anschlag</t>
  </si>
  <si>
    <t>gs_reveal_type_new</t>
  </si>
  <si>
    <t>Typ Anschlag</t>
  </si>
  <si>
    <t>gs_reveal_type_int</t>
  </si>
  <si>
    <t>gs_reveal_type_bottom</t>
  </si>
  <si>
    <t>Untere Laibung Typ</t>
  </si>
  <si>
    <t>ohne Anschlag</t>
  </si>
  <si>
    <t>gs_reveal_type_bottom_int</t>
  </si>
  <si>
    <t>gs_wido_sill</t>
  </si>
  <si>
    <t>Anschlagtiefe</t>
  </si>
  <si>
    <t>AC_wido_sill</t>
  </si>
  <si>
    <t>gs_reveal_type</t>
  </si>
  <si>
    <t>Äußerer Laibungstyp</t>
  </si>
  <si>
    <t>gs_reveal_doubleOuterTypeInt</t>
  </si>
  <si>
    <t>gs_reveal_double_innerType</t>
  </si>
  <si>
    <t>Laibungstyp Innen</t>
  </si>
  <si>
    <t>gs_reveal_doubleInnerTypeInt</t>
  </si>
  <si>
    <t>gs_reveal_uniform</t>
  </si>
  <si>
    <t>Anschlagtiefe und Laibungswinkel gleich</t>
  </si>
  <si>
    <t>gs_reveal_left</t>
  </si>
  <si>
    <t>Anschlagstiefe Seite 2</t>
  </si>
  <si>
    <t>gs_reveal_right</t>
  </si>
  <si>
    <t>Anschlagstiefe</t>
  </si>
  <si>
    <t>gs_reveal_splayed_innerLeft</t>
  </si>
  <si>
    <t>Innerer Anschlagstiefe Seite 2</t>
  </si>
  <si>
    <t>gs_reveal_splayed_innerRight</t>
  </si>
  <si>
    <t>Innerer Anschlagstiefe</t>
  </si>
  <si>
    <t>gs_reveal_double_innerLeft</t>
  </si>
  <si>
    <t>gs_reveal_double_innerRight</t>
  </si>
  <si>
    <t>gs_reveal_top</t>
  </si>
  <si>
    <t>Tiefe des oberen Anschlags</t>
  </si>
  <si>
    <t>gs_reveal_bottom</t>
  </si>
  <si>
    <t>Tiefe des unteren Anschlags</t>
  </si>
  <si>
    <t>gs_reveal_splayed_innerTop</t>
  </si>
  <si>
    <t>Tiefe Sturz Innen</t>
  </si>
  <si>
    <t>gs_reveal_splayed_innerBottom</t>
  </si>
  <si>
    <t>Tiefe Laibung Innen</t>
  </si>
  <si>
    <t>gs_reveal_double_innerTop</t>
  </si>
  <si>
    <t>gs_reveal_double_innerBottom</t>
  </si>
  <si>
    <t>gs_reveal_outer_jamb_depth</t>
  </si>
  <si>
    <t>Tiefe äußerer Anschlag</t>
  </si>
  <si>
    <t>gs_reveal_angle_edit_by</t>
  </si>
  <si>
    <t>Laibung bearbeiten von</t>
  </si>
  <si>
    <t>Winkel und Tiefe</t>
  </si>
  <si>
    <t>gs_reveal_angle_edit_by_int</t>
  </si>
  <si>
    <t>gs_reveal_left_angle</t>
  </si>
  <si>
    <t>Winkel Seite 2</t>
  </si>
  <si>
    <t>gs_reveal_right_angle</t>
  </si>
  <si>
    <t>Winkel Seite</t>
  </si>
  <si>
    <t>gs_reveal_top_angle</t>
  </si>
  <si>
    <t>Winkel oben</t>
  </si>
  <si>
    <t>gs_reveal_bottom_angle</t>
  </si>
  <si>
    <t>Winkel unten</t>
  </si>
  <si>
    <t>gs_reveal_innerLeft_width</t>
  </si>
  <si>
    <t>Seitenabschrägung Breite Seite 2</t>
  </si>
  <si>
    <t>gs_reveal_innerRight_width</t>
  </si>
  <si>
    <t>Seitenabschrägung Breite Seite</t>
  </si>
  <si>
    <t>gs_reveal_innerTop_width</t>
  </si>
  <si>
    <t>Obere Seitenabschrägung Breite</t>
  </si>
  <si>
    <t>gs_reveal_innerBottom_width</t>
  </si>
  <si>
    <t>Untere Seitenabschrägung Breite</t>
  </si>
  <si>
    <t>gs_reveal_outerLeft_angle</t>
  </si>
  <si>
    <t>Außenwinkel Seite 2</t>
  </si>
  <si>
    <t>gs_reveal_outerRight_angle</t>
  </si>
  <si>
    <t>Außenwinkel Seite</t>
  </si>
  <si>
    <t>gs_reveal_outerTop_angle</t>
  </si>
  <si>
    <t>Außenwinkel obere Seite</t>
  </si>
  <si>
    <t>gs_reveal_outerBottom_angle</t>
  </si>
  <si>
    <t>Außenwinkel untere Seite</t>
  </si>
  <si>
    <t>gs_reveal_auto_changed_by_cc</t>
  </si>
  <si>
    <t>gs_reveal_outerLeft_width</t>
  </si>
  <si>
    <t>Außenabschrägung Breite Seite 2</t>
  </si>
  <si>
    <t>gs_reveal_outerRight_width</t>
  </si>
  <si>
    <t>Außenabschrägung Breite Seite</t>
  </si>
  <si>
    <t>gs_reveal_outerTop_width</t>
  </si>
  <si>
    <t>Äußere Abschrägung Breite an oberer Seite</t>
  </si>
  <si>
    <t>gs_reveal_outerBottom_width</t>
  </si>
  <si>
    <t>Breite äußere Abschrägung an Unterseite</t>
  </si>
  <si>
    <t>gs_turn_plaster</t>
  </si>
  <si>
    <t>Schichteinzug</t>
  </si>
  <si>
    <t>gs_useWallFinishSkin</t>
  </si>
  <si>
    <t>Wandbekleidung benutzen</t>
  </si>
  <si>
    <t>gs_maxPlasterThk</t>
  </si>
  <si>
    <t>Max. Putzdicke</t>
  </si>
  <si>
    <t>gs_bAutoTurnOut</t>
  </si>
  <si>
    <t>automatischer Schichteinzug Putz innen</t>
  </si>
  <si>
    <t>gs_bOverOut</t>
  </si>
  <si>
    <t>Putzschicht innen einziehen</t>
  </si>
  <si>
    <t>gs_bAutoTurnIn</t>
  </si>
  <si>
    <t>automatischer Schichteinzug Putz außen</t>
  </si>
  <si>
    <t>gs_bOverIn</t>
  </si>
  <si>
    <t>Putzschicht außen einziehen</t>
  </si>
  <si>
    <t>gs_turn_plaster_dim_2D</t>
  </si>
  <si>
    <t>Bemaßungsfangpunkte in 2D</t>
  </si>
  <si>
    <t>gs_turn_plaster_show_3D</t>
  </si>
  <si>
    <t>in 3D zeigen</t>
  </si>
  <si>
    <t>gs_closure_type</t>
  </si>
  <si>
    <t>Kein Schichteinzug</t>
  </si>
  <si>
    <t>gs_closure_type_int</t>
  </si>
  <si>
    <t>gs_cavity_side</t>
  </si>
  <si>
    <t>Schicht an Seite einziehen</t>
  </si>
  <si>
    <t>iCavityClosureSide</t>
  </si>
  <si>
    <t>gs_nTurn</t>
  </si>
  <si>
    <t>Einzuziehende Schichten</t>
  </si>
  <si>
    <t>gs_nTurnDir</t>
  </si>
  <si>
    <t>Schichten von</t>
  </si>
  <si>
    <t>Außenseite</t>
  </si>
  <si>
    <t>iCavityClosureTurnDir</t>
  </si>
  <si>
    <t>gs_cc_dutch_ShowLeft</t>
  </si>
  <si>
    <t>Schichteinzug auf Seite 2</t>
  </si>
  <si>
    <t>gs_cc_dutch_ShowRight</t>
  </si>
  <si>
    <t>Schichteinzug auf Seite 1</t>
  </si>
  <si>
    <t>gs_cc_dutch_ShowTop</t>
  </si>
  <si>
    <t>Schichteinzug oben</t>
  </si>
  <si>
    <t>gs_cc_dutch_ShowBottom</t>
  </si>
  <si>
    <t>Schichteinzug unten</t>
  </si>
  <si>
    <t>gs_cc_dutch_ClosureToSkin</t>
  </si>
  <si>
    <t>Schichteinzug zu Schicht</t>
  </si>
  <si>
    <t>gs_cc_dutch_ClosureToSide_str</t>
  </si>
  <si>
    <t>Schichteinzug von Seite</t>
  </si>
  <si>
    <t>gs_cc_dutch_ClosureToSide</t>
  </si>
  <si>
    <t>gs_cc_dutch_TurnToClosure</t>
  </si>
  <si>
    <t>Schicht einziehen zu Abschluss</t>
  </si>
  <si>
    <t>gs_cc_dutch_TurnToClosureOffs</t>
  </si>
  <si>
    <t>Abstand Schicht zu Abschluss</t>
  </si>
  <si>
    <t>gs_cc_dutch_widthJoint</t>
  </si>
  <si>
    <t>Anschluss Breite</t>
  </si>
  <si>
    <t>gs_cc_dutch_thkJoint</t>
  </si>
  <si>
    <t>Anschluss Dicke</t>
  </si>
  <si>
    <t>gs_bJoint</t>
  </si>
  <si>
    <t>Dichtungsband einfügen</t>
  </si>
  <si>
    <t>gs_showJoint</t>
  </si>
  <si>
    <t>Dichtungsband zeigen</t>
  </si>
  <si>
    <t>gs_thkJoint</t>
  </si>
  <si>
    <t>Streifen-Dicke</t>
  </si>
  <si>
    <t>gs_penJoint</t>
  </si>
  <si>
    <t>Kontur-Stift</t>
  </si>
  <si>
    <t>gs_ltJoint</t>
  </si>
  <si>
    <t>Kontur-Linientyp</t>
  </si>
  <si>
    <t>gs_fillJoint</t>
  </si>
  <si>
    <t>Schraffur-Typ</t>
  </si>
  <si>
    <t>gs_penJointFg</t>
  </si>
  <si>
    <t>Schraffur-Stift</t>
  </si>
  <si>
    <t>gs_penJointBg</t>
  </si>
  <si>
    <t>gs_cc_dutch_matJointCustom</t>
  </si>
  <si>
    <t>Eigenes Oberflächenmaterial</t>
  </si>
  <si>
    <t>gs_cc_dutch_matJoint</t>
  </si>
  <si>
    <t>Oberflächenmaterial</t>
  </si>
  <si>
    <t>gs_widthPlug</t>
  </si>
  <si>
    <t>Profil-Breite</t>
  </si>
  <si>
    <t>gs_penPlug</t>
  </si>
  <si>
    <t>gs_ltPlug</t>
  </si>
  <si>
    <t>gs_fillPlug</t>
  </si>
  <si>
    <t>gs_penPlugFg</t>
  </si>
  <si>
    <t>gs_penPlugBg</t>
  </si>
  <si>
    <t>gs_custom_cc_array_left</t>
  </si>
  <si>
    <t>Schicht-Daten Links</t>
  </si>
  <si>
    <t>gs_custom_cc_array_right</t>
  </si>
  <si>
    <t>Schicht-Daten Rechts</t>
  </si>
  <si>
    <t>iCustomCCEditJambSide</t>
  </si>
  <si>
    <t>Editierte Anschlagseite</t>
  </si>
  <si>
    <t>iCustomCCEditWallSide</t>
  </si>
  <si>
    <t>Editierte Wandseite</t>
  </si>
  <si>
    <t>iCustomCCEditSkin</t>
  </si>
  <si>
    <t>Schicht Nummer</t>
  </si>
  <si>
    <t>gs_custom_cc_turn_in</t>
  </si>
  <si>
    <t>Schicht einziehen</t>
  </si>
  <si>
    <t>gs_custom_cc_plaster</t>
  </si>
  <si>
    <t>Schicht als Putz ansehen</t>
  </si>
  <si>
    <t>iCustomCCThicknessType</t>
  </si>
  <si>
    <t>Einzugsdicke</t>
  </si>
  <si>
    <t>gs_custom_cc_thickness</t>
  </si>
  <si>
    <t>Eigene Dicke</t>
  </si>
  <si>
    <t>iCustomCCOrientation</t>
  </si>
  <si>
    <t>Ausrichtung Schraffur</t>
  </si>
  <si>
    <t>gs_custom_cc_separator</t>
  </si>
  <si>
    <t>Trennlinie am Einzug</t>
  </si>
  <si>
    <t>gs_custom_cc_separator_pen</t>
  </si>
  <si>
    <t>Stift Trennlinie</t>
  </si>
  <si>
    <t>gs_custom_cc_overhang</t>
  </si>
  <si>
    <t>Tiefe Schicht-Rahmen Überlappung</t>
  </si>
  <si>
    <t>gs_custom_cc_last_sel_side</t>
  </si>
  <si>
    <t>Letzte ausgewählte Seite</t>
  </si>
  <si>
    <t>gs_closure_auto_changed</t>
  </si>
  <si>
    <t>Abschlussart automatisch verändert</t>
  </si>
  <si>
    <t>gs_door_stack</t>
  </si>
  <si>
    <t>Reihung</t>
  </si>
  <si>
    <t>gs_stack_left</t>
  </si>
  <si>
    <t>Anschluss Links</t>
  </si>
  <si>
    <t>gs_stack_right</t>
  </si>
  <si>
    <t>Anschluss Rechts</t>
  </si>
  <si>
    <t>gs_stack_top</t>
  </si>
  <si>
    <t>Anschluss Oben</t>
  </si>
  <si>
    <t>Breite oben</t>
  </si>
  <si>
    <t>Namen Eigenes Paneel</t>
  </si>
  <si>
    <t>Rechteckig</t>
  </si>
  <si>
    <t>+</t>
  </si>
  <si>
    <t>gs_list_accessories</t>
  </si>
  <si>
    <t>Zubehör</t>
  </si>
  <si>
    <t>Bleieinlage</t>
  </si>
  <si>
    <t>Abschirmung gegen Strahlen</t>
  </si>
  <si>
    <t>Bodendichtung</t>
  </si>
  <si>
    <t>keine, standard, absenkbar</t>
  </si>
  <si>
    <t>Abdichtung im Sockelbereich</t>
  </si>
  <si>
    <t>Auflaufdichtung</t>
  </si>
  <si>
    <t>keine, standard, mit Aluminiumschwelle</t>
  </si>
  <si>
    <t>Kabelkanal</t>
  </si>
  <si>
    <t>Aufliegende Kabelführung</t>
  </si>
  <si>
    <t>Aufdopplung Türblatt</t>
  </si>
  <si>
    <t>zusätzliche Verstärkung</t>
  </si>
  <si>
    <t>Sockelblech</t>
  </si>
  <si>
    <t>kein,Aluminium, Edelstahl</t>
  </si>
  <si>
    <t>Verstärkung aus Metall im unteren Türbereich</t>
  </si>
  <si>
    <t>Zeiterfassung</t>
  </si>
  <si>
    <t>gs_list_nameplate</t>
  </si>
  <si>
    <t>Bezeichnungsschild</t>
  </si>
  <si>
    <t>Verglasung</t>
  </si>
  <si>
    <t>gs_pen_2D</t>
  </si>
  <si>
    <t>Rahmen-Aufsicht-Stift</t>
  </si>
  <si>
    <t>gs_frame_pen</t>
  </si>
  <si>
    <t>Rahmen-Stift</t>
  </si>
  <si>
    <t>gs_fillFr</t>
  </si>
  <si>
    <t>Rahmen-Schnittschraffur-Typ</t>
  </si>
  <si>
    <t>gs_penFr_fg</t>
  </si>
  <si>
    <t>Rahmen-Schnittschraffur-Stift</t>
  </si>
  <si>
    <t>gs_penFr_bg</t>
  </si>
  <si>
    <t>Rahmen-Schnittschraffurhintergrund-Stift</t>
  </si>
  <si>
    <t>gs_leaf_pen</t>
  </si>
  <si>
    <t>Türblatt-Stift</t>
  </si>
  <si>
    <t>gs_fillLeaf</t>
  </si>
  <si>
    <t>Schraffurtyp geschnitten Türblatt</t>
  </si>
  <si>
    <t>gs_penLeaf_fg</t>
  </si>
  <si>
    <t>Schraffur-Stift geschnitten Türblatt</t>
  </si>
  <si>
    <t>gs_penLeaf_bg</t>
  </si>
  <si>
    <t>Schraffurhintergrund-Stift geschnitten Türblatt</t>
  </si>
  <si>
    <t>gs_glass_pen</t>
  </si>
  <si>
    <t>Glas Linienstift Kontur</t>
  </si>
  <si>
    <t>gs_fillGlass</t>
  </si>
  <si>
    <t>Schraffurtyp Glas</t>
  </si>
  <si>
    <t>gs_penGlass_fg</t>
  </si>
  <si>
    <t>Schraffurstift Glas</t>
  </si>
  <si>
    <t>gs_penGlass_bg</t>
  </si>
  <si>
    <t>Schraffurstift Hintergrund Glas</t>
  </si>
  <si>
    <t>gs_glass_view_pen</t>
  </si>
  <si>
    <t>Linienstift Glas</t>
  </si>
  <si>
    <t>gs_fillShCover</t>
  </si>
  <si>
    <t>Schraffur-Typ Rahmen</t>
  </si>
  <si>
    <t>gs_penShCov_fg</t>
  </si>
  <si>
    <t>Schraffur-Stift Rahmen</t>
  </si>
  <si>
    <t>_trennzeile</t>
  </si>
  <si>
    <t>Verschiedenes</t>
  </si>
  <si>
    <t>penSIASymbolText</t>
  </si>
  <si>
    <t>Stift Text</t>
  </si>
  <si>
    <t>penSIASymbolLine</t>
  </si>
  <si>
    <t>Symbol-Stift</t>
  </si>
  <si>
    <t>SIASymbolFontStyle</t>
  </si>
  <si>
    <t>Marker-Text</t>
  </si>
  <si>
    <t>Arial</t>
  </si>
  <si>
    <t>SIASymbolFontSize</t>
  </si>
  <si>
    <t>Schriftgröße</t>
  </si>
  <si>
    <t>gs_trim_outside</t>
  </si>
  <si>
    <t>Außenverkleidung</t>
  </si>
  <si>
    <t>gs_trimtype_out</t>
  </si>
  <si>
    <t>Türfutter außen</t>
  </si>
  <si>
    <t>gs_trimtype_out_int</t>
  </si>
  <si>
    <t>iCasingHeadTypeOut</t>
  </si>
  <si>
    <t>Gehäuse Kopftyp</t>
  </si>
  <si>
    <t>bArchitraveCapital</t>
  </si>
  <si>
    <t>Querbalken oben</t>
  </si>
  <si>
    <t>iArchitraveCapitalType</t>
  </si>
  <si>
    <t>Querbalken Typ oben</t>
  </si>
  <si>
    <t>architraveCapitalWidth</t>
  </si>
  <si>
    <t>Querbalken oben Breite</t>
  </si>
  <si>
    <t>gs_trim_show_cover_out</t>
  </si>
  <si>
    <t>Verkleidung</t>
  </si>
  <si>
    <t>gs_trim_outside_uniform</t>
  </si>
  <si>
    <t>einheitliche Einfassungsbreiten</t>
  </si>
  <si>
    <t>gs_tw_right_out</t>
  </si>
  <si>
    <t>Breite Seite 1</t>
  </si>
  <si>
    <t>gs_tw_left_out</t>
  </si>
  <si>
    <t>Breite Seite 2</t>
  </si>
  <si>
    <t>gs_tw_top_out</t>
  </si>
  <si>
    <t>gs_trim_thk_out</t>
  </si>
  <si>
    <t>Dicke an Wand</t>
  </si>
  <si>
    <t>gs_trim_width_out</t>
  </si>
  <si>
    <t>Dicke in Wandloch</t>
  </si>
  <si>
    <t>gs_trim_offs_out</t>
  </si>
  <si>
    <t>Versatz</t>
  </si>
  <si>
    <t>gs_trim_jambext_nosing_out</t>
  </si>
  <si>
    <t>Auskragung</t>
  </si>
  <si>
    <t>gs_trimov_top_right_out</t>
  </si>
  <si>
    <t>Oberer Überstand</t>
  </si>
  <si>
    <t>gs_trim_pen_cont</t>
  </si>
  <si>
    <t>Futter Schnittlinienstift auf beiden Seiten</t>
  </si>
  <si>
    <t>gs_trim_fill_out</t>
  </si>
  <si>
    <t>Schraffur Zarge außen</t>
  </si>
  <si>
    <t>gs_trim_pen_fg_out</t>
  </si>
  <si>
    <t>Schraffurstift Zarge assuen</t>
  </si>
  <si>
    <t>gs_trim_pen_bg_out</t>
  </si>
  <si>
    <t>Stift Hintergr.schr. Verkleidung außen</t>
  </si>
  <si>
    <t>gs_trim_inside</t>
  </si>
  <si>
    <t>Innenverkleidung</t>
  </si>
  <si>
    <t>gs_trimtype_in</t>
  </si>
  <si>
    <t>Türfutter innen</t>
  </si>
  <si>
    <t>gs_trimtype_in_int</t>
  </si>
  <si>
    <t>gs_trim_show_cover_in</t>
  </si>
  <si>
    <t>gs_trim_inside_uniform</t>
  </si>
  <si>
    <t>gs_tw_right_in</t>
  </si>
  <si>
    <t>gs_tw_left_in</t>
  </si>
  <si>
    <t>gs_tw_top_in</t>
  </si>
  <si>
    <t>gs_trim_thk_in</t>
  </si>
  <si>
    <t>gs_trim_width_in</t>
  </si>
  <si>
    <t>gs_trim_offs_in</t>
  </si>
  <si>
    <t>gs_trim_jambext_nosing_in</t>
  </si>
  <si>
    <t>gs_trimov_top_right_in</t>
  </si>
  <si>
    <t>gs_trim_fill_in</t>
  </si>
  <si>
    <t>Schraffur Zarge innen</t>
  </si>
  <si>
    <t>gs_trim_pen_fg_in</t>
  </si>
  <si>
    <t>Schraffurstift Zarge innen</t>
  </si>
  <si>
    <t>gs_trim_pen_bg_in</t>
  </si>
  <si>
    <t>Hintergrundstift Zarge innen</t>
  </si>
  <si>
    <t>gs_penShCov_bg</t>
  </si>
  <si>
    <t>Schraffurhintergrund-Stift Rahmen</t>
  </si>
  <si>
    <t>gs_door_offnung</t>
  </si>
  <si>
    <t>Öffnung</t>
  </si>
  <si>
    <t>iDrawSimpleLeafTo</t>
  </si>
  <si>
    <t>Symbol ausrichten</t>
  </si>
  <si>
    <t>gs_open_2D</t>
  </si>
  <si>
    <t>Öffnungswinkel für Durchgangsflügel in 2D</t>
  </si>
  <si>
    <t>gs_open_2D_s</t>
  </si>
  <si>
    <t>Öffnungswinkel für Standflügel in 2D</t>
  </si>
  <si>
    <t>gs_open_3D</t>
  </si>
  <si>
    <t>Öffnungswinkel für Durchgangsflügel in 3D</t>
  </si>
  <si>
    <t>gs_open_3D_s</t>
  </si>
  <si>
    <t>Öffnungswinkel für Standflügel in 3D</t>
  </si>
  <si>
    <t>gs_bSameLineTypeForLeaves</t>
  </si>
  <si>
    <t>Gleicher Linientyp für Türblätter</t>
  </si>
  <si>
    <t>bOverride_MVO_2D</t>
  </si>
  <si>
    <t>Modelldarstell. für symbolische 2D-Darstellung überschreiben</t>
  </si>
  <si>
    <t>or_bOplines2D</t>
  </si>
  <si>
    <t>Öffnungslinien in 2D</t>
  </si>
  <si>
    <t>or_swingLineType</t>
  </si>
  <si>
    <t>Öffnungslinien-Typ</t>
  </si>
  <si>
    <t>or_swingLineType2</t>
  </si>
  <si>
    <t>Nebenöffnung Linientyp in 2D</t>
  </si>
  <si>
    <t>or_SwingType</t>
  </si>
  <si>
    <t>Öffnungslinien-Form</t>
  </si>
  <si>
    <t>Gebogen</t>
  </si>
  <si>
    <t>or_iSwingType</t>
  </si>
  <si>
    <t>or_SlidingType</t>
  </si>
  <si>
    <t>Kein</t>
  </si>
  <si>
    <t>or_iSlidingType</t>
  </si>
  <si>
    <t>or_opLinePen</t>
  </si>
  <si>
    <t>2D &amp; 3D Öffnungslinien-Stift</t>
  </si>
  <si>
    <t>or_iOpLinePen</t>
  </si>
  <si>
    <t>bOverride_MVO_3D</t>
  </si>
  <si>
    <t>Modelldarstell. für 3D-Darstellung überschreiben</t>
  </si>
  <si>
    <t>or_bOplines3d</t>
  </si>
  <si>
    <t>Öffnungslinie zeigen</t>
  </si>
  <si>
    <t>or_opLineType3dIn</t>
  </si>
  <si>
    <t>Linientyp Öffnungsseite</t>
  </si>
  <si>
    <t>Vollinie</t>
  </si>
  <si>
    <t>or_iOpLineType3dIn</t>
  </si>
  <si>
    <t>or_opLineType3dOut</t>
  </si>
  <si>
    <t>Linientyp Gegenüberliegende Seite</t>
  </si>
  <si>
    <t>Strichlinie</t>
  </si>
  <si>
    <t>or_iOpLineType3dOut</t>
  </si>
  <si>
    <t>or_opLineType3dSecondary</t>
  </si>
  <si>
    <t>Standflügel Linientyp in 3D</t>
  </si>
  <si>
    <t>or_iOpLineType3dSecondary</t>
  </si>
  <si>
    <t>Standflügel Linientyp</t>
  </si>
  <si>
    <t>or_oplineStyle</t>
  </si>
  <si>
    <t>Linien-Ausrichtung</t>
  </si>
  <si>
    <t>or_iOplineStyle</t>
  </si>
  <si>
    <t>gs_detail_level</t>
  </si>
  <si>
    <t>Detaillierungsgrad</t>
  </si>
  <si>
    <t>iDWDet2D</t>
  </si>
  <si>
    <t>Grundriss</t>
  </si>
  <si>
    <t>iDWDet3D</t>
  </si>
  <si>
    <t>3D</t>
  </si>
  <si>
    <t>iDWDetSE</t>
  </si>
  <si>
    <t>Schnitt / Ansicht</t>
  </si>
  <si>
    <t>iRevealOnSymbol</t>
  </si>
  <si>
    <t>Anschlag im Grundriss zeigen</t>
  </si>
  <si>
    <t>gs_bFills_Wallhole</t>
  </si>
  <si>
    <t>Schraffur Wandöffnung</t>
  </si>
  <si>
    <t>gs_wallhole_fill</t>
  </si>
  <si>
    <t>gs_wallhole_pen_fg</t>
  </si>
  <si>
    <t>gs_wallhole_pen_bg</t>
  </si>
  <si>
    <t>bEtikett</t>
  </si>
  <si>
    <t>Türkoten</t>
  </si>
  <si>
    <t>gs_etikett</t>
  </si>
  <si>
    <t>Sichtbarkeit Türbemaßung</t>
  </si>
  <si>
    <t>Modelldarstellungs-Optionen</t>
  </si>
  <si>
    <t>iEtikett</t>
  </si>
  <si>
    <t>iDWDimRawOpening</t>
  </si>
  <si>
    <t>Öffnung roh</t>
  </si>
  <si>
    <t>gs_mtext</t>
  </si>
  <si>
    <t>Text Öffnung roh</t>
  </si>
  <si>
    <t>gs_me</t>
  </si>
  <si>
    <t>Eigene Kote Öffnung roh</t>
  </si>
  <si>
    <t>iDWDimFinishedLintel</t>
  </si>
  <si>
    <t>Sturz fertig</t>
  </si>
  <si>
    <t>gs_ntext</t>
  </si>
  <si>
    <t>Text Fertig Sturz</t>
  </si>
  <si>
    <t>gs_n</t>
  </si>
  <si>
    <t>Eigene Kote Schwelle fertig</t>
  </si>
  <si>
    <t>iDWDimFinishedParapet</t>
  </si>
  <si>
    <t>OK Schwelle</t>
  </si>
  <si>
    <t>gs_qtext</t>
  </si>
  <si>
    <t>Text Schwelle Fertig</t>
  </si>
  <si>
    <t>gs_q</t>
  </si>
  <si>
    <t>iDWDimRawParapet</t>
  </si>
  <si>
    <t>gs_ptext</t>
  </si>
  <si>
    <t>Text Schwelle</t>
  </si>
  <si>
    <t>gs_P</t>
  </si>
  <si>
    <t>Eigene Kote Schwelle</t>
  </si>
  <si>
    <t>gs_Etikett_scaleValues</t>
  </si>
  <si>
    <t>Texteinstellung</t>
  </si>
  <si>
    <t>Maßstababhängig (Modellgröße)</t>
  </si>
  <si>
    <t>gs_Etikett_scaleValues_m</t>
  </si>
  <si>
    <t>Massstab</t>
  </si>
  <si>
    <t>fontType</t>
  </si>
  <si>
    <t>Schrifttyp</t>
  </si>
  <si>
    <t>gs_lsize</t>
  </si>
  <si>
    <t>Schriftgröße (modell)</t>
  </si>
  <si>
    <t>gs_Etikett_fontSize_mm</t>
  </si>
  <si>
    <t>Schriftgröße (papier)</t>
  </si>
  <si>
    <t>gs_koten_pen</t>
  </si>
  <si>
    <t>Dimension Stift Text</t>
  </si>
  <si>
    <t>gs_etx</t>
  </si>
  <si>
    <t>Position X</t>
  </si>
  <si>
    <t>gs_Etikett_xTextPos_m</t>
  </si>
  <si>
    <t>X Position (m)</t>
  </si>
  <si>
    <t>gs_Etikett_xTextPos_mm</t>
  </si>
  <si>
    <t>Position X (mm)</t>
  </si>
  <si>
    <t>gs_ety</t>
  </si>
  <si>
    <t>Position Y</t>
  </si>
  <si>
    <t>gs_Etikett_yTextPos_m</t>
  </si>
  <si>
    <t>Y Position (m)</t>
  </si>
  <si>
    <t>gs_Etikett_yTextPos_mm</t>
  </si>
  <si>
    <t>Position Y (mm)</t>
  </si>
  <si>
    <t>gs_autheight</t>
  </si>
  <si>
    <t>Automat. Zeilenabstand</t>
  </si>
  <si>
    <t>gs_heightuser</t>
  </si>
  <si>
    <t>Zeilenabstand (modell)</t>
  </si>
  <si>
    <t>gs_Etikett_lineSpace_mm</t>
  </si>
  <si>
    <t>Zeilenabstand (papier)</t>
  </si>
  <si>
    <t>gs_festb</t>
  </si>
  <si>
    <t>Feste breite in mm (0= autom.)</t>
  </si>
  <si>
    <t>angleRotate</t>
  </si>
  <si>
    <t>Drehwinkel</t>
  </si>
  <si>
    <t>bIDTextDisplayMode</t>
  </si>
  <si>
    <t>Zeige die ID im Grundriss</t>
  </si>
  <si>
    <t>gs_IDText_displayMode_m</t>
  </si>
  <si>
    <t>Beschriftung Türtyp</t>
  </si>
  <si>
    <t>gs_IDText_bAutoIDNumber</t>
  </si>
  <si>
    <t>Automatische Tür ID</t>
  </si>
  <si>
    <t>gs_IDText_stCustomText</t>
  </si>
  <si>
    <t>Eigener Text</t>
  </si>
  <si>
    <t>Eigene ID</t>
  </si>
  <si>
    <t>gs_IDText_bFlipMarker</t>
  </si>
  <si>
    <t>Marker spiegeln</t>
  </si>
  <si>
    <t>gs_IDText_bAdditionalValues</t>
  </si>
  <si>
    <t>Zusätzliche Werte zeigen (Öffnungsmass 1.20/1.50)</t>
  </si>
  <si>
    <t>gs_IDText_xTextPos</t>
  </si>
  <si>
    <t>Text Position X</t>
  </si>
  <si>
    <t>gs_IDText_yTextPos</t>
  </si>
  <si>
    <t>Text Position Y</t>
  </si>
  <si>
    <t>gs_IDText_xTextPos_mm</t>
  </si>
  <si>
    <t>Text Position X (mm)</t>
  </si>
  <si>
    <t>gs_IDText_yTextPos_mm</t>
  </si>
  <si>
    <t>Text Position Y (mm)</t>
  </si>
  <si>
    <t>gs_IDText_scaleValues</t>
  </si>
  <si>
    <t>gs_IDText_scaleValues_m</t>
  </si>
  <si>
    <t>gs_IDText_fontSize_mm</t>
  </si>
  <si>
    <t>gs_IDText_fontSize_model</t>
  </si>
  <si>
    <t>gs_IDText_fontType</t>
  </si>
  <si>
    <t>gs_IDText_fontPen</t>
  </si>
  <si>
    <t>Text-Stift</t>
  </si>
  <si>
    <t>gs_head_symbol</t>
  </si>
  <si>
    <t>Sturztiefe im Grundriss zeigen</t>
  </si>
  <si>
    <t>gs_head_symbol_line</t>
  </si>
  <si>
    <t>Sturztiefe Symbol- Linientyp</t>
  </si>
  <si>
    <t>gs_head_symbol_pen</t>
  </si>
  <si>
    <t>Sturztiefe Symbolstift</t>
  </si>
  <si>
    <t>gs_min_space</t>
  </si>
  <si>
    <t>Minimaler Platzbedarf</t>
  </si>
  <si>
    <t>msOpeningSideWidth1</t>
  </si>
  <si>
    <t>msOpeningSideWidth2</t>
  </si>
  <si>
    <t>ms_openingSDepth</t>
  </si>
  <si>
    <t>msOppositeSideWidth1</t>
  </si>
  <si>
    <t>msOppositeSideWidth2</t>
  </si>
  <si>
    <t>ms_oppositeSDepth</t>
  </si>
  <si>
    <t>gs_leaf_optype_m</t>
  </si>
  <si>
    <t>Offnungstyp</t>
  </si>
  <si>
    <t>gs_3D_representation</t>
  </si>
  <si>
    <t>3D-Darstellung</t>
  </si>
  <si>
    <t>gs_list_headdet</t>
  </si>
  <si>
    <t>Sturz Detail</t>
  </si>
  <si>
    <t>gs_list_jambdet</t>
  </si>
  <si>
    <t>Laibungsdetail</t>
  </si>
  <si>
    <t>gs_list_silldet</t>
  </si>
  <si>
    <t>Brüstung-Detail</t>
  </si>
  <si>
    <t>gs_list_cost</t>
  </si>
  <si>
    <t>Preis</t>
  </si>
  <si>
    <t>gs_list_glassarea</t>
  </si>
  <si>
    <t>Komplette Glasfläche</t>
  </si>
  <si>
    <t>gs_list_glassperimeter</t>
  </si>
  <si>
    <t>Umfang der Glasfläche</t>
  </si>
  <si>
    <t>FM_Type</t>
  </si>
  <si>
    <t>Türe</t>
  </si>
  <si>
    <t>iFMType</t>
  </si>
  <si>
    <t>FM_InventoryNumber</t>
  </si>
  <si>
    <t>Inventarnummer</t>
  </si>
  <si>
    <t>FM_SerialNumber</t>
  </si>
  <si>
    <t>Seriennummer</t>
  </si>
  <si>
    <t>gs_list_manufacturer</t>
  </si>
  <si>
    <t>FM_ProductionYear</t>
  </si>
  <si>
    <t>Herstellungsjahr</t>
  </si>
  <si>
    <t>gs_list_note</t>
  </si>
  <si>
    <t>Anmerkungen</t>
  </si>
  <si>
    <t>FM_ObjectWeight</t>
  </si>
  <si>
    <t>Gewicht</t>
  </si>
  <si>
    <t>FM_ObjectWeightUnit</t>
  </si>
  <si>
    <t>Gewichtseinheit</t>
  </si>
  <si>
    <t>kg</t>
  </si>
  <si>
    <t>gs_list</t>
  </si>
  <si>
    <t>gs_list_glazing</t>
  </si>
  <si>
    <t>gs_list_hwsetno</t>
  </si>
  <si>
    <t>Beschlag</t>
  </si>
  <si>
    <t>gs_list_hwkeyside</t>
  </si>
  <si>
    <t>Beschlag Schlüssel Rm. Nummer</t>
  </si>
  <si>
    <t>gs_list_optype</t>
  </si>
  <si>
    <t>Öffnungstyp</t>
  </si>
  <si>
    <t>gs_list_finish</t>
  </si>
  <si>
    <t>Belag</t>
  </si>
  <si>
    <t>gs_list_elevation</t>
  </si>
  <si>
    <t>Höhenlage</t>
  </si>
  <si>
    <t>gs_list_hings</t>
  </si>
  <si>
    <t>Türbänder</t>
  </si>
  <si>
    <t>gs_list_lockset</t>
  </si>
  <si>
    <t>Schloss</t>
  </si>
  <si>
    <t>gs_list_bInsulation</t>
  </si>
  <si>
    <t>gs_list_FR_bSelfClosing</t>
  </si>
  <si>
    <t>gs_list_bSmokeProtection</t>
  </si>
  <si>
    <t>Rauchschutz Tür</t>
  </si>
  <si>
    <t>gs_list_SmokeTestTemp</t>
  </si>
  <si>
    <t>Rauchprobe Temperatur</t>
  </si>
  <si>
    <t>gs_list_FR_indexSelfClosing</t>
  </si>
  <si>
    <t>Dämmung Index</t>
  </si>
  <si>
    <t>gs_list_firerating</t>
  </si>
  <si>
    <t>gs_list_acousticrating</t>
  </si>
  <si>
    <t>gs_list_heattransfer</t>
  </si>
  <si>
    <t>Wärmedurchgangskoeffizient</t>
  </si>
  <si>
    <t>gs_list_FR_expression</t>
  </si>
  <si>
    <t>Brandschutz Ausdruck</t>
  </si>
  <si>
    <t>gs_list_doorposition</t>
  </si>
  <si>
    <t>Tür Position</t>
  </si>
  <si>
    <t>gs_list_framestyle</t>
  </si>
  <si>
    <t>Rahmen Stil</t>
  </si>
  <si>
    <t>gs_list_thresholdtype</t>
  </si>
  <si>
    <t>gs_list_leaf</t>
  </si>
  <si>
    <t>Flügel</t>
  </si>
  <si>
    <t>gs_list_slot</t>
  </si>
  <si>
    <t>Aussparung</t>
  </si>
  <si>
    <t>gs_list_sealing</t>
  </si>
  <si>
    <t>Dichtungsystem</t>
  </si>
  <si>
    <t>gs_list_insertinto</t>
  </si>
  <si>
    <t>Einfügen in:</t>
  </si>
  <si>
    <t>gs_list_handlemanufacturer</t>
  </si>
  <si>
    <t>Griff-Hersteller</t>
  </si>
  <si>
    <t>gs_list_handletype</t>
  </si>
  <si>
    <t>Drückerart</t>
  </si>
  <si>
    <t>gs_list_lockcontrol</t>
  </si>
  <si>
    <t>Schließkontrolle</t>
  </si>
  <si>
    <t>gs_list_escaperoute</t>
  </si>
  <si>
    <t>gs_list_escaperoutemonitoring</t>
  </si>
  <si>
    <t>Fluchttür-Überwachung</t>
  </si>
  <si>
    <t>gs_list_doorcloser</t>
  </si>
  <si>
    <t>Obentürschließer (OTS)</t>
  </si>
  <si>
    <t>gs_list_doorcloser_sr</t>
  </si>
  <si>
    <t>Geschwindigkeitsreduzierender Türschließer</t>
  </si>
  <si>
    <t>gs_list_elekrtomecha_lock</t>
  </si>
  <si>
    <t>Elektromechanisches Schloss</t>
  </si>
  <si>
    <t>gs_list_dooropener_feedback</t>
  </si>
  <si>
    <t>Elektrischer Türöffner mit Rückmeldung</t>
  </si>
  <si>
    <t>gs_list_motoroperation</t>
  </si>
  <si>
    <t>Motorgetrieben/Stromverbrauch</t>
  </si>
  <si>
    <t>gs_onorm_Title</t>
  </si>
  <si>
    <t>gs_onorm_width_auto</t>
  </si>
  <si>
    <t>Breite Wert</t>
  </si>
  <si>
    <t>gs_onorm_width</t>
  </si>
  <si>
    <t>gs_onorm_height_auto</t>
  </si>
  <si>
    <t>Höhe Wert</t>
  </si>
  <si>
    <t>gs_onorm_height</t>
  </si>
  <si>
    <t>gs_onorm_firerating</t>
  </si>
  <si>
    <t>gs_transom_firerating</t>
  </si>
  <si>
    <t>Oberlichte</t>
  </si>
  <si>
    <t>gs_onorm_doornum</t>
  </si>
  <si>
    <t>Türnummer</t>
  </si>
  <si>
    <t>gs_onorm_locking</t>
  </si>
  <si>
    <t>Schließanlagen Nr.</t>
  </si>
  <si>
    <t>gs_onorm_mat1</t>
  </si>
  <si>
    <t>Material 1</t>
  </si>
  <si>
    <t>gs_onorm_mat2</t>
  </si>
  <si>
    <t>Material 2</t>
  </si>
  <si>
    <t>gs_onorm_col1</t>
  </si>
  <si>
    <t>Farbe 1</t>
  </si>
  <si>
    <t>gs_onorm_col2</t>
  </si>
  <si>
    <t>Farbe 2</t>
  </si>
  <si>
    <t>gs_onorm_surface</t>
  </si>
  <si>
    <t>Reinigungsfläche</t>
  </si>
  <si>
    <t>gs_onorm_reveal</t>
  </si>
  <si>
    <t>gs_onorm_frame</t>
  </si>
  <si>
    <t>gs_onorm_manufacturer</t>
  </si>
  <si>
    <t>gs_onorm_id</t>
  </si>
  <si>
    <t>ID-Nummer</t>
  </si>
  <si>
    <t>gs_onorm_doortype</t>
  </si>
  <si>
    <t>Tür-Art</t>
  </si>
  <si>
    <t>gs_onorm_sashnumber</t>
  </si>
  <si>
    <t>Anzahl Flügel</t>
  </si>
  <si>
    <t>gs_onorm_construction</t>
  </si>
  <si>
    <t>Konstruktion</t>
  </si>
  <si>
    <t>gs_onorm_glassarea</t>
  </si>
  <si>
    <t>Glaslichte</t>
  </si>
  <si>
    <t>gs_onorm_escape</t>
  </si>
  <si>
    <t>Fluchtweg</t>
  </si>
  <si>
    <t>gs_onorm_aks</t>
  </si>
  <si>
    <t>AKS-Nummer</t>
  </si>
  <si>
    <t>gs_onorm_product</t>
  </si>
  <si>
    <t>gs_onorm_leistungbuch</t>
  </si>
  <si>
    <t>Sammlung der Spezifikations-ID</t>
  </si>
  <si>
    <t>gs_onorm_description</t>
  </si>
  <si>
    <t>Beschreibung</t>
  </si>
  <si>
    <t>gs_onorm_customtext1</t>
  </si>
  <si>
    <t>Zusatzinformation 1</t>
  </si>
  <si>
    <t>gs_onorm_customtext2</t>
  </si>
  <si>
    <t>Zusatzinformation 2</t>
  </si>
  <si>
    <t>gs_onorm_acousticrating</t>
  </si>
  <si>
    <t>Mindestschallschutz</t>
  </si>
  <si>
    <t>gs_onorm_heattransfer</t>
  </si>
  <si>
    <t>gs_onorm_admission</t>
  </si>
  <si>
    <t>Datum Aufnahme</t>
  </si>
  <si>
    <t>gs_onorm_modification</t>
  </si>
  <si>
    <t>Datum Änderung</t>
  </si>
  <si>
    <t>gs_onorm_zoneinside_auto</t>
  </si>
  <si>
    <t>zu Raum ID innen Wert</t>
  </si>
  <si>
    <t>Eigene</t>
  </si>
  <si>
    <t>gs_onorm_zoneinside</t>
  </si>
  <si>
    <t>zu Raum ID innen</t>
  </si>
  <si>
    <t>gs_onorm_zoneoutside_auto</t>
  </si>
  <si>
    <t>zu Raum ID außen Wert</t>
  </si>
  <si>
    <t>gs_onorm_zoneoutside</t>
  </si>
  <si>
    <t>zu Raum ID außen</t>
  </si>
  <si>
    <t>ifc_optypestr</t>
  </si>
  <si>
    <t>IFC Betrieb</t>
  </si>
  <si>
    <t>Zweiflügeltür - Öffnungsflügel</t>
  </si>
  <si>
    <t>ifc_optype</t>
  </si>
  <si>
    <t>ifc_LiningDepth</t>
  </si>
  <si>
    <t>ifc_LiningThickness</t>
  </si>
  <si>
    <t>ifc_LiningOffset</t>
  </si>
  <si>
    <t>ifc_CasingDepth</t>
  </si>
  <si>
    <t>ifc_CasingThickness</t>
  </si>
  <si>
    <t>ifc_ThresholdDepth</t>
  </si>
  <si>
    <t>ifc_ThresholdThickness</t>
  </si>
  <si>
    <t>ifc_ThresholdOffset</t>
  </si>
  <si>
    <t>ifc_TransomOffset</t>
  </si>
  <si>
    <t>ifc_TransomThickness</t>
  </si>
  <si>
    <t>ifc_DoorPanel</t>
  </si>
  <si>
    <t>ac_details</t>
  </si>
  <si>
    <t>ac_left_oversize</t>
  </si>
  <si>
    <t>ac_right_oversize</t>
  </si>
  <si>
    <t>ac_upper_oversize</t>
  </si>
  <si>
    <t>ac_lower_oversize</t>
  </si>
  <si>
    <t>Graphisoft</t>
  </si>
  <si>
    <t>Builing Smart</t>
  </si>
  <si>
    <t>Beister / dormakaba</t>
  </si>
  <si>
    <t>in UI integriert</t>
  </si>
  <si>
    <t>Nur im Macro als Wertespeicher</t>
  </si>
  <si>
    <t>parameter ist</t>
  </si>
  <si>
    <t>parameter von</t>
  </si>
  <si>
    <t>VARIABLE</t>
  </si>
  <si>
    <t>NAME</t>
  </si>
  <si>
    <t>START VALUE</t>
  </si>
  <si>
    <t>Parameter angelegt?</t>
  </si>
  <si>
    <t>Wandkontur (0-Keine,1-Voll,2-Seite,3-Länge)</t>
  </si>
  <si>
    <t>Fixpunkte 0-Kein,1-2D,2-3D,3-Alle</t>
  </si>
  <si>
    <t>Untere Ebene</t>
  </si>
  <si>
    <t>Obere Ebene</t>
  </si>
  <si>
    <t>Darstellungseinstellung Grundr.</t>
  </si>
  <si>
    <t>Loch übernimmt Oberflächenmaterial der Wandseite</t>
  </si>
  <si>
    <t>Wandrichtungstyp</t>
  </si>
  <si>
    <t>Laibung zum Wandkern</t>
  </si>
  <si>
    <t>Öffnungsdirektion</t>
  </si>
  <si>
    <t>Heizkörpernische</t>
  </si>
  <si>
    <t>Türgrößen</t>
  </si>
  <si>
    <t>Türblatt Einstellungen</t>
  </si>
  <si>
    <t>Eigenes Paneel Name 2</t>
  </si>
  <si>
    <t>Türgriff</t>
  </si>
  <si>
    <t>Klinketyp</t>
  </si>
  <si>
    <t>Klinke 3</t>
  </si>
  <si>
    <t>Klinkentyp 2</t>
  </si>
  <si>
    <t>Eigener Griff</t>
  </si>
  <si>
    <t>Eigener Griff 2</t>
  </si>
  <si>
    <t>Klinkenhöhe</t>
  </si>
  <si>
    <t>Klinkenhöhe 2</t>
  </si>
  <si>
    <t>Klinkeposition</t>
  </si>
  <si>
    <t>Klinkeposition 2</t>
  </si>
  <si>
    <t>gs_door_oberlicht</t>
  </si>
  <si>
    <t>DoorTranso_sp0</t>
  </si>
  <si>
    <t>asz</t>
  </si>
  <si>
    <t>Seitenfeld 1 Breite</t>
  </si>
  <si>
    <t>sidelightWidthLeft</t>
  </si>
  <si>
    <t>Seitenfeld 2 Breite</t>
  </si>
  <si>
    <t>Türrahmen</t>
  </si>
  <si>
    <t>Oberflächenmaterialien</t>
  </si>
  <si>
    <t>Normal</t>
  </si>
  <si>
    <t>Fensterbank Außen</t>
  </si>
  <si>
    <t>Projektion Sturz</t>
  </si>
  <si>
    <t>Keilsteinbreite</t>
  </si>
  <si>
    <t>Überhang Keilstein</t>
  </si>
  <si>
    <t>Projektion Keilstein</t>
  </si>
  <si>
    <t>Keine Laibung - Ecke</t>
  </si>
  <si>
    <t>Wandputz einziehen</t>
  </si>
  <si>
    <t>Öffnungsseite Breite 2</t>
  </si>
  <si>
    <t>Öffnungsseite Breite 1</t>
  </si>
  <si>
    <t>Öffnungsseite Tiefe</t>
  </si>
  <si>
    <t>Gegenüberliegende Seite Breite 2</t>
  </si>
  <si>
    <t>Gegenüberliegende Seite Breite 1</t>
  </si>
  <si>
    <t>Gegenüberliegende Seite Tiefe</t>
  </si>
  <si>
    <t>Berechnete Übergrößen</t>
  </si>
  <si>
    <t>AC Linkes Öffnungsübermaß</t>
  </si>
  <si>
    <t>AC Rechtes Öffnungsübermaß</t>
  </si>
  <si>
    <t>AC Oberes Öffnungsübermaß</t>
  </si>
  <si>
    <t>AC Unteres Öffnungsübermaß</t>
  </si>
  <si>
    <t>Bearbeitende Fixpunkte</t>
  </si>
  <si>
    <t>Seitenfeld-Breite</t>
  </si>
  <si>
    <t>Bilder</t>
  </si>
  <si>
    <t>Listenparameter</t>
  </si>
  <si>
    <t>Objektteil/Lage</t>
  </si>
  <si>
    <t>Türausrichtung</t>
  </si>
  <si>
    <t>gs_list_damparea</t>
  </si>
  <si>
    <t>Feuchtraum / Nassraum</t>
  </si>
  <si>
    <t>Norm-Listenparameter</t>
  </si>
  <si>
    <t>Tür-001</t>
  </si>
  <si>
    <t>DESCRIPTION (NAME)</t>
  </si>
  <si>
    <t>ALTERNATIVE
PARAMETER
NAME (e.g. IFC)</t>
  </si>
  <si>
    <t>TRANSLATION 1
(DESCRIPTION)</t>
  </si>
  <si>
    <t>TRANSLATION 2
(DESCRIPTION)</t>
  </si>
  <si>
    <t>Sprachversion Interface</t>
  </si>
  <si>
    <t>[indexname]</t>
  </si>
  <si>
    <t>dka_plate_mat</t>
  </si>
  <si>
    <t>dka_handle_penC2</t>
  </si>
  <si>
    <t>dka_handle_penF</t>
  </si>
  <si>
    <t>dka_handle_penB</t>
  </si>
  <si>
    <t>dka_handle_fill</t>
  </si>
  <si>
    <t>dka_handle_mat</t>
  </si>
  <si>
    <t>dka_penC</t>
  </si>
  <si>
    <t>dka_penF</t>
  </si>
  <si>
    <t>dka_penB</t>
  </si>
  <si>
    <t>dka_fill</t>
  </si>
  <si>
    <t>dka_frame_penF</t>
  </si>
  <si>
    <t>dka_frame_penB</t>
  </si>
  <si>
    <t>dka_frame_fill</t>
  </si>
  <si>
    <t>VB</t>
  </si>
  <si>
    <t>Ausschnittfelder</t>
  </si>
  <si>
    <t>dk_panel_segments</t>
  </si>
  <si>
    <t>dk_panel_division</t>
  </si>
  <si>
    <t>dk_panel_bar</t>
  </si>
  <si>
    <t>dk_panel_filling</t>
  </si>
  <si>
    <t>Türblatt Abmessungen</t>
  </si>
  <si>
    <t>dk_panel_filling_thk</t>
  </si>
  <si>
    <t>dka_handle_penC3</t>
  </si>
  <si>
    <t>dka_frame_penC2</t>
  </si>
  <si>
    <t>dka_side1_penF</t>
  </si>
  <si>
    <t>dka_side1_penB</t>
  </si>
  <si>
    <t>dka_side1_fill</t>
  </si>
  <si>
    <t>dka_frame_mat_BS</t>
  </si>
  <si>
    <t>dka_frame_penC3</t>
  </si>
  <si>
    <t>dka_side2_penF</t>
  </si>
  <si>
    <t>dka_side2_penB</t>
  </si>
  <si>
    <t>dka_side2_fill</t>
  </si>
  <si>
    <t>dka_frame_mat_BGS</t>
  </si>
  <si>
    <t>dka_panel_penC2</t>
  </si>
  <si>
    <t>dka_panel_penF</t>
  </si>
  <si>
    <t>dka_panel_penB</t>
  </si>
  <si>
    <t>dka_panel_fill</t>
  </si>
  <si>
    <t>dka_side1_mat_BS</t>
  </si>
  <si>
    <t>dka_panel_penC3</t>
  </si>
  <si>
    <t>dka_panelfill1_penF</t>
  </si>
  <si>
    <t>dka_panelfill1_penB</t>
  </si>
  <si>
    <t>dka_panelfill1_fill</t>
  </si>
  <si>
    <t>dka_side1_mat_BGS</t>
  </si>
  <si>
    <t>dka_panelfill2_penF</t>
  </si>
  <si>
    <t>dka_panelfill2_penB</t>
  </si>
  <si>
    <t>dka_panelfill2_fill</t>
  </si>
  <si>
    <t>dka_side2_mat_BS</t>
  </si>
  <si>
    <t>dka_panelfill3_penF</t>
  </si>
  <si>
    <t>dka_panelfill3_penB</t>
  </si>
  <si>
    <t>dka_panelfill3_fill</t>
  </si>
  <si>
    <t>dka_side2_mat_BGS</t>
  </si>
  <si>
    <t>dka_fan_mat_BS</t>
  </si>
  <si>
    <t>dka_fan_mat_BGS</t>
  </si>
  <si>
    <t>dka_panel_mat_BS</t>
  </si>
  <si>
    <t>dka_panel_mat_BGS</t>
  </si>
  <si>
    <t>dka_panelfill1_mat_BS</t>
  </si>
  <si>
    <t>dka_panelfill1_mat_BGS</t>
  </si>
  <si>
    <t>dka_panelfill2_mat_BS</t>
  </si>
  <si>
    <t>dka_panelfill2_mat_BGS</t>
  </si>
  <si>
    <t>dka_panelfill3_mat_BS</t>
  </si>
  <si>
    <t>dka_panelfill3_mat_BGS</t>
  </si>
  <si>
    <t>bs_leaf_overhang</t>
  </si>
  <si>
    <t>Überstand Türblatt zu Zarge</t>
  </si>
  <si>
    <t>dki_Falz1</t>
  </si>
  <si>
    <t>dki_Falz2</t>
  </si>
  <si>
    <t>dk_panel_folding_ancor</t>
  </si>
  <si>
    <t>dk_panel_folding_gap</t>
  </si>
  <si>
    <t>Fuge Türblatt zu Zarge</t>
  </si>
  <si>
    <t>Lage Türblatt zu Zarge</t>
  </si>
  <si>
    <t>dk_panel_folding_gap2</t>
  </si>
  <si>
    <t>Fuge Türblatt an Mittelfuge</t>
  </si>
  <si>
    <t>dk_panel_folding_dimensions</t>
  </si>
  <si>
    <t>dki_Mittelfalz1</t>
  </si>
  <si>
    <t>dki_Mittelfalz2</t>
  </si>
  <si>
    <t>dki_Mittelfalz3</t>
  </si>
  <si>
    <t>dk_panel_folding_nmbr</t>
  </si>
  <si>
    <t>Falz an Mittelfuge</t>
  </si>
  <si>
    <t>Abmessungen Mittelfalz Doppelflügel</t>
  </si>
  <si>
    <t>dk_panel_filling2</t>
  </si>
  <si>
    <t>dk_panel_filling_thk2</t>
  </si>
  <si>
    <t>dk_panel_division2</t>
  </si>
  <si>
    <t>dk_panel_bar2</t>
  </si>
  <si>
    <t>dka_panel2fill1_penF</t>
  </si>
  <si>
    <t>dka_panel2fill2_penF</t>
  </si>
  <si>
    <t>dka_panel2fill3_penF</t>
  </si>
  <si>
    <t>dka_panel2fill1_penB</t>
  </si>
  <si>
    <t>dka_panel2fill2_penB</t>
  </si>
  <si>
    <t>dka_panel2fill3_penB</t>
  </si>
  <si>
    <t>dka_panel2fill3_fill</t>
  </si>
  <si>
    <t>dka_panel2fill2_fill</t>
  </si>
  <si>
    <t>dka_panel2fill1_fill</t>
  </si>
  <si>
    <t>dka_panel2_mat_BS</t>
  </si>
  <si>
    <t>dka_panel2_mat_BGS</t>
  </si>
  <si>
    <t>dka_panel2fill1_mat_BS</t>
  </si>
  <si>
    <t>dka_panel2fill1_mat_BGS</t>
  </si>
  <si>
    <t>dka_panel2fill2_mat_BS</t>
  </si>
  <si>
    <t>dka_panel2fill2_mat_BGS</t>
  </si>
  <si>
    <t>dka_panel2fill3_mat_BS</t>
  </si>
  <si>
    <t>dka_panel2fill3_mat_BGS</t>
  </si>
  <si>
    <t>dk_panel_division_bottom</t>
  </si>
  <si>
    <t>Untere Panelteilung</t>
  </si>
  <si>
    <t>dk_panel_division_top</t>
  </si>
  <si>
    <t>Obere Panelteilung</t>
  </si>
  <si>
    <t>dk_opening2D</t>
  </si>
  <si>
    <t>Öffnungslinien Grundriss</t>
  </si>
  <si>
    <t>dorma_call</t>
  </si>
  <si>
    <t>Macro Call Settings</t>
  </si>
  <si>
    <t>macro_runtype</t>
  </si>
  <si>
    <t>Parameter to specify the question</t>
  </si>
  <si>
    <t>UIpage_number</t>
  </si>
  <si>
    <t>Number of pages for output</t>
  </si>
  <si>
    <t>Uipage</t>
  </si>
  <si>
    <t>Page number</t>
  </si>
  <si>
    <t>UIpage_parent</t>
  </si>
  <si>
    <t>Parent page number</t>
  </si>
  <si>
    <t>dk_opening3D</t>
  </si>
  <si>
    <t>Öffnungslinien in 3D</t>
  </si>
  <si>
    <t>dk_openingSA</t>
  </si>
  <si>
    <t>Öffnungslinien in Schnitten+Ansichten</t>
  </si>
  <si>
    <t>Öffnungslinien-Typ Bandseite</t>
  </si>
  <si>
    <t>Öffnungslinien-Typ Bandgegenseite</t>
  </si>
  <si>
    <t>Öffnungslinien-Typ Standflügel</t>
  </si>
  <si>
    <t>dk_openLineType_BS</t>
  </si>
  <si>
    <t>dk_openLineType_BGS</t>
  </si>
  <si>
    <t>dk_openLineType_SF</t>
  </si>
  <si>
    <t>dka_opline2D</t>
  </si>
  <si>
    <t>dka_opline3D</t>
  </si>
  <si>
    <t>dka_oplineSA</t>
  </si>
  <si>
    <t>dk_open_leaf</t>
  </si>
  <si>
    <t>Öffnungswinkel Türblätter</t>
  </si>
  <si>
    <t>dka_leaf_angle2D</t>
  </si>
  <si>
    <t>dka_leaf2_angle2D</t>
  </si>
  <si>
    <t>dka_leaf_angleSA</t>
  </si>
  <si>
    <t>dka_leaf2_angleSA</t>
  </si>
  <si>
    <t>dka_leaf_angle3D</t>
  </si>
  <si>
    <t>dka_leaf2_angle3D</t>
  </si>
  <si>
    <t>htspt</t>
  </si>
  <si>
    <t>Fangpunktindex</t>
  </si>
  <si>
    <t>dk_panel_fill_offset</t>
  </si>
  <si>
    <t>Ausmitte Füllung</t>
  </si>
  <si>
    <t>dk_fries_ancor</t>
  </si>
  <si>
    <t>Friesbreite # Rahmenbreite (von Falzseite/BGS gemessen)</t>
  </si>
  <si>
    <t>dk_frame_gasket_thk</t>
  </si>
  <si>
    <t>dk_panel_gasket_thk</t>
  </si>
  <si>
    <t>Dicke Dichtung an Zarge</t>
  </si>
  <si>
    <t>Dichtungsstärke Türblatt an Mittelfuge</t>
  </si>
  <si>
    <t>bz_tiefe</t>
  </si>
  <si>
    <t>Zargentiefe</t>
  </si>
  <si>
    <t>bz_typ_einzug</t>
  </si>
  <si>
    <t>Typ Einzug Blockzarge</t>
  </si>
  <si>
    <t>bz_einzug</t>
  </si>
  <si>
    <t>Einzug Blockzarge BS</t>
  </si>
  <si>
    <t>wall_shell_thk_1</t>
  </si>
  <si>
    <t>Bekleidungsdicke auf Bandseite</t>
  </si>
  <si>
    <t>wall_shell_thk_2</t>
  </si>
  <si>
    <t>Bekleidungsdicke auf Bandgegenseite</t>
  </si>
  <si>
    <t>dk_different_frame_thk</t>
  </si>
  <si>
    <t>Unterschiedliche Rahmenstärken</t>
  </si>
  <si>
    <t>dk_frame_thk_post</t>
  </si>
  <si>
    <t>Rahmenstärke Pfosten</t>
  </si>
  <si>
    <t>dk_frame_thk_upper</t>
  </si>
  <si>
    <t>Rahmenstärke oben</t>
  </si>
  <si>
    <t>dk_frame_thk_bottom</t>
  </si>
  <si>
    <t>Rahmenstärke unten</t>
  </si>
  <si>
    <t>dk_frame_thk_transom</t>
  </si>
  <si>
    <t>Rahmenstärke Kämpfer</t>
  </si>
  <si>
    <t>dk_frame_thk_EZ</t>
  </si>
  <si>
    <t>Rahmenstärke Eckzarge</t>
  </si>
  <si>
    <t>bs_sidelight_filling_thk1</t>
  </si>
  <si>
    <t>Dicke Seitenfeldfüllung 1</t>
  </si>
  <si>
    <t>bs_sidelight_filling_thk2</t>
  </si>
  <si>
    <t>Dicke Seitenfeldfüllung 2</t>
  </si>
  <si>
    <t>dka_topview_penC2</t>
  </si>
  <si>
    <t>dka_topview_penF</t>
  </si>
  <si>
    <t>dka_topview_penB</t>
  </si>
  <si>
    <t>dka_topview_fill</t>
  </si>
  <si>
    <t>bs_spiegel_br_bs</t>
  </si>
  <si>
    <t>bs_spiegel_br_bgs</t>
  </si>
  <si>
    <t>bs_spiegel_br_ob_bs</t>
  </si>
  <si>
    <t>bs_inner_frame</t>
  </si>
  <si>
    <t>Seiten mit Profil um Türblatt</t>
  </si>
  <si>
    <t>dk_design_folding_depth</t>
  </si>
  <si>
    <t>Tiefe Zierfalz</t>
  </si>
  <si>
    <t>bs_spiegel_br_ob_bgs</t>
  </si>
  <si>
    <t>dk_matSchwarz</t>
  </si>
  <si>
    <t>Schwarzes Material</t>
  </si>
  <si>
    <t>Band Hersteller</t>
  </si>
  <si>
    <t>bs_hinge_manufacturer</t>
  </si>
  <si>
    <t>bs_hinge_model</t>
  </si>
  <si>
    <t>bs_hinge_type</t>
  </si>
  <si>
    <t>Rollendurchmesser</t>
  </si>
  <si>
    <t>bs_hinge_material</t>
  </si>
  <si>
    <t>bs_hinge_adjust</t>
  </si>
  <si>
    <t>bs_hinge_nmbr</t>
  </si>
  <si>
    <t>bs_hinge_reel_diameter</t>
  </si>
  <si>
    <t>bs_hinge_surface</t>
  </si>
  <si>
    <t>bs_hinge_height</t>
  </si>
  <si>
    <t>Gesamthöhe eines Bandes</t>
  </si>
  <si>
    <t>bs_hinge_safety_pin</t>
  </si>
  <si>
    <t>Breite Aufsatz</t>
  </si>
  <si>
    <t>bs_hinge_fixture_width</t>
  </si>
  <si>
    <t>Höhe Aufsatz</t>
  </si>
  <si>
    <t>bs_hinge_fixture_height</t>
  </si>
  <si>
    <t>dka_hinge_mat</t>
  </si>
  <si>
    <t>Stahl</t>
  </si>
  <si>
    <t>Verdecktes Band</t>
  </si>
  <si>
    <t>Fitschenband</t>
  </si>
  <si>
    <t>V</t>
  </si>
  <si>
    <t>E</t>
  </si>
  <si>
    <t>Edelstahl</t>
  </si>
  <si>
    <t>Aluminium</t>
  </si>
  <si>
    <t>ST</t>
  </si>
  <si>
    <t>ES</t>
  </si>
  <si>
    <t>AL</t>
  </si>
  <si>
    <t>-</t>
  </si>
  <si>
    <t>unbehandelt</t>
  </si>
  <si>
    <t>L</t>
  </si>
  <si>
    <t>Lackiert</t>
  </si>
  <si>
    <t>Pulverbeschichtet</t>
  </si>
  <si>
    <t>Z</t>
  </si>
  <si>
    <t>Verzinkt</t>
  </si>
  <si>
    <t>Vergoldet</t>
  </si>
  <si>
    <t>Eloxiert</t>
  </si>
  <si>
    <t>Titanisiert</t>
  </si>
  <si>
    <t>Verchromt</t>
  </si>
  <si>
    <t>Vernickelt</t>
  </si>
  <si>
    <t>N</t>
  </si>
  <si>
    <t>2D</t>
  </si>
  <si>
    <t>Bandabstand 3. Band</t>
  </si>
  <si>
    <t>Für aufgesetzte Befestigungslaschen</t>
  </si>
  <si>
    <t>Einbohrband dreiteilig</t>
  </si>
  <si>
    <t>O2</t>
  </si>
  <si>
    <t>O3</t>
  </si>
  <si>
    <t>E2</t>
  </si>
  <si>
    <t>E3</t>
  </si>
  <si>
    <t>Paumelle</t>
  </si>
  <si>
    <t>bs_hinge2_distance</t>
  </si>
  <si>
    <t>Abstand 2. Bandachse</t>
  </si>
  <si>
    <t>G1</t>
  </si>
  <si>
    <t>PL</t>
  </si>
  <si>
    <t>bs_hinge_pos3</t>
  </si>
  <si>
    <t>bs_hinge_pos4</t>
  </si>
  <si>
    <t>Bandabstand 4. Band</t>
  </si>
  <si>
    <t>bs_hinge_chuck</t>
  </si>
  <si>
    <t>Bandaufnahme Produktangabe</t>
  </si>
  <si>
    <t>XX</t>
  </si>
  <si>
    <t>Sondermaterial</t>
  </si>
  <si>
    <t>X</t>
  </si>
  <si>
    <t>Einbohrband zweiteilig</t>
  </si>
  <si>
    <t>Universalband zweiteilig</t>
  </si>
  <si>
    <t>Universalband dreiteilig</t>
  </si>
  <si>
    <t>U2</t>
  </si>
  <si>
    <t>U3</t>
  </si>
  <si>
    <t>Konstruktionsband zweiteilig</t>
  </si>
  <si>
    <t>Konstruktionsband dreiteilig</t>
  </si>
  <si>
    <t>K2</t>
  </si>
  <si>
    <t>K3</t>
  </si>
  <si>
    <t>eingebohrt</t>
  </si>
  <si>
    <t>aufgeschraubt</t>
  </si>
  <si>
    <t>eingestemmt</t>
  </si>
  <si>
    <t>angeschweißt</t>
  </si>
  <si>
    <t>Bandaufnahme</t>
  </si>
  <si>
    <t>bs_panel_material</t>
  </si>
  <si>
    <t>Türblatt Material</t>
  </si>
  <si>
    <t>H</t>
  </si>
  <si>
    <t>bs_frame_material</t>
  </si>
  <si>
    <t>bs_FrameRebate_width</t>
  </si>
  <si>
    <t>Zargenfalzmaß Breite</t>
  </si>
  <si>
    <t>Breite auf Zargenfalz gemessen</t>
  </si>
  <si>
    <t>bs_FrameRebate_height</t>
  </si>
  <si>
    <t>Zargenfalzmaß Höhe</t>
  </si>
  <si>
    <t>Höhe auf Zargenfalz gemessen</t>
  </si>
  <si>
    <t>Gebürstet</t>
  </si>
  <si>
    <t>Geschliffen</t>
  </si>
  <si>
    <t>T</t>
  </si>
  <si>
    <t>Getrommelt</t>
  </si>
  <si>
    <t>Poliert</t>
  </si>
  <si>
    <t>Sonderoberfläche</t>
  </si>
  <si>
    <t>dka_panel_bandings_mat</t>
  </si>
  <si>
    <t>dka_automation_mat</t>
  </si>
  <si>
    <t>dka_grip_mat_BS1</t>
  </si>
  <si>
    <t>dka_grip_mat_BS2</t>
  </si>
  <si>
    <t>dka_grip_mat_BGS1</t>
  </si>
  <si>
    <t>dka_grip_mat_BGS2</t>
  </si>
  <si>
    <t>dka_panel2_bandings_mat</t>
  </si>
  <si>
    <t>dka_closer_mat</t>
  </si>
  <si>
    <t>dk_frametype</t>
  </si>
  <si>
    <t>Zargentyp Kürzel</t>
  </si>
  <si>
    <t>ZU</t>
  </si>
  <si>
    <t>BO</t>
  </si>
  <si>
    <t>SW</t>
  </si>
  <si>
    <t>BA</t>
  </si>
  <si>
    <t>AG</t>
  </si>
  <si>
    <t>PT</t>
  </si>
  <si>
    <t>Profiltürband</t>
  </si>
  <si>
    <t>Zapfenband</t>
  </si>
  <si>
    <t>PA</t>
  </si>
  <si>
    <t>FB</t>
  </si>
  <si>
    <t>ZB</t>
  </si>
  <si>
    <t>VD</t>
  </si>
  <si>
    <t>Objekt-/Rollenband zweiteilig</t>
  </si>
  <si>
    <t>Objekt-/Rollenband dreiteilig</t>
  </si>
  <si>
    <t>individuell</t>
  </si>
  <si>
    <t>dk_estimatedWeight</t>
  </si>
  <si>
    <t>Berechnetes, abgeschätztes Gewicht Gangflügel</t>
  </si>
  <si>
    <t>dk_estimatedWeight2</t>
  </si>
  <si>
    <t>Berechnetes, abgeschätztes Gewicht Standflügel</t>
  </si>
  <si>
    <t>bs_door_closer</t>
  </si>
  <si>
    <t>Türschließer / Feststellanlage</t>
  </si>
  <si>
    <t>bs_closer_type</t>
  </si>
  <si>
    <t>Schließertyp</t>
  </si>
  <si>
    <t>OTS</t>
  </si>
  <si>
    <t>bs_slider_system</t>
  </si>
  <si>
    <t>Schließsystem</t>
  </si>
  <si>
    <t>bs_closer_manufacturer</t>
  </si>
  <si>
    <t>Schließer Hersteller</t>
  </si>
  <si>
    <t>Dormakaba</t>
  </si>
  <si>
    <t>bs_closer2</t>
  </si>
  <si>
    <t>Schließer auf Bedarfsflügel</t>
  </si>
  <si>
    <t>bs_closer_model</t>
  </si>
  <si>
    <t>Schließer Produktangabe</t>
  </si>
  <si>
    <t>TS 93 G EN 2-5</t>
  </si>
  <si>
    <t>bs_closer_model2</t>
  </si>
  <si>
    <t>Schließer Produktangabe Standflügel</t>
  </si>
  <si>
    <t>bs_slider_model</t>
  </si>
  <si>
    <t>Gleitschiene Produktangabe</t>
  </si>
  <si>
    <t>bs_slider_model2</t>
  </si>
  <si>
    <t>Gleitschiene Produktangabe Standflügel</t>
  </si>
  <si>
    <t>bs_closer_orientation</t>
  </si>
  <si>
    <t>Montageseite</t>
  </si>
  <si>
    <t>bs_closer_orientation2</t>
  </si>
  <si>
    <t>Montageseite Standflügel</t>
  </si>
  <si>
    <t>bs_closer_position</t>
  </si>
  <si>
    <t>Montageposition</t>
  </si>
  <si>
    <t>bs_closer_position2</t>
  </si>
  <si>
    <t>Montageposition Standflügel</t>
  </si>
  <si>
    <t>bs_closer_force</t>
  </si>
  <si>
    <t>Schließkraftstärke Gangflügel EN</t>
  </si>
  <si>
    <t>bs_closer_force2</t>
  </si>
  <si>
    <t>Schließkraftstärke Standflügel EN</t>
  </si>
  <si>
    <t>bs_closer_delay</t>
  </si>
  <si>
    <t>Schließverzögerung (Freilauf)</t>
  </si>
  <si>
    <t>bs_closing_order</t>
  </si>
  <si>
    <t xml:space="preserve">Schließfolgeregelung </t>
  </si>
  <si>
    <t>bs_opening_limitation</t>
  </si>
  <si>
    <t>Öffnungsbegrenzung</t>
  </si>
  <si>
    <t>bs_opening_limitation2</t>
  </si>
  <si>
    <t>Öffnungsbegrenzung Standflügel</t>
  </si>
  <si>
    <t>bs_closer_damping</t>
  </si>
  <si>
    <t>Öffnungsdämpfung</t>
  </si>
  <si>
    <t>bs_closer_damping2</t>
  </si>
  <si>
    <t>Öffnungsdämpfung Standflügel</t>
  </si>
  <si>
    <t>bs_closer_manual</t>
  </si>
  <si>
    <t>Handauslösung</t>
  </si>
  <si>
    <t>bs_closer_actuator</t>
  </si>
  <si>
    <t>Mitnehmerklappe</t>
  </si>
  <si>
    <t>bs_closer_fix</t>
  </si>
  <si>
    <t>Feststellfunktion</t>
  </si>
  <si>
    <t>bs_closer_fix2</t>
  </si>
  <si>
    <t>Feststellfunktion Standflügel</t>
  </si>
  <si>
    <t>bs_closer_material</t>
  </si>
  <si>
    <t>Schließer Material</t>
  </si>
  <si>
    <t>bs_closer_material2</t>
  </si>
  <si>
    <t>Schließer Material Standflügel</t>
  </si>
  <si>
    <t>bs_closer_surface</t>
  </si>
  <si>
    <t>Schließer Oberfläche</t>
  </si>
  <si>
    <t>bs_closer_surface2</t>
  </si>
  <si>
    <t>Schließer Oberfläche Standflügel</t>
  </si>
  <si>
    <t>_ZFM_</t>
  </si>
  <si>
    <t>_RASTER_</t>
  </si>
  <si>
    <t>bs_hinge_pos1</t>
  </si>
  <si>
    <t>bs_hinge_pos2</t>
  </si>
  <si>
    <t>bs_hinge_DIN</t>
  </si>
  <si>
    <t>1. und 2. Band nach DIN?</t>
  </si>
  <si>
    <t>Bandbezugslinie</t>
  </si>
  <si>
    <t>Bandabstand 2. Band</t>
  </si>
  <si>
    <t>Englisch</t>
  </si>
  <si>
    <t>uiTXT</t>
  </si>
  <si>
    <t>PARAMETERS:</t>
  </si>
  <si>
    <r>
      <t xml:space="preserve">Create complete </t>
    </r>
    <r>
      <rPr>
        <b/>
        <sz val="11"/>
        <color indexed="8"/>
        <rFont val="Arial"/>
        <family val="2"/>
      </rPr>
      <t>Parameter List</t>
    </r>
    <r>
      <rPr>
        <sz val="11"/>
        <color indexed="8"/>
        <rFont val="Arial"/>
        <family val="2"/>
      </rPr>
      <t xml:space="preserve"> for GDL object</t>
    </r>
  </si>
  <si>
    <r>
      <t xml:space="preserve">Create </t>
    </r>
    <r>
      <rPr>
        <b/>
        <sz val="11"/>
        <color indexed="8"/>
        <rFont val="Arial"/>
        <family val="2"/>
      </rPr>
      <t>XML-File</t>
    </r>
    <r>
      <rPr>
        <sz val="11"/>
        <color indexed="8"/>
        <rFont val="Arial"/>
        <family val="2"/>
      </rPr>
      <t xml:space="preserve"> of parameters to load in ArchiCAD properties</t>
    </r>
  </si>
  <si>
    <r>
      <t xml:space="preserve">Check Parameter list for </t>
    </r>
    <r>
      <rPr>
        <b/>
        <sz val="11"/>
        <color indexed="8"/>
        <rFont val="Arial"/>
        <family val="2"/>
      </rPr>
      <t>usage of each parameter</t>
    </r>
    <r>
      <rPr>
        <sz val="11"/>
        <color indexed="8"/>
        <rFont val="Arial"/>
        <family val="2"/>
      </rPr>
      <t xml:space="preserve"> in script files.</t>
    </r>
  </si>
  <si>
    <t>VALUES:</t>
  </si>
  <si>
    <t>TEXT:</t>
  </si>
  <si>
    <r>
      <t xml:space="preserve">Create array definition script for </t>
    </r>
    <r>
      <rPr>
        <b/>
        <sz val="11"/>
        <color indexed="8"/>
        <rFont val="Arial"/>
        <family val="2"/>
      </rPr>
      <t>TEXT</t>
    </r>
    <r>
      <rPr>
        <sz val="11"/>
        <color indexed="8"/>
        <rFont val="Arial"/>
        <family val="2"/>
      </rPr>
      <t xml:space="preserve"> elements.</t>
    </r>
  </si>
  <si>
    <r>
      <t xml:space="preserve">Read text schedule and merge to </t>
    </r>
    <r>
      <rPr>
        <b/>
        <sz val="11"/>
        <color indexed="8"/>
        <rFont val="Arial"/>
        <family val="2"/>
      </rPr>
      <t>TEXT</t>
    </r>
  </si>
  <si>
    <t>BITMAPS:</t>
  </si>
  <si>
    <t>OPTIMIZE:</t>
  </si>
  <si>
    <r>
      <t>Read</t>
    </r>
    <r>
      <rPr>
        <b/>
        <sz val="11"/>
        <color indexed="8"/>
        <rFont val="Arial"/>
        <family val="2"/>
      </rPr>
      <t xml:space="preserve"> automatic generated UI Script</t>
    </r>
    <r>
      <rPr>
        <sz val="11"/>
        <color indexed="8"/>
        <rFont val="Arial"/>
        <family val="2"/>
      </rPr>
      <t xml:space="preserve"> and shrink, crop + format syntax</t>
    </r>
  </si>
  <si>
    <t>BÄNDER</t>
  </si>
  <si>
    <t xml:space="preserve"> ... Drehpunkt + Abmessungen</t>
  </si>
  <si>
    <t>HINGE</t>
  </si>
  <si>
    <t xml:space="preserve"> … center of rotation + dimensions</t>
  </si>
  <si>
    <t>context</t>
  </si>
  <si>
    <t>Steel</t>
  </si>
  <si>
    <t>Holz</t>
  </si>
  <si>
    <t>Wood</t>
  </si>
  <si>
    <t>Kunststoff</t>
  </si>
  <si>
    <t>Plastic</t>
  </si>
  <si>
    <t>D:\e+f\Projekte\GDL\Develop\Dorma\BIM-all-doors\develop\04 BAD hinge\source.Generic_hinge_macro\list of multilingual text.xlsx_x000D_
D:\e+f\Projekte\GDL\Develop\Dorma\BIM-all-doors\develop\04 BAD hinge\source.Generic_hinge_macro\list of multilingual tooltip.xlsx</t>
  </si>
  <si>
    <t>babel</t>
  </si>
  <si>
    <t>Hersteller:</t>
  </si>
  <si>
    <t>Produkt:</t>
  </si>
  <si>
    <t>Anzahl:</t>
  </si>
  <si>
    <t>Länge / Höhe:</t>
  </si>
  <si>
    <t>Rolle:</t>
  </si>
  <si>
    <t>Sicherungsbolzen:</t>
  </si>
  <si>
    <t>Material/Oberfläche:</t>
  </si>
  <si>
    <t>Drehpunkt/ Bandachse:</t>
  </si>
  <si>
    <t>Versatz X (1):</t>
  </si>
  <si>
    <t>Abstand Y (2):</t>
  </si>
  <si>
    <t>Durchmesser (3):</t>
  </si>
  <si>
    <t>Abstände nach:</t>
  </si>
  <si>
    <t>Anzahl/Bandaufnahme:</t>
  </si>
  <si>
    <t>Bandaufnahme:</t>
  </si>
  <si>
    <t>3D/Rendering:</t>
  </si>
  <si>
    <t>Bandtyp:</t>
  </si>
  <si>
    <t>Justage:</t>
  </si>
  <si>
    <t>bubble</t>
  </si>
  <si>
    <t>Bandaufnahme / -verstellung</t>
  </si>
  <si>
    <t>Bandbezugslinien</t>
  </si>
  <si>
    <t>Bezug- und Drehachsen</t>
  </si>
  <si>
    <t>Gesamthöhe der Rolle</t>
  </si>
  <si>
    <t>Länge (Höhe) der gesamten Rolle</t>
  </si>
  <si>
    <t>2. und 2. Band nach DIN?</t>
  </si>
  <si>
    <t>bim-all-doors.hinge</t>
  </si>
  <si>
    <t>Manufacturer:</t>
  </si>
  <si>
    <t>Product:</t>
  </si>
  <si>
    <t>Number:</t>
  </si>
  <si>
    <t>Length/Width:</t>
  </si>
  <si>
    <t>Diameter (3):</t>
  </si>
  <si>
    <t>Frame</t>
  </si>
  <si>
    <t>Panel</t>
  </si>
  <si>
    <t>prepare for open source</t>
  </si>
  <si>
    <t>1.90</t>
  </si>
  <si>
    <t>D:\Daten (sync)\github\bim-all-doors\Source\Module\04 BAD hinge\source.Generic_hinge_macro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</si>
</sst>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000"/>
  </numFmts>
  <fonts count="65" x14ac:knownFonts="1">
    <font>
      <sz val="11"/>
      <color theme="1"/>
      <name val="Calibri"/>
      <family val="2"/>
      <scheme val="minor"/>
    </font>
    <font>
      <b/>
      <sz val="12"/>
      <color indexed="8"/>
      <name val="Arial"/>
      <family val="2"/>
    </font>
    <font>
      <sz val="11"/>
      <color indexed="8"/>
      <name val="Arial"/>
      <family val="2"/>
    </font>
    <font>
      <i/>
      <sz val="11"/>
      <color indexed="8"/>
      <name val="Arial"/>
      <family val="2"/>
    </font>
    <font>
      <sz val="11"/>
      <color indexed="8"/>
      <name val="Courier New"/>
      <family val="3"/>
    </font>
    <font>
      <sz val="8"/>
      <color indexed="8"/>
      <name val="Courier New"/>
      <family val="3"/>
    </font>
    <font>
      <b/>
      <sz val="11"/>
      <color indexed="8"/>
      <name val="Arial"/>
      <family val="2"/>
    </font>
    <font>
      <sz val="8"/>
      <name val="Calibri"/>
      <family val="2"/>
    </font>
    <font>
      <sz val="8"/>
      <color indexed="55"/>
      <name val="Arial"/>
      <family val="2"/>
    </font>
    <font>
      <i/>
      <sz val="8"/>
      <color indexed="8"/>
      <name val="Arial"/>
      <family val="2"/>
    </font>
    <font>
      <i/>
      <sz val="8"/>
      <color indexed="55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indexed="8"/>
      <name val="Courier New"/>
      <family val="3"/>
    </font>
    <font>
      <sz val="11"/>
      <color theme="1"/>
      <name val="Arial"/>
      <family val="2"/>
    </font>
    <font>
      <sz val="11"/>
      <color rgb="FFFF0000"/>
      <name val="Arial"/>
      <family val="2"/>
    </font>
    <font>
      <i/>
      <sz val="8"/>
      <color indexed="8"/>
      <name val="Courier New"/>
      <family val="3"/>
    </font>
    <font>
      <b/>
      <sz val="11"/>
      <color theme="1"/>
      <name val="Calibri"/>
      <family val="2"/>
      <scheme val="minor"/>
    </font>
    <font>
      <sz val="11"/>
      <name val="Arial"/>
      <family val="2"/>
    </font>
    <font>
      <sz val="11"/>
      <color theme="0" tint="-0.499984740745262"/>
      <name val="Arial"/>
      <family val="2"/>
    </font>
    <font>
      <b/>
      <sz val="11"/>
      <color rgb="FFFF0000"/>
      <name val="Arial Black"/>
      <family val="2"/>
    </font>
    <font>
      <sz val="11"/>
      <color theme="3" tint="-0.249977111117893"/>
      <name val="Arial"/>
      <family val="2"/>
    </font>
    <font>
      <b/>
      <sz val="11"/>
      <color theme="1"/>
      <name val="Arial"/>
      <family val="2"/>
    </font>
    <font>
      <i/>
      <sz val="11"/>
      <color rgb="FFC00000"/>
      <name val="Arial"/>
      <family val="2"/>
    </font>
    <font>
      <i/>
      <sz val="8"/>
      <color rgb="FFC00000"/>
      <name val="Arial"/>
      <family val="2"/>
    </font>
    <font>
      <sz val="8"/>
      <color theme="1"/>
      <name val="Arial"/>
      <family val="2"/>
    </font>
    <font>
      <b/>
      <sz val="8"/>
      <color theme="0" tint="-0.499984740745262"/>
      <name val="Arial"/>
      <family val="2"/>
    </font>
    <font>
      <b/>
      <sz val="11"/>
      <color rgb="FFC00000"/>
      <name val="Arial"/>
      <family val="2"/>
    </font>
    <font>
      <sz val="11"/>
      <color rgb="FFC00000"/>
      <name val="Arial"/>
      <family val="2"/>
    </font>
    <font>
      <b/>
      <sz val="11"/>
      <name val="Arial"/>
      <family val="2"/>
    </font>
    <font>
      <b/>
      <sz val="11"/>
      <color rgb="FFC00000"/>
      <name val="Calibri"/>
      <family val="2"/>
      <scheme val="minor"/>
    </font>
    <font>
      <b/>
      <sz val="20"/>
      <color rgb="FFC0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sz val="11"/>
      <name val="Calibri"/>
      <family val="2"/>
      <scheme val="minor"/>
    </font>
    <font>
      <b/>
      <sz val="8"/>
      <name val="Arial"/>
      <family val="2"/>
    </font>
    <font>
      <b/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ourier New"/>
      <family val="3"/>
    </font>
    <font>
      <b/>
      <sz val="11"/>
      <color rgb="FFFF0000"/>
      <name val="Arial"/>
      <family val="2"/>
    </font>
    <font>
      <sz val="11"/>
      <color rgb="FFFF0000"/>
      <name val="Courier New"/>
      <family val="3"/>
    </font>
    <font>
      <sz val="11"/>
      <color theme="4"/>
      <name val="Arial"/>
      <family val="2"/>
    </font>
    <font>
      <b/>
      <sz val="11"/>
      <color rgb="FF7030A0"/>
      <name val="Arial"/>
      <family val="2"/>
    </font>
    <font>
      <sz val="11"/>
      <color rgb="FF7030A0"/>
      <name val="Arial"/>
      <family val="2"/>
    </font>
    <font>
      <b/>
      <sz val="11"/>
      <color theme="4"/>
      <name val="Arial"/>
      <family val="2"/>
    </font>
    <font>
      <sz val="11"/>
      <color theme="0" tint="-0.34998626667073579"/>
      <name val="Arial"/>
      <family val="2"/>
    </font>
    <font>
      <b/>
      <strike/>
      <sz val="11"/>
      <color theme="0" tint="-0.34998626667073579"/>
      <name val="Arial"/>
      <family val="2"/>
    </font>
    <font>
      <b/>
      <strike/>
      <sz val="11"/>
      <color rgb="FF7030A0"/>
      <name val="Arial"/>
      <family val="2"/>
    </font>
    <font>
      <strike/>
      <sz val="11"/>
      <color theme="4"/>
      <name val="Arial"/>
      <family val="2"/>
    </font>
    <font>
      <strike/>
      <sz val="11"/>
      <color theme="4"/>
      <name val="Courier New"/>
      <family val="3"/>
    </font>
    <font>
      <b/>
      <strike/>
      <sz val="11"/>
      <color theme="4"/>
      <name val="Arial"/>
      <family val="2"/>
    </font>
    <font>
      <strike/>
      <sz val="11"/>
      <color theme="0" tint="-0.34998626667073579"/>
      <name val="Arial"/>
      <family val="2"/>
    </font>
    <font>
      <strike/>
      <sz val="11"/>
      <color theme="0" tint="-0.34998626667073579"/>
      <name val="Courier New"/>
      <family val="3"/>
    </font>
    <font>
      <strike/>
      <sz val="11"/>
      <color rgb="FFFF0000"/>
      <name val="Arial"/>
      <family val="2"/>
    </font>
    <font>
      <strike/>
      <sz val="11"/>
      <color indexed="8"/>
      <name val="Arial"/>
      <family val="2"/>
    </font>
    <font>
      <b/>
      <sz val="11"/>
      <color theme="0" tint="-0.34998626667073579"/>
      <name val="Arial"/>
      <family val="2"/>
    </font>
    <font>
      <b/>
      <sz val="12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4"/>
      <name val="Courier New"/>
      <family val="3"/>
    </font>
    <font>
      <strike/>
      <sz val="11"/>
      <color indexed="8"/>
      <name val="Courier New"/>
      <family val="3"/>
    </font>
    <font>
      <b/>
      <strike/>
      <sz val="11"/>
      <color indexed="8"/>
      <name val="Arial"/>
      <family val="2"/>
    </font>
    <font>
      <sz val="8"/>
      <color theme="0" tint="-0.34998626667073579"/>
      <name val="Arial"/>
      <family val="2"/>
    </font>
    <font>
      <b/>
      <sz val="11"/>
      <color rgb="FFC00000"/>
      <name val="Courier New"/>
      <family val="3"/>
    </font>
    <font>
      <sz val="11"/>
      <color rgb="FFC00000"/>
      <name val="Courier New"/>
      <family val="3"/>
    </font>
    <font>
      <b/>
      <sz val="11"/>
      <name val="Courier New"/>
      <family val="3"/>
    </font>
  </fonts>
  <fills count="1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7D7D"/>
        <bgColor indexed="64"/>
      </patternFill>
    </fill>
    <fill>
      <patternFill patternType="solid">
        <fgColor rgb="FF92D050"/>
        <bgColor indexed="64"/>
      </patternFill>
    </fill>
  </fills>
  <borders count="33">
    <border>
      <left/>
      <right/>
      <top/>
      <bottom/>
      <diagonal/>
    </border>
    <border>
      <left/>
      <right/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/>
      <right/>
      <top/>
      <bottom style="thick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ck">
        <color indexed="64"/>
      </right>
      <top/>
      <bottom/>
      <diagonal/>
    </border>
    <border>
      <left style="thick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ck">
        <color auto="1"/>
      </left>
      <right style="thin">
        <color indexed="64"/>
      </right>
      <top style="thick">
        <color auto="1"/>
      </top>
      <bottom/>
      <diagonal/>
    </border>
    <border>
      <left/>
      <right style="thin">
        <color indexed="64"/>
      </right>
      <top style="thick">
        <color auto="1"/>
      </top>
      <bottom/>
      <diagonal/>
    </border>
    <border>
      <left/>
      <right style="thick">
        <color indexed="64"/>
      </right>
      <top/>
      <bottom style="thick">
        <color auto="1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ck">
        <color auto="1"/>
      </top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n">
        <color indexed="64"/>
      </left>
      <right/>
      <top style="thick">
        <color auto="1"/>
      </top>
      <bottom/>
      <diagonal/>
    </border>
  </borders>
  <cellStyleXfs count="1">
    <xf numFmtId="0" fontId="0" fillId="0" borderId="0"/>
  </cellStyleXfs>
  <cellXfs count="274">
    <xf numFmtId="0" fontId="0" fillId="0" borderId="0" xfId="0"/>
    <xf numFmtId="0" fontId="1" fillId="0" borderId="0" xfId="0" applyFont="1"/>
    <xf numFmtId="0" fontId="2" fillId="0" borderId="0" xfId="0" applyFont="1" applyAlignment="1">
      <alignment horizontal="left"/>
    </xf>
    <xf numFmtId="0" fontId="2" fillId="0" borderId="0" xfId="0" applyFont="1"/>
    <xf numFmtId="0" fontId="3" fillId="0" borderId="0" xfId="0" applyFont="1"/>
    <xf numFmtId="0" fontId="2" fillId="0" borderId="0" xfId="0" applyFont="1" applyAlignment="1">
      <alignment horizontal="center"/>
    </xf>
    <xf numFmtId="0" fontId="6" fillId="0" borderId="0" xfId="0" applyFont="1"/>
    <xf numFmtId="0" fontId="1" fillId="0" borderId="0" xfId="0" applyFont="1" applyAlignment="1">
      <alignment vertical="center"/>
    </xf>
    <xf numFmtId="0" fontId="2" fillId="0" borderId="0" xfId="0" applyFont="1" applyAlignment="1">
      <alignment vertical="top" wrapText="1"/>
    </xf>
    <xf numFmtId="0" fontId="2" fillId="0" borderId="1" xfId="0" applyFont="1" applyBorder="1" applyAlignment="1">
      <alignment vertical="top" wrapText="1"/>
    </xf>
    <xf numFmtId="0" fontId="1" fillId="2" borderId="0" xfId="0" applyFont="1" applyFill="1" applyAlignment="1">
      <alignment vertical="center"/>
    </xf>
    <xf numFmtId="0" fontId="1" fillId="2" borderId="0" xfId="0" applyFont="1" applyFill="1" applyAlignment="1">
      <alignment vertical="center" wrapText="1"/>
    </xf>
    <xf numFmtId="0" fontId="1" fillId="2" borderId="0" xfId="0" applyFont="1" applyFill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center" vertical="center"/>
    </xf>
    <xf numFmtId="0" fontId="5" fillId="0" borderId="0" xfId="0" applyFont="1" applyAlignment="1">
      <alignment vertical="center"/>
    </xf>
    <xf numFmtId="0" fontId="2" fillId="0" borderId="0" xfId="0" applyFont="1" applyAlignment="1">
      <alignment horizontal="left" vertical="center"/>
    </xf>
    <xf numFmtId="0" fontId="3" fillId="0" borderId="0" xfId="0" applyFont="1" applyAlignment="1">
      <alignment horizontal="right" vertical="center"/>
    </xf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2" fillId="0" borderId="0" xfId="0" applyFont="1" applyAlignment="1">
      <alignment vertical="center" wrapText="1"/>
    </xf>
    <xf numFmtId="0" fontId="6" fillId="0" borderId="0" xfId="0" applyFont="1" applyAlignment="1">
      <alignment horizontal="left" vertical="center"/>
    </xf>
    <xf numFmtId="0" fontId="2" fillId="0" borderId="3" xfId="0" applyFont="1" applyBorder="1" applyAlignment="1">
      <alignment vertical="center"/>
    </xf>
    <xf numFmtId="0" fontId="2" fillId="0" borderId="2" xfId="0" applyFont="1" applyBorder="1" applyAlignment="1">
      <alignment vertical="center"/>
    </xf>
    <xf numFmtId="0" fontId="2" fillId="0" borderId="1" xfId="0" applyFont="1" applyBorder="1" applyAlignment="1">
      <alignment vertical="center"/>
    </xf>
    <xf numFmtId="0" fontId="9" fillId="0" borderId="3" xfId="0" applyFont="1" applyBorder="1" applyAlignment="1">
      <alignment horizontal="right" vertical="center"/>
    </xf>
    <xf numFmtId="0" fontId="10" fillId="0" borderId="3" xfId="0" applyFont="1" applyBorder="1" applyAlignment="1">
      <alignment horizontal="right" vertical="center"/>
    </xf>
    <xf numFmtId="0" fontId="6" fillId="0" borderId="3" xfId="0" applyFont="1" applyBorder="1" applyAlignment="1">
      <alignment horizontal="center" vertical="center"/>
    </xf>
    <xf numFmtId="0" fontId="2" fillId="0" borderId="2" xfId="0" applyFont="1" applyBorder="1" applyAlignment="1">
      <alignment horizontal="left" vertical="center" indent="1"/>
    </xf>
    <xf numFmtId="0" fontId="2" fillId="2" borderId="0" xfId="0" applyFont="1" applyFill="1" applyAlignment="1">
      <alignment vertical="center" textRotation="90" wrapText="1"/>
    </xf>
    <xf numFmtId="0" fontId="2" fillId="2" borderId="0" xfId="0" applyFont="1" applyFill="1" applyAlignment="1">
      <alignment horizontal="center" vertical="center" wrapText="1"/>
    </xf>
    <xf numFmtId="0" fontId="2" fillId="2" borderId="0" xfId="0" applyFont="1" applyFill="1" applyAlignment="1">
      <alignment vertical="center" wrapText="1"/>
    </xf>
    <xf numFmtId="0" fontId="2" fillId="0" borderId="2" xfId="0" applyFont="1" applyBorder="1" applyAlignment="1">
      <alignment horizontal="left" vertical="center"/>
    </xf>
    <xf numFmtId="0" fontId="2" fillId="2" borderId="0" xfId="0" applyFont="1" applyFill="1" applyAlignment="1">
      <alignment horizontal="left" vertical="center"/>
    </xf>
    <xf numFmtId="0" fontId="2" fillId="0" borderId="1" xfId="0" applyFont="1" applyBorder="1" applyAlignment="1">
      <alignment horizontal="left" vertical="center"/>
    </xf>
    <xf numFmtId="0" fontId="2" fillId="0" borderId="5" xfId="0" applyFont="1" applyBorder="1" applyAlignment="1">
      <alignment horizontal="left" vertical="center"/>
    </xf>
    <xf numFmtId="0" fontId="2" fillId="2" borderId="0" xfId="0" applyFont="1" applyFill="1" applyAlignment="1">
      <alignment horizontal="center" vertical="center" textRotation="90" wrapText="1"/>
    </xf>
    <xf numFmtId="0" fontId="6" fillId="0" borderId="0" xfId="0" applyFont="1" applyAlignment="1">
      <alignment horizontal="center" vertical="center"/>
    </xf>
    <xf numFmtId="0" fontId="6" fillId="2" borderId="0" xfId="0" applyFont="1" applyFill="1" applyAlignment="1">
      <alignment vertical="center" wrapText="1"/>
    </xf>
    <xf numFmtId="164" fontId="6" fillId="2" borderId="0" xfId="0" applyNumberFormat="1" applyFont="1" applyFill="1" applyAlignment="1">
      <alignment vertical="center" wrapText="1"/>
    </xf>
    <xf numFmtId="0" fontId="6" fillId="0" borderId="0" xfId="0" applyFont="1" applyAlignment="1">
      <alignment vertical="center"/>
    </xf>
    <xf numFmtId="0" fontId="8" fillId="0" borderId="0" xfId="0" applyFont="1" applyAlignment="1">
      <alignment horizontal="center" vertical="center"/>
    </xf>
    <xf numFmtId="164" fontId="2" fillId="0" borderId="0" xfId="0" applyNumberFormat="1" applyFont="1" applyAlignment="1">
      <alignment vertical="center"/>
    </xf>
    <xf numFmtId="0" fontId="6" fillId="0" borderId="1" xfId="0" applyFont="1" applyBorder="1" applyAlignment="1">
      <alignment vertical="center"/>
    </xf>
    <xf numFmtId="164" fontId="2" fillId="0" borderId="1" xfId="0" applyNumberFormat="1" applyFont="1" applyBorder="1" applyAlignment="1">
      <alignment vertical="center"/>
    </xf>
    <xf numFmtId="0" fontId="2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vertical="center"/>
    </xf>
    <xf numFmtId="0" fontId="13" fillId="0" borderId="0" xfId="0" applyFont="1" applyAlignment="1">
      <alignment vertical="center"/>
    </xf>
    <xf numFmtId="0" fontId="14" fillId="0" borderId="0" xfId="0" applyFont="1"/>
    <xf numFmtId="0" fontId="2" fillId="2" borderId="0" xfId="0" applyFont="1" applyFill="1" applyBorder="1" applyAlignment="1">
      <alignment horizontal="left" vertical="center"/>
    </xf>
    <xf numFmtId="0" fontId="16" fillId="4" borderId="6" xfId="0" applyFont="1" applyFill="1" applyBorder="1" applyAlignment="1">
      <alignment horizontal="left" vertical="center"/>
    </xf>
    <xf numFmtId="0" fontId="6" fillId="0" borderId="1" xfId="0" applyFont="1" applyBorder="1" applyAlignment="1">
      <alignment horizontal="center" vertical="center"/>
    </xf>
    <xf numFmtId="0" fontId="15" fillId="0" borderId="0" xfId="0" applyFont="1" applyAlignment="1">
      <alignment vertical="center"/>
    </xf>
    <xf numFmtId="0" fontId="2" fillId="2" borderId="6" xfId="0" applyFont="1" applyFill="1" applyBorder="1" applyAlignment="1">
      <alignment horizontal="left" vertical="center"/>
    </xf>
    <xf numFmtId="0" fontId="2" fillId="0" borderId="0" xfId="0" applyFont="1" applyBorder="1" applyAlignment="1">
      <alignment horizontal="left" vertical="center"/>
    </xf>
    <xf numFmtId="0" fontId="19" fillId="0" borderId="0" xfId="0" applyFont="1" applyAlignment="1">
      <alignment horizontal="center" vertical="center"/>
    </xf>
    <xf numFmtId="0" fontId="19" fillId="0" borderId="2" xfId="0" applyFont="1" applyBorder="1" applyAlignment="1">
      <alignment horizontal="center" vertical="center" wrapText="1"/>
    </xf>
    <xf numFmtId="0" fontId="19" fillId="0" borderId="0" xfId="0" applyFont="1" applyAlignment="1">
      <alignment horizontal="center" vertical="center" wrapText="1"/>
    </xf>
    <xf numFmtId="0" fontId="19" fillId="0" borderId="2" xfId="0" applyFont="1" applyBorder="1" applyAlignment="1">
      <alignment horizontal="center" vertical="center"/>
    </xf>
    <xf numFmtId="0" fontId="19" fillId="0" borderId="4" xfId="0" applyFont="1" applyBorder="1" applyAlignment="1">
      <alignment horizontal="center" vertical="center"/>
    </xf>
    <xf numFmtId="0" fontId="19" fillId="0" borderId="1" xfId="0" applyFont="1" applyBorder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20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center"/>
    </xf>
    <xf numFmtId="0" fontId="14" fillId="0" borderId="0" xfId="0" applyFont="1" applyBorder="1"/>
    <xf numFmtId="0" fontId="14" fillId="0" borderId="0" xfId="0" applyFont="1" applyBorder="1" applyAlignment="1">
      <alignment horizontal="center"/>
    </xf>
    <xf numFmtId="0" fontId="14" fillId="0" borderId="16" xfId="0" applyFont="1" applyBorder="1" applyAlignment="1">
      <alignment horizontal="center"/>
    </xf>
    <xf numFmtId="0" fontId="14" fillId="0" borderId="17" xfId="0" applyFont="1" applyBorder="1" applyAlignment="1">
      <alignment horizontal="center"/>
    </xf>
    <xf numFmtId="0" fontId="14" fillId="0" borderId="18" xfId="0" applyFont="1" applyBorder="1" applyAlignment="1">
      <alignment horizontal="center"/>
    </xf>
    <xf numFmtId="0" fontId="21" fillId="0" borderId="16" xfId="0" applyFont="1" applyBorder="1" applyAlignment="1">
      <alignment horizontal="center"/>
    </xf>
    <xf numFmtId="0" fontId="14" fillId="0" borderId="0" xfId="0" applyFont="1" applyAlignment="1">
      <alignment horizontal="center"/>
    </xf>
    <xf numFmtId="0" fontId="14" fillId="0" borderId="19" xfId="0" applyFont="1" applyBorder="1" applyAlignment="1">
      <alignment horizontal="center"/>
    </xf>
    <xf numFmtId="0" fontId="14" fillId="0" borderId="20" xfId="0" applyFont="1" applyBorder="1" applyAlignment="1">
      <alignment horizontal="center"/>
    </xf>
    <xf numFmtId="0" fontId="14" fillId="0" borderId="21" xfId="0" applyFont="1" applyBorder="1"/>
    <xf numFmtId="0" fontId="24" fillId="0" borderId="8" xfId="0" applyFont="1" applyBorder="1" applyAlignment="1">
      <alignment horizontal="center" vertical="center"/>
    </xf>
    <xf numFmtId="0" fontId="24" fillId="0" borderId="11" xfId="0" applyFont="1" applyBorder="1" applyAlignment="1">
      <alignment horizontal="center" vertical="center"/>
    </xf>
    <xf numFmtId="0" fontId="25" fillId="0" borderId="0" xfId="0" applyFont="1"/>
    <xf numFmtId="0" fontId="22" fillId="0" borderId="14" xfId="0" applyFont="1" applyBorder="1"/>
    <xf numFmtId="0" fontId="22" fillId="0" borderId="15" xfId="0" applyFont="1" applyBorder="1" applyAlignment="1">
      <alignment horizontal="center"/>
    </xf>
    <xf numFmtId="0" fontId="21" fillId="0" borderId="9" xfId="0" applyFont="1" applyBorder="1" applyAlignment="1">
      <alignment horizontal="center"/>
    </xf>
    <xf numFmtId="0" fontId="14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28" fillId="0" borderId="16" xfId="0" applyFont="1" applyBorder="1" applyAlignment="1">
      <alignment horizontal="center"/>
    </xf>
    <xf numFmtId="0" fontId="28" fillId="0" borderId="19" xfId="0" applyFont="1" applyBorder="1" applyAlignment="1">
      <alignment horizontal="center"/>
    </xf>
    <xf numFmtId="0" fontId="18" fillId="0" borderId="19" xfId="0" applyFont="1" applyBorder="1" applyAlignment="1">
      <alignment horizontal="center"/>
    </xf>
    <xf numFmtId="0" fontId="18" fillId="0" borderId="16" xfId="0" applyFont="1" applyBorder="1" applyAlignment="1">
      <alignment horizontal="center"/>
    </xf>
    <xf numFmtId="0" fontId="24" fillId="0" borderId="22" xfId="0" applyFont="1" applyBorder="1" applyAlignment="1">
      <alignment horizontal="center" vertical="center"/>
    </xf>
    <xf numFmtId="0" fontId="24" fillId="0" borderId="12" xfId="0" applyFont="1" applyBorder="1" applyAlignment="1">
      <alignment horizontal="center" vertical="center"/>
    </xf>
    <xf numFmtId="0" fontId="21" fillId="0" borderId="7" xfId="0" applyFont="1" applyBorder="1" applyAlignment="1">
      <alignment horizontal="center"/>
    </xf>
    <xf numFmtId="0" fontId="21" fillId="0" borderId="0" xfId="0" applyFont="1" applyBorder="1" applyAlignment="1">
      <alignment horizontal="center"/>
    </xf>
    <xf numFmtId="0" fontId="23" fillId="0" borderId="23" xfId="0" applyFont="1" applyBorder="1" applyAlignment="1">
      <alignment horizontal="center" textRotation="90"/>
    </xf>
    <xf numFmtId="0" fontId="23" fillId="0" borderId="24" xfId="0" applyFont="1" applyBorder="1" applyAlignment="1">
      <alignment horizontal="center" textRotation="90"/>
    </xf>
    <xf numFmtId="0" fontId="9" fillId="0" borderId="2" xfId="0" applyFont="1" applyBorder="1" applyAlignment="1">
      <alignment vertical="center"/>
    </xf>
    <xf numFmtId="0" fontId="27" fillId="0" borderId="0" xfId="0" applyFont="1" applyAlignment="1">
      <alignment horizontal="left" vertical="center"/>
    </xf>
    <xf numFmtId="0" fontId="9" fillId="0" borderId="2" xfId="0" applyFont="1" applyBorder="1" applyAlignment="1">
      <alignment horizontal="left" vertical="center" indent="1"/>
    </xf>
    <xf numFmtId="0" fontId="14" fillId="0" borderId="11" xfId="0" applyFont="1" applyBorder="1" applyAlignment="1">
      <alignment horizontal="center"/>
    </xf>
    <xf numFmtId="0" fontId="14" fillId="0" borderId="12" xfId="0" applyFont="1" applyBorder="1" applyAlignment="1">
      <alignment horizontal="center"/>
    </xf>
    <xf numFmtId="0" fontId="21" fillId="0" borderId="11" xfId="0" applyFont="1" applyBorder="1" applyAlignment="1">
      <alignment horizontal="center"/>
    </xf>
    <xf numFmtId="0" fontId="14" fillId="0" borderId="16" xfId="0" applyFont="1" applyBorder="1"/>
    <xf numFmtId="0" fontId="14" fillId="0" borderId="1" xfId="0" applyFont="1" applyBorder="1" applyAlignment="1">
      <alignment horizontal="center"/>
    </xf>
    <xf numFmtId="0" fontId="21" fillId="0" borderId="1" xfId="0" applyFont="1" applyBorder="1" applyAlignment="1">
      <alignment horizontal="center"/>
    </xf>
    <xf numFmtId="0" fontId="14" fillId="0" borderId="2" xfId="0" applyFont="1" applyBorder="1" applyAlignment="1">
      <alignment horizontal="center"/>
    </xf>
    <xf numFmtId="0" fontId="29" fillId="0" borderId="6" xfId="0" applyFont="1" applyBorder="1" applyAlignment="1">
      <alignment horizontal="center" textRotation="90"/>
    </xf>
    <xf numFmtId="0" fontId="14" fillId="6" borderId="2" xfId="0" applyFont="1" applyFill="1" applyBorder="1" applyAlignment="1">
      <alignment horizontal="center" vertical="center" wrapText="1"/>
    </xf>
    <xf numFmtId="0" fontId="14" fillId="6" borderId="0" xfId="0" applyFont="1" applyFill="1"/>
    <xf numFmtId="0" fontId="17" fillId="0" borderId="3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27" fillId="0" borderId="0" xfId="0" applyFont="1" applyAlignment="1"/>
    <xf numFmtId="0" fontId="30" fillId="7" borderId="0" xfId="0" applyFont="1" applyFill="1"/>
    <xf numFmtId="0" fontId="31" fillId="7" borderId="0" xfId="0" applyFont="1" applyFill="1"/>
    <xf numFmtId="0" fontId="27" fillId="0" borderId="0" xfId="0" applyFont="1" applyAlignment="1">
      <alignment horizontal="left"/>
    </xf>
    <xf numFmtId="0" fontId="30" fillId="7" borderId="0" xfId="0" applyFont="1" applyFill="1" applyAlignment="1">
      <alignment horizontal="center"/>
    </xf>
    <xf numFmtId="0" fontId="17" fillId="0" borderId="0" xfId="0" applyFont="1"/>
    <xf numFmtId="0" fontId="0" fillId="0" borderId="0" xfId="0" applyFont="1"/>
    <xf numFmtId="0" fontId="0" fillId="0" borderId="0" xfId="0" applyFont="1" applyAlignment="1">
      <alignment horizontal="center"/>
    </xf>
    <xf numFmtId="0" fontId="32" fillId="0" borderId="0" xfId="0" applyFont="1" applyFill="1"/>
    <xf numFmtId="0" fontId="32" fillId="0" borderId="0" xfId="0" applyFont="1"/>
    <xf numFmtId="0" fontId="21" fillId="0" borderId="0" xfId="0" applyFont="1" applyBorder="1" applyAlignment="1">
      <alignment horizontal="center"/>
    </xf>
    <xf numFmtId="0" fontId="21" fillId="0" borderId="7" xfId="0" applyFont="1" applyBorder="1" applyAlignment="1">
      <alignment horizontal="center"/>
    </xf>
    <xf numFmtId="0" fontId="33" fillId="0" borderId="0" xfId="0" applyFont="1"/>
    <xf numFmtId="0" fontId="34" fillId="0" borderId="0" xfId="0" applyFont="1" applyAlignment="1">
      <alignment horizontal="center"/>
    </xf>
    <xf numFmtId="0" fontId="34" fillId="0" borderId="0" xfId="0" applyFont="1"/>
    <xf numFmtId="0" fontId="22" fillId="0" borderId="26" xfId="0" applyFont="1" applyBorder="1"/>
    <xf numFmtId="0" fontId="22" fillId="0" borderId="27" xfId="0" applyFont="1" applyBorder="1" applyAlignment="1">
      <alignment horizontal="center"/>
    </xf>
    <xf numFmtId="0" fontId="26" fillId="0" borderId="28" xfId="0" applyFont="1" applyBorder="1" applyAlignment="1">
      <alignment horizontal="center"/>
    </xf>
    <xf numFmtId="0" fontId="26" fillId="0" borderId="27" xfId="0" applyFont="1" applyBorder="1" applyAlignment="1">
      <alignment horizontal="center"/>
    </xf>
    <xf numFmtId="0" fontId="24" fillId="0" borderId="0" xfId="0" applyFont="1" applyBorder="1" applyAlignment="1">
      <alignment horizontal="center" vertical="center"/>
    </xf>
    <xf numFmtId="0" fontId="26" fillId="0" borderId="29" xfId="0" applyFont="1" applyBorder="1" applyAlignment="1">
      <alignment horizontal="center"/>
    </xf>
    <xf numFmtId="0" fontId="29" fillId="0" borderId="8" xfId="0" applyFont="1" applyBorder="1" applyAlignment="1">
      <alignment horizontal="center" textRotation="90"/>
    </xf>
    <xf numFmtId="0" fontId="35" fillId="0" borderId="13" xfId="0" applyFont="1" applyBorder="1" applyAlignment="1">
      <alignment horizontal="center"/>
    </xf>
    <xf numFmtId="0" fontId="35" fillId="0" borderId="14" xfId="0" applyFont="1" applyBorder="1" applyAlignment="1">
      <alignment horizontal="center"/>
    </xf>
    <xf numFmtId="0" fontId="18" fillId="0" borderId="18" xfId="0" applyFont="1" applyBorder="1" applyAlignment="1">
      <alignment horizontal="center"/>
    </xf>
    <xf numFmtId="0" fontId="18" fillId="0" borderId="20" xfId="0" applyFont="1" applyBorder="1" applyAlignment="1">
      <alignment horizontal="center"/>
    </xf>
    <xf numFmtId="0" fontId="18" fillId="0" borderId="21" xfId="0" applyFont="1" applyBorder="1" applyAlignment="1">
      <alignment horizontal="center" vertical="center"/>
    </xf>
    <xf numFmtId="0" fontId="18" fillId="0" borderId="21" xfId="0" applyFont="1" applyBorder="1" applyAlignment="1">
      <alignment horizontal="center"/>
    </xf>
    <xf numFmtId="0" fontId="18" fillId="0" borderId="21" xfId="0" applyFont="1" applyBorder="1"/>
    <xf numFmtId="0" fontId="29" fillId="0" borderId="11" xfId="0" applyFont="1" applyBorder="1" applyAlignment="1">
      <alignment horizontal="center" textRotation="90"/>
    </xf>
    <xf numFmtId="0" fontId="2" fillId="0" borderId="0" xfId="0" applyFont="1" applyBorder="1" applyAlignment="1">
      <alignment vertical="center"/>
    </xf>
    <xf numFmtId="0" fontId="2" fillId="0" borderId="0" xfId="0" applyFont="1" applyBorder="1" applyAlignment="1">
      <alignment horizontal="left" vertical="center" indent="1"/>
    </xf>
    <xf numFmtId="0" fontId="10" fillId="0" borderId="25" xfId="0" applyFont="1" applyBorder="1" applyAlignment="1">
      <alignment horizontal="right" vertical="center"/>
    </xf>
    <xf numFmtId="0" fontId="14" fillId="0" borderId="16" xfId="0" applyFont="1" applyBorder="1" applyAlignment="1">
      <alignment horizontal="left"/>
    </xf>
    <xf numFmtId="0" fontId="30" fillId="0" borderId="0" xfId="0" applyFont="1"/>
    <xf numFmtId="0" fontId="30" fillId="0" borderId="0" xfId="0" applyFont="1" applyAlignment="1">
      <alignment horizontal="center"/>
    </xf>
    <xf numFmtId="0" fontId="30" fillId="0" borderId="0" xfId="0" applyFont="1" applyAlignment="1">
      <alignment horizontal="left"/>
    </xf>
    <xf numFmtId="0" fontId="36" fillId="7" borderId="0" xfId="0" applyFont="1" applyFill="1"/>
    <xf numFmtId="0" fontId="1" fillId="0" borderId="0" xfId="0" applyFont="1" applyAlignment="1">
      <alignment horizontal="left"/>
    </xf>
    <xf numFmtId="0" fontId="0" fillId="0" borderId="0" xfId="0" applyAlignment="1">
      <alignment horizontal="center"/>
    </xf>
    <xf numFmtId="0" fontId="23" fillId="0" borderId="30" xfId="0" applyFont="1" applyBorder="1" applyAlignment="1">
      <alignment horizontal="center" textRotation="90"/>
    </xf>
    <xf numFmtId="0" fontId="23" fillId="0" borderId="32" xfId="0" applyFont="1" applyBorder="1" applyAlignment="1">
      <alignment horizontal="center" textRotation="90"/>
    </xf>
    <xf numFmtId="0" fontId="28" fillId="0" borderId="31" xfId="0" applyFont="1" applyBorder="1" applyAlignment="1">
      <alignment horizontal="center" vertical="center" wrapText="1"/>
    </xf>
    <xf numFmtId="0" fontId="4" fillId="8" borderId="0" xfId="0" applyFont="1" applyFill="1" applyAlignment="1">
      <alignment vertical="center"/>
    </xf>
    <xf numFmtId="0" fontId="18" fillId="0" borderId="0" xfId="0" applyFont="1" applyAlignment="1">
      <alignment vertical="center"/>
    </xf>
    <xf numFmtId="0" fontId="38" fillId="0" borderId="0" xfId="0" applyFont="1" applyAlignment="1">
      <alignment vertical="center"/>
    </xf>
    <xf numFmtId="0" fontId="39" fillId="0" borderId="0" xfId="0" applyFont="1" applyAlignment="1">
      <alignment vertical="center"/>
    </xf>
    <xf numFmtId="164" fontId="15" fillId="0" borderId="0" xfId="0" applyNumberFormat="1" applyFont="1" applyAlignment="1">
      <alignment vertical="center"/>
    </xf>
    <xf numFmtId="0" fontId="15" fillId="9" borderId="0" xfId="0" applyFont="1" applyFill="1" applyAlignment="1">
      <alignment vertical="center"/>
    </xf>
    <xf numFmtId="0" fontId="40" fillId="8" borderId="0" xfId="0" applyFont="1" applyFill="1" applyAlignment="1">
      <alignment vertical="center"/>
    </xf>
    <xf numFmtId="0" fontId="15" fillId="0" borderId="0" xfId="0" applyFont="1" applyAlignment="1"/>
    <xf numFmtId="0" fontId="15" fillId="0" borderId="0" xfId="0" applyFont="1" applyFill="1"/>
    <xf numFmtId="0" fontId="41" fillId="0" borderId="0" xfId="0" applyFont="1" applyFill="1" applyAlignment="1">
      <alignment horizontal="center"/>
    </xf>
    <xf numFmtId="0" fontId="42" fillId="0" borderId="0" xfId="0" applyFont="1" applyFill="1"/>
    <xf numFmtId="0" fontId="42" fillId="0" borderId="0" xfId="0" applyFont="1" applyFill="1" applyAlignment="1">
      <alignment horizontal="center"/>
    </xf>
    <xf numFmtId="0" fontId="43" fillId="0" borderId="0" xfId="0" applyFont="1" applyFill="1"/>
    <xf numFmtId="0" fontId="43" fillId="0" borderId="0" xfId="0" applyFont="1" applyAlignment="1">
      <alignment horizontal="center" vertical="center"/>
    </xf>
    <xf numFmtId="0" fontId="43" fillId="0" borderId="0" xfId="0" applyFont="1" applyFill="1" applyAlignment="1">
      <alignment horizontal="center"/>
    </xf>
    <xf numFmtId="0" fontId="41" fillId="0" borderId="0" xfId="0" applyFont="1" applyFill="1"/>
    <xf numFmtId="0" fontId="18" fillId="0" borderId="0" xfId="0" applyFont="1" applyFill="1"/>
    <xf numFmtId="0" fontId="43" fillId="0" borderId="0" xfId="0" applyFont="1" applyFill="1" applyAlignment="1"/>
    <xf numFmtId="0" fontId="41" fillId="0" borderId="0" xfId="0" applyFont="1" applyFill="1" applyAlignment="1"/>
    <xf numFmtId="0" fontId="44" fillId="0" borderId="0" xfId="0" applyFont="1" applyFill="1"/>
    <xf numFmtId="0" fontId="44" fillId="0" borderId="0" xfId="0" applyFont="1" applyFill="1" applyAlignment="1">
      <alignment horizontal="center"/>
    </xf>
    <xf numFmtId="0" fontId="41" fillId="0" borderId="0" xfId="0" applyFont="1" applyAlignment="1">
      <alignment horizontal="center" vertical="center"/>
    </xf>
    <xf numFmtId="0" fontId="45" fillId="0" borderId="0" xfId="0" applyFont="1" applyFill="1"/>
    <xf numFmtId="0" fontId="45" fillId="0" borderId="0" xfId="0" applyFont="1" applyFill="1" applyAlignment="1">
      <alignment horizontal="center"/>
    </xf>
    <xf numFmtId="0" fontId="40" fillId="8" borderId="0" xfId="0" applyFont="1" applyFill="1"/>
    <xf numFmtId="0" fontId="15" fillId="0" borderId="0" xfId="0" applyFont="1" applyFill="1" applyAlignment="1">
      <alignment horizontal="center"/>
    </xf>
    <xf numFmtId="0" fontId="39" fillId="0" borderId="0" xfId="0" applyFont="1" applyFill="1"/>
    <xf numFmtId="0" fontId="39" fillId="0" borderId="0" xfId="0" applyFont="1" applyFill="1" applyAlignment="1">
      <alignment horizontal="center"/>
    </xf>
    <xf numFmtId="0" fontId="41" fillId="0" borderId="0" xfId="0" applyFont="1" applyAlignment="1">
      <alignment vertical="center"/>
    </xf>
    <xf numFmtId="0" fontId="46" fillId="0" borderId="0" xfId="0" applyFont="1" applyAlignment="1">
      <alignment horizontal="center" vertical="center"/>
    </xf>
    <xf numFmtId="0" fontId="47" fillId="0" borderId="0" xfId="0" applyFont="1" applyAlignment="1">
      <alignment horizontal="center" vertical="center"/>
    </xf>
    <xf numFmtId="0" fontId="40" fillId="0" borderId="0" xfId="0" applyFont="1" applyFill="1" applyAlignment="1">
      <alignment vertical="center"/>
    </xf>
    <xf numFmtId="0" fontId="48" fillId="0" borderId="0" xfId="0" applyFont="1" applyFill="1"/>
    <xf numFmtId="0" fontId="49" fillId="0" borderId="0" xfId="0" applyFont="1" applyFill="1"/>
    <xf numFmtId="0" fontId="48" fillId="0" borderId="0" xfId="0" applyFont="1" applyFill="1" applyAlignment="1">
      <alignment horizontal="center"/>
    </xf>
    <xf numFmtId="0" fontId="50" fillId="0" borderId="0" xfId="0" applyFont="1" applyFill="1"/>
    <xf numFmtId="0" fontId="50" fillId="0" borderId="0" xfId="0" applyFont="1" applyFill="1" applyAlignment="1">
      <alignment horizontal="center"/>
    </xf>
    <xf numFmtId="0" fontId="48" fillId="0" borderId="0" xfId="0" applyFont="1" applyAlignment="1">
      <alignment horizontal="center" vertical="center"/>
    </xf>
    <xf numFmtId="0" fontId="41" fillId="0" borderId="0" xfId="0" applyFont="1"/>
    <xf numFmtId="0" fontId="44" fillId="0" borderId="0" xfId="0" applyFont="1" applyAlignment="1">
      <alignment horizontal="center" vertical="center"/>
    </xf>
    <xf numFmtId="0" fontId="51" fillId="0" borderId="0" xfId="0" applyFont="1" applyAlignment="1">
      <alignment vertical="center"/>
    </xf>
    <xf numFmtId="0" fontId="52" fillId="0" borderId="0" xfId="0" applyFont="1" applyAlignment="1">
      <alignment vertical="center"/>
    </xf>
    <xf numFmtId="164" fontId="51" fillId="0" borderId="0" xfId="0" applyNumberFormat="1" applyFont="1" applyAlignment="1">
      <alignment vertical="center"/>
    </xf>
    <xf numFmtId="0" fontId="51" fillId="0" borderId="0" xfId="0" applyFont="1" applyAlignment="1">
      <alignment horizontal="center" vertical="center"/>
    </xf>
    <xf numFmtId="0" fontId="53" fillId="0" borderId="0" xfId="0" applyFont="1" applyFill="1" applyAlignment="1">
      <alignment horizontal="center"/>
    </xf>
    <xf numFmtId="0" fontId="51" fillId="0" borderId="0" xfId="0" applyFont="1" applyFill="1"/>
    <xf numFmtId="0" fontId="52" fillId="0" borderId="0" xfId="0" applyFont="1" applyFill="1"/>
    <xf numFmtId="0" fontId="51" fillId="0" borderId="0" xfId="0" applyFont="1" applyFill="1" applyAlignment="1">
      <alignment horizontal="center"/>
    </xf>
    <xf numFmtId="0" fontId="46" fillId="0" borderId="0" xfId="0" applyFont="1" applyFill="1" applyAlignment="1">
      <alignment horizontal="center"/>
    </xf>
    <xf numFmtId="0" fontId="46" fillId="0" borderId="0" xfId="0" applyFont="1" applyFill="1"/>
    <xf numFmtId="0" fontId="54" fillId="0" borderId="0" xfId="0" applyFont="1" applyAlignment="1">
      <alignment horizontal="center" vertical="center"/>
    </xf>
    <xf numFmtId="0" fontId="48" fillId="0" borderId="0" xfId="0" applyFont="1" applyAlignment="1">
      <alignment vertical="center"/>
    </xf>
    <xf numFmtId="0" fontId="40" fillId="0" borderId="0" xfId="0" applyFont="1" applyAlignment="1">
      <alignment vertical="center"/>
    </xf>
    <xf numFmtId="0" fontId="45" fillId="0" borderId="0" xfId="0" applyFont="1" applyAlignment="1">
      <alignment vertical="center"/>
    </xf>
    <xf numFmtId="164" fontId="45" fillId="0" borderId="0" xfId="0" applyNumberFormat="1" applyFont="1" applyAlignment="1">
      <alignment vertical="center"/>
    </xf>
    <xf numFmtId="0" fontId="55" fillId="0" borderId="0" xfId="0" applyFont="1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39" fillId="0" borderId="0" xfId="0" applyFont="1" applyAlignment="1">
      <alignment horizontal="center" vertical="center"/>
    </xf>
    <xf numFmtId="0" fontId="32" fillId="0" borderId="0" xfId="0" applyFont="1" applyAlignment="1">
      <alignment horizontal="center" textRotation="90"/>
    </xf>
    <xf numFmtId="0" fontId="56" fillId="0" borderId="0" xfId="0" applyFont="1"/>
    <xf numFmtId="0" fontId="37" fillId="0" borderId="0" xfId="0" applyFont="1"/>
    <xf numFmtId="0" fontId="57" fillId="0" borderId="0" xfId="0" applyFont="1"/>
    <xf numFmtId="0" fontId="15" fillId="4" borderId="0" xfId="0" applyFont="1" applyFill="1" applyAlignment="1">
      <alignment horizontal="center" vertical="center" wrapText="1"/>
    </xf>
    <xf numFmtId="0" fontId="37" fillId="4" borderId="0" xfId="0" applyFont="1" applyFill="1" applyAlignment="1">
      <alignment horizontal="center" vertical="center"/>
    </xf>
    <xf numFmtId="0" fontId="37" fillId="4" borderId="0" xfId="0" applyFont="1" applyFill="1" applyAlignment="1">
      <alignment horizontal="center"/>
    </xf>
    <xf numFmtId="0" fontId="34" fillId="0" borderId="0" xfId="0" applyFont="1" applyFill="1"/>
    <xf numFmtId="0" fontId="36" fillId="0" borderId="0" xfId="0" applyFont="1" applyFill="1" applyAlignment="1">
      <alignment horizontal="center"/>
    </xf>
    <xf numFmtId="0" fontId="58" fillId="0" borderId="0" xfId="0" applyFont="1" applyFill="1"/>
    <xf numFmtId="0" fontId="4" fillId="10" borderId="0" xfId="0" applyFont="1" applyFill="1" applyAlignment="1">
      <alignment vertical="center"/>
    </xf>
    <xf numFmtId="0" fontId="28" fillId="0" borderId="0" xfId="0" applyFont="1" applyAlignment="1">
      <alignment horizontal="left" vertical="center"/>
    </xf>
    <xf numFmtId="0" fontId="54" fillId="0" borderId="0" xfId="0" applyFont="1" applyAlignment="1">
      <alignment vertical="center"/>
    </xf>
    <xf numFmtId="164" fontId="54" fillId="0" borderId="0" xfId="0" applyNumberFormat="1" applyFont="1" applyAlignment="1">
      <alignment vertical="center"/>
    </xf>
    <xf numFmtId="0" fontId="60" fillId="0" borderId="0" xfId="0" applyFont="1" applyAlignment="1">
      <alignment horizontal="center" vertical="center"/>
    </xf>
    <xf numFmtId="0" fontId="27" fillId="0" borderId="0" xfId="0" applyFont="1" applyFill="1" applyAlignment="1">
      <alignment horizontal="left" vertical="center"/>
    </xf>
    <xf numFmtId="0" fontId="2" fillId="0" borderId="0" xfId="0" applyFont="1" applyFill="1" applyAlignment="1">
      <alignment horizontal="left" vertical="center"/>
    </xf>
    <xf numFmtId="0" fontId="28" fillId="0" borderId="0" xfId="0" applyFont="1" applyFill="1" applyAlignment="1">
      <alignment horizontal="left" vertical="center"/>
    </xf>
    <xf numFmtId="0" fontId="28" fillId="8" borderId="0" xfId="0" applyFont="1" applyFill="1" applyAlignment="1">
      <alignment horizontal="left" vertical="center"/>
    </xf>
    <xf numFmtId="0" fontId="4" fillId="0" borderId="0" xfId="0" applyFont="1" applyFill="1" applyAlignment="1">
      <alignment vertical="center"/>
    </xf>
    <xf numFmtId="0" fontId="40" fillId="11" borderId="0" xfId="0" applyFont="1" applyFill="1" applyAlignment="1">
      <alignment vertical="center"/>
    </xf>
    <xf numFmtId="0" fontId="61" fillId="7" borderId="0" xfId="0" applyFont="1" applyFill="1" applyAlignment="1">
      <alignment horizontal="center" vertical="center"/>
    </xf>
    <xf numFmtId="0" fontId="27" fillId="7" borderId="0" xfId="0" applyFont="1" applyFill="1" applyAlignment="1">
      <alignment horizontal="center" vertical="center"/>
    </xf>
    <xf numFmtId="0" fontId="28" fillId="7" borderId="0" xfId="0" applyFont="1" applyFill="1" applyAlignment="1">
      <alignment vertical="center"/>
    </xf>
    <xf numFmtId="0" fontId="62" fillId="7" borderId="0" xfId="0" applyFont="1" applyFill="1" applyAlignment="1">
      <alignment vertical="center"/>
    </xf>
    <xf numFmtId="0" fontId="27" fillId="7" borderId="0" xfId="0" applyFont="1" applyFill="1" applyAlignment="1">
      <alignment vertical="center"/>
    </xf>
    <xf numFmtId="164" fontId="28" fillId="7" borderId="0" xfId="0" applyNumberFormat="1" applyFont="1" applyFill="1" applyAlignment="1">
      <alignment vertical="center"/>
    </xf>
    <xf numFmtId="0" fontId="8" fillId="7" borderId="0" xfId="0" applyFont="1" applyFill="1" applyAlignment="1">
      <alignment horizontal="center" vertical="center"/>
    </xf>
    <xf numFmtId="0" fontId="15" fillId="7" borderId="0" xfId="0" applyFont="1" applyFill="1" applyAlignment="1">
      <alignment vertical="center"/>
    </xf>
    <xf numFmtId="0" fontId="63" fillId="7" borderId="0" xfId="0" applyFont="1" applyFill="1" applyAlignment="1">
      <alignment vertical="center"/>
    </xf>
    <xf numFmtId="0" fontId="59" fillId="8" borderId="0" xfId="0" applyFont="1" applyFill="1" applyAlignment="1">
      <alignment vertical="center"/>
    </xf>
    <xf numFmtId="0" fontId="40" fillId="12" borderId="0" xfId="0" applyFont="1" applyFill="1" applyAlignment="1">
      <alignment vertical="center"/>
    </xf>
    <xf numFmtId="0" fontId="29" fillId="0" borderId="0" xfId="0" applyFont="1" applyFill="1" applyAlignment="1">
      <alignment horizontal="center"/>
    </xf>
    <xf numFmtId="0" fontId="64" fillId="0" borderId="0" xfId="0" applyFont="1" applyFill="1"/>
    <xf numFmtId="0" fontId="6" fillId="11" borderId="0" xfId="0" applyFont="1" applyFill="1" applyAlignment="1">
      <alignment horizontal="center" vertical="center"/>
    </xf>
    <xf numFmtId="0" fontId="15" fillId="11" borderId="0" xfId="0" applyFont="1" applyFill="1" applyAlignment="1">
      <alignment vertical="center"/>
    </xf>
    <xf numFmtId="164" fontId="15" fillId="11" borderId="0" xfId="0" applyNumberFormat="1" applyFont="1" applyFill="1" applyAlignment="1">
      <alignment vertical="center"/>
    </xf>
    <xf numFmtId="0" fontId="44" fillId="11" borderId="0" xfId="0" applyFont="1" applyFill="1" applyAlignment="1">
      <alignment horizontal="center"/>
    </xf>
    <xf numFmtId="0" fontId="2" fillId="11" borderId="0" xfId="0" applyFont="1" applyFill="1" applyAlignment="1">
      <alignment vertical="center"/>
    </xf>
    <xf numFmtId="0" fontId="41" fillId="11" borderId="0" xfId="0" applyFont="1" applyFill="1"/>
    <xf numFmtId="0" fontId="2" fillId="11" borderId="0" xfId="0" applyFont="1" applyFill="1" applyAlignment="1">
      <alignment horizontal="center" vertical="center"/>
    </xf>
    <xf numFmtId="0" fontId="41" fillId="11" borderId="0" xfId="0" applyFont="1" applyFill="1" applyAlignment="1">
      <alignment horizontal="center"/>
    </xf>
    <xf numFmtId="0" fontId="8" fillId="11" borderId="0" xfId="0" applyFont="1" applyFill="1" applyAlignment="1">
      <alignment horizontal="center" vertical="center"/>
    </xf>
    <xf numFmtId="0" fontId="38" fillId="11" borderId="0" xfId="0" applyFont="1" applyFill="1" applyAlignment="1">
      <alignment vertical="center"/>
    </xf>
    <xf numFmtId="0" fontId="64" fillId="8" borderId="0" xfId="0" applyFont="1" applyFill="1"/>
    <xf numFmtId="0" fontId="38" fillId="8" borderId="0" xfId="0" applyFont="1" applyFill="1" applyAlignment="1">
      <alignment vertical="center"/>
    </xf>
    <xf numFmtId="0" fontId="15" fillId="0" borderId="0" xfId="0" applyFont="1" applyFill="1" applyAlignment="1">
      <alignment vertical="center"/>
    </xf>
    <xf numFmtId="0" fontId="45" fillId="0" borderId="0" xfId="0" applyFont="1" applyAlignment="1">
      <alignment horizontal="left" vertical="center"/>
    </xf>
    <xf numFmtId="0" fontId="19" fillId="0" borderId="0" xfId="0" applyFont="1" applyAlignment="1">
      <alignment horizontal="left" vertical="center"/>
    </xf>
    <xf numFmtId="0" fontId="2" fillId="0" borderId="0" xfId="0" applyFont="1" applyAlignment="1">
      <alignment horizontal="left"/>
    </xf>
    <xf numFmtId="0" fontId="0" fillId="0" borderId="0" xfId="0" applyAlignment="1">
      <alignment horizontal="center"/>
    </xf>
    <xf numFmtId="0" fontId="27" fillId="0" borderId="0" xfId="0" applyFont="1" applyAlignment="1">
      <alignment horizontal="right" vertical="top" wrapText="1"/>
    </xf>
    <xf numFmtId="0" fontId="27" fillId="0" borderId="0" xfId="0" applyFont="1" applyAlignment="1">
      <alignment horizontal="left" vertical="center" wrapText="1"/>
    </xf>
    <xf numFmtId="0" fontId="57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2" fillId="0" borderId="0" xfId="0" applyFont="1" applyAlignment="1">
      <alignment horizontal="left"/>
    </xf>
    <xf numFmtId="49" fontId="2" fillId="0" borderId="0" xfId="0" applyNumberFormat="1" applyFont="1" applyAlignment="1">
      <alignment horizontal="left"/>
    </xf>
    <xf numFmtId="14" fontId="2" fillId="0" borderId="0" xfId="0" applyNumberFormat="1" applyFont="1" applyAlignment="1">
      <alignment horizontal="left"/>
    </xf>
    <xf numFmtId="0" fontId="9" fillId="0" borderId="2" xfId="0" applyFont="1" applyBorder="1" applyAlignment="1">
      <alignment horizontal="left" vertical="center" indent="1"/>
    </xf>
    <xf numFmtId="0" fontId="1" fillId="2" borderId="0" xfId="0" applyFont="1" applyFill="1" applyAlignment="1">
      <alignment horizontal="left" vertical="center"/>
    </xf>
    <xf numFmtId="0" fontId="1" fillId="2" borderId="0" xfId="0" applyFont="1" applyFill="1" applyAlignment="1">
      <alignment horizontal="center" vertical="center"/>
    </xf>
    <xf numFmtId="0" fontId="22" fillId="0" borderId="6" xfId="0" applyFont="1" applyBorder="1" applyAlignment="1">
      <alignment horizontal="center" vertical="center"/>
    </xf>
    <xf numFmtId="0" fontId="22" fillId="0" borderId="9" xfId="0" applyFont="1" applyBorder="1" applyAlignment="1">
      <alignment horizontal="center" vertical="center"/>
    </xf>
    <xf numFmtId="0" fontId="22" fillId="0" borderId="10" xfId="0" applyFont="1" applyBorder="1" applyAlignment="1">
      <alignment horizontal="center" vertical="center"/>
    </xf>
  </cellXfs>
  <cellStyles count="1">
    <cellStyle name="Standard" xfId="0" builtinId="0"/>
  </cellStyles>
  <dxfs count="4">
    <dxf>
      <fill>
        <patternFill>
          <bgColor indexed="44"/>
        </patternFill>
      </fill>
    </dxf>
    <dxf>
      <fill>
        <patternFill>
          <bgColor indexed="43"/>
        </patternFill>
      </fill>
    </dxf>
    <dxf>
      <fill>
        <patternFill>
          <bgColor indexed="44"/>
        </patternFill>
      </fill>
    </dxf>
    <dxf>
      <fill>
        <patternFill>
          <bgColor indexed="43"/>
        </patternFill>
      </fill>
    </dxf>
  </dxfs>
  <tableStyles count="0" defaultTableStyle="TableStyleMedium2" defaultPivotStyle="PivotStyleLight16"/>
  <colors>
    <mruColors>
      <color rgb="FFFF7D7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8.emf"/><Relationship Id="rId7" Type="http://schemas.openxmlformats.org/officeDocument/2006/relationships/image" Target="../media/image4.emf"/><Relationship Id="rId2" Type="http://schemas.openxmlformats.org/officeDocument/2006/relationships/image" Target="../media/image9.emf"/><Relationship Id="rId1" Type="http://schemas.openxmlformats.org/officeDocument/2006/relationships/image" Target="../media/image10.emf"/><Relationship Id="rId6" Type="http://schemas.openxmlformats.org/officeDocument/2006/relationships/image" Target="../media/image5.emf"/><Relationship Id="rId5" Type="http://schemas.openxmlformats.org/officeDocument/2006/relationships/image" Target="../media/image6.emf"/><Relationship Id="rId10" Type="http://schemas.openxmlformats.org/officeDocument/2006/relationships/image" Target="../media/image1.emf"/><Relationship Id="rId4" Type="http://schemas.openxmlformats.org/officeDocument/2006/relationships/image" Target="../media/image7.emf"/><Relationship Id="rId9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</xdr:row>
          <xdr:rowOff>0</xdr:rowOff>
        </xdr:from>
        <xdr:to>
          <xdr:col>4</xdr:col>
          <xdr:colOff>0</xdr:colOff>
          <xdr:row>14</xdr:row>
          <xdr:rowOff>0</xdr:rowOff>
        </xdr:to>
        <xdr:sp macro="" textlink="">
          <xdr:nvSpPr>
            <xdr:cNvPr id="11284" name="ExportParameterListButton" hidden="1">
              <a:extLst>
                <a:ext uri="{63B3BB69-23CF-44E3-9099-C40C66FF867C}">
                  <a14:compatExt spid="_x0000_s112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</xdr:row>
          <xdr:rowOff>0</xdr:rowOff>
        </xdr:from>
        <xdr:to>
          <xdr:col>4</xdr:col>
          <xdr:colOff>0</xdr:colOff>
          <xdr:row>18</xdr:row>
          <xdr:rowOff>0</xdr:rowOff>
        </xdr:to>
        <xdr:sp macro="" textlink="">
          <xdr:nvSpPr>
            <xdr:cNvPr id="11285" name="ExportValuesCommandsButton" hidden="1">
              <a:extLst>
                <a:ext uri="{63B3BB69-23CF-44E3-9099-C40C66FF867C}">
                  <a14:compatExt spid="_x0000_s112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</xdr:row>
          <xdr:rowOff>7620</xdr:rowOff>
        </xdr:from>
        <xdr:to>
          <xdr:col>4</xdr:col>
          <xdr:colOff>0</xdr:colOff>
          <xdr:row>19</xdr:row>
          <xdr:rowOff>0</xdr:rowOff>
        </xdr:to>
        <xdr:sp macro="" textlink="">
          <xdr:nvSpPr>
            <xdr:cNvPr id="11286" name="ExportValueListsForUserInterface" hidden="1">
              <a:extLst>
                <a:ext uri="{63B3BB69-23CF-44E3-9099-C40C66FF867C}">
                  <a14:compatExt spid="_x0000_s112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</xdr:row>
          <xdr:rowOff>7620</xdr:rowOff>
        </xdr:from>
        <xdr:to>
          <xdr:col>4</xdr:col>
          <xdr:colOff>0</xdr:colOff>
          <xdr:row>15</xdr:row>
          <xdr:rowOff>0</xdr:rowOff>
        </xdr:to>
        <xdr:sp macro="" textlink="">
          <xdr:nvSpPr>
            <xdr:cNvPr id="11287" name="ExportArchicadPropertiesButton" hidden="1">
              <a:extLst>
                <a:ext uri="{63B3BB69-23CF-44E3-9099-C40C66FF867C}">
                  <a14:compatExt spid="_x0000_s112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</xdr:colOff>
          <xdr:row>19</xdr:row>
          <xdr:rowOff>0</xdr:rowOff>
        </xdr:from>
        <xdr:to>
          <xdr:col>4</xdr:col>
          <xdr:colOff>0</xdr:colOff>
          <xdr:row>20</xdr:row>
          <xdr:rowOff>0</xdr:rowOff>
        </xdr:to>
        <xdr:sp macro="" textlink="">
          <xdr:nvSpPr>
            <xdr:cNvPr id="11288" name="ExportArrayIndicesButton" hidden="1">
              <a:extLst>
                <a:ext uri="{63B3BB69-23CF-44E3-9099-C40C66FF867C}">
                  <a14:compatExt spid="_x0000_s112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</xdr:row>
          <xdr:rowOff>7620</xdr:rowOff>
        </xdr:from>
        <xdr:to>
          <xdr:col>4</xdr:col>
          <xdr:colOff>0</xdr:colOff>
          <xdr:row>22</xdr:row>
          <xdr:rowOff>0</xdr:rowOff>
        </xdr:to>
        <xdr:sp macro="" textlink="">
          <xdr:nvSpPr>
            <xdr:cNvPr id="11289" name="ExportMultilingualTextButton" hidden="1">
              <a:extLst>
                <a:ext uri="{63B3BB69-23CF-44E3-9099-C40C66FF867C}">
                  <a14:compatExt spid="_x0000_s11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</xdr:row>
          <xdr:rowOff>0</xdr:rowOff>
        </xdr:from>
        <xdr:to>
          <xdr:col>4</xdr:col>
          <xdr:colOff>0</xdr:colOff>
          <xdr:row>23</xdr:row>
          <xdr:rowOff>0</xdr:rowOff>
        </xdr:to>
        <xdr:sp macro="" textlink="">
          <xdr:nvSpPr>
            <xdr:cNvPr id="11290" name="ImportVariableTextButton" hidden="1">
              <a:extLst>
                <a:ext uri="{63B3BB69-23CF-44E3-9099-C40C66FF867C}">
                  <a14:compatExt spid="_x0000_s11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27</xdr:row>
          <xdr:rowOff>0</xdr:rowOff>
        </xdr:from>
        <xdr:to>
          <xdr:col>4</xdr:col>
          <xdr:colOff>0</xdr:colOff>
          <xdr:row>28</xdr:row>
          <xdr:rowOff>0</xdr:rowOff>
        </xdr:to>
        <xdr:sp macro="" textlink="">
          <xdr:nvSpPr>
            <xdr:cNvPr id="11291" name="ParseUserInterfaceButton" hidden="1">
              <a:extLst>
                <a:ext uri="{63B3BB69-23CF-44E3-9099-C40C66FF867C}">
                  <a14:compatExt spid="_x0000_s11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</xdr:row>
          <xdr:rowOff>0</xdr:rowOff>
        </xdr:from>
        <xdr:to>
          <xdr:col>4</xdr:col>
          <xdr:colOff>0</xdr:colOff>
          <xdr:row>25</xdr:row>
          <xdr:rowOff>0</xdr:rowOff>
        </xdr:to>
        <xdr:sp macro="" textlink="">
          <xdr:nvSpPr>
            <xdr:cNvPr id="11292" name="IntegrateBitmapsButton" hidden="1">
              <a:extLst>
                <a:ext uri="{63B3BB69-23CF-44E3-9099-C40C66FF867C}">
                  <a14:compatExt spid="_x0000_s112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</xdr:row>
          <xdr:rowOff>0</xdr:rowOff>
        </xdr:from>
        <xdr:to>
          <xdr:col>4</xdr:col>
          <xdr:colOff>0</xdr:colOff>
          <xdr:row>16</xdr:row>
          <xdr:rowOff>0</xdr:rowOff>
        </xdr:to>
        <xdr:sp macro="" textlink="">
          <xdr:nvSpPr>
            <xdr:cNvPr id="11293" name="CheckButton" hidden="1">
              <a:extLst>
                <a:ext uri="{63B3BB69-23CF-44E3-9099-C40C66FF867C}">
                  <a14:compatExt spid="_x0000_s11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/>
  <dimension ref="A1:H33"/>
  <sheetViews>
    <sheetView tabSelected="1" zoomScaleNormal="100" workbookViewId="0">
      <selection activeCell="B4" sqref="B4:C4"/>
    </sheetView>
  </sheetViews>
  <sheetFormatPr baseColWidth="10" defaultColWidth="11.44140625" defaultRowHeight="24.75" customHeight="1" x14ac:dyDescent="0.25"/>
  <cols>
    <col min="1" max="1" width="23" style="3" customWidth="1"/>
    <col min="2" max="2" width="2.6640625" style="2" customWidth="1"/>
    <col min="3" max="3" width="59.44140625" style="3" customWidth="1"/>
    <col min="4" max="4" width="25.6640625" style="3" customWidth="1"/>
    <col min="5" max="5" width="2.88671875" style="3" customWidth="1"/>
    <col min="6" max="8" width="28" style="3" customWidth="1"/>
    <col min="9" max="16384" width="11.44140625" style="3"/>
  </cols>
  <sheetData>
    <row r="1" spans="1:8" ht="24.75" customHeight="1" x14ac:dyDescent="0.3">
      <c r="A1" s="1" t="s">
        <v>0</v>
      </c>
      <c r="B1" s="264" t="s">
        <v>2278</v>
      </c>
      <c r="C1" s="264"/>
      <c r="D1" s="4"/>
    </row>
    <row r="2" spans="1:8" ht="9" customHeight="1" x14ac:dyDescent="0.3">
      <c r="A2" s="1"/>
      <c r="B2" s="147"/>
      <c r="C2" s="65"/>
      <c r="D2" s="4"/>
      <c r="E2" s="4"/>
      <c r="F2" s="4"/>
      <c r="G2" s="4"/>
      <c r="H2" s="4"/>
    </row>
    <row r="3" spans="1:8" ht="21" customHeight="1" x14ac:dyDescent="0.3">
      <c r="A3" s="1" t="s">
        <v>159</v>
      </c>
      <c r="B3" s="109" t="s">
        <v>2288</v>
      </c>
      <c r="C3" s="109"/>
      <c r="D3" s="109"/>
      <c r="E3" s="6"/>
      <c r="F3" s="6"/>
      <c r="G3" s="6"/>
      <c r="H3" s="6"/>
    </row>
    <row r="4" spans="1:8" ht="21" customHeight="1" x14ac:dyDescent="0.3">
      <c r="A4" s="1" t="s">
        <v>1</v>
      </c>
      <c r="B4" s="265" t="s">
        <v>2286</v>
      </c>
      <c r="C4" s="265"/>
      <c r="D4" s="4"/>
    </row>
    <row r="5" spans="1:8" ht="21" customHeight="1" x14ac:dyDescent="0.3">
      <c r="A5" s="1" t="s">
        <v>97</v>
      </c>
      <c r="B5" s="266" t="s">
        <v>2287</v>
      </c>
      <c r="C5" s="266"/>
      <c r="D5" s="4"/>
    </row>
    <row r="6" spans="1:8" ht="21" customHeight="1" x14ac:dyDescent="0.3">
      <c r="A6" s="1" t="s">
        <v>2</v>
      </c>
      <c r="B6" s="267">
        <v>45904</v>
      </c>
      <c r="C6" s="267"/>
      <c r="D6" s="4"/>
    </row>
    <row r="7" spans="1:8" ht="21" customHeight="1" x14ac:dyDescent="0.3">
      <c r="A7" s="1" t="s">
        <v>3</v>
      </c>
      <c r="B7" s="265">
        <v>28</v>
      </c>
      <c r="C7" s="265"/>
      <c r="D7" s="55"/>
    </row>
    <row r="8" spans="1:8" ht="21" customHeight="1" x14ac:dyDescent="0.3">
      <c r="A8" s="1" t="s">
        <v>4</v>
      </c>
      <c r="B8" s="265" t="str">
        <f>"max. "&amp;TEXT(ROWS(PARAMETERS!$A$2:$A$498),"0")&amp;" / "&amp;TEXT(ROWS(PARAMETERLISTE),"0")</f>
        <v>max. 497 / 497</v>
      </c>
      <c r="C8" s="265"/>
      <c r="D8" s="4" t="s">
        <v>5</v>
      </c>
    </row>
    <row r="9" spans="1:8" ht="21" customHeight="1" x14ac:dyDescent="0.3">
      <c r="A9" s="1"/>
      <c r="B9" s="265" t="str">
        <f>TEXT(COUNTIF(PARAMETERS!$A$2:$A$498,"G"),"0")&amp;" (GDL) /  "&amp;TEXT(COUNTIF(PARAMETERS!$A$2:$A$498,"P"),"0")&amp;" (Properties)"</f>
        <v>399 (GDL) /  0 (Properties)</v>
      </c>
      <c r="C9" s="265"/>
      <c r="D9" s="4"/>
    </row>
    <row r="10" spans="1:8" ht="21" customHeight="1" x14ac:dyDescent="0.3">
      <c r="A10" s="1" t="s">
        <v>7</v>
      </c>
      <c r="B10" s="265" t="str">
        <f>"for max. "&amp;TEXT(ROWS(VALUESLIST),"0")&amp;" parameters"</f>
        <v>for max. 92 parameters</v>
      </c>
      <c r="C10" s="265"/>
      <c r="D10" s="4" t="s">
        <v>6</v>
      </c>
    </row>
    <row r="11" spans="1:8" ht="21" customHeight="1" x14ac:dyDescent="0.3">
      <c r="A11" s="1" t="s">
        <v>8</v>
      </c>
      <c r="B11" s="265" t="str">
        <f>"max. "&amp;TEXT(ROWS(VALUESval),"0")&amp;" items for value list (per parameter)"</f>
        <v>max. 91 items for value list (per parameter)</v>
      </c>
      <c r="C11" s="265"/>
      <c r="D11" s="4" t="s">
        <v>5</v>
      </c>
    </row>
    <row r="12" spans="1:8" ht="36" customHeight="1" x14ac:dyDescent="0.3">
      <c r="A12" s="1"/>
    </row>
    <row r="13" spans="1:8" ht="16.5" customHeight="1" x14ac:dyDescent="0.3">
      <c r="A13" s="1"/>
      <c r="B13"/>
      <c r="C13" s="65" t="s">
        <v>154</v>
      </c>
      <c r="D13" s="65" t="s">
        <v>158</v>
      </c>
      <c r="E13"/>
      <c r="F13" s="65" t="s">
        <v>153</v>
      </c>
      <c r="G13" s="65"/>
    </row>
    <row r="14" spans="1:8" ht="24" customHeight="1" x14ac:dyDescent="0.3">
      <c r="A14" s="7" t="s">
        <v>2231</v>
      </c>
      <c r="B14" s="14" t="s">
        <v>2232</v>
      </c>
      <c r="C14" s="14"/>
      <c r="D14" s="14"/>
      <c r="E14"/>
      <c r="F14" s="95" t="s">
        <v>152</v>
      </c>
      <c r="G14" s="112"/>
    </row>
    <row r="15" spans="1:8" ht="24" customHeight="1" x14ac:dyDescent="0.3">
      <c r="A15" s="7"/>
      <c r="B15" s="14" t="s">
        <v>2233</v>
      </c>
      <c r="C15" s="14"/>
      <c r="D15" s="14"/>
      <c r="E15"/>
      <c r="F15" s="95" t="s">
        <v>141</v>
      </c>
      <c r="G15" s="3" t="s">
        <v>165</v>
      </c>
    </row>
    <row r="16" spans="1:8" ht="24" customHeight="1" x14ac:dyDescent="0.3">
      <c r="A16" s="7"/>
      <c r="B16" s="17" t="s">
        <v>2234</v>
      </c>
      <c r="C16" s="14"/>
      <c r="D16"/>
      <c r="E16"/>
      <c r="F16" s="261"/>
      <c r="G16" s="259"/>
    </row>
    <row r="17" spans="1:7" ht="24" customHeight="1" x14ac:dyDescent="0.3">
      <c r="A17" s="7"/>
      <c r="B17" s="14"/>
      <c r="C17" s="14"/>
      <c r="D17" s="14"/>
      <c r="E17"/>
      <c r="F17" s="95"/>
      <c r="G17" s="112"/>
    </row>
    <row r="18" spans="1:7" ht="24" customHeight="1" x14ac:dyDescent="0.3">
      <c r="A18" s="7" t="s">
        <v>2235</v>
      </c>
      <c r="B18" s="14" t="s">
        <v>157</v>
      </c>
      <c r="C18" s="14"/>
      <c r="D18"/>
      <c r="E18"/>
      <c r="F18" s="95" t="s">
        <v>166</v>
      </c>
      <c r="G18" s="112"/>
    </row>
    <row r="19" spans="1:7" ht="24" customHeight="1" x14ac:dyDescent="0.3">
      <c r="A19" s="7"/>
      <c r="B19" s="14" t="s">
        <v>156</v>
      </c>
      <c r="C19" s="14"/>
      <c r="D19"/>
      <c r="E19"/>
      <c r="F19" s="95" t="s">
        <v>187</v>
      </c>
      <c r="G19" s="112"/>
    </row>
    <row r="20" spans="1:7" ht="24" customHeight="1" x14ac:dyDescent="0.3">
      <c r="A20" s="7"/>
      <c r="B20" s="14" t="s">
        <v>155</v>
      </c>
      <c r="C20" s="14"/>
      <c r="D20"/>
      <c r="E20"/>
      <c r="F20" s="95" t="s">
        <v>167</v>
      </c>
      <c r="G20" s="112"/>
    </row>
    <row r="21" spans="1:7" ht="24" customHeight="1" x14ac:dyDescent="0.3">
      <c r="A21" s="7"/>
      <c r="B21" s="3"/>
      <c r="C21" s="14"/>
      <c r="D21"/>
      <c r="E21"/>
      <c r="F21"/>
      <c r="G21"/>
    </row>
    <row r="22" spans="1:7" ht="24" customHeight="1" x14ac:dyDescent="0.3">
      <c r="A22" s="7" t="s">
        <v>2236</v>
      </c>
      <c r="B22" s="14" t="s">
        <v>2237</v>
      </c>
      <c r="C22" s="14"/>
      <c r="D22"/>
      <c r="E22"/>
      <c r="F22" s="95" t="s">
        <v>168</v>
      </c>
      <c r="G22" s="259"/>
    </row>
    <row r="23" spans="1:7" ht="24" customHeight="1" x14ac:dyDescent="0.3">
      <c r="A23" s="7"/>
      <c r="B23" s="14" t="s">
        <v>2238</v>
      </c>
      <c r="C23" s="14"/>
      <c r="D23" s="5" t="s">
        <v>122</v>
      </c>
      <c r="E23"/>
      <c r="F23" s="262" t="s">
        <v>2252</v>
      </c>
      <c r="G23"/>
    </row>
    <row r="24" spans="1:7" ht="24" customHeight="1" x14ac:dyDescent="0.3">
      <c r="A24" s="7"/>
      <c r="B24" s="17"/>
      <c r="C24" s="14"/>
      <c r="D24" s="5" t="s">
        <v>122</v>
      </c>
      <c r="E24"/>
      <c r="F24" s="95"/>
      <c r="G24" s="112"/>
    </row>
    <row r="25" spans="1:7" ht="24" customHeight="1" x14ac:dyDescent="0.3">
      <c r="A25" s="7" t="s">
        <v>2239</v>
      </c>
      <c r="B25" s="17" t="s">
        <v>162</v>
      </c>
      <c r="C25" s="14"/>
      <c r="D25" s="5"/>
      <c r="E25"/>
      <c r="F25" s="95" t="s">
        <v>163</v>
      </c>
      <c r="G25" s="112"/>
    </row>
    <row r="26" spans="1:7" ht="24" customHeight="1" x14ac:dyDescent="0.3">
      <c r="A26" s="7"/>
      <c r="B26" s="17"/>
      <c r="C26" s="14"/>
      <c r="D26" s="5"/>
      <c r="E26"/>
      <c r="F26" s="95" t="s">
        <v>164</v>
      </c>
      <c r="G26" s="112"/>
    </row>
    <row r="27" spans="1:7" ht="24" customHeight="1" x14ac:dyDescent="0.3">
      <c r="A27" s="7"/>
      <c r="B27" s="17"/>
      <c r="C27" s="14"/>
      <c r="D27" s="5"/>
      <c r="E27"/>
      <c r="F27" s="95"/>
      <c r="G27" s="112"/>
    </row>
    <row r="28" spans="1:7" ht="24" customHeight="1" x14ac:dyDescent="0.3">
      <c r="A28" s="7" t="s">
        <v>2240</v>
      </c>
      <c r="B28" s="17" t="s">
        <v>2241</v>
      </c>
      <c r="C28" s="14"/>
      <c r="D28" s="5" t="s">
        <v>122</v>
      </c>
      <c r="E28"/>
      <c r="F28" s="95" t="s">
        <v>188</v>
      </c>
      <c r="G28" s="112"/>
    </row>
    <row r="29" spans="1:7" ht="24" customHeight="1" x14ac:dyDescent="0.25"/>
    <row r="30" spans="1:7" ht="24" customHeight="1" x14ac:dyDescent="0.25"/>
    <row r="31" spans="1:7" ht="24" customHeight="1" x14ac:dyDescent="0.25"/>
    <row r="32" spans="1:7" ht="24" customHeight="1" x14ac:dyDescent="0.25"/>
    <row r="33" ht="24" customHeight="1" x14ac:dyDescent="0.25"/>
  </sheetData>
  <mergeCells count="9">
    <mergeCell ref="B1:C1"/>
    <mergeCell ref="B4:C4"/>
    <mergeCell ref="B5:C5"/>
    <mergeCell ref="B11:C11"/>
    <mergeCell ref="B10:C10"/>
    <mergeCell ref="B8:C8"/>
    <mergeCell ref="B6:C6"/>
    <mergeCell ref="B7:C7"/>
    <mergeCell ref="B9:C9"/>
  </mergeCells>
  <phoneticPr fontId="7" type="noConversion"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1293" r:id="rId4" name="CheckButton">
          <controlPr print="0" autoLine="0" r:id="rId5">
            <anchor moveWithCells="1" sizeWithCells="1">
              <from>
                <xdr:col>3</xdr:col>
                <xdr:colOff>0</xdr:colOff>
                <xdr:row>15</xdr:row>
                <xdr:rowOff>0</xdr:rowOff>
              </from>
              <to>
                <xdr:col>4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293" r:id="rId4" name="CheckButton"/>
      </mc:Fallback>
    </mc:AlternateContent>
    <mc:AlternateContent xmlns:mc="http://schemas.openxmlformats.org/markup-compatibility/2006">
      <mc:Choice Requires="x14">
        <control shapeId="11292" r:id="rId6" name="IntegrateBitmapsButton">
          <controlPr print="0" autoLine="0" r:id="rId7">
            <anchor moveWithCells="1" sizeWithCells="1">
              <from>
                <xdr:col>3</xdr:col>
                <xdr:colOff>0</xdr:colOff>
                <xdr:row>24</xdr:row>
                <xdr:rowOff>0</xdr:rowOff>
              </from>
              <to>
                <xdr:col>4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292" r:id="rId6" name="IntegrateBitmapsButton"/>
      </mc:Fallback>
    </mc:AlternateContent>
    <mc:AlternateContent xmlns:mc="http://schemas.openxmlformats.org/markup-compatibility/2006">
      <mc:Choice Requires="x14">
        <control shapeId="11291" r:id="rId8" name="ParseUserInterfaceButton">
          <controlPr print="0" autoLine="0" r:id="rId9">
            <anchor moveWithCells="1" sizeWithCells="1">
              <from>
                <xdr:col>3</xdr:col>
                <xdr:colOff>0</xdr:colOff>
                <xdr:row>27</xdr:row>
                <xdr:rowOff>0</xdr:rowOff>
              </from>
              <to>
                <xdr:col>4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1291" r:id="rId8" name="ParseUserInterfaceButton"/>
      </mc:Fallback>
    </mc:AlternateContent>
    <mc:AlternateContent xmlns:mc="http://schemas.openxmlformats.org/markup-compatibility/2006">
      <mc:Choice Requires="x14">
        <control shapeId="11290" r:id="rId10" name="ImportVariableTextButton">
          <controlPr print="0" autoLine="0" r:id="rId11">
            <anchor moveWithCells="1" sizeWithCells="1">
              <from>
                <xdr:col>3</xdr:col>
                <xdr:colOff>0</xdr:colOff>
                <xdr:row>22</xdr:row>
                <xdr:rowOff>0</xdr:rowOff>
              </from>
              <to>
                <xdr:col>4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290" r:id="rId10" name="ImportVariableTextButton"/>
      </mc:Fallback>
    </mc:AlternateContent>
    <mc:AlternateContent xmlns:mc="http://schemas.openxmlformats.org/markup-compatibility/2006">
      <mc:Choice Requires="x14">
        <control shapeId="11289" r:id="rId12" name="ExportMultilingualTextButton">
          <controlPr defaultSize="0" autoLine="0" r:id="rId13">
            <anchor moveWithCells="1" sizeWithCells="1">
              <from>
                <xdr:col>3</xdr:col>
                <xdr:colOff>0</xdr:colOff>
                <xdr:row>21</xdr:row>
                <xdr:rowOff>7620</xdr:rowOff>
              </from>
              <to>
                <xdr:col>4</xdr:col>
                <xdr:colOff>0</xdr:colOff>
                <xdr:row>22</xdr:row>
                <xdr:rowOff>0</xdr:rowOff>
              </to>
            </anchor>
          </controlPr>
        </control>
      </mc:Choice>
      <mc:Fallback>
        <control shapeId="11289" r:id="rId12" name="ExportMultilingualTextButton"/>
      </mc:Fallback>
    </mc:AlternateContent>
    <mc:AlternateContent xmlns:mc="http://schemas.openxmlformats.org/markup-compatibility/2006">
      <mc:Choice Requires="x14">
        <control shapeId="11288" r:id="rId14" name="ExportArrayIndicesButton">
          <controlPr defaultSize="0" autoLine="0" r:id="rId15">
            <anchor moveWithCells="1" sizeWithCells="1">
              <from>
                <xdr:col>3</xdr:col>
                <xdr:colOff>7620</xdr:colOff>
                <xdr:row>19</xdr:row>
                <xdr:rowOff>0</xdr:rowOff>
              </from>
              <to>
                <xdr:col>4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288" r:id="rId14" name="ExportArrayIndicesButton"/>
      </mc:Fallback>
    </mc:AlternateContent>
    <mc:AlternateContent xmlns:mc="http://schemas.openxmlformats.org/markup-compatibility/2006">
      <mc:Choice Requires="x14">
        <control shapeId="11287" r:id="rId16" name="ExportArchicadPropertiesButton">
          <controlPr defaultSize="0" autoLine="0" r:id="rId17">
            <anchor moveWithCells="1" sizeWithCells="1">
              <from>
                <xdr:col>3</xdr:col>
                <xdr:colOff>0</xdr:colOff>
                <xdr:row>14</xdr:row>
                <xdr:rowOff>7620</xdr:rowOff>
              </from>
              <to>
                <xdr:col>4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287" r:id="rId16" name="ExportArchicadPropertiesButton"/>
      </mc:Fallback>
    </mc:AlternateContent>
    <mc:AlternateContent xmlns:mc="http://schemas.openxmlformats.org/markup-compatibility/2006">
      <mc:Choice Requires="x14">
        <control shapeId="11286" r:id="rId18" name="ExportValueListsForUserInterface">
          <controlPr defaultSize="0" autoLine="0" r:id="rId19">
            <anchor moveWithCells="1" sizeWithCells="1">
              <from>
                <xdr:col>3</xdr:col>
                <xdr:colOff>0</xdr:colOff>
                <xdr:row>18</xdr:row>
                <xdr:rowOff>7620</xdr:rowOff>
              </from>
              <to>
                <xdr:col>4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286" r:id="rId18" name="ExportValueListsForUserInterface"/>
      </mc:Fallback>
    </mc:AlternateContent>
    <mc:AlternateContent xmlns:mc="http://schemas.openxmlformats.org/markup-compatibility/2006">
      <mc:Choice Requires="x14">
        <control shapeId="11285" r:id="rId20" name="ExportValuesCommandsButton">
          <controlPr defaultSize="0" autoLine="0" r:id="rId21">
            <anchor moveWithCells="1" sizeWithCells="1">
              <from>
                <xdr:col>3</xdr:col>
                <xdr:colOff>0</xdr:colOff>
                <xdr:row>17</xdr:row>
                <xdr:rowOff>0</xdr:rowOff>
              </from>
              <to>
                <xdr:col>4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285" r:id="rId20" name="ExportValuesCommandsButton"/>
      </mc:Fallback>
    </mc:AlternateContent>
    <mc:AlternateContent xmlns:mc="http://schemas.openxmlformats.org/markup-compatibility/2006">
      <mc:Choice Requires="x14">
        <control shapeId="11284" r:id="rId22" name="ExportParameterListButton">
          <controlPr print="0" autoLine="0" r:id="rId23">
            <anchor moveWithCells="1" sizeWithCells="1">
              <from>
                <xdr:col>3</xdr:col>
                <xdr:colOff>0</xdr:colOff>
                <xdr:row>13</xdr:row>
                <xdr:rowOff>0</xdr:rowOff>
              </from>
              <to>
                <xdr:col>4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284" r:id="rId22" name="ExportParameterList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2"/>
  <dimension ref="A1:AD504"/>
  <sheetViews>
    <sheetView topLeftCell="O1" zoomScaleNormal="100" workbookViewId="0">
      <pane ySplit="2148" topLeftCell="A125" activePane="bottomLeft"/>
      <selection activeCell="G1" sqref="G1:J1048576"/>
      <selection pane="bottomLeft" activeCell="W109" sqref="W109"/>
    </sheetView>
  </sheetViews>
  <sheetFormatPr baseColWidth="10" defaultColWidth="11.44140625" defaultRowHeight="17.399999999999999" outlineLevelRow="1" x14ac:dyDescent="0.3"/>
  <cols>
    <col min="1" max="1" width="2.44140625" style="17" customWidth="1"/>
    <col min="2" max="2" width="3" style="14" customWidth="1"/>
    <col min="3" max="3" width="4.6640625" style="14" customWidth="1"/>
    <col min="4" max="10" width="2.5546875" style="41" customWidth="1"/>
    <col min="11" max="11" width="9.44140625" style="14" customWidth="1"/>
    <col min="12" max="12" width="11.44140625" style="14"/>
    <col min="13" max="13" width="40.44140625" style="20" bestFit="1" customWidth="1"/>
    <col min="14" max="14" width="40.88671875" style="14" customWidth="1"/>
    <col min="15" max="15" width="11.44140625" style="43"/>
    <col min="16" max="16" width="4.88671875" style="14" customWidth="1"/>
    <col min="17" max="17" width="2.88671875" style="38" customWidth="1"/>
    <col min="18" max="18" width="5.44140625" style="41" customWidth="1"/>
    <col min="19" max="20" width="8.88671875" style="41" customWidth="1"/>
    <col min="21" max="21" width="11.33203125" style="14" customWidth="1"/>
    <col min="22" max="22" width="33.5546875" style="14" customWidth="1"/>
    <col min="23" max="23" width="6" style="14" customWidth="1"/>
    <col min="24" max="24" width="6" style="15" customWidth="1"/>
    <col min="25" max="25" width="67.33203125" style="14" customWidth="1"/>
    <col min="26" max="26" width="10.44140625" style="59" customWidth="1"/>
    <col min="27" max="27" width="9.109375" style="56" customWidth="1"/>
    <col min="28" max="28" width="13.44140625" style="63" customWidth="1"/>
    <col min="29" max="29" width="36.33203125" style="14" customWidth="1"/>
    <col min="30" max="16384" width="11.44140625" style="14"/>
  </cols>
  <sheetData>
    <row r="1" spans="1:30" s="21" customFormat="1" ht="92.25" customHeight="1" x14ac:dyDescent="0.3">
      <c r="A1" s="37" t="s">
        <v>81</v>
      </c>
      <c r="B1" s="30" t="s">
        <v>64</v>
      </c>
      <c r="C1" s="31" t="s">
        <v>65</v>
      </c>
      <c r="D1" s="30" t="s">
        <v>66</v>
      </c>
      <c r="E1" s="30" t="s">
        <v>67</v>
      </c>
      <c r="F1" s="30" t="s">
        <v>68</v>
      </c>
      <c r="G1" s="30" t="s">
        <v>69</v>
      </c>
      <c r="H1" s="30" t="s">
        <v>70</v>
      </c>
      <c r="I1" s="30" t="s">
        <v>71</v>
      </c>
      <c r="J1" s="30" t="s">
        <v>72</v>
      </c>
      <c r="K1" s="39" t="s">
        <v>82</v>
      </c>
      <c r="L1" s="39" t="s">
        <v>12</v>
      </c>
      <c r="M1" s="39" t="s">
        <v>73</v>
      </c>
      <c r="N1" s="39" t="s">
        <v>132</v>
      </c>
      <c r="O1" s="40" t="s">
        <v>74</v>
      </c>
      <c r="P1" s="30" t="s">
        <v>75</v>
      </c>
      <c r="Q1" s="37" t="s">
        <v>76</v>
      </c>
      <c r="R1" s="30" t="s">
        <v>106</v>
      </c>
      <c r="S1" s="37" t="s">
        <v>109</v>
      </c>
      <c r="T1" s="37" t="s">
        <v>110</v>
      </c>
      <c r="U1" s="37" t="s">
        <v>77</v>
      </c>
      <c r="V1" s="32" t="s">
        <v>133</v>
      </c>
      <c r="W1" s="31"/>
      <c r="X1" s="31"/>
      <c r="Y1" s="32" t="s">
        <v>78</v>
      </c>
      <c r="Z1" s="57" t="s">
        <v>79</v>
      </c>
      <c r="AA1" s="58" t="s">
        <v>80</v>
      </c>
      <c r="AB1" s="58" t="s">
        <v>140</v>
      </c>
      <c r="AC1" s="21" t="s">
        <v>135</v>
      </c>
    </row>
    <row r="2" spans="1:30" x14ac:dyDescent="0.3">
      <c r="A2" s="22" t="s">
        <v>107</v>
      </c>
      <c r="B2" s="41"/>
      <c r="C2" s="42"/>
      <c r="D2" s="38"/>
      <c r="E2" s="38"/>
      <c r="F2" s="38"/>
      <c r="G2" s="38"/>
      <c r="H2" s="38"/>
      <c r="I2" s="38"/>
      <c r="J2" s="38"/>
      <c r="R2" s="38"/>
      <c r="S2" s="38"/>
      <c r="T2" s="38"/>
      <c r="Z2" s="59" t="str">
        <f>IF(OR($M2="",NOT($O2="{array}")),"",IFERROR(MATCH(PARAMETERS!$M2,DEFAULT!$B$5:$CG$5,0),""))</f>
        <v/>
      </c>
      <c r="AA2" s="56" t="str">
        <f>IF($M2="","",IFERROR(MATCH($M2,VALUESnames,0),""))</f>
        <v/>
      </c>
      <c r="AB2" s="63" t="str">
        <f>IF(AND(OR($A2="G",$A2="P"),NOT($O2="{array}")),IF(VLOOKUP($K2,base!$B$2:$D$20,3,0)="S",IF(OR($O2="",ISTEXT($O2)),"","STRING!"),IF(VLOOKUP($K2,base!$B$2:$D$20,3,0)="","",IF(ISTEXT($O2),"NUMERIC!",""))),"")</f>
        <v/>
      </c>
      <c r="AC2" s="14" t="str">
        <f>IF($AA2="","",IF($B2="I",VLOOKUP($AA2,#REF!,53,0),VLOOKUP($AA2,#REF!,7,0)))</f>
        <v/>
      </c>
    </row>
    <row r="3" spans="1:30" hidden="1" outlineLevel="1" x14ac:dyDescent="0.3">
      <c r="A3" s="22" t="s">
        <v>84</v>
      </c>
      <c r="B3" s="41" t="str">
        <f>IF($A3="P",IF(NOT($Z3=""),"A",IF(NOT($AA3=""),"I","")),IF(NOT($AA3=""),IF($A3="G","V","X"),IF(NOT($Z3=""),"A","")))</f>
        <v/>
      </c>
      <c r="C3" s="42">
        <f>(ROW()-1)</f>
        <v>2</v>
      </c>
      <c r="D3" s="38"/>
      <c r="E3" s="38"/>
      <c r="F3" s="38" t="s">
        <v>9</v>
      </c>
      <c r="G3" s="38"/>
      <c r="H3" s="38"/>
      <c r="I3" s="38"/>
      <c r="J3" s="38"/>
      <c r="K3" s="14" t="s">
        <v>24</v>
      </c>
      <c r="L3" s="14" t="s">
        <v>27</v>
      </c>
      <c r="M3" s="20" t="s">
        <v>86</v>
      </c>
      <c r="N3" s="14" t="s">
        <v>92</v>
      </c>
      <c r="O3" s="43">
        <v>0.88500000000000001</v>
      </c>
      <c r="Q3" s="38" t="s">
        <v>9</v>
      </c>
      <c r="R3" s="38"/>
      <c r="S3" s="38" t="s">
        <v>112</v>
      </c>
      <c r="T3" s="38"/>
      <c r="W3" s="15"/>
      <c r="Z3" s="59" t="str">
        <f>IF(OR($M3="",NOT($O3="{array}")),"",IFERROR(MATCH(PARAMETERS!$M3,DEFAULT!$B$5:$CG$5,0),""))</f>
        <v/>
      </c>
      <c r="AA3" s="56" t="str">
        <f>IF($M3="","",IFERROR(MATCH($M3,VALUESnames,0),""))</f>
        <v/>
      </c>
      <c r="AB3" s="63" t="str">
        <f>IF(AND(OR($A3="G",$A3="P"),NOT($O3="{array}")),IF(VLOOKUP($K3,base!$B$2:$D$20,3,0)="S",IF(OR($O3="",ISTEXT($O3)),"","STRING!"),IF(VLOOKUP($K3,base!$B$2:$D$20,3,0)="","",IF(ISTEXT($O3),"NUMERIC!",""))),"")</f>
        <v/>
      </c>
      <c r="AC3" s="17" t="str">
        <f>IF($AA3="","",IF($B3="I",VLOOKUP($AA3,#REF!,53,0),INDEX(VALUES!$B$1:$BR$1,1,$AA3)))</f>
        <v/>
      </c>
    </row>
    <row r="4" spans="1:30" hidden="1" outlineLevel="1" x14ac:dyDescent="0.3">
      <c r="A4" s="22" t="s">
        <v>84</v>
      </c>
      <c r="B4" s="41" t="str">
        <f>IF($A4="P",IF(NOT($Z4=""),"A",IF(NOT($AA4=""),"I","")),IF(NOT($AA4=""),IF($A4="G","V","X"),IF(NOT($Z4=""),"A","")))</f>
        <v/>
      </c>
      <c r="C4" s="42">
        <f>(ROW()-1)</f>
        <v>3</v>
      </c>
      <c r="D4" s="38"/>
      <c r="E4" s="38"/>
      <c r="F4" s="38" t="s">
        <v>9</v>
      </c>
      <c r="G4" s="38"/>
      <c r="H4" s="38"/>
      <c r="I4" s="38"/>
      <c r="J4" s="38"/>
      <c r="K4" s="14" t="s">
        <v>24</v>
      </c>
      <c r="L4" s="14" t="s">
        <v>27</v>
      </c>
      <c r="M4" s="20" t="s">
        <v>48</v>
      </c>
      <c r="N4" s="14" t="s">
        <v>93</v>
      </c>
      <c r="O4" s="43">
        <v>2.1349999999999998</v>
      </c>
      <c r="Q4" s="38" t="s">
        <v>9</v>
      </c>
      <c r="R4" s="38"/>
      <c r="S4" s="38" t="s">
        <v>112</v>
      </c>
      <c r="T4" s="38"/>
      <c r="W4" s="15"/>
      <c r="Z4" s="59" t="str">
        <f>IF(OR($M4="",NOT($O4="{array}")),"",IFERROR(MATCH(PARAMETERS!$M4,DEFAULT!$B$5:$CG$5,0),""))</f>
        <v/>
      </c>
      <c r="AA4" s="56" t="str">
        <f>IF($M4="","",IFERROR(MATCH($M4,VALUESnames,0),""))</f>
        <v/>
      </c>
      <c r="AB4" s="63" t="str">
        <f>IF(AND(OR($A4="G",$A4="P"),NOT($O4="{array}")),IF(VLOOKUP($K4,base!$B$2:$D$20,3,0)="S",IF(OR($O4="",ISTEXT($O4)),"","STRING!"),IF(VLOOKUP($K4,base!$B$2:$D$20,3,0)="","",IF(ISTEXT($O4),"NUMERIC!",""))),"")</f>
        <v/>
      </c>
      <c r="AC4" s="17" t="str">
        <f>IF($AA4="","",IF($B4="I",VLOOKUP($AA4,#REF!,53,0),INDEX(VALUES!$B$1:$BR$1,1,$AA4)))</f>
        <v/>
      </c>
      <c r="AD4" s="63"/>
    </row>
    <row r="5" spans="1:30" hidden="1" outlineLevel="1" x14ac:dyDescent="0.3">
      <c r="A5" s="22" t="s">
        <v>84</v>
      </c>
      <c r="B5" s="41" t="str">
        <f>IF($A5="P",IF(NOT($Z5=""),"A",IF(NOT($AA5=""),"I","")),IF(NOT($AA5=""),IF($A5="G","V","X"),IF(NOT($Z5=""),"A","")))</f>
        <v/>
      </c>
      <c r="C5" s="42">
        <f>(ROW()-1)</f>
        <v>4</v>
      </c>
      <c r="D5" s="38"/>
      <c r="E5" s="38"/>
      <c r="F5" s="38" t="s">
        <v>9</v>
      </c>
      <c r="G5" s="38" t="s">
        <v>9</v>
      </c>
      <c r="H5" s="38"/>
      <c r="I5" s="38"/>
      <c r="J5" s="38"/>
      <c r="K5" s="14" t="s">
        <v>24</v>
      </c>
      <c r="L5" s="14" t="s">
        <v>27</v>
      </c>
      <c r="M5" s="20" t="s">
        <v>90</v>
      </c>
      <c r="N5" s="14" t="s">
        <v>94</v>
      </c>
      <c r="O5" s="43">
        <v>1</v>
      </c>
      <c r="Q5" s="38" t="s">
        <v>9</v>
      </c>
      <c r="R5" s="38" t="s">
        <v>104</v>
      </c>
      <c r="S5" s="38"/>
      <c r="T5" s="38"/>
      <c r="W5" s="15"/>
      <c r="Z5" s="59" t="str">
        <f>IF(OR($M5="",NOT($O5="{array}")),"",IFERROR(MATCH(PARAMETERS!$M5,DEFAULT!$B$5:$CG$5,0),""))</f>
        <v/>
      </c>
      <c r="AA5" s="56" t="str">
        <f>IF($M5="","",IFERROR(MATCH($M5,VALUESnames,0),""))</f>
        <v/>
      </c>
      <c r="AB5" s="63" t="str">
        <f>IF(AND(OR($A5="G",$A5="P"),NOT($O5="{array}")),IF(VLOOKUP($K5,base!$B$2:$D$20,3,0)="S",IF(OR($O5="",ISTEXT($O5)),"","STRING!"),IF(VLOOKUP($K5,base!$B$2:$D$20,3,0)="","",IF(ISTEXT($O5),"NUMERIC!",""))),"")</f>
        <v/>
      </c>
      <c r="AC5" s="17" t="str">
        <f>IF($AA5="","",IF($B5="I",VLOOKUP($AA5,#REF!,53,0),INDEX(VALUES!$B$1:$BR$1,1,$AA5)))</f>
        <v/>
      </c>
    </row>
    <row r="6" spans="1:30" collapsed="1" x14ac:dyDescent="0.3">
      <c r="A6" s="22" t="s">
        <v>246</v>
      </c>
      <c r="B6" s="41"/>
      <c r="C6" s="42"/>
      <c r="D6" s="38"/>
      <c r="E6" s="38"/>
      <c r="F6" s="38"/>
      <c r="G6" s="38"/>
      <c r="H6" s="38"/>
      <c r="I6" s="38"/>
      <c r="J6" s="38"/>
      <c r="R6" s="38"/>
      <c r="S6" s="38"/>
      <c r="T6" s="38"/>
      <c r="W6" s="15" t="str">
        <f>IF(IFERROR(VLOOKUP($M6,'IMPORT GS-Tür OL FL 2S2 20'!$H$2:$H$847,1,0),"-")="-","","GS")</f>
        <v/>
      </c>
      <c r="Z6" s="59" t="str">
        <f>IF(OR($M6="",NOT($O6="{array}")),"",IFERROR(MATCH(PARAMETERS!$M6,DEFAULT!$B$5:$CG$5,0),""))</f>
        <v/>
      </c>
      <c r="AA6" s="56" t="str">
        <f t="shared" ref="AA6:AA115" si="0">IF($M6="","",IFERROR(MATCH($M6,VALUESnames,0),""))</f>
        <v/>
      </c>
      <c r="AB6" s="63" t="str">
        <f>IF(AND(OR($A6="G",$A6="P"),NOT($O6="{array}")),IF(VLOOKUP($K6,base!$B$2:$D$20,3,0)="S",IF(OR($O6="",ISTEXT($O6)),"","STRING!"),IF(VLOOKUP($K6,base!$B$2:$D$20,3,0)="","",IF(ISTEXT($O6),"NUMERIC!",""))),"")</f>
        <v/>
      </c>
      <c r="AC6" s="17" t="str">
        <f>IF($AA6="","",IF($B6="I",VLOOKUP($AA6,#REF!,53,0),INDEX(VALUES!$B$1:$BR$1,1,$AA6)))</f>
        <v/>
      </c>
    </row>
    <row r="7" spans="1:30" x14ac:dyDescent="0.3">
      <c r="A7" s="22"/>
      <c r="B7" s="41" t="str">
        <f t="shared" ref="B7:B34" si="1">IF($A7="P",IF(NOT($Z7=""),"A",IF(NOT($AA7=""),"I","")),IF(NOT($AA7=""),IF($A7="G","V","X"),IF(NOT($Z7=""),"A","")))</f>
        <v/>
      </c>
      <c r="C7" s="42">
        <f t="shared" ref="C7:C38" si="2">(ROW()-1)</f>
        <v>6</v>
      </c>
      <c r="D7" s="38"/>
      <c r="E7" s="38"/>
      <c r="F7" s="38"/>
      <c r="G7" s="38"/>
      <c r="H7" s="38"/>
      <c r="I7" s="38"/>
      <c r="J7" s="38"/>
      <c r="K7" s="14" t="s">
        <v>57</v>
      </c>
      <c r="L7" s="14" t="s">
        <v>38</v>
      </c>
      <c r="M7" s="48" t="s">
        <v>247</v>
      </c>
      <c r="N7" s="41" t="s">
        <v>248</v>
      </c>
      <c r="R7" s="38" t="s">
        <v>201</v>
      </c>
      <c r="S7" s="38"/>
      <c r="T7" s="38"/>
      <c r="W7" s="15" t="str">
        <f>IF(IFERROR(VLOOKUP($M7,'IMPORT GS-Tür OL FL 2S2 20'!$H$2:$H$847,1,0),"-")="-","","GS")</f>
        <v/>
      </c>
      <c r="Y7" s="53"/>
      <c r="Z7" s="59" t="str">
        <f>IF(OR($M7="",NOT($O7="{array}")),"",IFERROR(MATCH(PARAMETERS!$M7,DEFAULT!$B$5:$CG$5,0),""))</f>
        <v/>
      </c>
      <c r="AA7" s="56" t="str">
        <f t="shared" si="0"/>
        <v/>
      </c>
      <c r="AB7" s="63" t="str">
        <f>IF(AND(OR($A7="G",$A7="P"),NOT($O7="{array}")),IF(VLOOKUP($K7,base!$B$2:$D$20,3,0)="S",IF(OR($O7="",ISTEXT($O7)),"","STRING!"),IF(VLOOKUP($K7,base!$B$2:$D$20,3,0)="","",IF(ISTEXT($O7),"NUMERIC!",""))),"")</f>
        <v/>
      </c>
      <c r="AC7" s="17" t="str">
        <f>IF($AA7="","",IF($B7="I",VLOOKUP($AA7,#REF!,53,0),INDEX(VALUES!$B$1:$BR$1,1,$AA7)))</f>
        <v/>
      </c>
    </row>
    <row r="8" spans="1:30" hidden="1" outlineLevel="1" x14ac:dyDescent="0.3">
      <c r="A8" s="22" t="s">
        <v>84</v>
      </c>
      <c r="B8" s="41" t="str">
        <f t="shared" si="1"/>
        <v/>
      </c>
      <c r="C8" s="42">
        <f t="shared" si="2"/>
        <v>7</v>
      </c>
      <c r="D8" s="38"/>
      <c r="E8" s="38"/>
      <c r="F8" s="38"/>
      <c r="G8" s="38"/>
      <c r="H8" s="38"/>
      <c r="I8" s="38" t="s">
        <v>9</v>
      </c>
      <c r="J8" s="38"/>
      <c r="K8" s="14" t="s">
        <v>44</v>
      </c>
      <c r="L8" s="14" t="s">
        <v>32</v>
      </c>
      <c r="M8" s="158" t="s">
        <v>249</v>
      </c>
      <c r="N8" s="14" t="s">
        <v>250</v>
      </c>
      <c r="O8" s="43">
        <v>0</v>
      </c>
      <c r="R8" s="38" t="s">
        <v>201</v>
      </c>
      <c r="S8" s="38" t="s">
        <v>112</v>
      </c>
      <c r="T8" s="38"/>
      <c r="V8" s="14" t="s">
        <v>250</v>
      </c>
      <c r="W8" s="15" t="str">
        <f>IF(IFERROR(VLOOKUP($M8,'IMPORT GS-Tür OL FL 2S2 20'!$H$2:$H$847,1,0),"-")="-","","GS")</f>
        <v/>
      </c>
      <c r="Y8" s="53" t="s">
        <v>251</v>
      </c>
      <c r="Z8" s="59" t="str">
        <f>IF(OR($M8="",NOT($O8="{array}")),"",IFERROR(MATCH(PARAMETERS!$M8,DEFAULT!$B$5:$CG$5,0),""))</f>
        <v/>
      </c>
      <c r="AA8" s="56" t="str">
        <f t="shared" si="0"/>
        <v/>
      </c>
      <c r="AB8" s="63" t="str">
        <f>IF(AND(OR($A8="G",$A8="P"),NOT($O8="{array}")),IF(VLOOKUP($K8,base!$B$2:$D$20,3,0)="S",IF(OR($O8="",ISTEXT($O8)),"","STRING!"),IF(VLOOKUP($K8,base!$B$2:$D$20,3,0)="","",IF(ISTEXT($O8),"NUMERIC!",""))),"")</f>
        <v/>
      </c>
      <c r="AC8" s="17" t="str">
        <f>IF($AA8="","",IF($B8="I",VLOOKUP($AA8,#REF!,53,0),INDEX(VALUES!$B$1:$BR$1,1,$AA8)))</f>
        <v/>
      </c>
    </row>
    <row r="9" spans="1:30" hidden="1" outlineLevel="1" x14ac:dyDescent="0.3">
      <c r="A9" s="22" t="s">
        <v>84</v>
      </c>
      <c r="B9" s="41" t="str">
        <f t="shared" si="1"/>
        <v/>
      </c>
      <c r="C9" s="42">
        <f t="shared" si="2"/>
        <v>8</v>
      </c>
      <c r="D9" s="38"/>
      <c r="E9" s="38"/>
      <c r="F9" s="38"/>
      <c r="G9" s="38"/>
      <c r="H9" s="38"/>
      <c r="I9" s="38" t="s">
        <v>9</v>
      </c>
      <c r="J9" s="38"/>
      <c r="K9" s="14" t="s">
        <v>44</v>
      </c>
      <c r="L9" s="14" t="s">
        <v>32</v>
      </c>
      <c r="M9" s="158" t="s">
        <v>252</v>
      </c>
      <c r="N9" s="14" t="s">
        <v>253</v>
      </c>
      <c r="O9" s="43">
        <v>0</v>
      </c>
      <c r="R9" s="38" t="s">
        <v>201</v>
      </c>
      <c r="S9" s="38" t="s">
        <v>112</v>
      </c>
      <c r="T9" s="38"/>
      <c r="V9" s="14" t="s">
        <v>253</v>
      </c>
      <c r="W9" s="15" t="str">
        <f>IF(IFERROR(VLOOKUP($M9,'IMPORT GS-Tür OL FL 2S2 20'!$H$2:$H$847,1,0),"-")="-","","GS")</f>
        <v/>
      </c>
      <c r="Y9" s="53" t="s">
        <v>251</v>
      </c>
      <c r="Z9" s="59" t="str">
        <f>IF(OR($M9="",NOT($O9="{array}")),"",IFERROR(MATCH(PARAMETERS!$M9,DEFAULT!$B$5:$CG$5,0),""))</f>
        <v/>
      </c>
      <c r="AA9" s="56" t="str">
        <f t="shared" si="0"/>
        <v/>
      </c>
      <c r="AB9" s="63" t="str">
        <f>IF(AND(OR($A9="G",$A9="P"),NOT($O9="{array}")),IF(VLOOKUP($K9,base!$B$2:$D$20,3,0)="S",IF(OR($O9="",ISTEXT($O9)),"","STRING!"),IF(VLOOKUP($K9,base!$B$2:$D$20,3,0)="","",IF(ISTEXT($O9),"NUMERIC!",""))),"")</f>
        <v/>
      </c>
      <c r="AC9" s="17" t="str">
        <f>IF($AA9="","",IF($B9="I",VLOOKUP($AA9,#REF!,53,0),INDEX(VALUES!$B$1:$BR$1,1,$AA9)))</f>
        <v/>
      </c>
    </row>
    <row r="10" spans="1:30" hidden="1" outlineLevel="1" x14ac:dyDescent="0.3">
      <c r="A10" s="22" t="s">
        <v>84</v>
      </c>
      <c r="B10" s="41" t="str">
        <f t="shared" si="1"/>
        <v/>
      </c>
      <c r="C10" s="42">
        <f t="shared" si="2"/>
        <v>9</v>
      </c>
      <c r="D10" s="38"/>
      <c r="E10" s="38"/>
      <c r="F10" s="38"/>
      <c r="G10" s="38"/>
      <c r="H10" s="38"/>
      <c r="I10" s="38" t="s">
        <v>9</v>
      </c>
      <c r="J10" s="38"/>
      <c r="K10" s="14" t="s">
        <v>44</v>
      </c>
      <c r="L10" s="14" t="s">
        <v>32</v>
      </c>
      <c r="M10" s="158" t="s">
        <v>254</v>
      </c>
      <c r="N10" s="14" t="s">
        <v>255</v>
      </c>
      <c r="O10" s="43">
        <v>0</v>
      </c>
      <c r="R10" s="38" t="s">
        <v>201</v>
      </c>
      <c r="S10" s="38" t="s">
        <v>112</v>
      </c>
      <c r="T10" s="38"/>
      <c r="V10" s="14" t="s">
        <v>255</v>
      </c>
      <c r="W10" s="15" t="str">
        <f>IF(IFERROR(VLOOKUP($M10,'IMPORT GS-Tür OL FL 2S2 20'!$H$2:$H$847,1,0),"-")="-","","GS")</f>
        <v/>
      </c>
      <c r="Y10" s="53" t="s">
        <v>251</v>
      </c>
      <c r="Z10" s="59" t="str">
        <f>IF(OR($M10="",NOT($O10="{array}")),"",IFERROR(MATCH(PARAMETERS!$M10,DEFAULT!$B$5:$CG$5,0),""))</f>
        <v/>
      </c>
      <c r="AA10" s="56" t="str">
        <f t="shared" si="0"/>
        <v/>
      </c>
      <c r="AB10" s="63" t="str">
        <f>IF(AND(OR($A10="G",$A10="P"),NOT($O10="{array}")),IF(VLOOKUP($K10,base!$B$2:$D$20,3,0)="S",IF(OR($O10="",ISTEXT($O10)),"","STRING!"),IF(VLOOKUP($K10,base!$B$2:$D$20,3,0)="","",IF(ISTEXT($O10),"NUMERIC!",""))),"")</f>
        <v/>
      </c>
      <c r="AC10" s="17" t="str">
        <f>IF($AA10="","",IF($B10="I",VLOOKUP($AA10,#REF!,53,0),INDEX(VALUES!$B$1:$BR$1,1,$AA10)))</f>
        <v/>
      </c>
    </row>
    <row r="11" spans="1:30" hidden="1" outlineLevel="1" x14ac:dyDescent="0.3">
      <c r="A11" s="22" t="s">
        <v>84</v>
      </c>
      <c r="B11" s="41" t="str">
        <f t="shared" si="1"/>
        <v/>
      </c>
      <c r="C11" s="42">
        <f t="shared" si="2"/>
        <v>10</v>
      </c>
      <c r="D11" s="38"/>
      <c r="E11" s="38"/>
      <c r="F11" s="38"/>
      <c r="G11" s="38"/>
      <c r="H11" s="38"/>
      <c r="I11" s="38" t="s">
        <v>9</v>
      </c>
      <c r="J11" s="38"/>
      <c r="K11" s="14" t="s">
        <v>44</v>
      </c>
      <c r="L11" s="14" t="s">
        <v>32</v>
      </c>
      <c r="M11" s="158" t="s">
        <v>256</v>
      </c>
      <c r="N11" s="14" t="s">
        <v>257</v>
      </c>
      <c r="O11" s="43">
        <v>0</v>
      </c>
      <c r="R11" s="38" t="s">
        <v>201</v>
      </c>
      <c r="S11" s="38" t="s">
        <v>112</v>
      </c>
      <c r="T11" s="38"/>
      <c r="V11" s="14" t="s">
        <v>258</v>
      </c>
      <c r="W11" s="15" t="str">
        <f>IF(IFERROR(VLOOKUP($M11,'IMPORT GS-Tür OL FL 2S2 20'!$H$2:$H$847,1,0),"-")="-","","GS")</f>
        <v/>
      </c>
      <c r="Y11" s="53" t="s">
        <v>251</v>
      </c>
      <c r="Z11" s="59" t="str">
        <f>IF(OR($M11="",NOT($O11="{array}")),"",IFERROR(MATCH(PARAMETERS!$M11,DEFAULT!$B$5:$CG$5,0),""))</f>
        <v/>
      </c>
      <c r="AA11" s="56" t="str">
        <f t="shared" si="0"/>
        <v/>
      </c>
      <c r="AB11" s="63" t="str">
        <f>IF(AND(OR($A11="G",$A11="P"),NOT($O11="{array}")),IF(VLOOKUP($K11,base!$B$2:$D$20,3,0)="S",IF(OR($O11="",ISTEXT($O11)),"","STRING!"),IF(VLOOKUP($K11,base!$B$2:$D$20,3,0)="","",IF(ISTEXT($O11),"NUMERIC!",""))),"")</f>
        <v/>
      </c>
      <c r="AC11" s="17" t="str">
        <f>IF($AA11="","",IF($B11="I",VLOOKUP($AA11,#REF!,53,0),INDEX(VALUES!$B$1:$BR$1,1,$AA11)))</f>
        <v/>
      </c>
    </row>
    <row r="12" spans="1:30" hidden="1" outlineLevel="1" x14ac:dyDescent="0.3">
      <c r="A12" s="22" t="s">
        <v>84</v>
      </c>
      <c r="B12" s="41" t="str">
        <f t="shared" si="1"/>
        <v/>
      </c>
      <c r="C12" s="42">
        <f t="shared" si="2"/>
        <v>11</v>
      </c>
      <c r="D12" s="38"/>
      <c r="E12" s="38"/>
      <c r="F12" s="38"/>
      <c r="G12" s="38"/>
      <c r="H12" s="38"/>
      <c r="I12" s="38" t="s">
        <v>9</v>
      </c>
      <c r="J12" s="38"/>
      <c r="K12" s="14" t="s">
        <v>44</v>
      </c>
      <c r="L12" s="14" t="s">
        <v>32</v>
      </c>
      <c r="M12" s="158" t="s">
        <v>259</v>
      </c>
      <c r="N12" s="14" t="s">
        <v>260</v>
      </c>
      <c r="O12" s="43">
        <v>0</v>
      </c>
      <c r="R12" s="38" t="s">
        <v>201</v>
      </c>
      <c r="S12" s="38" t="s">
        <v>112</v>
      </c>
      <c r="T12" s="38"/>
      <c r="V12" s="14" t="s">
        <v>260</v>
      </c>
      <c r="W12" s="15" t="str">
        <f>IF(IFERROR(VLOOKUP($M12,'IMPORT GS-Tür OL FL 2S2 20'!$H$2:$H$847,1,0),"-")="-","","GS")</f>
        <v/>
      </c>
      <c r="Y12" s="53" t="s">
        <v>251</v>
      </c>
      <c r="Z12" s="59" t="str">
        <f>IF(OR($M12="",NOT($O12="{array}")),"",IFERROR(MATCH(PARAMETERS!$M12,DEFAULT!$B$5:$CG$5,0),""))</f>
        <v/>
      </c>
      <c r="AA12" s="56" t="str">
        <f t="shared" si="0"/>
        <v/>
      </c>
      <c r="AB12" s="63" t="str">
        <f>IF(AND(OR($A12="G",$A12="P"),NOT($O12="{array}")),IF(VLOOKUP($K12,base!$B$2:$D$20,3,0)="S",IF(OR($O12="",ISTEXT($O12)),"","STRING!"),IF(VLOOKUP($K12,base!$B$2:$D$20,3,0)="","",IF(ISTEXT($O12),"NUMERIC!",""))),"")</f>
        <v/>
      </c>
      <c r="AC12" s="17" t="str">
        <f>IF($AA12="","",IF($B12="I",VLOOKUP($AA12,#REF!,53,0),INDEX(VALUES!$B$1:$BR$1,1,$AA12)))</f>
        <v/>
      </c>
    </row>
    <row r="13" spans="1:30" hidden="1" outlineLevel="1" x14ac:dyDescent="0.3">
      <c r="A13" s="22" t="s">
        <v>84</v>
      </c>
      <c r="B13" s="41" t="str">
        <f t="shared" si="1"/>
        <v/>
      </c>
      <c r="C13" s="42">
        <f t="shared" si="2"/>
        <v>12</v>
      </c>
      <c r="D13" s="38"/>
      <c r="E13" s="38"/>
      <c r="F13" s="38"/>
      <c r="G13" s="38"/>
      <c r="H13" s="38"/>
      <c r="I13" s="38" t="s">
        <v>9</v>
      </c>
      <c r="J13" s="38"/>
      <c r="K13" s="14" t="s">
        <v>44</v>
      </c>
      <c r="L13" s="14" t="s">
        <v>32</v>
      </c>
      <c r="M13" s="158" t="s">
        <v>261</v>
      </c>
      <c r="N13" s="14" t="s">
        <v>262</v>
      </c>
      <c r="O13" s="43">
        <v>0</v>
      </c>
      <c r="R13" s="38" t="s">
        <v>201</v>
      </c>
      <c r="S13" s="38" t="s">
        <v>112</v>
      </c>
      <c r="T13" s="38"/>
      <c r="V13" s="14" t="s">
        <v>263</v>
      </c>
      <c r="W13" s="15" t="str">
        <f>IF(IFERROR(VLOOKUP($M13,'IMPORT GS-Tür OL FL 2S2 20'!$H$2:$H$847,1,0),"-")="-","","GS")</f>
        <v/>
      </c>
      <c r="Y13" s="53" t="s">
        <v>251</v>
      </c>
      <c r="Z13" s="59" t="str">
        <f>IF(OR($M13="",NOT($O13="{array}")),"",IFERROR(MATCH(PARAMETERS!$M13,DEFAULT!$B$5:$CG$5,0),""))</f>
        <v/>
      </c>
      <c r="AA13" s="56" t="str">
        <f t="shared" si="0"/>
        <v/>
      </c>
      <c r="AB13" s="63" t="str">
        <f>IF(AND(OR($A13="G",$A13="P"),NOT($O13="{array}")),IF(VLOOKUP($K13,base!$B$2:$D$20,3,0)="S",IF(OR($O13="",ISTEXT($O13)),"","STRING!"),IF(VLOOKUP($K13,base!$B$2:$D$20,3,0)="","",IF(ISTEXT($O13),"NUMERIC!",""))),"")</f>
        <v/>
      </c>
      <c r="AC13" s="17" t="str">
        <f>IF($AA13="","",IF($B13="I",VLOOKUP($AA13,#REF!,53,0),INDEX(VALUES!$B$1:$BR$1,1,$AA13)))</f>
        <v/>
      </c>
    </row>
    <row r="14" spans="1:30" hidden="1" outlineLevel="1" x14ac:dyDescent="0.3">
      <c r="A14" s="22" t="s">
        <v>84</v>
      </c>
      <c r="B14" s="41" t="str">
        <f t="shared" si="1"/>
        <v/>
      </c>
      <c r="C14" s="42">
        <f t="shared" si="2"/>
        <v>13</v>
      </c>
      <c r="D14" s="38"/>
      <c r="E14" s="38"/>
      <c r="F14" s="38"/>
      <c r="G14" s="38"/>
      <c r="H14" s="38"/>
      <c r="I14" s="38" t="s">
        <v>9</v>
      </c>
      <c r="J14" s="38"/>
      <c r="K14" s="14" t="s">
        <v>44</v>
      </c>
      <c r="L14" s="14" t="s">
        <v>32</v>
      </c>
      <c r="M14" s="158" t="s">
        <v>264</v>
      </c>
      <c r="N14" s="14" t="s">
        <v>265</v>
      </c>
      <c r="O14" s="43">
        <v>0</v>
      </c>
      <c r="R14" s="38" t="s">
        <v>201</v>
      </c>
      <c r="S14" s="38" t="s">
        <v>112</v>
      </c>
      <c r="T14" s="38"/>
      <c r="V14" s="14" t="s">
        <v>266</v>
      </c>
      <c r="W14" s="15" t="str">
        <f>IF(IFERROR(VLOOKUP($M14,'IMPORT GS-Tür OL FL 2S2 20'!$H$2:$H$847,1,0),"-")="-","","GS")</f>
        <v/>
      </c>
      <c r="Y14" s="53" t="s">
        <v>251</v>
      </c>
      <c r="Z14" s="59" t="str">
        <f>IF(OR($M14="",NOT($O14="{array}")),"",IFERROR(MATCH(PARAMETERS!$M14,DEFAULT!$B$5:$CG$5,0),""))</f>
        <v/>
      </c>
      <c r="AA14" s="56" t="str">
        <f t="shared" si="0"/>
        <v/>
      </c>
      <c r="AB14" s="63" t="str">
        <f>IF(AND(OR($A14="G",$A14="P"),NOT($O14="{array}")),IF(VLOOKUP($K14,base!$B$2:$D$20,3,0)="S",IF(OR($O14="",ISTEXT($O14)),"","STRING!"),IF(VLOOKUP($K14,base!$B$2:$D$20,3,0)="","",IF(ISTEXT($O14),"NUMERIC!",""))),"")</f>
        <v/>
      </c>
      <c r="AC14" s="17" t="str">
        <f>IF($AA14="","",IF($B14="I",VLOOKUP($AA14,#REF!,53,0),INDEX(VALUES!$B$1:$BR$1,1,$AA14)))</f>
        <v/>
      </c>
    </row>
    <row r="15" spans="1:30" collapsed="1" x14ac:dyDescent="0.3">
      <c r="A15" s="22"/>
      <c r="B15" s="41" t="str">
        <f t="shared" si="1"/>
        <v/>
      </c>
      <c r="C15" s="42">
        <f t="shared" si="2"/>
        <v>14</v>
      </c>
      <c r="D15" s="38"/>
      <c r="E15" s="38"/>
      <c r="F15" s="38"/>
      <c r="G15" s="38"/>
      <c r="H15" s="38"/>
      <c r="I15" s="38"/>
      <c r="J15" s="38"/>
      <c r="K15" s="14" t="s">
        <v>57</v>
      </c>
      <c r="L15" s="14" t="s">
        <v>38</v>
      </c>
      <c r="M15" s="48" t="s">
        <v>267</v>
      </c>
      <c r="N15" s="41" t="s">
        <v>268</v>
      </c>
      <c r="R15" s="38" t="s">
        <v>201</v>
      </c>
      <c r="S15" s="38"/>
      <c r="T15" s="15"/>
      <c r="W15" s="15" t="str">
        <f>IF(IFERROR(VLOOKUP($M15,'IMPORT GS-Tür OL FL 2S2 20'!$H$2:$H$847,1,0),"-")="-","","GS")</f>
        <v/>
      </c>
      <c r="Z15" s="59" t="str">
        <f>IF(OR($M15="",NOT($O15="{array}")),"",IFERROR(MATCH(PARAMETERS!$M15,DEFAULT!$B$5:$CG$5,0),""))</f>
        <v/>
      </c>
      <c r="AA15" s="56" t="str">
        <f t="shared" si="0"/>
        <v/>
      </c>
      <c r="AB15" s="63" t="str">
        <f>IF(AND(OR($A15="G",$A15="P"),NOT($O15="{array}")),IF(VLOOKUP($K15,base!$B$2:$D$20,3,0)="S",IF(OR($O15="",ISTEXT($O15)),"","STRING!"),IF(VLOOKUP($K15,base!$B$2:$D$20,3,0)="","",IF(ISTEXT($O15),"NUMERIC!",""))),"")</f>
        <v/>
      </c>
      <c r="AC15" s="17" t="str">
        <f>IF($AA15="","",IF($B15="I",VLOOKUP($AA15,#REF!,53,0),INDEX(VALUES!$B$1:$BR$1,1,$AA15)))</f>
        <v/>
      </c>
    </row>
    <row r="16" spans="1:30" hidden="1" outlineLevel="1" x14ac:dyDescent="0.25">
      <c r="A16" s="22" t="s">
        <v>84</v>
      </c>
      <c r="B16" s="41" t="str">
        <f t="shared" si="1"/>
        <v/>
      </c>
      <c r="C16" s="42">
        <f t="shared" si="2"/>
        <v>15</v>
      </c>
      <c r="D16" s="38"/>
      <c r="E16" s="38"/>
      <c r="F16" s="38" t="s">
        <v>9</v>
      </c>
      <c r="G16" s="38"/>
      <c r="H16" s="38"/>
      <c r="I16" s="38" t="s">
        <v>9</v>
      </c>
      <c r="J16" s="38"/>
      <c r="K16" s="14" t="s">
        <v>18</v>
      </c>
      <c r="L16" s="14" t="s">
        <v>21</v>
      </c>
      <c r="M16" s="158" t="s">
        <v>269</v>
      </c>
      <c r="N16" s="159" t="s">
        <v>95</v>
      </c>
      <c r="O16" s="160" t="s">
        <v>134</v>
      </c>
      <c r="P16" s="161" t="s">
        <v>270</v>
      </c>
      <c r="Q16" s="162" t="s">
        <v>9</v>
      </c>
      <c r="R16" s="163" t="s">
        <v>103</v>
      </c>
      <c r="S16" s="163" t="s">
        <v>112</v>
      </c>
      <c r="T16" s="164" t="s">
        <v>271</v>
      </c>
      <c r="U16" s="164" t="s">
        <v>114</v>
      </c>
      <c r="V16" s="164" t="s">
        <v>113</v>
      </c>
      <c r="W16" s="165" t="str">
        <f>IF(IFERROR(VLOOKUP($M16,'IMPORT GS-Tür OL FL 2S2 20'!$H$2:$H$847,1,0),"-")="-","","GS")</f>
        <v/>
      </c>
      <c r="X16" s="166">
        <v>31</v>
      </c>
      <c r="Y16" s="164" t="s">
        <v>272</v>
      </c>
      <c r="Z16" s="59" t="str">
        <f>IF(OR($M16="",NOT($O16="{array}")),"",IFERROR(MATCH(PARAMETERS!$M16,DEFAULT!$B$5:$CG$5,0),""))</f>
        <v/>
      </c>
      <c r="AA16" s="56" t="str">
        <f t="shared" si="0"/>
        <v/>
      </c>
      <c r="AB16" s="63" t="str">
        <f>IF(AND(OR($A16="G",$A16="P"),NOT($O16="{array}")),IF(VLOOKUP($K16,base!$B$2:$D$20,3,0)="S",IF(OR($O16="",ISTEXT($O16)),"","STRING!"),IF(VLOOKUP($K16,base!$B$2:$D$20,3,0)="","",IF(ISTEXT($O16),"NUMERIC!",""))),"")</f>
        <v/>
      </c>
      <c r="AC16" s="17" t="str">
        <f>IF($AA16="","",IF($B16="I",VLOOKUP($AA16,#REF!,53,0),INDEX(VALUES!$B$1:$BR$1,1,$AA16)))</f>
        <v/>
      </c>
    </row>
    <row r="17" spans="1:29" hidden="1" outlineLevel="1" x14ac:dyDescent="0.25">
      <c r="A17" s="22" t="s">
        <v>84</v>
      </c>
      <c r="B17" s="41" t="str">
        <f t="shared" si="1"/>
        <v/>
      </c>
      <c r="C17" s="42">
        <f t="shared" si="2"/>
        <v>16</v>
      </c>
      <c r="D17" s="38"/>
      <c r="E17" s="38"/>
      <c r="F17" s="38"/>
      <c r="G17" s="38"/>
      <c r="H17" s="38"/>
      <c r="I17" s="38" t="s">
        <v>9</v>
      </c>
      <c r="J17" s="38"/>
      <c r="K17" s="167" t="s">
        <v>18</v>
      </c>
      <c r="L17" s="168" t="s">
        <v>32</v>
      </c>
      <c r="M17" s="158" t="s">
        <v>273</v>
      </c>
      <c r="N17" s="169" t="s">
        <v>274</v>
      </c>
      <c r="O17" s="160" t="s">
        <v>134</v>
      </c>
      <c r="P17" s="161" t="s">
        <v>270</v>
      </c>
      <c r="Q17" s="162" t="s">
        <v>9</v>
      </c>
      <c r="R17" s="163" t="s">
        <v>103</v>
      </c>
      <c r="S17" s="163" t="s">
        <v>112</v>
      </c>
      <c r="T17" s="164" t="s">
        <v>271</v>
      </c>
      <c r="U17" s="164" t="s">
        <v>114</v>
      </c>
      <c r="V17" s="164" t="s">
        <v>274</v>
      </c>
      <c r="W17" s="165" t="str">
        <f>IF(IFERROR(VLOOKUP($M17,'IMPORT GS-Tür OL FL 2S2 20'!$H$2:$H$847,1,0),"-")="-","","GS")</f>
        <v/>
      </c>
      <c r="X17" s="166">
        <v>32</v>
      </c>
      <c r="Y17" s="164" t="s">
        <v>275</v>
      </c>
      <c r="Z17" s="59" t="str">
        <f>IF(OR($M17="",NOT($O17="{array}")),"",IFERROR(MATCH(PARAMETERS!$M17,DEFAULT!$B$5:$CG$5,0),""))</f>
        <v/>
      </c>
      <c r="AA17" s="56" t="str">
        <f t="shared" si="0"/>
        <v/>
      </c>
      <c r="AB17" s="63" t="str">
        <f>IF(AND(OR($A17="G",$A17="P"),NOT($O17="{array}")),IF(VLOOKUP($K17,base!$B$2:$D$20,3,0)="S",IF(OR($O17="",ISTEXT($O17)),"","STRING!"),IF(VLOOKUP($K17,base!$B$2:$D$20,3,0)="","",IF(ISTEXT($O17),"NUMERIC!",""))),"")</f>
        <v/>
      </c>
      <c r="AC17" s="17" t="str">
        <f>IF($AA17="","",IF($B17="I",VLOOKUP($AA17,#REF!,53,0),INDEX(VALUES!$B$1:$BR$1,1,$AA17)))</f>
        <v/>
      </c>
    </row>
    <row r="18" spans="1:29" hidden="1" outlineLevel="1" x14ac:dyDescent="0.25">
      <c r="A18" s="22" t="s">
        <v>84</v>
      </c>
      <c r="B18" s="41" t="str">
        <f t="shared" si="1"/>
        <v/>
      </c>
      <c r="C18" s="42">
        <f t="shared" si="2"/>
        <v>17</v>
      </c>
      <c r="D18" s="38"/>
      <c r="E18" s="38"/>
      <c r="F18" s="38" t="s">
        <v>9</v>
      </c>
      <c r="G18" s="38"/>
      <c r="H18" s="38"/>
      <c r="I18" s="38" t="s">
        <v>9</v>
      </c>
      <c r="J18" s="38"/>
      <c r="K18" s="14" t="s">
        <v>18</v>
      </c>
      <c r="L18" s="14" t="s">
        <v>21</v>
      </c>
      <c r="M18" s="158" t="s">
        <v>276</v>
      </c>
      <c r="N18" s="159" t="s">
        <v>277</v>
      </c>
      <c r="O18" s="160" t="s">
        <v>134</v>
      </c>
      <c r="P18" s="161" t="s">
        <v>270</v>
      </c>
      <c r="Q18" s="162" t="s">
        <v>9</v>
      </c>
      <c r="R18" s="163" t="s">
        <v>103</v>
      </c>
      <c r="S18" s="163" t="s">
        <v>112</v>
      </c>
      <c r="T18" s="164" t="s">
        <v>102</v>
      </c>
      <c r="U18" s="164" t="s">
        <v>114</v>
      </c>
      <c r="V18" s="164" t="s">
        <v>277</v>
      </c>
      <c r="W18" s="165" t="str">
        <f>IF(IFERROR(VLOOKUP($M18,'IMPORT GS-Tür OL FL 2S2 20'!$H$2:$H$847,1,0),"-")="-","","GS")</f>
        <v/>
      </c>
      <c r="X18" s="166">
        <v>33</v>
      </c>
      <c r="Y18" s="164" t="s">
        <v>278</v>
      </c>
      <c r="Z18" s="59" t="str">
        <f>IF(OR($M18="",NOT($O18="{array}")),"",IFERROR(MATCH(PARAMETERS!$M18,DEFAULT!$B$5:$CG$5,0),""))</f>
        <v/>
      </c>
      <c r="AA18" s="56" t="str">
        <f t="shared" si="0"/>
        <v/>
      </c>
      <c r="AB18" s="63" t="str">
        <f>IF(AND(OR($A18="G",$A18="P"),NOT($O18="{array}")),IF(VLOOKUP($K18,base!$B$2:$D$20,3,0)="S",IF(OR($O18="",ISTEXT($O18)),"","STRING!"),IF(VLOOKUP($K18,base!$B$2:$D$20,3,0)="","",IF(ISTEXT($O18),"NUMERIC!",""))),"")</f>
        <v/>
      </c>
      <c r="AC18" s="17" t="str">
        <f>IF($AA18="","",IF($B18="I",VLOOKUP($AA18,#REF!,53,0),INDEX(VALUES!$B$1:$BR$1,1,$AA18)))</f>
        <v/>
      </c>
    </row>
    <row r="19" spans="1:29" hidden="1" outlineLevel="1" x14ac:dyDescent="0.25">
      <c r="A19" s="22" t="s">
        <v>84</v>
      </c>
      <c r="B19" s="41" t="str">
        <f t="shared" si="1"/>
        <v/>
      </c>
      <c r="C19" s="42">
        <f t="shared" si="2"/>
        <v>18</v>
      </c>
      <c r="D19" s="38"/>
      <c r="E19" s="38"/>
      <c r="F19" s="38" t="s">
        <v>9</v>
      </c>
      <c r="G19" s="38"/>
      <c r="H19" s="38"/>
      <c r="I19" s="38" t="s">
        <v>9</v>
      </c>
      <c r="J19" s="38"/>
      <c r="K19" s="14" t="s">
        <v>18</v>
      </c>
      <c r="L19" s="14" t="s">
        <v>21</v>
      </c>
      <c r="M19" s="158" t="s">
        <v>279</v>
      </c>
      <c r="N19" s="159" t="s">
        <v>280</v>
      </c>
      <c r="O19" s="160" t="s">
        <v>134</v>
      </c>
      <c r="P19" s="161" t="s">
        <v>270</v>
      </c>
      <c r="Q19" s="162" t="s">
        <v>9</v>
      </c>
      <c r="R19" s="163" t="s">
        <v>103</v>
      </c>
      <c r="S19" s="163" t="s">
        <v>112</v>
      </c>
      <c r="T19" s="164" t="s">
        <v>270</v>
      </c>
      <c r="U19" s="164" t="s">
        <v>114</v>
      </c>
      <c r="V19" s="164" t="s">
        <v>281</v>
      </c>
      <c r="W19" s="165" t="str">
        <f>IF(IFERROR(VLOOKUP($M19,'IMPORT GS-Tür OL FL 2S2 20'!$H$2:$H$847,1,0),"-")="-","","GS")</f>
        <v/>
      </c>
      <c r="X19" s="166">
        <v>41</v>
      </c>
      <c r="Y19" s="164" t="s">
        <v>282</v>
      </c>
      <c r="Z19" s="59" t="str">
        <f>IF(OR($M19="",NOT($O19="{array}")),"",IFERROR(MATCH(PARAMETERS!$M19,DEFAULT!$B$5:$CG$5,0),""))</f>
        <v/>
      </c>
      <c r="AA19" s="56" t="str">
        <f t="shared" si="0"/>
        <v/>
      </c>
      <c r="AB19" s="63" t="str">
        <f>IF(AND(OR($A19="G",$A19="P"),NOT($O19="{array}")),IF(VLOOKUP($K19,base!$B$2:$D$20,3,0)="S",IF(OR($O19="",ISTEXT($O19)),"","STRING!"),IF(VLOOKUP($K19,base!$B$2:$D$20,3,0)="","",IF(ISTEXT($O19),"NUMERIC!",""))),"")</f>
        <v/>
      </c>
      <c r="AC19" s="17" t="str">
        <f>IF($AA19="","",IF($B19="I",VLOOKUP($AA19,#REF!,53,0),INDEX(VALUES!$B$1:$BR$1,1,$AA19)))</f>
        <v/>
      </c>
    </row>
    <row r="20" spans="1:29" hidden="1" outlineLevel="1" x14ac:dyDescent="0.25">
      <c r="A20" s="22" t="s">
        <v>84</v>
      </c>
      <c r="B20" s="41" t="str">
        <f t="shared" si="1"/>
        <v/>
      </c>
      <c r="C20" s="42">
        <f t="shared" si="2"/>
        <v>19</v>
      </c>
      <c r="D20" s="38"/>
      <c r="E20" s="38"/>
      <c r="F20" s="38"/>
      <c r="G20" s="38"/>
      <c r="H20" s="38"/>
      <c r="I20" s="38" t="s">
        <v>9</v>
      </c>
      <c r="J20" s="38"/>
      <c r="K20" s="167" t="s">
        <v>18</v>
      </c>
      <c r="L20" s="168" t="s">
        <v>32</v>
      </c>
      <c r="M20" s="158" t="s">
        <v>283</v>
      </c>
      <c r="N20" s="169" t="s">
        <v>284</v>
      </c>
      <c r="O20" s="160" t="s">
        <v>134</v>
      </c>
      <c r="P20" s="161" t="s">
        <v>270</v>
      </c>
      <c r="Q20" s="162" t="s">
        <v>9</v>
      </c>
      <c r="R20" s="163" t="s">
        <v>103</v>
      </c>
      <c r="S20" s="163" t="s">
        <v>112</v>
      </c>
      <c r="T20" s="164" t="s">
        <v>270</v>
      </c>
      <c r="U20" s="164" t="s">
        <v>114</v>
      </c>
      <c r="V20" s="164" t="s">
        <v>284</v>
      </c>
      <c r="W20" s="165" t="str">
        <f>IF(IFERROR(VLOOKUP($M20,'IMPORT GS-Tür OL FL 2S2 20'!$H$2:$H$847,1,0),"-")="-","","GS")</f>
        <v/>
      </c>
      <c r="X20" s="166">
        <v>34</v>
      </c>
      <c r="Y20" s="164" t="s">
        <v>285</v>
      </c>
      <c r="Z20" s="59" t="str">
        <f>IF(OR($M20="",NOT($O20="{array}")),"",IFERROR(MATCH(PARAMETERS!$M20,DEFAULT!$B$5:$CG$5,0),""))</f>
        <v/>
      </c>
      <c r="AA20" s="56" t="str">
        <f t="shared" si="0"/>
        <v/>
      </c>
      <c r="AB20" s="63" t="str">
        <f>IF(AND(OR($A20="G",$A20="P"),NOT($O20="{array}")),IF(VLOOKUP($K20,base!$B$2:$D$20,3,0)="S",IF(OR($O20="",ISTEXT($O20)),"","STRING!"),IF(VLOOKUP($K20,base!$B$2:$D$20,3,0)="","",IF(ISTEXT($O20),"NUMERIC!",""))),"")</f>
        <v/>
      </c>
      <c r="AC20" s="17" t="str">
        <f>IF($AA20="","",IF($B20="I",VLOOKUP($AA20,#REF!,53,0),INDEX(VALUES!$B$1:$BR$1,1,$AA20)))</f>
        <v/>
      </c>
    </row>
    <row r="21" spans="1:29" hidden="1" outlineLevel="1" x14ac:dyDescent="0.25">
      <c r="A21" s="22" t="s">
        <v>84</v>
      </c>
      <c r="B21" s="41" t="str">
        <f t="shared" si="1"/>
        <v/>
      </c>
      <c r="C21" s="42">
        <f t="shared" si="2"/>
        <v>20</v>
      </c>
      <c r="D21" s="38"/>
      <c r="E21" s="38"/>
      <c r="F21" s="38"/>
      <c r="G21" s="38"/>
      <c r="H21" s="38"/>
      <c r="I21" s="38" t="s">
        <v>9</v>
      </c>
      <c r="J21" s="38"/>
      <c r="K21" s="167" t="s">
        <v>18</v>
      </c>
      <c r="L21" s="168" t="s">
        <v>32</v>
      </c>
      <c r="M21" s="158" t="s">
        <v>286</v>
      </c>
      <c r="N21" s="169" t="s">
        <v>287</v>
      </c>
      <c r="O21" s="160" t="s">
        <v>134</v>
      </c>
      <c r="P21" s="161" t="s">
        <v>270</v>
      </c>
      <c r="Q21" s="162" t="s">
        <v>9</v>
      </c>
      <c r="R21" s="163" t="s">
        <v>103</v>
      </c>
      <c r="S21" s="163" t="s">
        <v>112</v>
      </c>
      <c r="T21" s="164" t="s">
        <v>270</v>
      </c>
      <c r="U21" s="164" t="s">
        <v>114</v>
      </c>
      <c r="V21" s="164" t="s">
        <v>287</v>
      </c>
      <c r="W21" s="165" t="str">
        <f>IF(IFERROR(VLOOKUP($M21,'IMPORT GS-Tür OL FL 2S2 20'!$H$2:$H$847,1,0),"-")="-","","GS")</f>
        <v/>
      </c>
      <c r="X21" s="166" t="s">
        <v>270</v>
      </c>
      <c r="Y21" s="164" t="s">
        <v>288</v>
      </c>
      <c r="Z21" s="59" t="str">
        <f>IF(OR($M21="",NOT($O21="{array}")),"",IFERROR(MATCH(PARAMETERS!$M21,DEFAULT!$B$5:$CG$5,0),""))</f>
        <v/>
      </c>
      <c r="AA21" s="56" t="str">
        <f t="shared" si="0"/>
        <v/>
      </c>
      <c r="AB21" s="63" t="str">
        <f>IF(AND(OR($A21="G",$A21="P"),NOT($O21="{array}")),IF(VLOOKUP($K21,base!$B$2:$D$20,3,0)="S",IF(OR($O21="",ISTEXT($O21)),"","STRING!"),IF(VLOOKUP($K21,base!$B$2:$D$20,3,0)="","",IF(ISTEXT($O21),"NUMERIC!",""))),"")</f>
        <v/>
      </c>
      <c r="AC21" s="17" t="str">
        <f>IF($AA21="","",IF($B21="I",VLOOKUP($AA21,#REF!,53,0),INDEX(VALUES!$B$1:$BR$1,1,$AA21)))</f>
        <v/>
      </c>
    </row>
    <row r="22" spans="1:29" hidden="1" outlineLevel="1" x14ac:dyDescent="0.25">
      <c r="A22" s="22" t="s">
        <v>84</v>
      </c>
      <c r="B22" s="41" t="str">
        <f t="shared" si="1"/>
        <v/>
      </c>
      <c r="C22" s="42">
        <f t="shared" si="2"/>
        <v>21</v>
      </c>
      <c r="D22" s="38"/>
      <c r="E22" s="38"/>
      <c r="F22" s="38"/>
      <c r="G22" s="38"/>
      <c r="H22" s="38"/>
      <c r="I22" s="38" t="s">
        <v>9</v>
      </c>
      <c r="J22" s="38"/>
      <c r="K22" s="167" t="s">
        <v>18</v>
      </c>
      <c r="L22" s="168" t="s">
        <v>32</v>
      </c>
      <c r="M22" s="158" t="s">
        <v>289</v>
      </c>
      <c r="N22" s="169" t="s">
        <v>290</v>
      </c>
      <c r="O22" s="160" t="s">
        <v>134</v>
      </c>
      <c r="P22" s="161" t="s">
        <v>270</v>
      </c>
      <c r="Q22" s="162" t="s">
        <v>9</v>
      </c>
      <c r="R22" s="163" t="s">
        <v>103</v>
      </c>
      <c r="S22" s="163" t="s">
        <v>112</v>
      </c>
      <c r="T22" s="164" t="s">
        <v>270</v>
      </c>
      <c r="U22" s="164" t="s">
        <v>114</v>
      </c>
      <c r="V22" s="164" t="s">
        <v>290</v>
      </c>
      <c r="W22" s="165" t="str">
        <f>IF(IFERROR(VLOOKUP($M22,'IMPORT GS-Tür OL FL 2S2 20'!$H$2:$H$847,1,0),"-")="-","","GS")</f>
        <v/>
      </c>
      <c r="X22" s="166" t="s">
        <v>270</v>
      </c>
      <c r="Y22" s="164" t="s">
        <v>291</v>
      </c>
      <c r="Z22" s="59" t="str">
        <f>IF(OR($M22="",NOT($O22="{array}")),"",IFERROR(MATCH(PARAMETERS!$M22,DEFAULT!$B$5:$CG$5,0),""))</f>
        <v/>
      </c>
      <c r="AA22" s="56" t="str">
        <f t="shared" si="0"/>
        <v/>
      </c>
      <c r="AB22" s="63" t="str">
        <f>IF(AND(OR($A22="G",$A22="P"),NOT($O22="{array}")),IF(VLOOKUP($K22,base!$B$2:$D$20,3,0)="S",IF(OR($O22="",ISTEXT($O22)),"","STRING!"),IF(VLOOKUP($K22,base!$B$2:$D$20,3,0)="","",IF(ISTEXT($O22),"NUMERIC!",""))),"")</f>
        <v/>
      </c>
      <c r="AC22" s="17" t="str">
        <f>IF($AA22="","",IF($B22="I",VLOOKUP($AA22,#REF!,53,0),INDEX(VALUES!$B$1:$BR$1,1,$AA22)))</f>
        <v/>
      </c>
    </row>
    <row r="23" spans="1:29" hidden="1" outlineLevel="1" x14ac:dyDescent="0.25">
      <c r="A23" s="22" t="s">
        <v>84</v>
      </c>
      <c r="B23" s="41" t="str">
        <f t="shared" si="1"/>
        <v/>
      </c>
      <c r="C23" s="42">
        <f t="shared" si="2"/>
        <v>22</v>
      </c>
      <c r="D23" s="38"/>
      <c r="E23" s="38"/>
      <c r="F23" s="38"/>
      <c r="G23" s="38"/>
      <c r="H23" s="38"/>
      <c r="I23" s="38" t="s">
        <v>9</v>
      </c>
      <c r="J23" s="38"/>
      <c r="K23" s="167" t="s">
        <v>18</v>
      </c>
      <c r="L23" s="168" t="s">
        <v>32</v>
      </c>
      <c r="M23" s="158" t="s">
        <v>292</v>
      </c>
      <c r="N23" s="169" t="s">
        <v>293</v>
      </c>
      <c r="O23" s="160" t="s">
        <v>134</v>
      </c>
      <c r="P23" s="161" t="s">
        <v>270</v>
      </c>
      <c r="Q23" s="162" t="s">
        <v>9</v>
      </c>
      <c r="R23" s="163" t="s">
        <v>103</v>
      </c>
      <c r="S23" s="163" t="s">
        <v>112</v>
      </c>
      <c r="T23" s="164" t="s">
        <v>270</v>
      </c>
      <c r="U23" s="164" t="s">
        <v>114</v>
      </c>
      <c r="V23" s="164" t="s">
        <v>293</v>
      </c>
      <c r="W23" s="165" t="str">
        <f>IF(IFERROR(VLOOKUP($M23,'IMPORT GS-Tür OL FL 2S2 20'!$H$2:$H$847,1,0),"-")="-","","GS")</f>
        <v/>
      </c>
      <c r="X23" s="166" t="s">
        <v>270</v>
      </c>
      <c r="Y23" s="164" t="s">
        <v>294</v>
      </c>
      <c r="Z23" s="59" t="str">
        <f>IF(OR($M23="",NOT($O23="{array}")),"",IFERROR(MATCH(PARAMETERS!$M23,DEFAULT!$B$5:$CG$5,0),""))</f>
        <v/>
      </c>
      <c r="AA23" s="56" t="str">
        <f t="shared" si="0"/>
        <v/>
      </c>
      <c r="AB23" s="63" t="str">
        <f>IF(AND(OR($A23="G",$A23="P"),NOT($O23="{array}")),IF(VLOOKUP($K23,base!$B$2:$D$20,3,0)="S",IF(OR($O23="",ISTEXT($O23)),"","STRING!"),IF(VLOOKUP($K23,base!$B$2:$D$20,3,0)="","",IF(ISTEXT($O23),"NUMERIC!",""))),"")</f>
        <v/>
      </c>
      <c r="AC23" s="17" t="str">
        <f>IF($AA23="","",IF($B23="I",VLOOKUP($AA23,#REF!,53,0),INDEX(VALUES!$B$1:$BR$1,1,$AA23)))</f>
        <v/>
      </c>
    </row>
    <row r="24" spans="1:29" hidden="1" outlineLevel="1" x14ac:dyDescent="0.25">
      <c r="A24" s="22" t="s">
        <v>84</v>
      </c>
      <c r="B24" s="41" t="str">
        <f t="shared" si="1"/>
        <v/>
      </c>
      <c r="C24" s="42">
        <f t="shared" si="2"/>
        <v>23</v>
      </c>
      <c r="D24" s="38"/>
      <c r="E24" s="38"/>
      <c r="F24" s="38"/>
      <c r="G24" s="38"/>
      <c r="H24" s="38"/>
      <c r="I24" s="38" t="s">
        <v>9</v>
      </c>
      <c r="J24" s="38"/>
      <c r="K24" s="167" t="s">
        <v>18</v>
      </c>
      <c r="L24" s="168" t="s">
        <v>32</v>
      </c>
      <c r="M24" s="158" t="s">
        <v>295</v>
      </c>
      <c r="N24" s="169" t="s">
        <v>296</v>
      </c>
      <c r="O24" s="160" t="s">
        <v>134</v>
      </c>
      <c r="P24" s="161" t="s">
        <v>270</v>
      </c>
      <c r="Q24" s="162" t="s">
        <v>9</v>
      </c>
      <c r="R24" s="163" t="s">
        <v>103</v>
      </c>
      <c r="S24" s="163" t="s">
        <v>112</v>
      </c>
      <c r="T24" s="164" t="s">
        <v>270</v>
      </c>
      <c r="U24" s="164" t="s">
        <v>114</v>
      </c>
      <c r="V24" s="164" t="s">
        <v>296</v>
      </c>
      <c r="W24" s="165" t="str">
        <f>IF(IFERROR(VLOOKUP($M24,'IMPORT GS-Tür OL FL 2S2 20'!$H$2:$H$847,1,0),"-")="-","","GS")</f>
        <v/>
      </c>
      <c r="X24" s="166" t="s">
        <v>270</v>
      </c>
      <c r="Y24" s="164" t="s">
        <v>297</v>
      </c>
      <c r="Z24" s="59" t="str">
        <f>IF(OR($M24="",NOT($O24="{array}")),"",IFERROR(MATCH(PARAMETERS!$M24,DEFAULT!$B$5:$CG$5,0),""))</f>
        <v/>
      </c>
      <c r="AA24" s="56" t="str">
        <f t="shared" si="0"/>
        <v/>
      </c>
      <c r="AB24" s="63" t="str">
        <f>IF(AND(OR($A24="G",$A24="P"),NOT($O24="{array}")),IF(VLOOKUP($K24,base!$B$2:$D$20,3,0)="S",IF(OR($O24="",ISTEXT($O24)),"","STRING!"),IF(VLOOKUP($K24,base!$B$2:$D$20,3,0)="","",IF(ISTEXT($O24),"NUMERIC!",""))),"")</f>
        <v/>
      </c>
      <c r="AC24" s="17" t="str">
        <f>IF($AA24="","",IF($B24="I",VLOOKUP($AA24,#REF!,53,0),INDEX(VALUES!$B$1:$BR$1,1,$AA24)))</f>
        <v/>
      </c>
    </row>
    <row r="25" spans="1:29" hidden="1" outlineLevel="1" x14ac:dyDescent="0.25">
      <c r="A25" s="22" t="s">
        <v>84</v>
      </c>
      <c r="B25" s="41" t="str">
        <f t="shared" si="1"/>
        <v/>
      </c>
      <c r="C25" s="42">
        <f t="shared" si="2"/>
        <v>24</v>
      </c>
      <c r="D25" s="38"/>
      <c r="E25" s="38"/>
      <c r="F25" s="38"/>
      <c r="G25" s="38"/>
      <c r="H25" s="38"/>
      <c r="I25" s="38" t="s">
        <v>9</v>
      </c>
      <c r="J25" s="38"/>
      <c r="K25" s="167" t="s">
        <v>18</v>
      </c>
      <c r="L25" s="168" t="s">
        <v>32</v>
      </c>
      <c r="M25" s="158" t="s">
        <v>298</v>
      </c>
      <c r="N25" s="169" t="s">
        <v>299</v>
      </c>
      <c r="O25" s="160" t="s">
        <v>134</v>
      </c>
      <c r="P25" s="161" t="s">
        <v>270</v>
      </c>
      <c r="Q25" s="162" t="s">
        <v>9</v>
      </c>
      <c r="R25" s="163" t="s">
        <v>103</v>
      </c>
      <c r="S25" s="163" t="s">
        <v>112</v>
      </c>
      <c r="T25" s="164" t="s">
        <v>270</v>
      </c>
      <c r="U25" s="164" t="s">
        <v>114</v>
      </c>
      <c r="V25" s="164" t="s">
        <v>299</v>
      </c>
      <c r="W25" s="165" t="str">
        <f>IF(IFERROR(VLOOKUP($M25,'IMPORT GS-Tür OL FL 2S2 20'!$H$2:$H$847,1,0),"-")="-","","GS")</f>
        <v/>
      </c>
      <c r="X25" s="166" t="s">
        <v>270</v>
      </c>
      <c r="Y25" s="164" t="s">
        <v>300</v>
      </c>
      <c r="Z25" s="59" t="str">
        <f>IF(OR($M25="",NOT($O25="{array}")),"",IFERROR(MATCH(PARAMETERS!$M25,DEFAULT!$B$5:$CG$5,0),""))</f>
        <v/>
      </c>
      <c r="AA25" s="56" t="str">
        <f t="shared" si="0"/>
        <v/>
      </c>
      <c r="AB25" s="63" t="str">
        <f>IF(AND(OR($A25="G",$A25="P"),NOT($O25="{array}")),IF(VLOOKUP($K25,base!$B$2:$D$20,3,0)="S",IF(OR($O25="",ISTEXT($O25)),"","STRING!"),IF(VLOOKUP($K25,base!$B$2:$D$20,3,0)="","",IF(ISTEXT($O25),"NUMERIC!",""))),"")</f>
        <v/>
      </c>
      <c r="AC25" s="17" t="str">
        <f>IF($AA25="","",IF($B25="I",VLOOKUP($AA25,#REF!,53,0),INDEX(VALUES!$B$1:$BR$1,1,$AA25)))</f>
        <v/>
      </c>
    </row>
    <row r="26" spans="1:29" hidden="1" outlineLevel="1" x14ac:dyDescent="0.25">
      <c r="A26" s="22" t="s">
        <v>84</v>
      </c>
      <c r="B26" s="41" t="str">
        <f t="shared" si="1"/>
        <v/>
      </c>
      <c r="C26" s="42">
        <f t="shared" si="2"/>
        <v>25</v>
      </c>
      <c r="D26" s="38"/>
      <c r="E26" s="38"/>
      <c r="F26" s="38"/>
      <c r="G26" s="38"/>
      <c r="H26" s="38"/>
      <c r="I26" s="38" t="s">
        <v>9</v>
      </c>
      <c r="J26" s="38"/>
      <c r="K26" s="167" t="s">
        <v>18</v>
      </c>
      <c r="L26" s="168" t="s">
        <v>32</v>
      </c>
      <c r="M26" s="158" t="s">
        <v>301</v>
      </c>
      <c r="N26" s="170" t="s">
        <v>302</v>
      </c>
      <c r="O26" s="160" t="s">
        <v>134</v>
      </c>
      <c r="P26" s="161" t="s">
        <v>270</v>
      </c>
      <c r="Q26" s="171" t="s">
        <v>9</v>
      </c>
      <c r="R26" s="172" t="s">
        <v>103</v>
      </c>
      <c r="S26" s="172" t="s">
        <v>112</v>
      </c>
      <c r="T26" s="167" t="s">
        <v>270</v>
      </c>
      <c r="U26" s="167" t="s">
        <v>114</v>
      </c>
      <c r="V26" s="167" t="s">
        <v>302</v>
      </c>
      <c r="W26" s="173" t="str">
        <f>IF(IFERROR(VLOOKUP($M26,'IMPORT GS-Tür OL FL 2S2 20'!$H$2:$H$847,1,0),"-")="-","","GS")</f>
        <v/>
      </c>
      <c r="X26" s="161" t="s">
        <v>270</v>
      </c>
      <c r="Y26" s="167" t="s">
        <v>303</v>
      </c>
      <c r="Z26" s="59" t="str">
        <f>IF(OR($M26="",NOT($O26="{array}")),"",IFERROR(MATCH(PARAMETERS!$M26,DEFAULT!$B$5:$CG$5,0),""))</f>
        <v/>
      </c>
      <c r="AA26" s="56" t="str">
        <f t="shared" si="0"/>
        <v/>
      </c>
      <c r="AB26" s="63" t="str">
        <f>IF(AND(OR($A26="G",$A26="P"),NOT($O26="{array}")),IF(VLOOKUP($K26,base!$B$2:$D$20,3,0)="S",IF(OR($O26="",ISTEXT($O26)),"","STRING!"),IF(VLOOKUP($K26,base!$B$2:$D$20,3,0)="","",IF(ISTEXT($O26),"NUMERIC!",""))),"")</f>
        <v/>
      </c>
      <c r="AC26" s="17" t="str">
        <f>IF($AA26="","",IF($B26="I",VLOOKUP($AA26,#REF!,53,0),INDEX(VALUES!$B$1:$BR$1,1,$AA26)))</f>
        <v/>
      </c>
    </row>
    <row r="27" spans="1:29" hidden="1" outlineLevel="1" x14ac:dyDescent="0.25">
      <c r="A27" s="22" t="s">
        <v>84</v>
      </c>
      <c r="B27" s="41" t="str">
        <f t="shared" si="1"/>
        <v/>
      </c>
      <c r="C27" s="42">
        <f t="shared" si="2"/>
        <v>26</v>
      </c>
      <c r="D27" s="38"/>
      <c r="E27" s="38"/>
      <c r="F27" s="38"/>
      <c r="G27" s="38"/>
      <c r="H27" s="38"/>
      <c r="I27" s="38" t="s">
        <v>9</v>
      </c>
      <c r="J27" s="38"/>
      <c r="K27" s="164" t="s">
        <v>18</v>
      </c>
      <c r="L27" s="164" t="s">
        <v>32</v>
      </c>
      <c r="M27" s="158" t="s">
        <v>304</v>
      </c>
      <c r="N27" s="169" t="s">
        <v>305</v>
      </c>
      <c r="O27" s="174" t="s">
        <v>270</v>
      </c>
      <c r="P27" s="175" t="s">
        <v>270</v>
      </c>
      <c r="Q27" s="162" t="s">
        <v>9</v>
      </c>
      <c r="R27" s="163" t="s">
        <v>103</v>
      </c>
      <c r="S27" s="163" t="s">
        <v>112</v>
      </c>
      <c r="T27" s="164" t="s">
        <v>270</v>
      </c>
      <c r="U27" s="164" t="s">
        <v>114</v>
      </c>
      <c r="V27" s="164" t="s">
        <v>306</v>
      </c>
      <c r="W27" s="165" t="str">
        <f>IF(IFERROR(VLOOKUP($M27,'IMPORT GS-Tür OL FL 2S2 20'!$H$2:$H$847,1,0),"-")="-","","GS")</f>
        <v/>
      </c>
      <c r="X27" s="166" t="s">
        <v>270</v>
      </c>
      <c r="Y27" s="164" t="s">
        <v>307</v>
      </c>
      <c r="Z27" s="59" t="str">
        <f>IF(OR($M27="",NOT($O27="{array}")),"",IFERROR(MATCH(PARAMETERS!$M27,DEFAULT!$B$5:$CG$5,0),""))</f>
        <v/>
      </c>
      <c r="AA27" s="56" t="str">
        <f t="shared" si="0"/>
        <v/>
      </c>
      <c r="AB27" s="63" t="str">
        <f>IF(AND(OR($A27="G",$A27="P"),NOT($O27="{array}")),IF(VLOOKUP($K27,base!$B$2:$D$20,3,0)="S",IF(OR($O27="",ISTEXT($O27)),"","STRING!"),IF(VLOOKUP($K27,base!$B$2:$D$20,3,0)="","",IF(ISTEXT($O27),"NUMERIC!",""))),"")</f>
        <v/>
      </c>
      <c r="AC27" s="17" t="str">
        <f>IF($AA27="","",IF($B27="I",VLOOKUP($AA27,#REF!,53,0),INDEX(VALUES!$B$1:$BR$1,1,$AA27)))</f>
        <v/>
      </c>
    </row>
    <row r="28" spans="1:29" collapsed="1" x14ac:dyDescent="0.3">
      <c r="A28" s="22"/>
      <c r="B28" s="41" t="str">
        <f t="shared" si="1"/>
        <v/>
      </c>
      <c r="C28" s="42">
        <f t="shared" si="2"/>
        <v>27</v>
      </c>
      <c r="D28" s="38"/>
      <c r="E28" s="38"/>
      <c r="F28" s="38"/>
      <c r="G28" s="38"/>
      <c r="H28" s="38"/>
      <c r="I28" s="38"/>
      <c r="J28" s="38"/>
      <c r="K28" s="14" t="s">
        <v>57</v>
      </c>
      <c r="L28" s="14" t="s">
        <v>38</v>
      </c>
      <c r="M28" s="48" t="s">
        <v>308</v>
      </c>
      <c r="N28" s="41" t="s">
        <v>309</v>
      </c>
      <c r="R28" s="38" t="s">
        <v>201</v>
      </c>
      <c r="S28" s="38"/>
      <c r="T28" s="15"/>
      <c r="W28" s="15" t="str">
        <f>IF(IFERROR(VLOOKUP($M28,'IMPORT GS-Tür OL FL 2S2 20'!$H$2:$H$847,1,0),"-")="-","","GS")</f>
        <v/>
      </c>
      <c r="Z28" s="59" t="str">
        <f>IF(OR($M28="",NOT($O28="{array}")),"",IFERROR(MATCH(PARAMETERS!$M28,DEFAULT!$B$5:$CG$5,0),""))</f>
        <v/>
      </c>
      <c r="AA28" s="56" t="str">
        <f t="shared" si="0"/>
        <v/>
      </c>
      <c r="AB28" s="63" t="str">
        <f>IF(AND(OR($A28="G",$A28="P"),NOT($O28="{array}")),IF(VLOOKUP($K28,base!$B$2:$D$20,3,0)="S",IF(OR($O28="",ISTEXT($O28)),"","STRING!"),IF(VLOOKUP($K28,base!$B$2:$D$20,3,0)="","",IF(ISTEXT($O28),"NUMERIC!",""))),"")</f>
        <v/>
      </c>
      <c r="AC28" s="17" t="str">
        <f>IF($AA28="","",IF($B28="I",VLOOKUP($AA28,#REF!,53,0),INDEX(VALUES!$B$1:$BR$1,1,$AA28)))</f>
        <v/>
      </c>
    </row>
    <row r="29" spans="1:29" hidden="1" outlineLevel="1" x14ac:dyDescent="0.25">
      <c r="A29" s="22" t="s">
        <v>84</v>
      </c>
      <c r="B29" s="41" t="str">
        <f t="shared" si="1"/>
        <v/>
      </c>
      <c r="C29" s="42">
        <f t="shared" si="2"/>
        <v>28</v>
      </c>
      <c r="D29" s="38"/>
      <c r="E29" s="38"/>
      <c r="F29" s="38" t="s">
        <v>9</v>
      </c>
      <c r="G29" s="38"/>
      <c r="H29" s="38"/>
      <c r="I29" s="38" t="s">
        <v>9</v>
      </c>
      <c r="J29" s="38"/>
      <c r="K29" s="14" t="s">
        <v>18</v>
      </c>
      <c r="L29" s="14" t="s">
        <v>21</v>
      </c>
      <c r="M29" s="158" t="s">
        <v>310</v>
      </c>
      <c r="N29" s="53" t="s">
        <v>311</v>
      </c>
      <c r="O29" s="160" t="s">
        <v>134</v>
      </c>
      <c r="P29" s="161" t="s">
        <v>270</v>
      </c>
      <c r="Q29" s="171" t="s">
        <v>9</v>
      </c>
      <c r="R29" s="172" t="s">
        <v>103</v>
      </c>
      <c r="S29" s="172" t="s">
        <v>112</v>
      </c>
      <c r="T29" s="167" t="s">
        <v>102</v>
      </c>
      <c r="U29" s="167" t="s">
        <v>270</v>
      </c>
      <c r="V29" s="167" t="s">
        <v>312</v>
      </c>
      <c r="W29" s="15" t="str">
        <f>IF(IFERROR(VLOOKUP($M29,'IMPORT GS-Tür OL FL 2S2 20'!$H$2:$H$847,1,0),"-")="-","","GS")</f>
        <v/>
      </c>
      <c r="X29" s="161">
        <v>40</v>
      </c>
      <c r="Y29" s="167" t="s">
        <v>313</v>
      </c>
      <c r="Z29" s="59" t="str">
        <f>IF(OR($M29="",NOT($O29="{array}")),"",IFERROR(MATCH(PARAMETERS!$M29,DEFAULT!$B$5:$CG$5,0),""))</f>
        <v/>
      </c>
      <c r="AA29" s="56" t="str">
        <f t="shared" si="0"/>
        <v/>
      </c>
      <c r="AB29" s="63" t="str">
        <f>IF(AND(OR($A29="G",$A29="P"),NOT($O29="{array}")),IF(VLOOKUP($K29,base!$B$2:$D$20,3,0)="S",IF(OR($O29="",ISTEXT($O29)),"","STRING!"),IF(VLOOKUP($K29,base!$B$2:$D$20,3,0)="","",IF(ISTEXT($O29),"NUMERIC!",""))),"")</f>
        <v/>
      </c>
      <c r="AC29" s="17" t="str">
        <f>IF($AA29="","",IF($B29="I",VLOOKUP($AA29,#REF!,53,0),INDEX(VALUES!$B$1:$BR$1,1,$AA29)))</f>
        <v/>
      </c>
    </row>
    <row r="30" spans="1:29" hidden="1" outlineLevel="1" x14ac:dyDescent="0.3">
      <c r="A30" s="22" t="s">
        <v>84</v>
      </c>
      <c r="B30" s="41" t="str">
        <f t="shared" si="1"/>
        <v/>
      </c>
      <c r="C30" s="42">
        <f t="shared" si="2"/>
        <v>29</v>
      </c>
      <c r="D30" s="38"/>
      <c r="E30" s="38"/>
      <c r="F30" s="38"/>
      <c r="G30" s="38"/>
      <c r="H30" s="38"/>
      <c r="I30" s="38" t="s">
        <v>9</v>
      </c>
      <c r="J30" s="38"/>
      <c r="K30" s="160" t="s">
        <v>24</v>
      </c>
      <c r="L30" s="160" t="s">
        <v>27</v>
      </c>
      <c r="M30" s="176" t="s">
        <v>314</v>
      </c>
      <c r="N30" s="160" t="s">
        <v>315</v>
      </c>
      <c r="O30" s="160">
        <v>0.8</v>
      </c>
      <c r="P30" s="177" t="s">
        <v>270</v>
      </c>
      <c r="Q30" s="178" t="s">
        <v>9</v>
      </c>
      <c r="R30" s="179" t="s">
        <v>103</v>
      </c>
      <c r="S30" s="179" t="s">
        <v>112</v>
      </c>
      <c r="T30" s="160" t="s">
        <v>270</v>
      </c>
      <c r="U30" s="160" t="s">
        <v>270</v>
      </c>
      <c r="V30" s="180"/>
      <c r="W30" s="15"/>
      <c r="X30" s="161"/>
      <c r="Y30" s="160" t="s">
        <v>315</v>
      </c>
      <c r="Z30" s="59" t="str">
        <f>IF(OR($M30="",NOT($O30="{array}")),"",IFERROR(MATCH(PARAMETERS!$M30,DEFAULT!$B$5:$CG$5,0),""))</f>
        <v/>
      </c>
      <c r="AA30" s="56" t="str">
        <f t="shared" si="0"/>
        <v/>
      </c>
      <c r="AB30" s="63" t="str">
        <f>IF(AND(OR($A30="G",$A30="P"),NOT($O30="{array}")),IF(VLOOKUP($K30,base!$B$2:$D$20,3,0)="S",IF(OR($O30="",ISTEXT($O30)),"","STRING!"),IF(VLOOKUP($K30,base!$B$2:$D$20,3,0)="","",IF(ISTEXT($O30),"NUMERIC!",""))),"")</f>
        <v/>
      </c>
      <c r="AC30" s="17" t="str">
        <f>IF($AA30="","",IF($B30="I",VLOOKUP($AA30,#REF!,53,0),INDEX(VALUES!$B$1:$BR$1,1,$AA30)))</f>
        <v/>
      </c>
    </row>
    <row r="31" spans="1:29" hidden="1" outlineLevel="1" x14ac:dyDescent="0.3">
      <c r="A31" s="22" t="s">
        <v>84</v>
      </c>
      <c r="B31" s="41" t="str">
        <f t="shared" si="1"/>
        <v/>
      </c>
      <c r="C31" s="42">
        <f t="shared" si="2"/>
        <v>30</v>
      </c>
      <c r="D31" s="38"/>
      <c r="E31" s="38"/>
      <c r="F31" s="38"/>
      <c r="G31" s="38"/>
      <c r="H31" s="38"/>
      <c r="I31" s="38" t="s">
        <v>9</v>
      </c>
      <c r="J31" s="38"/>
      <c r="K31" s="160" t="s">
        <v>24</v>
      </c>
      <c r="L31" s="160" t="s">
        <v>27</v>
      </c>
      <c r="M31" s="176" t="s">
        <v>316</v>
      </c>
      <c r="N31" s="160" t="s">
        <v>317</v>
      </c>
      <c r="O31" s="160">
        <v>2</v>
      </c>
      <c r="P31" s="177" t="s">
        <v>270</v>
      </c>
      <c r="Q31" s="178" t="s">
        <v>9</v>
      </c>
      <c r="R31" s="179" t="s">
        <v>103</v>
      </c>
      <c r="S31" s="179" t="s">
        <v>112</v>
      </c>
      <c r="T31" s="160" t="s">
        <v>270</v>
      </c>
      <c r="U31" s="160" t="s">
        <v>270</v>
      </c>
      <c r="V31" s="180"/>
      <c r="W31" s="15"/>
      <c r="X31" s="161"/>
      <c r="Y31" s="160" t="s">
        <v>317</v>
      </c>
      <c r="Z31" s="59" t="str">
        <f>IF(OR($M31="",NOT($O31="{array}")),"",IFERROR(MATCH(PARAMETERS!$M31,DEFAULT!$B$5:$CG$5,0),""))</f>
        <v/>
      </c>
      <c r="AA31" s="56" t="str">
        <f t="shared" si="0"/>
        <v/>
      </c>
      <c r="AB31" s="63" t="str">
        <f>IF(AND(OR($A31="G",$A31="P"),NOT($O31="{array}")),IF(VLOOKUP($K31,base!$B$2:$D$20,3,0)="S",IF(OR($O31="",ISTEXT($O31)),"","STRING!"),IF(VLOOKUP($K31,base!$B$2:$D$20,3,0)="","",IF(ISTEXT($O31),"NUMERIC!",""))),"")</f>
        <v/>
      </c>
      <c r="AC31" s="17" t="str">
        <f>IF($AA31="","",IF($B31="I",VLOOKUP($AA31,#REF!,53,0),INDEX(VALUES!$B$1:$BR$1,1,$AA31)))</f>
        <v/>
      </c>
    </row>
    <row r="32" spans="1:29" hidden="1" outlineLevel="1" x14ac:dyDescent="0.3">
      <c r="A32" s="22" t="s">
        <v>84</v>
      </c>
      <c r="B32" s="41" t="str">
        <f t="shared" si="1"/>
        <v/>
      </c>
      <c r="C32" s="42">
        <f t="shared" si="2"/>
        <v>31</v>
      </c>
      <c r="D32" s="38"/>
      <c r="E32" s="38"/>
      <c r="F32" s="38"/>
      <c r="G32" s="38"/>
      <c r="H32" s="38"/>
      <c r="I32" s="38" t="s">
        <v>9</v>
      </c>
      <c r="J32" s="38"/>
      <c r="K32" s="160" t="s">
        <v>31</v>
      </c>
      <c r="L32" s="160" t="s">
        <v>27</v>
      </c>
      <c r="M32" s="176" t="s">
        <v>318</v>
      </c>
      <c r="N32" s="160" t="s">
        <v>319</v>
      </c>
      <c r="O32" s="160">
        <v>90</v>
      </c>
      <c r="P32" s="177" t="s">
        <v>270</v>
      </c>
      <c r="Q32" s="178" t="s">
        <v>9</v>
      </c>
      <c r="R32" s="179" t="s">
        <v>103</v>
      </c>
      <c r="S32" s="179" t="s">
        <v>112</v>
      </c>
      <c r="T32" s="160" t="s">
        <v>270</v>
      </c>
      <c r="U32" s="160" t="s">
        <v>270</v>
      </c>
      <c r="V32" s="160" t="s">
        <v>319</v>
      </c>
      <c r="W32" s="15" t="str">
        <f>IF(IFERROR(VLOOKUP($M32,'IMPORT GS-Tür OL FL 2S2 20'!$H$2:$H$847,1,0),"-")="-","","GS")</f>
        <v/>
      </c>
      <c r="X32" s="177" t="s">
        <v>270</v>
      </c>
      <c r="Y32" s="160" t="s">
        <v>319</v>
      </c>
      <c r="Z32" s="59" t="str">
        <f>IF(OR($M32="",NOT($O32="{array}")),"",IFERROR(MATCH(PARAMETERS!$M32,DEFAULT!$B$5:$CG$5,0),""))</f>
        <v/>
      </c>
      <c r="AA32" s="56" t="str">
        <f t="shared" si="0"/>
        <v/>
      </c>
      <c r="AB32" s="63" t="str">
        <f>IF(AND(OR($A32="G",$A32="P"),NOT($O32="{array}")),IF(VLOOKUP($K32,base!$B$2:$D$20,3,0)="S",IF(OR($O32="",ISTEXT($O32)),"","STRING!"),IF(VLOOKUP($K32,base!$B$2:$D$20,3,0)="","",IF(ISTEXT($O32),"NUMERIC!",""))),"")</f>
        <v/>
      </c>
      <c r="AC32" s="17" t="str">
        <f>IF($AA32="","",IF($B32="I",VLOOKUP($AA32,#REF!,53,0),INDEX(VALUES!$B$1:$BR$1,1,$AA32)))</f>
        <v/>
      </c>
    </row>
    <row r="33" spans="1:29" hidden="1" outlineLevel="1" x14ac:dyDescent="0.3">
      <c r="A33" s="22" t="s">
        <v>84</v>
      </c>
      <c r="B33" s="41" t="str">
        <f t="shared" si="1"/>
        <v/>
      </c>
      <c r="C33" s="42">
        <f t="shared" si="2"/>
        <v>32</v>
      </c>
      <c r="D33" s="38"/>
      <c r="E33" s="38"/>
      <c r="F33" s="38"/>
      <c r="G33" s="38"/>
      <c r="H33" s="38"/>
      <c r="I33" s="38" t="s">
        <v>9</v>
      </c>
      <c r="J33" s="38"/>
      <c r="K33" s="160" t="s">
        <v>24</v>
      </c>
      <c r="L33" s="168" t="s">
        <v>27</v>
      </c>
      <c r="M33" s="176" t="s">
        <v>320</v>
      </c>
      <c r="N33" s="167" t="s">
        <v>321</v>
      </c>
      <c r="O33" s="160">
        <v>0</v>
      </c>
      <c r="P33" s="161" t="s">
        <v>270</v>
      </c>
      <c r="Q33" s="171" t="s">
        <v>9</v>
      </c>
      <c r="R33" s="172" t="s">
        <v>103</v>
      </c>
      <c r="S33" s="172" t="s">
        <v>112</v>
      </c>
      <c r="T33" s="167" t="s">
        <v>270</v>
      </c>
      <c r="U33" s="167" t="s">
        <v>270</v>
      </c>
      <c r="V33" s="167" t="s">
        <v>321</v>
      </c>
      <c r="W33" s="15" t="str">
        <f>IF(IFERROR(VLOOKUP($M33,'IMPORT GS-Tür OL FL 2S2 20'!$H$2:$H$847,1,0),"-")="-","","GS")</f>
        <v/>
      </c>
      <c r="X33" s="161" t="s">
        <v>270</v>
      </c>
      <c r="Y33" s="167" t="s">
        <v>322</v>
      </c>
      <c r="Z33" s="59" t="str">
        <f>IF(OR($M33="",NOT($O33="{array}")),"",IFERROR(MATCH(PARAMETERS!$M33,DEFAULT!$B$5:$CG$5,0),""))</f>
        <v/>
      </c>
      <c r="AA33" s="56" t="str">
        <f t="shared" si="0"/>
        <v/>
      </c>
      <c r="AB33" s="63" t="str">
        <f>IF(AND(OR($A33="G",$A33="P"),NOT($O33="{array}")),IF(VLOOKUP($K33,base!$B$2:$D$20,3,0)="S",IF(OR($O33="",ISTEXT($O33)),"","STRING!"),IF(VLOOKUP($K33,base!$B$2:$D$20,3,0)="","",IF(ISTEXT($O33),"NUMERIC!",""))),"")</f>
        <v/>
      </c>
      <c r="AC33" s="17" t="str">
        <f>IF($AA33="","",IF($B33="I",VLOOKUP($AA33,#REF!,53,0),INDEX(VALUES!$B$1:$BR$1,1,$AA33)))</f>
        <v/>
      </c>
    </row>
    <row r="34" spans="1:29" hidden="1" outlineLevel="1" x14ac:dyDescent="0.3">
      <c r="A34" s="22" t="s">
        <v>84</v>
      </c>
      <c r="B34" s="41" t="str">
        <f t="shared" si="1"/>
        <v/>
      </c>
      <c r="C34" s="42">
        <f t="shared" si="2"/>
        <v>33</v>
      </c>
      <c r="D34" s="38"/>
      <c r="E34" s="38"/>
      <c r="F34" s="38"/>
      <c r="G34" s="38"/>
      <c r="H34" s="38"/>
      <c r="I34" s="38" t="s">
        <v>9</v>
      </c>
      <c r="J34" s="38"/>
      <c r="K34" s="160" t="s">
        <v>18</v>
      </c>
      <c r="L34" s="168" t="s">
        <v>32</v>
      </c>
      <c r="M34" s="176" t="s">
        <v>323</v>
      </c>
      <c r="N34" s="167" t="s">
        <v>324</v>
      </c>
      <c r="O34" s="160" t="s">
        <v>134</v>
      </c>
      <c r="P34" s="161" t="s">
        <v>270</v>
      </c>
      <c r="Q34" s="171" t="s">
        <v>9</v>
      </c>
      <c r="R34" s="172" t="s">
        <v>103</v>
      </c>
      <c r="S34" s="172" t="s">
        <v>112</v>
      </c>
      <c r="T34" s="167" t="s">
        <v>102</v>
      </c>
      <c r="U34" s="167" t="s">
        <v>270</v>
      </c>
      <c r="V34" s="167" t="s">
        <v>324</v>
      </c>
      <c r="W34" s="15" t="str">
        <f>IF(IFERROR(VLOOKUP($M34,'IMPORT GS-Tür OL FL 2S2 20'!$H$2:$H$847,1,0),"-")="-","","GS")</f>
        <v/>
      </c>
      <c r="X34" s="161" t="s">
        <v>1298</v>
      </c>
      <c r="Y34" s="167" t="s">
        <v>325</v>
      </c>
      <c r="Z34" s="59" t="str">
        <f>IF(OR($M34="",NOT($O34="{array}")),"",IFERROR(MATCH(PARAMETERS!$M34,DEFAULT!$B$5:$CG$5,0),""))</f>
        <v/>
      </c>
      <c r="AA34" s="56" t="str">
        <f t="shared" si="0"/>
        <v/>
      </c>
      <c r="AB34" s="63" t="str">
        <f>IF(AND(OR($A34="G",$A34="P"),NOT($O34="{array}")),IF(VLOOKUP($K34,base!$B$2:$D$20,3,0)="S",IF(OR($O34="",ISTEXT($O34)),"","STRING!"),IF(VLOOKUP($K34,base!$B$2:$D$20,3,0)="","",IF(ISTEXT($O34),"NUMERIC!",""))),"")</f>
        <v/>
      </c>
      <c r="AC34" s="17" t="str">
        <f>IF($AA34="","",IF($B34="I",VLOOKUP($AA34,#REF!,53,0),INDEX(VALUES!$B$1:$BR$1,1,$AA34)))</f>
        <v/>
      </c>
    </row>
    <row r="35" spans="1:29" hidden="1" outlineLevel="1" x14ac:dyDescent="0.3">
      <c r="A35" s="22" t="s">
        <v>84</v>
      </c>
      <c r="B35" s="41" t="str">
        <f t="shared" ref="B35:B98" si="3">IF($A35="P",IF(NOT($Z35=""),"A",IF(NOT($AA35=""),"I","")),IF(NOT($AA35=""),IF($A35="G","V","X"),IF(NOT($Z35=""),"A","")))</f>
        <v/>
      </c>
      <c r="C35" s="42">
        <f t="shared" si="2"/>
        <v>34</v>
      </c>
      <c r="D35" s="38"/>
      <c r="E35" s="38"/>
      <c r="F35" s="38"/>
      <c r="G35" s="38"/>
      <c r="H35" s="38"/>
      <c r="I35" s="38" t="s">
        <v>9</v>
      </c>
      <c r="J35" s="38"/>
      <c r="K35" s="167" t="s">
        <v>18</v>
      </c>
      <c r="L35" s="168" t="s">
        <v>27</v>
      </c>
      <c r="M35" s="176" t="s">
        <v>326</v>
      </c>
      <c r="N35" s="167" t="s">
        <v>327</v>
      </c>
      <c r="O35" s="160" t="s">
        <v>134</v>
      </c>
      <c r="P35" s="161" t="s">
        <v>270</v>
      </c>
      <c r="Q35" s="171" t="s">
        <v>9</v>
      </c>
      <c r="R35" s="172" t="s">
        <v>103</v>
      </c>
      <c r="S35" s="172" t="s">
        <v>112</v>
      </c>
      <c r="T35" s="167" t="s">
        <v>102</v>
      </c>
      <c r="U35" s="167" t="s">
        <v>270</v>
      </c>
      <c r="V35" s="167" t="s">
        <v>327</v>
      </c>
      <c r="W35" s="15" t="str">
        <f>IF(IFERROR(VLOOKUP($M35,'IMPORT GS-Tür OL FL 2S2 20'!$H$2:$H$847,1,0),"-")="-","","GS")</f>
        <v/>
      </c>
      <c r="X35" s="161">
        <v>43</v>
      </c>
      <c r="Y35" s="167" t="s">
        <v>328</v>
      </c>
      <c r="Z35" s="59" t="str">
        <f>IF(OR($M35="",NOT($O35="{array}")),"",IFERROR(MATCH(PARAMETERS!$M35,DEFAULT!$B$5:$CG$5,0),""))</f>
        <v/>
      </c>
      <c r="AA35" s="56" t="str">
        <f t="shared" si="0"/>
        <v/>
      </c>
      <c r="AB35" s="63" t="str">
        <f>IF(AND(OR($A35="G",$A35="P"),NOT($O35="{array}")),IF(VLOOKUP($K35,base!$B$2:$D$20,3,0)="S",IF(OR($O35="",ISTEXT($O35)),"","STRING!"),IF(VLOOKUP($K35,base!$B$2:$D$20,3,0)="","",IF(ISTEXT($O35),"NUMERIC!",""))),"")</f>
        <v/>
      </c>
      <c r="AC35" s="17" t="str">
        <f>IF($AA35="","",IF($B35="I",VLOOKUP($AA35,#REF!,53,0),INDEX(VALUES!$B$1:$BR$1,1,$AA35)))</f>
        <v/>
      </c>
    </row>
    <row r="36" spans="1:29" hidden="1" outlineLevel="1" x14ac:dyDescent="0.3">
      <c r="A36" s="22" t="s">
        <v>84</v>
      </c>
      <c r="B36" s="41" t="str">
        <f t="shared" si="3"/>
        <v/>
      </c>
      <c r="C36" s="42">
        <f t="shared" si="2"/>
        <v>35</v>
      </c>
      <c r="D36" s="38"/>
      <c r="E36" s="38"/>
      <c r="F36" s="38"/>
      <c r="G36" s="38"/>
      <c r="H36" s="38"/>
      <c r="I36" s="38" t="s">
        <v>9</v>
      </c>
      <c r="J36" s="38"/>
      <c r="K36" s="167" t="s">
        <v>18</v>
      </c>
      <c r="L36" s="168" t="s">
        <v>27</v>
      </c>
      <c r="M36" s="176" t="s">
        <v>329</v>
      </c>
      <c r="N36" s="167" t="s">
        <v>330</v>
      </c>
      <c r="O36" s="160" t="s">
        <v>134</v>
      </c>
      <c r="P36" s="161" t="s">
        <v>270</v>
      </c>
      <c r="Q36" s="171" t="s">
        <v>9</v>
      </c>
      <c r="R36" s="172" t="s">
        <v>103</v>
      </c>
      <c r="S36" s="172" t="s">
        <v>112</v>
      </c>
      <c r="T36" s="167" t="s">
        <v>102</v>
      </c>
      <c r="U36" s="167" t="s">
        <v>270</v>
      </c>
      <c r="V36" s="167" t="s">
        <v>330</v>
      </c>
      <c r="W36" s="15" t="str">
        <f>IF(IFERROR(VLOOKUP($M36,'IMPORT GS-Tür OL FL 2S2 20'!$H$2:$H$847,1,0),"-")="-","","GS")</f>
        <v/>
      </c>
      <c r="X36" s="161" t="s">
        <v>270</v>
      </c>
      <c r="Y36" s="167" t="s">
        <v>331</v>
      </c>
      <c r="Z36" s="59" t="str">
        <f>IF(OR($M36="",NOT($O36="{array}")),"",IFERROR(MATCH(PARAMETERS!$M36,DEFAULT!$B$5:$CG$5,0),""))</f>
        <v/>
      </c>
      <c r="AA36" s="56" t="str">
        <f t="shared" si="0"/>
        <v/>
      </c>
      <c r="AB36" s="63" t="str">
        <f>IF(AND(OR($A36="G",$A36="P"),NOT($O36="{array}")),IF(VLOOKUP($K36,base!$B$2:$D$20,3,0)="S",IF(OR($O36="",ISTEXT($O36)),"","STRING!"),IF(VLOOKUP($K36,base!$B$2:$D$20,3,0)="","",IF(ISTEXT($O36),"NUMERIC!",""))),"")</f>
        <v/>
      </c>
      <c r="AC36" s="17" t="str">
        <f>IF($AA36="","",IF($B36="I",VLOOKUP($AA36,#REF!,53,0),INDEX(VALUES!$B$1:$BR$1,1,$AA36)))</f>
        <v/>
      </c>
    </row>
    <row r="37" spans="1:29" hidden="1" outlineLevel="1" x14ac:dyDescent="0.3">
      <c r="A37" s="22" t="s">
        <v>84</v>
      </c>
      <c r="B37" s="41" t="str">
        <f t="shared" si="3"/>
        <v/>
      </c>
      <c r="C37" s="42">
        <f t="shared" si="2"/>
        <v>36</v>
      </c>
      <c r="D37" s="38"/>
      <c r="E37" s="38"/>
      <c r="F37" s="38"/>
      <c r="G37" s="38"/>
      <c r="H37" s="38"/>
      <c r="I37" s="38" t="s">
        <v>9</v>
      </c>
      <c r="J37" s="38"/>
      <c r="K37" s="167" t="s">
        <v>18</v>
      </c>
      <c r="L37" s="168" t="s">
        <v>32</v>
      </c>
      <c r="M37" s="176" t="s">
        <v>332</v>
      </c>
      <c r="N37" s="167" t="s">
        <v>333</v>
      </c>
      <c r="O37" s="160" t="s">
        <v>134</v>
      </c>
      <c r="P37" s="161" t="s">
        <v>270</v>
      </c>
      <c r="Q37" s="171" t="s">
        <v>9</v>
      </c>
      <c r="R37" s="172" t="s">
        <v>103</v>
      </c>
      <c r="S37" s="172" t="s">
        <v>112</v>
      </c>
      <c r="T37" s="167" t="s">
        <v>102</v>
      </c>
      <c r="U37" s="167" t="s">
        <v>270</v>
      </c>
      <c r="V37" s="167" t="s">
        <v>333</v>
      </c>
      <c r="W37" s="15" t="str">
        <f>IF(IFERROR(VLOOKUP($M37,'IMPORT GS-Tür OL FL 2S2 20'!$H$2:$H$847,1,0),"-")="-","","GS")</f>
        <v/>
      </c>
      <c r="X37" s="161" t="s">
        <v>270</v>
      </c>
      <c r="Y37" s="167" t="s">
        <v>334</v>
      </c>
      <c r="Z37" s="59" t="str">
        <f>IF(OR($M37="",NOT($O37="{array}")),"",IFERROR(MATCH(PARAMETERS!$M37,DEFAULT!$B$5:$CG$5,0),""))</f>
        <v/>
      </c>
      <c r="AA37" s="56" t="str">
        <f t="shared" si="0"/>
        <v/>
      </c>
      <c r="AB37" s="63" t="str">
        <f>IF(AND(OR($A37="G",$A37="P"),NOT($O37="{array}")),IF(VLOOKUP($K37,base!$B$2:$D$20,3,0)="S",IF(OR($O37="",ISTEXT($O37)),"","STRING!"),IF(VLOOKUP($K37,base!$B$2:$D$20,3,0)="","",IF(ISTEXT($O37),"NUMERIC!",""))),"")</f>
        <v/>
      </c>
      <c r="AC37" s="17" t="str">
        <f>IF($AA37="","",IF($B37="I",VLOOKUP($AA37,#REF!,53,0),INDEX(VALUES!$B$1:$BR$1,1,$AA37)))</f>
        <v/>
      </c>
    </row>
    <row r="38" spans="1:29" hidden="1" outlineLevel="1" x14ac:dyDescent="0.25">
      <c r="A38" s="22" t="s">
        <v>84</v>
      </c>
      <c r="B38" s="41" t="str">
        <f t="shared" si="3"/>
        <v/>
      </c>
      <c r="C38" s="42">
        <f t="shared" si="2"/>
        <v>37</v>
      </c>
      <c r="D38" s="38"/>
      <c r="E38" s="38"/>
      <c r="F38" s="38"/>
      <c r="G38" s="38"/>
      <c r="H38" s="38"/>
      <c r="I38" s="38" t="s">
        <v>9</v>
      </c>
      <c r="J38" s="38"/>
      <c r="K38" s="167" t="s">
        <v>18</v>
      </c>
      <c r="L38" s="168" t="s">
        <v>32</v>
      </c>
      <c r="M38" s="158" t="s">
        <v>335</v>
      </c>
      <c r="N38" s="164" t="s">
        <v>336</v>
      </c>
      <c r="O38" s="160" t="s">
        <v>134</v>
      </c>
      <c r="P38" s="161" t="s">
        <v>270</v>
      </c>
      <c r="Q38" s="162" t="s">
        <v>9</v>
      </c>
      <c r="R38" s="163" t="s">
        <v>103</v>
      </c>
      <c r="S38" s="163" t="s">
        <v>112</v>
      </c>
      <c r="T38" s="164" t="s">
        <v>270</v>
      </c>
      <c r="U38" s="164" t="s">
        <v>114</v>
      </c>
      <c r="V38" s="164" t="s">
        <v>336</v>
      </c>
      <c r="W38" s="165" t="str">
        <f>IF(IFERROR(VLOOKUP($M38,'IMPORT GS-Tür OL FL 2S2 20'!$H$2:$H$847,1,0),"-")="-","","GS")</f>
        <v/>
      </c>
      <c r="X38" s="166">
        <v>38</v>
      </c>
      <c r="Y38" s="164" t="s">
        <v>337</v>
      </c>
      <c r="Z38" s="59" t="str">
        <f>IF(OR($M38="",NOT($O38="{array}")),"",IFERROR(MATCH(PARAMETERS!$M38,DEFAULT!$B$5:$CG$5,0),""))</f>
        <v/>
      </c>
      <c r="AA38" s="56" t="str">
        <f t="shared" si="0"/>
        <v/>
      </c>
      <c r="AB38" s="63" t="str">
        <f>IF(AND(OR($A38="G",$A38="P"),NOT($O38="{array}")),IF(VLOOKUP($K38,base!$B$2:$D$20,3,0)="S",IF(OR($O38="",ISTEXT($O38)),"","STRING!"),IF(VLOOKUP($K38,base!$B$2:$D$20,3,0)="","",IF(ISTEXT($O38),"NUMERIC!",""))),"")</f>
        <v/>
      </c>
      <c r="AC38" s="17" t="str">
        <f>IF($AA38="","",IF($B38="I",VLOOKUP($AA38,#REF!,53,0),INDEX(VALUES!$B$1:$BR$1,1,$AA38)))</f>
        <v/>
      </c>
    </row>
    <row r="39" spans="1:29" hidden="1" outlineLevel="1" x14ac:dyDescent="0.25">
      <c r="A39" s="22" t="s">
        <v>84</v>
      </c>
      <c r="B39" s="41" t="str">
        <f t="shared" si="3"/>
        <v/>
      </c>
      <c r="C39" s="42">
        <f t="shared" ref="C39:C62" si="4">(ROW()-1)</f>
        <v>38</v>
      </c>
      <c r="D39" s="38"/>
      <c r="E39" s="38"/>
      <c r="F39" s="38"/>
      <c r="G39" s="38"/>
      <c r="H39" s="38"/>
      <c r="I39" s="38" t="s">
        <v>9</v>
      </c>
      <c r="J39" s="38"/>
      <c r="K39" s="167" t="s">
        <v>18</v>
      </c>
      <c r="L39" s="168" t="s">
        <v>32</v>
      </c>
      <c r="M39" s="158" t="s">
        <v>338</v>
      </c>
      <c r="N39" s="164" t="s">
        <v>339</v>
      </c>
      <c r="O39" s="160" t="s">
        <v>134</v>
      </c>
      <c r="P39" s="161" t="s">
        <v>270</v>
      </c>
      <c r="Q39" s="162" t="s">
        <v>9</v>
      </c>
      <c r="R39" s="163" t="s">
        <v>103</v>
      </c>
      <c r="S39" s="163" t="s">
        <v>112</v>
      </c>
      <c r="T39" s="164" t="s">
        <v>270</v>
      </c>
      <c r="U39" s="164" t="s">
        <v>114</v>
      </c>
      <c r="V39" s="164" t="s">
        <v>339</v>
      </c>
      <c r="W39" s="165" t="str">
        <f>IF(IFERROR(VLOOKUP($M39,'IMPORT GS-Tür OL FL 2S2 20'!$H$2:$H$847,1,0),"-")="-","","GS")</f>
        <v/>
      </c>
      <c r="X39" s="166">
        <v>35</v>
      </c>
      <c r="Y39" s="164" t="s">
        <v>340</v>
      </c>
      <c r="Z39" s="59" t="str">
        <f>IF(OR($M39="",NOT($O39="{array}")),"",IFERROR(MATCH(PARAMETERS!$M39,DEFAULT!$B$5:$CG$5,0),""))</f>
        <v/>
      </c>
      <c r="AA39" s="56" t="str">
        <f t="shared" si="0"/>
        <v/>
      </c>
      <c r="AB39" s="63" t="str">
        <f>IF(AND(OR($A39="G",$A39="P"),NOT($O39="{array}")),IF(VLOOKUP($K39,base!$B$2:$D$20,3,0)="S",IF(OR($O39="",ISTEXT($O39)),"","STRING!"),IF(VLOOKUP($K39,base!$B$2:$D$20,3,0)="","",IF(ISTEXT($O39),"NUMERIC!",""))),"")</f>
        <v/>
      </c>
      <c r="AC39" s="17" t="str">
        <f>IF($AA39="","",IF($B39="I",VLOOKUP($AA39,#REF!,53,0),INDEX(VALUES!$B$1:$BR$1,1,$AA39)))</f>
        <v/>
      </c>
    </row>
    <row r="40" spans="1:29" hidden="1" outlineLevel="1" x14ac:dyDescent="0.25">
      <c r="A40" s="22" t="s">
        <v>84</v>
      </c>
      <c r="B40" s="41" t="str">
        <f t="shared" si="3"/>
        <v/>
      </c>
      <c r="C40" s="42">
        <f t="shared" si="4"/>
        <v>39</v>
      </c>
      <c r="D40" s="38"/>
      <c r="E40" s="38"/>
      <c r="F40" s="38" t="s">
        <v>9</v>
      </c>
      <c r="G40" s="38"/>
      <c r="H40" s="38"/>
      <c r="I40" s="38" t="s">
        <v>9</v>
      </c>
      <c r="J40" s="38"/>
      <c r="K40" s="14" t="s">
        <v>18</v>
      </c>
      <c r="L40" s="14" t="s">
        <v>21</v>
      </c>
      <c r="M40" s="158" t="s">
        <v>341</v>
      </c>
      <c r="N40" s="164" t="s">
        <v>342</v>
      </c>
      <c r="O40" s="160" t="s">
        <v>134</v>
      </c>
      <c r="P40" s="161" t="s">
        <v>270</v>
      </c>
      <c r="Q40" s="162" t="s">
        <v>9</v>
      </c>
      <c r="R40" s="163" t="s">
        <v>103</v>
      </c>
      <c r="S40" s="163" t="s">
        <v>112</v>
      </c>
      <c r="T40" s="164" t="s">
        <v>270</v>
      </c>
      <c r="U40" s="164" t="s">
        <v>114</v>
      </c>
      <c r="V40" s="164" t="s">
        <v>342</v>
      </c>
      <c r="W40" s="165" t="str">
        <f>IF(IFERROR(VLOOKUP($M40,'IMPORT GS-Tür OL FL 2S2 20'!$H$2:$H$847,1,0),"-")="-","","GS")</f>
        <v/>
      </c>
      <c r="X40" s="166">
        <v>36</v>
      </c>
      <c r="Y40" s="164" t="s">
        <v>343</v>
      </c>
      <c r="Z40" s="59" t="str">
        <f>IF(OR($M40="",NOT($O40="{array}")),"",IFERROR(MATCH(PARAMETERS!$M40,DEFAULT!$B$5:$CG$5,0),""))</f>
        <v/>
      </c>
      <c r="AA40" s="56" t="str">
        <f t="shared" si="0"/>
        <v/>
      </c>
      <c r="AB40" s="63" t="str">
        <f>IF(AND(OR($A40="G",$A40="P"),NOT($O40="{array}")),IF(VLOOKUP($K40,base!$B$2:$D$20,3,0)="S",IF(OR($O40="",ISTEXT($O40)),"","STRING!"),IF(VLOOKUP($K40,base!$B$2:$D$20,3,0)="","",IF(ISTEXT($O40),"NUMERIC!",""))),"")</f>
        <v/>
      </c>
      <c r="AC40" s="17" t="str">
        <f>IF($AA40="","",IF($B40="I",VLOOKUP($AA40,#REF!,53,0),INDEX(VALUES!$B$1:$BR$1,1,$AA40)))</f>
        <v/>
      </c>
    </row>
    <row r="41" spans="1:29" hidden="1" outlineLevel="1" x14ac:dyDescent="0.25">
      <c r="A41" s="22" t="s">
        <v>84</v>
      </c>
      <c r="B41" s="41" t="str">
        <f t="shared" si="3"/>
        <v/>
      </c>
      <c r="C41" s="42">
        <f t="shared" si="4"/>
        <v>40</v>
      </c>
      <c r="D41" s="38"/>
      <c r="E41" s="38"/>
      <c r="F41" s="38"/>
      <c r="G41" s="38"/>
      <c r="H41" s="38"/>
      <c r="I41" s="38" t="s">
        <v>9</v>
      </c>
      <c r="J41" s="38"/>
      <c r="K41" s="164" t="s">
        <v>18</v>
      </c>
      <c r="L41" s="164" t="s">
        <v>32</v>
      </c>
      <c r="M41" s="158" t="s">
        <v>344</v>
      </c>
      <c r="N41" s="164" t="s">
        <v>306</v>
      </c>
      <c r="O41" s="160" t="s">
        <v>134</v>
      </c>
      <c r="P41" s="175" t="s">
        <v>270</v>
      </c>
      <c r="Q41" s="162" t="s">
        <v>9</v>
      </c>
      <c r="R41" s="163" t="s">
        <v>103</v>
      </c>
      <c r="S41" s="163" t="s">
        <v>112</v>
      </c>
      <c r="T41" s="164" t="s">
        <v>270</v>
      </c>
      <c r="U41" s="164" t="s">
        <v>114</v>
      </c>
      <c r="V41" s="164" t="s">
        <v>306</v>
      </c>
      <c r="W41" s="165" t="str">
        <f>IF(IFERROR(VLOOKUP($M41,'IMPORT GS-Tür OL FL 2S2 20'!$H$2:$H$847,1,0),"-")="-","","GS")</f>
        <v/>
      </c>
      <c r="X41" s="166" t="s">
        <v>270</v>
      </c>
      <c r="Y41" s="164" t="s">
        <v>307</v>
      </c>
      <c r="Z41" s="59" t="str">
        <f>IF(OR($M41="",NOT($O41="{array}")),"",IFERROR(MATCH(PARAMETERS!$M41,DEFAULT!$B$5:$CG$5,0),""))</f>
        <v/>
      </c>
      <c r="AA41" s="56" t="str">
        <f t="shared" si="0"/>
        <v/>
      </c>
      <c r="AB41" s="63" t="str">
        <f>IF(AND(OR($A41="G",$A41="P"),NOT($O41="{array}")),IF(VLOOKUP($K41,base!$B$2:$D$20,3,0)="S",IF(OR($O41="",ISTEXT($O41)),"","STRING!"),IF(VLOOKUP($K41,base!$B$2:$D$20,3,0)="","",IF(ISTEXT($O41),"NUMERIC!",""))),"")</f>
        <v/>
      </c>
      <c r="AC41" s="17" t="str">
        <f>IF($AA41="","",IF($B41="I",VLOOKUP($AA41,#REF!,53,0),INDEX(VALUES!$B$1:$BR$1,1,$AA41)))</f>
        <v/>
      </c>
    </row>
    <row r="42" spans="1:29" hidden="1" outlineLevel="1" x14ac:dyDescent="0.3">
      <c r="A42" s="22" t="s">
        <v>84</v>
      </c>
      <c r="B42" s="41" t="str">
        <f t="shared" si="3"/>
        <v/>
      </c>
      <c r="C42" s="42">
        <f t="shared" si="4"/>
        <v>41</v>
      </c>
      <c r="D42" s="38"/>
      <c r="E42" s="38"/>
      <c r="F42" s="38"/>
      <c r="G42" s="38"/>
      <c r="H42" s="38"/>
      <c r="I42" s="38" t="s">
        <v>9</v>
      </c>
      <c r="J42" s="38"/>
      <c r="K42" s="164" t="s">
        <v>18</v>
      </c>
      <c r="L42" s="168" t="s">
        <v>32</v>
      </c>
      <c r="M42" s="176" t="s">
        <v>345</v>
      </c>
      <c r="N42" s="164" t="s">
        <v>346</v>
      </c>
      <c r="O42" s="160" t="s">
        <v>134</v>
      </c>
      <c r="P42" s="166" t="s">
        <v>270</v>
      </c>
      <c r="Q42" s="162" t="s">
        <v>9</v>
      </c>
      <c r="R42" s="163" t="s">
        <v>103</v>
      </c>
      <c r="S42" s="163" t="s">
        <v>112</v>
      </c>
      <c r="T42" s="164" t="s">
        <v>270</v>
      </c>
      <c r="U42" s="164" t="s">
        <v>270</v>
      </c>
      <c r="V42" s="164" t="s">
        <v>346</v>
      </c>
      <c r="W42" s="165" t="str">
        <f>IF(IFERROR(VLOOKUP($M42,'IMPORT GS-Tür OL FL 2S2 20'!$H$2:$H$847,1,0),"-")="-","","GS")</f>
        <v/>
      </c>
      <c r="X42" s="166" t="s">
        <v>270</v>
      </c>
      <c r="Y42" s="164" t="s">
        <v>347</v>
      </c>
      <c r="Z42" s="59" t="str">
        <f>IF(OR($M42="",NOT($O42="{array}")),"",IFERROR(MATCH(PARAMETERS!$M42,DEFAULT!$B$5:$CG$5,0),""))</f>
        <v/>
      </c>
      <c r="AA42" s="56" t="str">
        <f t="shared" si="0"/>
        <v/>
      </c>
      <c r="AB42" s="63" t="str">
        <f>IF(AND(OR($A42="G",$A42="P"),NOT($O42="{array}")),IF(VLOOKUP($K42,base!$B$2:$D$20,3,0)="S",IF(OR($O42="",ISTEXT($O42)),"","STRING!"),IF(VLOOKUP($K42,base!$B$2:$D$20,3,0)="","",IF(ISTEXT($O42),"NUMERIC!",""))),"")</f>
        <v/>
      </c>
      <c r="AC42" s="17" t="str">
        <f>IF($AA42="","",IF($B42="I",VLOOKUP($AA42,#REF!,53,0),INDEX(VALUES!$B$1:$BR$1,1,$AA42)))</f>
        <v/>
      </c>
    </row>
    <row r="43" spans="1:29" hidden="1" outlineLevel="1" x14ac:dyDescent="0.3">
      <c r="A43" s="22" t="s">
        <v>84</v>
      </c>
      <c r="B43" s="41" t="str">
        <f t="shared" si="3"/>
        <v/>
      </c>
      <c r="C43" s="42">
        <f t="shared" si="4"/>
        <v>42</v>
      </c>
      <c r="D43" s="38"/>
      <c r="E43" s="38"/>
      <c r="F43" s="38"/>
      <c r="G43" s="38"/>
      <c r="H43" s="38"/>
      <c r="I43" s="38" t="s">
        <v>9</v>
      </c>
      <c r="J43" s="38"/>
      <c r="K43" s="167" t="s">
        <v>18</v>
      </c>
      <c r="L43" s="168" t="s">
        <v>32</v>
      </c>
      <c r="M43" s="176" t="s">
        <v>348</v>
      </c>
      <c r="N43" s="167" t="s">
        <v>349</v>
      </c>
      <c r="O43" s="160" t="s">
        <v>134</v>
      </c>
      <c r="P43" s="161" t="s">
        <v>270</v>
      </c>
      <c r="Q43" s="171" t="s">
        <v>9</v>
      </c>
      <c r="R43" s="172" t="s">
        <v>103</v>
      </c>
      <c r="S43" s="172" t="s">
        <v>112</v>
      </c>
      <c r="T43" s="167" t="s">
        <v>270</v>
      </c>
      <c r="U43" s="167" t="s">
        <v>270</v>
      </c>
      <c r="V43" s="167" t="s">
        <v>349</v>
      </c>
      <c r="W43" s="15" t="str">
        <f>IF(IFERROR(VLOOKUP($M43,'IMPORT GS-Tür OL FL 2S2 20'!$H$2:$H$847,1,0),"-")="-","","GS")</f>
        <v/>
      </c>
      <c r="X43" s="161" t="s">
        <v>270</v>
      </c>
      <c r="Y43" s="167" t="s">
        <v>350</v>
      </c>
      <c r="Z43" s="59" t="str">
        <f>IF(OR($M43="",NOT($O43="{array}")),"",IFERROR(MATCH(PARAMETERS!$M43,DEFAULT!$B$5:$CG$5,0),""))</f>
        <v/>
      </c>
      <c r="AA43" s="56" t="str">
        <f t="shared" si="0"/>
        <v/>
      </c>
      <c r="AB43" s="63" t="str">
        <f>IF(AND(OR($A43="G",$A43="P"),NOT($O43="{array}")),IF(VLOOKUP($K43,base!$B$2:$D$20,3,0)="S",IF(OR($O43="",ISTEXT($O43)),"","STRING!"),IF(VLOOKUP($K43,base!$B$2:$D$20,3,0)="","",IF(ISTEXT($O43),"NUMERIC!",""))),"")</f>
        <v/>
      </c>
      <c r="AC43" s="17" t="str">
        <f>IF($AA43="","",IF($B43="I",VLOOKUP($AA43,#REF!,53,0),INDEX(VALUES!$B$1:$BR$1,1,$AA43)))</f>
        <v/>
      </c>
    </row>
    <row r="44" spans="1:29" hidden="1" outlineLevel="1" x14ac:dyDescent="0.25">
      <c r="A44" s="22" t="s">
        <v>84</v>
      </c>
      <c r="B44" s="41" t="str">
        <f t="shared" si="3"/>
        <v/>
      </c>
      <c r="C44" s="42">
        <f t="shared" si="4"/>
        <v>43</v>
      </c>
      <c r="D44" s="181"/>
      <c r="E44" s="181"/>
      <c r="F44" s="181"/>
      <c r="G44" s="181"/>
      <c r="H44" s="181"/>
      <c r="I44" s="38" t="s">
        <v>9</v>
      </c>
      <c r="J44" s="182"/>
      <c r="K44" s="164" t="s">
        <v>18</v>
      </c>
      <c r="L44" s="164" t="s">
        <v>32</v>
      </c>
      <c r="M44" s="183" t="s">
        <v>351</v>
      </c>
      <c r="N44" s="164" t="s">
        <v>352</v>
      </c>
      <c r="O44" s="160" t="s">
        <v>134</v>
      </c>
      <c r="P44" s="175" t="s">
        <v>270</v>
      </c>
      <c r="Q44" s="162" t="s">
        <v>9</v>
      </c>
      <c r="R44" s="163" t="s">
        <v>103</v>
      </c>
      <c r="S44" s="163" t="s">
        <v>112</v>
      </c>
      <c r="T44" s="164" t="s">
        <v>270</v>
      </c>
      <c r="U44" s="164" t="s">
        <v>114</v>
      </c>
      <c r="V44" s="164" t="s">
        <v>352</v>
      </c>
      <c r="W44" s="165" t="str">
        <f>IF(IFERROR(VLOOKUP($M44,'IMPORT GS-Tür OL FL 2S2 20'!$H$2:$H$847,1,0),"-")="-","","GS")</f>
        <v/>
      </c>
      <c r="X44" s="166" t="s">
        <v>270</v>
      </c>
      <c r="Y44" s="164" t="s">
        <v>353</v>
      </c>
      <c r="Z44" s="59" t="str">
        <f>IF(OR($M44="",NOT($O44="{array}")),"",IFERROR(MATCH(PARAMETERS!$M44,DEFAULT!$B$5:$CG$5,0),""))</f>
        <v/>
      </c>
      <c r="AA44" s="56" t="str">
        <f t="shared" si="0"/>
        <v/>
      </c>
      <c r="AB44" s="63" t="str">
        <f>IF(AND(OR($A44="G",$A44="P"),NOT($O44="{array}")),IF(VLOOKUP($K44,base!$B$2:$D$20,3,0)="S",IF(OR($O44="",ISTEXT($O44)),"","STRING!"),IF(VLOOKUP($K44,base!$B$2:$D$20,3,0)="","",IF(ISTEXT($O44),"NUMERIC!",""))),"")</f>
        <v/>
      </c>
      <c r="AC44" s="17" t="str">
        <f>IF($AA44="","",IF($B44="I",VLOOKUP($AA44,#REF!,53,0),INDEX(VALUES!$B$1:$BR$1,1,$AA44)))</f>
        <v/>
      </c>
    </row>
    <row r="45" spans="1:29" hidden="1" outlineLevel="1" x14ac:dyDescent="0.25">
      <c r="A45" s="22" t="s">
        <v>84</v>
      </c>
      <c r="B45" s="41" t="str">
        <f t="shared" si="3"/>
        <v/>
      </c>
      <c r="C45" s="42">
        <f t="shared" si="4"/>
        <v>44</v>
      </c>
      <c r="D45" s="38"/>
      <c r="E45" s="38"/>
      <c r="F45" s="38"/>
      <c r="G45" s="38"/>
      <c r="H45" s="38"/>
      <c r="I45" s="38" t="s">
        <v>9</v>
      </c>
      <c r="J45" s="38"/>
      <c r="K45" s="164" t="s">
        <v>18</v>
      </c>
      <c r="L45" s="168" t="s">
        <v>32</v>
      </c>
      <c r="M45" s="158" t="s">
        <v>354</v>
      </c>
      <c r="N45" s="164" t="s">
        <v>355</v>
      </c>
      <c r="O45" s="160" t="s">
        <v>134</v>
      </c>
      <c r="P45" s="161" t="s">
        <v>270</v>
      </c>
      <c r="Q45" s="162" t="s">
        <v>9</v>
      </c>
      <c r="R45" s="163" t="s">
        <v>103</v>
      </c>
      <c r="S45" s="163" t="s">
        <v>112</v>
      </c>
      <c r="T45" s="164" t="s">
        <v>270</v>
      </c>
      <c r="U45" s="164" t="s">
        <v>114</v>
      </c>
      <c r="V45" s="164" t="s">
        <v>355</v>
      </c>
      <c r="W45" s="165" t="str">
        <f>IF(IFERROR(VLOOKUP($M45,'IMPORT GS-Tür OL FL 2S2 20'!$H$2:$H$847,1,0),"-")="-","","GS")</f>
        <v/>
      </c>
      <c r="X45" s="166">
        <v>37</v>
      </c>
      <c r="Y45" s="164" t="s">
        <v>356</v>
      </c>
      <c r="Z45" s="59" t="str">
        <f>IF(OR($M45="",NOT($O45="{array}")),"",IFERROR(MATCH(PARAMETERS!$M45,DEFAULT!$B$5:$CG$5,0),""))</f>
        <v/>
      </c>
      <c r="AA45" s="56" t="str">
        <f t="shared" si="0"/>
        <v/>
      </c>
      <c r="AB45" s="63" t="str">
        <f>IF(AND(OR($A45="G",$A45="P"),NOT($O45="{array}")),IF(VLOOKUP($K45,base!$B$2:$D$20,3,0)="S",IF(OR($O45="",ISTEXT($O45)),"","STRING!"),IF(VLOOKUP($K45,base!$B$2:$D$20,3,0)="","",IF(ISTEXT($O45),"NUMERIC!",""))),"")</f>
        <v/>
      </c>
      <c r="AC45" s="17" t="str">
        <f>IF($AA45="","",IF($B45="I",VLOOKUP($AA45,#REF!,53,0),INDEX(VALUES!$B$1:$BR$1,1,$AA45)))</f>
        <v/>
      </c>
    </row>
    <row r="46" spans="1:29" hidden="1" outlineLevel="1" x14ac:dyDescent="0.3">
      <c r="A46" s="22" t="s">
        <v>84</v>
      </c>
      <c r="B46" s="41" t="str">
        <f t="shared" si="3"/>
        <v/>
      </c>
      <c r="C46" s="42">
        <f t="shared" si="4"/>
        <v>45</v>
      </c>
      <c r="D46" s="38"/>
      <c r="E46" s="38"/>
      <c r="F46" s="38"/>
      <c r="G46" s="38"/>
      <c r="H46" s="38"/>
      <c r="I46" s="38" t="s">
        <v>9</v>
      </c>
      <c r="J46" s="38"/>
      <c r="K46" s="164" t="s">
        <v>18</v>
      </c>
      <c r="L46" s="168" t="s">
        <v>32</v>
      </c>
      <c r="M46" s="176" t="s">
        <v>357</v>
      </c>
      <c r="N46" s="164" t="s">
        <v>358</v>
      </c>
      <c r="O46" s="160" t="s">
        <v>134</v>
      </c>
      <c r="P46" s="166" t="s">
        <v>270</v>
      </c>
      <c r="Q46" s="162" t="s">
        <v>9</v>
      </c>
      <c r="R46" s="163" t="s">
        <v>103</v>
      </c>
      <c r="S46" s="163" t="s">
        <v>112</v>
      </c>
      <c r="T46" s="164" t="s">
        <v>270</v>
      </c>
      <c r="U46" s="164" t="s">
        <v>270</v>
      </c>
      <c r="V46" s="164" t="s">
        <v>358</v>
      </c>
      <c r="W46" s="165" t="str">
        <f>IF(IFERROR(VLOOKUP($M46,'IMPORT GS-Tür OL FL 2S2 20'!$H$2:$H$847,1,0),"-")="-","","GS")</f>
        <v/>
      </c>
      <c r="X46" s="166" t="s">
        <v>270</v>
      </c>
      <c r="Y46" s="164" t="s">
        <v>359</v>
      </c>
      <c r="Z46" s="59" t="str">
        <f>IF(OR($M46="",NOT($O46="{array}")),"",IFERROR(MATCH(PARAMETERS!$M46,DEFAULT!$B$5:$CG$5,0),""))</f>
        <v/>
      </c>
      <c r="AA46" s="56" t="str">
        <f t="shared" si="0"/>
        <v/>
      </c>
      <c r="AB46" s="63" t="str">
        <f>IF(AND(OR($A46="G",$A46="P"),NOT($O46="{array}")),IF(VLOOKUP($K46,base!$B$2:$D$20,3,0)="S",IF(OR($O46="",ISTEXT($O46)),"","STRING!"),IF(VLOOKUP($K46,base!$B$2:$D$20,3,0)="","",IF(ISTEXT($O46),"NUMERIC!",""))),"")</f>
        <v/>
      </c>
      <c r="AC46" s="17" t="str">
        <f>IF($AA46="","",IF($B46="I",VLOOKUP($AA46,#REF!,53,0),INDEX(VALUES!$B$1:$BR$1,1,$AA46)))</f>
        <v/>
      </c>
    </row>
    <row r="47" spans="1:29" hidden="1" outlineLevel="1" x14ac:dyDescent="0.3">
      <c r="A47" s="22" t="s">
        <v>84</v>
      </c>
      <c r="B47" s="41" t="str">
        <f t="shared" si="3"/>
        <v/>
      </c>
      <c r="C47" s="42">
        <f t="shared" si="4"/>
        <v>46</v>
      </c>
      <c r="D47" s="38"/>
      <c r="E47" s="38"/>
      <c r="F47" s="38"/>
      <c r="G47" s="38"/>
      <c r="H47" s="38"/>
      <c r="I47" s="38" t="s">
        <v>9</v>
      </c>
      <c r="J47" s="38"/>
      <c r="K47" s="164" t="s">
        <v>18</v>
      </c>
      <c r="L47" s="168" t="s">
        <v>32</v>
      </c>
      <c r="M47" s="176" t="s">
        <v>360</v>
      </c>
      <c r="N47" s="164" t="s">
        <v>361</v>
      </c>
      <c r="O47" s="160" t="s">
        <v>134</v>
      </c>
      <c r="P47" s="166" t="s">
        <v>270</v>
      </c>
      <c r="Q47" s="162" t="s">
        <v>9</v>
      </c>
      <c r="R47" s="163" t="s">
        <v>103</v>
      </c>
      <c r="S47" s="163" t="s">
        <v>112</v>
      </c>
      <c r="T47" s="164" t="s">
        <v>270</v>
      </c>
      <c r="U47" s="164" t="s">
        <v>270</v>
      </c>
      <c r="V47" s="164" t="s">
        <v>361</v>
      </c>
      <c r="W47" s="165" t="str">
        <f>IF(IFERROR(VLOOKUP($M47,'IMPORT GS-Tür OL FL 2S2 20'!$H$2:$H$847,1,0),"-")="-","","GS")</f>
        <v/>
      </c>
      <c r="X47" s="166" t="s">
        <v>270</v>
      </c>
      <c r="Y47" s="164" t="s">
        <v>362</v>
      </c>
      <c r="Z47" s="59" t="str">
        <f>IF(OR($M47="",NOT($O47="{array}")),"",IFERROR(MATCH(PARAMETERS!$M47,DEFAULT!$B$5:$CG$5,0),""))</f>
        <v/>
      </c>
      <c r="AA47" s="56" t="str">
        <f t="shared" si="0"/>
        <v/>
      </c>
      <c r="AB47" s="63" t="str">
        <f>IF(AND(OR($A47="G",$A47="P"),NOT($O47="{array}")),IF(VLOOKUP($K47,base!$B$2:$D$20,3,0)="S",IF(OR($O47="",ISTEXT($O47)),"","STRING!"),IF(VLOOKUP($K47,base!$B$2:$D$20,3,0)="","",IF(ISTEXT($O47),"NUMERIC!",""))),"")</f>
        <v/>
      </c>
      <c r="AC47" s="17" t="str">
        <f>IF($AA47="","",IF($B47="I",VLOOKUP($AA47,#REF!,53,0),INDEX(VALUES!$B$1:$BR$1,1,$AA47)))</f>
        <v/>
      </c>
    </row>
    <row r="48" spans="1:29" hidden="1" outlineLevel="1" x14ac:dyDescent="0.3">
      <c r="A48" s="22" t="s">
        <v>84</v>
      </c>
      <c r="B48" s="41" t="str">
        <f t="shared" si="3"/>
        <v/>
      </c>
      <c r="C48" s="42">
        <f t="shared" si="4"/>
        <v>47</v>
      </c>
      <c r="D48" s="38"/>
      <c r="E48" s="38"/>
      <c r="F48" s="38"/>
      <c r="G48" s="38"/>
      <c r="H48" s="38"/>
      <c r="I48" s="38" t="s">
        <v>9</v>
      </c>
      <c r="J48" s="38"/>
      <c r="K48" s="164" t="s">
        <v>18</v>
      </c>
      <c r="L48" s="168" t="s">
        <v>32</v>
      </c>
      <c r="M48" s="176" t="s">
        <v>363</v>
      </c>
      <c r="N48" s="164" t="s">
        <v>364</v>
      </c>
      <c r="O48" s="160" t="s">
        <v>134</v>
      </c>
      <c r="P48" s="166" t="s">
        <v>270</v>
      </c>
      <c r="Q48" s="162" t="s">
        <v>9</v>
      </c>
      <c r="R48" s="163" t="s">
        <v>103</v>
      </c>
      <c r="S48" s="163" t="s">
        <v>112</v>
      </c>
      <c r="T48" s="164" t="s">
        <v>270</v>
      </c>
      <c r="U48" s="164" t="s">
        <v>270</v>
      </c>
      <c r="V48" s="164" t="s">
        <v>364</v>
      </c>
      <c r="W48" s="165" t="str">
        <f>IF(IFERROR(VLOOKUP($M48,'IMPORT GS-Tür OL FL 2S2 20'!$H$2:$H$847,1,0),"-")="-","","GS")</f>
        <v/>
      </c>
      <c r="X48" s="166" t="s">
        <v>270</v>
      </c>
      <c r="Y48" s="164" t="s">
        <v>362</v>
      </c>
      <c r="Z48" s="59" t="str">
        <f>IF(OR($M48="",NOT($O48="{array}")),"",IFERROR(MATCH(PARAMETERS!$M48,DEFAULT!$B$5:$CG$5,0),""))</f>
        <v/>
      </c>
      <c r="AA48" s="56" t="str">
        <f t="shared" si="0"/>
        <v/>
      </c>
      <c r="AB48" s="63" t="str">
        <f>IF(AND(OR($A48="G",$A48="P"),NOT($O48="{array}")),IF(VLOOKUP($K48,base!$B$2:$D$20,3,0)="S",IF(OR($O48="",ISTEXT($O48)),"","STRING!"),IF(VLOOKUP($K48,base!$B$2:$D$20,3,0)="","",IF(ISTEXT($O48),"NUMERIC!",""))),"")</f>
        <v/>
      </c>
      <c r="AC48" s="17" t="str">
        <f>IF($AA48="","",IF($B48="I",VLOOKUP($AA48,#REF!,53,0),INDEX(VALUES!$B$1:$BR$1,1,$AA48)))</f>
        <v/>
      </c>
    </row>
    <row r="49" spans="1:29" hidden="1" outlineLevel="1" x14ac:dyDescent="0.3">
      <c r="A49" s="22" t="s">
        <v>84</v>
      </c>
      <c r="B49" s="41" t="str">
        <f t="shared" si="3"/>
        <v/>
      </c>
      <c r="C49" s="42">
        <f t="shared" si="4"/>
        <v>48</v>
      </c>
      <c r="D49" s="38"/>
      <c r="E49" s="38"/>
      <c r="F49" s="38"/>
      <c r="G49" s="38"/>
      <c r="H49" s="38"/>
      <c r="I49" s="38" t="s">
        <v>9</v>
      </c>
      <c r="J49" s="38"/>
      <c r="K49" s="164" t="s">
        <v>18</v>
      </c>
      <c r="L49" s="168" t="s">
        <v>32</v>
      </c>
      <c r="M49" s="176" t="s">
        <v>365</v>
      </c>
      <c r="N49" s="164" t="s">
        <v>366</v>
      </c>
      <c r="O49" s="160" t="s">
        <v>134</v>
      </c>
      <c r="P49" s="166" t="s">
        <v>270</v>
      </c>
      <c r="Q49" s="162" t="s">
        <v>9</v>
      </c>
      <c r="R49" s="163" t="s">
        <v>103</v>
      </c>
      <c r="S49" s="163" t="s">
        <v>112</v>
      </c>
      <c r="T49" s="164" t="s">
        <v>270</v>
      </c>
      <c r="U49" s="164" t="s">
        <v>270</v>
      </c>
      <c r="V49" s="164" t="s">
        <v>366</v>
      </c>
      <c r="W49" s="165" t="str">
        <f>IF(IFERROR(VLOOKUP($M49,'IMPORT GS-Tür OL FL 2S2 20'!$H$2:$H$847,1,0),"-")="-","","GS")</f>
        <v/>
      </c>
      <c r="X49" s="166" t="s">
        <v>270</v>
      </c>
      <c r="Y49" s="164" t="s">
        <v>367</v>
      </c>
      <c r="Z49" s="59" t="str">
        <f>IF(OR($M49="",NOT($O49="{array}")),"",IFERROR(MATCH(PARAMETERS!$M49,DEFAULT!$B$5:$CG$5,0),""))</f>
        <v/>
      </c>
      <c r="AA49" s="56" t="str">
        <f t="shared" si="0"/>
        <v/>
      </c>
      <c r="AB49" s="63" t="str">
        <f>IF(AND(OR($A49="G",$A49="P"),NOT($O49="{array}")),IF(VLOOKUP($K49,base!$B$2:$D$20,3,0)="S",IF(OR($O49="",ISTEXT($O49)),"","STRING!"),IF(VLOOKUP($K49,base!$B$2:$D$20,3,0)="","",IF(ISTEXT($O49),"NUMERIC!",""))),"")</f>
        <v/>
      </c>
      <c r="AC49" s="17" t="str">
        <f>IF($AA49="","",IF($B49="I",VLOOKUP($AA49,#REF!,53,0),INDEX(VALUES!$B$1:$BR$1,1,$AA49)))</f>
        <v/>
      </c>
    </row>
    <row r="50" spans="1:29" hidden="1" outlineLevel="1" x14ac:dyDescent="0.3">
      <c r="A50" s="22"/>
      <c r="B50" s="41" t="str">
        <f t="shared" si="3"/>
        <v/>
      </c>
      <c r="C50" s="42">
        <f t="shared" si="4"/>
        <v>49</v>
      </c>
      <c r="D50" s="38"/>
      <c r="E50" s="38"/>
      <c r="F50" s="38"/>
      <c r="G50" s="38"/>
      <c r="H50" s="38"/>
      <c r="I50" s="38" t="s">
        <v>9</v>
      </c>
      <c r="J50" s="38"/>
      <c r="K50" s="184" t="s">
        <v>18</v>
      </c>
      <c r="L50" s="184" t="s">
        <v>32</v>
      </c>
      <c r="M50" s="185" t="s">
        <v>368</v>
      </c>
      <c r="N50" s="184" t="s">
        <v>369</v>
      </c>
      <c r="O50" s="167" t="s">
        <v>134</v>
      </c>
      <c r="P50" s="186" t="s">
        <v>270</v>
      </c>
      <c r="Q50" s="187" t="s">
        <v>9</v>
      </c>
      <c r="R50" s="188" t="s">
        <v>103</v>
      </c>
      <c r="S50" s="188" t="s">
        <v>112</v>
      </c>
      <c r="T50" s="184" t="s">
        <v>270</v>
      </c>
      <c r="U50" s="184" t="s">
        <v>270</v>
      </c>
      <c r="V50" s="184" t="s">
        <v>369</v>
      </c>
      <c r="W50" s="189" t="str">
        <f>IF(IFERROR(VLOOKUP($M50,'IMPORT GS-Tür OL FL 2S2 20'!$H$2:$H$847,1,0),"-")="-","","GS")</f>
        <v/>
      </c>
      <c r="X50" s="186" t="s">
        <v>270</v>
      </c>
      <c r="Y50" s="184" t="s">
        <v>370</v>
      </c>
      <c r="Z50" s="59" t="str">
        <f>IF(OR($M50="",NOT($O50="{array}")),"",IFERROR(MATCH(PARAMETERS!$M50,DEFAULT!$B$5:$CG$5,0),""))</f>
        <v/>
      </c>
      <c r="AA50" s="56" t="str">
        <f t="shared" si="0"/>
        <v/>
      </c>
      <c r="AB50" s="63" t="str">
        <f>IF(AND(OR($A50="G",$A50="P"),NOT($O50="{array}")),IF(VLOOKUP($K50,base!$B$2:$D$20,3,0)="S",IF(OR($O50="",ISTEXT($O50)),"","STRING!"),IF(VLOOKUP($K50,base!$B$2:$D$20,3,0)="","",IF(ISTEXT($O50),"NUMERIC!",""))),"")</f>
        <v/>
      </c>
      <c r="AC50" s="17" t="str">
        <f>IF($AA50="","",IF($B50="I",VLOOKUP($AA50,#REF!,53,0),INDEX(VALUES!$B$1:$BR$1,1,$AA50)))</f>
        <v/>
      </c>
    </row>
    <row r="51" spans="1:29" hidden="1" outlineLevel="1" x14ac:dyDescent="0.25">
      <c r="A51" s="22" t="s">
        <v>84</v>
      </c>
      <c r="B51" s="41" t="str">
        <f t="shared" si="3"/>
        <v/>
      </c>
      <c r="C51" s="42">
        <f t="shared" si="4"/>
        <v>50</v>
      </c>
      <c r="D51" s="38"/>
      <c r="E51" s="38"/>
      <c r="F51" s="38"/>
      <c r="G51" s="38"/>
      <c r="H51" s="38"/>
      <c r="I51" s="38" t="s">
        <v>9</v>
      </c>
      <c r="J51" s="38"/>
      <c r="K51" s="164" t="s">
        <v>18</v>
      </c>
      <c r="L51" s="168" t="s">
        <v>32</v>
      </c>
      <c r="M51" s="158" t="s">
        <v>371</v>
      </c>
      <c r="N51" s="160" t="s">
        <v>372</v>
      </c>
      <c r="O51" s="160" t="s">
        <v>134</v>
      </c>
      <c r="P51" s="172" t="s">
        <v>270</v>
      </c>
      <c r="Q51" s="162"/>
      <c r="R51" s="163" t="s">
        <v>103</v>
      </c>
      <c r="S51" s="163" t="s">
        <v>112</v>
      </c>
      <c r="T51" s="164" t="s">
        <v>270</v>
      </c>
      <c r="U51" s="164" t="s">
        <v>114</v>
      </c>
      <c r="V51" s="164" t="s">
        <v>373</v>
      </c>
      <c r="W51" s="165" t="str">
        <f>IF(IFERROR(VLOOKUP($M51,'IMPORT GS-Tür OL FL 2S2 20'!$H$2:$H$847,1,0),"-")="-","","GS")</f>
        <v/>
      </c>
      <c r="X51" s="166" t="s">
        <v>270</v>
      </c>
      <c r="Y51" s="164" t="s">
        <v>374</v>
      </c>
      <c r="Z51" s="59" t="str">
        <f>IF(OR($M51="",NOT($O51="{array}")),"",IFERROR(MATCH(PARAMETERS!$M51,DEFAULT!$B$5:$CG$5,0),""))</f>
        <v/>
      </c>
      <c r="AA51" s="56" t="str">
        <f t="shared" si="0"/>
        <v/>
      </c>
      <c r="AB51" s="63" t="str">
        <f>IF(AND(OR($A51="G",$A51="P"),NOT($O51="{array}")),IF(VLOOKUP($K51,base!$B$2:$D$20,3,0)="S",IF(OR($O51="",ISTEXT($O51)),"","STRING!"),IF(VLOOKUP($K51,base!$B$2:$D$20,3,0)="","",IF(ISTEXT($O51),"NUMERIC!",""))),"")</f>
        <v/>
      </c>
      <c r="AC51" s="17" t="str">
        <f>IF($AA51="","",IF($B51="I",VLOOKUP($AA51,#REF!,53,0),INDEX(VALUES!$B$1:$BR$1,1,$AA51)))</f>
        <v/>
      </c>
    </row>
    <row r="52" spans="1:29" hidden="1" outlineLevel="1" x14ac:dyDescent="0.25">
      <c r="A52" s="22" t="s">
        <v>84</v>
      </c>
      <c r="B52" s="41" t="str">
        <f t="shared" si="3"/>
        <v/>
      </c>
      <c r="C52" s="42">
        <f t="shared" si="4"/>
        <v>51</v>
      </c>
      <c r="D52" s="38"/>
      <c r="E52" s="38"/>
      <c r="F52" s="38"/>
      <c r="G52" s="38"/>
      <c r="H52" s="38"/>
      <c r="I52" s="38" t="s">
        <v>9</v>
      </c>
      <c r="J52" s="38"/>
      <c r="K52" s="167" t="s">
        <v>18</v>
      </c>
      <c r="L52" s="168" t="s">
        <v>32</v>
      </c>
      <c r="M52" s="158" t="s">
        <v>375</v>
      </c>
      <c r="N52" s="164" t="s">
        <v>376</v>
      </c>
      <c r="O52" s="160" t="s">
        <v>134</v>
      </c>
      <c r="P52" s="161" t="s">
        <v>270</v>
      </c>
      <c r="Q52" s="162" t="s">
        <v>9</v>
      </c>
      <c r="R52" s="163" t="s">
        <v>103</v>
      </c>
      <c r="S52" s="163" t="s">
        <v>112</v>
      </c>
      <c r="T52" s="164" t="s">
        <v>270</v>
      </c>
      <c r="U52" s="164" t="s">
        <v>114</v>
      </c>
      <c r="V52" s="164" t="s">
        <v>376</v>
      </c>
      <c r="W52" s="165" t="str">
        <f>IF(IFERROR(VLOOKUP($M52,'IMPORT GS-Tür OL FL 2S2 20'!$H$2:$H$847,1,0),"-")="-","","GS")</f>
        <v/>
      </c>
      <c r="X52" s="166" t="s">
        <v>270</v>
      </c>
      <c r="Y52" s="164" t="s">
        <v>377</v>
      </c>
      <c r="Z52" s="59" t="str">
        <f>IF(OR($M52="",NOT($O52="{array}")),"",IFERROR(MATCH(PARAMETERS!$M52,DEFAULT!$B$5:$CG$5,0),""))</f>
        <v/>
      </c>
      <c r="AA52" s="56" t="str">
        <f t="shared" si="0"/>
        <v/>
      </c>
      <c r="AB52" s="63" t="str">
        <f>IF(AND(OR($A52="G",$A52="P"),NOT($O52="{array}")),IF(VLOOKUP($K52,base!$B$2:$D$20,3,0)="S",IF(OR($O52="",ISTEXT($O52)),"","STRING!"),IF(VLOOKUP($K52,base!$B$2:$D$20,3,0)="","",IF(ISTEXT($O52),"NUMERIC!",""))),"")</f>
        <v/>
      </c>
      <c r="AC52" s="17" t="str">
        <f>IF($AA52="","",IF($B52="I",VLOOKUP($AA52,#REF!,53,0),INDEX(VALUES!$B$1:$BR$1,1,$AA52)))</f>
        <v/>
      </c>
    </row>
    <row r="53" spans="1:29" hidden="1" outlineLevel="1" x14ac:dyDescent="0.25">
      <c r="A53" s="22" t="s">
        <v>84</v>
      </c>
      <c r="B53" s="41" t="str">
        <f t="shared" si="3"/>
        <v/>
      </c>
      <c r="C53" s="42">
        <f t="shared" si="4"/>
        <v>52</v>
      </c>
      <c r="D53" s="38"/>
      <c r="E53" s="38"/>
      <c r="F53" s="38"/>
      <c r="G53" s="38"/>
      <c r="H53" s="38"/>
      <c r="I53" s="38" t="s">
        <v>9</v>
      </c>
      <c r="J53" s="38"/>
      <c r="K53" s="167" t="s">
        <v>18</v>
      </c>
      <c r="L53" s="168" t="s">
        <v>32</v>
      </c>
      <c r="M53" s="158" t="s">
        <v>378</v>
      </c>
      <c r="N53" s="167" t="s">
        <v>379</v>
      </c>
      <c r="O53" s="160" t="s">
        <v>134</v>
      </c>
      <c r="P53" s="161" t="s">
        <v>270</v>
      </c>
      <c r="Q53" s="171" t="s">
        <v>9</v>
      </c>
      <c r="R53" s="172" t="s">
        <v>103</v>
      </c>
      <c r="S53" s="172" t="s">
        <v>112</v>
      </c>
      <c r="T53" s="167" t="s">
        <v>102</v>
      </c>
      <c r="U53" s="167" t="s">
        <v>270</v>
      </c>
      <c r="V53" s="167" t="s">
        <v>379</v>
      </c>
      <c r="W53" s="15" t="str">
        <f>IF(IFERROR(VLOOKUP($M53,'IMPORT GS-Tür OL FL 2S2 20'!$H$2:$H$847,1,0),"-")="-","","GS")</f>
        <v/>
      </c>
      <c r="X53" s="161">
        <v>39</v>
      </c>
      <c r="Y53" s="167" t="s">
        <v>380</v>
      </c>
      <c r="Z53" s="59" t="str">
        <f>IF(OR($M53="",NOT($O53="{array}")),"",IFERROR(MATCH(PARAMETERS!$M53,DEFAULT!$B$5:$CG$5,0),""))</f>
        <v/>
      </c>
      <c r="AA53" s="56" t="str">
        <f t="shared" si="0"/>
        <v/>
      </c>
      <c r="AB53" s="63" t="str">
        <f>IF(AND(OR($A53="G",$A53="P"),NOT($O53="{array}")),IF(VLOOKUP($K53,base!$B$2:$D$20,3,0)="S",IF(OR($O53="",ISTEXT($O53)),"","STRING!"),IF(VLOOKUP($K53,base!$B$2:$D$20,3,0)="","",IF(ISTEXT($O53),"NUMERIC!",""))),"")</f>
        <v/>
      </c>
      <c r="AC53" s="17" t="str">
        <f>IF($AA53="","",IF($B53="I",VLOOKUP($AA53,#REF!,53,0),INDEX(VALUES!$B$1:$BR$1,1,$AA53)))</f>
        <v/>
      </c>
    </row>
    <row r="54" spans="1:29" hidden="1" outlineLevel="1" x14ac:dyDescent="0.3">
      <c r="A54" s="22" t="s">
        <v>84</v>
      </c>
      <c r="B54" s="41" t="str">
        <f t="shared" si="3"/>
        <v/>
      </c>
      <c r="C54" s="42">
        <f t="shared" si="4"/>
        <v>53</v>
      </c>
      <c r="D54" s="38"/>
      <c r="E54" s="38"/>
      <c r="F54" s="38"/>
      <c r="G54" s="38"/>
      <c r="H54" s="38"/>
      <c r="I54" s="38" t="s">
        <v>9</v>
      </c>
      <c r="J54" s="38"/>
      <c r="K54" s="164" t="s">
        <v>18</v>
      </c>
      <c r="L54" s="168" t="s">
        <v>32</v>
      </c>
      <c r="M54" s="176" t="s">
        <v>381</v>
      </c>
      <c r="N54" s="164" t="s">
        <v>382</v>
      </c>
      <c r="O54" s="160" t="s">
        <v>134</v>
      </c>
      <c r="P54" s="166" t="s">
        <v>270</v>
      </c>
      <c r="Q54" s="162" t="s">
        <v>9</v>
      </c>
      <c r="R54" s="163" t="s">
        <v>103</v>
      </c>
      <c r="S54" s="163" t="s">
        <v>112</v>
      </c>
      <c r="T54" s="164" t="s">
        <v>270</v>
      </c>
      <c r="U54" s="164" t="s">
        <v>270</v>
      </c>
      <c r="V54" s="164" t="s">
        <v>382</v>
      </c>
      <c r="W54" s="165" t="str">
        <f>IF(IFERROR(VLOOKUP($M54,'IMPORT GS-Tür OL FL 2S2 20'!$H$2:$H$847,1,0),"-")="-","","GS")</f>
        <v/>
      </c>
      <c r="X54" s="166" t="s">
        <v>270</v>
      </c>
      <c r="Y54" s="164" t="s">
        <v>383</v>
      </c>
      <c r="Z54" s="59" t="str">
        <f>IF(OR($M54="",NOT($O54="{array}")),"",IFERROR(MATCH(PARAMETERS!$M54,DEFAULT!$B$5:$CG$5,0),""))</f>
        <v/>
      </c>
      <c r="AA54" s="56" t="str">
        <f t="shared" si="0"/>
        <v/>
      </c>
      <c r="AB54" s="63" t="str">
        <f>IF(AND(OR($A54="G",$A54="P"),NOT($O54="{array}")),IF(VLOOKUP($K54,base!$B$2:$D$20,3,0)="S",IF(OR($O54="",ISTEXT($O54)),"","STRING!"),IF(VLOOKUP($K54,base!$B$2:$D$20,3,0)="","",IF(ISTEXT($O54),"NUMERIC!",""))),"")</f>
        <v/>
      </c>
      <c r="AC54" s="17" t="str">
        <f>IF($AA54="","",IF($B54="I",VLOOKUP($AA54,#REF!,53,0),INDEX(VALUES!$B$1:$BR$1,1,$AA54)))</f>
        <v/>
      </c>
    </row>
    <row r="55" spans="1:29" collapsed="1" x14ac:dyDescent="0.3">
      <c r="A55" s="22"/>
      <c r="B55" s="41" t="str">
        <f t="shared" si="3"/>
        <v/>
      </c>
      <c r="C55" s="42">
        <f t="shared" si="4"/>
        <v>54</v>
      </c>
      <c r="D55" s="38"/>
      <c r="E55" s="38"/>
      <c r="F55" s="38"/>
      <c r="G55" s="38"/>
      <c r="H55" s="38"/>
      <c r="I55" s="38"/>
      <c r="J55" s="38"/>
      <c r="K55" s="14" t="s">
        <v>57</v>
      </c>
      <c r="L55" s="14" t="s">
        <v>38</v>
      </c>
      <c r="M55" s="48" t="s">
        <v>384</v>
      </c>
      <c r="N55" s="41" t="s">
        <v>385</v>
      </c>
      <c r="R55" s="38" t="s">
        <v>103</v>
      </c>
      <c r="S55" s="38"/>
      <c r="T55" s="38"/>
      <c r="W55" s="15" t="str">
        <f>IF(IFERROR(VLOOKUP($M55,'IMPORT GS-Tür OL FL 2S2 20'!$H$2:$H$847,1,0),"-")="-","","GS")</f>
        <v/>
      </c>
      <c r="Y55" s="53"/>
      <c r="Z55" s="59" t="str">
        <f>IF(OR($M55="",NOT($O55="{array}")),"",IFERROR(MATCH(PARAMETERS!$M55,DEFAULT!$B$5:$CG$5,0),""))</f>
        <v/>
      </c>
      <c r="AA55" s="56" t="str">
        <f t="shared" si="0"/>
        <v/>
      </c>
      <c r="AB55" s="63" t="str">
        <f>IF(AND(OR($A55="G",$A55="P"),NOT($O55="{array}")),IF(VLOOKUP($K55,base!$B$2:$D$20,3,0)="S",IF(OR($O55="",ISTEXT($O55)),"","STRING!"),IF(VLOOKUP($K55,base!$B$2:$D$20,3,0)="","",IF(ISTEXT($O55),"NUMERIC!",""))),"")</f>
        <v/>
      </c>
      <c r="AC55" s="17" t="str">
        <f>IF($AA55="","",IF($B55="I",VLOOKUP($AA55,#REF!,53,0),INDEX(VALUES!$B$1:$BR$1,1,$AA55)))</f>
        <v/>
      </c>
    </row>
    <row r="56" spans="1:29" hidden="1" outlineLevel="1" x14ac:dyDescent="0.3">
      <c r="A56" s="22" t="s">
        <v>84</v>
      </c>
      <c r="B56" s="41" t="str">
        <f t="shared" si="3"/>
        <v/>
      </c>
      <c r="C56" s="42">
        <f t="shared" si="4"/>
        <v>55</v>
      </c>
      <c r="D56" s="38"/>
      <c r="E56" s="38"/>
      <c r="F56" s="38"/>
      <c r="G56" s="38"/>
      <c r="H56" s="38"/>
      <c r="I56" s="38" t="s">
        <v>9</v>
      </c>
      <c r="J56" s="38"/>
      <c r="K56" s="180" t="s">
        <v>18</v>
      </c>
      <c r="L56" s="153" t="s">
        <v>21</v>
      </c>
      <c r="M56" s="176" t="s">
        <v>386</v>
      </c>
      <c r="N56" s="190" t="s">
        <v>387</v>
      </c>
      <c r="O56" s="160" t="s">
        <v>134</v>
      </c>
      <c r="Q56" s="191"/>
      <c r="R56" s="191" t="s">
        <v>103</v>
      </c>
      <c r="S56" s="191" t="s">
        <v>112</v>
      </c>
      <c r="T56" s="38"/>
      <c r="U56" s="190"/>
      <c r="V56" s="190"/>
      <c r="W56" s="15" t="str">
        <f>IF(IFERROR(VLOOKUP($M56,'IMPORT GS-Tür OL FL 2S2 20'!$H$2:$H$847,1,0),"-")="-","","GS")</f>
        <v/>
      </c>
      <c r="X56" s="173" t="s">
        <v>1298</v>
      </c>
      <c r="Y56" s="190" t="s">
        <v>388</v>
      </c>
      <c r="Z56" s="59" t="str">
        <f>IF(OR($M56="",NOT($O56="{array}")),"",IFERROR(MATCH(PARAMETERS!$M56,DEFAULT!$B$5:$CG$5,0),""))</f>
        <v/>
      </c>
      <c r="AA56" s="56" t="str">
        <f t="shared" si="0"/>
        <v/>
      </c>
      <c r="AB56" s="63" t="str">
        <f>IF(AND(OR($A56="G",$A56="P"),NOT($O56="{array}")),IF(VLOOKUP($K56,base!$B$2:$D$20,3,0)="S",IF(OR($O56="",ISTEXT($O56)),"","STRING!"),IF(VLOOKUP($K56,base!$B$2:$D$20,3,0)="","",IF(ISTEXT($O56),"NUMERIC!",""))),"")</f>
        <v/>
      </c>
      <c r="AC56" s="17" t="str">
        <f>IF($AA56="","",IF($B56="I",VLOOKUP($AA56,#REF!,53,0),INDEX(VALUES!$B$1:$BR$1,1,$AA56)))</f>
        <v/>
      </c>
    </row>
    <row r="57" spans="1:29" hidden="1" outlineLevel="1" x14ac:dyDescent="0.3">
      <c r="A57" s="22" t="s">
        <v>84</v>
      </c>
      <c r="B57" s="41" t="str">
        <f t="shared" si="3"/>
        <v/>
      </c>
      <c r="C57" s="42">
        <f t="shared" si="4"/>
        <v>56</v>
      </c>
      <c r="D57" s="38"/>
      <c r="E57" s="38"/>
      <c r="F57" s="38"/>
      <c r="G57" s="38"/>
      <c r="H57" s="38"/>
      <c r="I57" s="38" t="s">
        <v>9</v>
      </c>
      <c r="J57" s="38"/>
      <c r="K57" s="180" t="s">
        <v>18</v>
      </c>
      <c r="L57" s="153" t="s">
        <v>21</v>
      </c>
      <c r="M57" s="176" t="s">
        <v>389</v>
      </c>
      <c r="N57" s="190" t="s">
        <v>390</v>
      </c>
      <c r="O57" s="160" t="s">
        <v>134</v>
      </c>
      <c r="Q57" s="191"/>
      <c r="R57" s="191" t="s">
        <v>103</v>
      </c>
      <c r="S57" s="191" t="s">
        <v>112</v>
      </c>
      <c r="T57" s="38"/>
      <c r="U57" s="190"/>
      <c r="V57" s="190"/>
      <c r="W57" s="15" t="str">
        <f>IF(IFERROR(VLOOKUP($M57,'IMPORT GS-Tür OL FL 2S2 20'!$H$2:$H$847,1,0),"-")="-","","GS")</f>
        <v/>
      </c>
      <c r="X57" s="173" t="s">
        <v>1298</v>
      </c>
      <c r="Y57" s="190" t="s">
        <v>388</v>
      </c>
      <c r="Z57" s="59" t="str">
        <f>IF(OR($M57="",NOT($O57="{array}")),"",IFERROR(MATCH(PARAMETERS!$M57,DEFAULT!$B$5:$CG$5,0),""))</f>
        <v/>
      </c>
      <c r="AA57" s="56" t="str">
        <f t="shared" si="0"/>
        <v/>
      </c>
      <c r="AB57" s="63" t="str">
        <f>IF(AND(OR($A57="G",$A57="P"),NOT($O57="{array}")),IF(VLOOKUP($K57,base!$B$2:$D$20,3,0)="S",IF(OR($O57="",ISTEXT($O57)),"","STRING!"),IF(VLOOKUP($K57,base!$B$2:$D$20,3,0)="","",IF(ISTEXT($O57),"NUMERIC!",""))),"")</f>
        <v/>
      </c>
      <c r="AC57" s="17" t="str">
        <f>IF($AA57="","",IF($B57="I",VLOOKUP($AA57,#REF!,53,0),INDEX(VALUES!$B$1:$BR$1,1,$AA57)))</f>
        <v/>
      </c>
    </row>
    <row r="58" spans="1:29" hidden="1" outlineLevel="1" x14ac:dyDescent="0.3">
      <c r="A58" s="22" t="s">
        <v>84</v>
      </c>
      <c r="B58" s="41" t="str">
        <f t="shared" si="3"/>
        <v/>
      </c>
      <c r="C58" s="42">
        <f t="shared" si="4"/>
        <v>57</v>
      </c>
      <c r="D58" s="38"/>
      <c r="E58" s="38"/>
      <c r="F58" s="38"/>
      <c r="G58" s="38"/>
      <c r="H58" s="38"/>
      <c r="I58" s="38" t="s">
        <v>9</v>
      </c>
      <c r="J58" s="38"/>
      <c r="K58" s="180" t="s">
        <v>18</v>
      </c>
      <c r="L58" s="153" t="s">
        <v>21</v>
      </c>
      <c r="M58" s="176" t="s">
        <v>391</v>
      </c>
      <c r="N58" s="190" t="s">
        <v>392</v>
      </c>
      <c r="O58" s="160" t="s">
        <v>134</v>
      </c>
      <c r="Q58" s="191"/>
      <c r="R58" s="191" t="s">
        <v>103</v>
      </c>
      <c r="S58" s="191" t="s">
        <v>112</v>
      </c>
      <c r="T58" s="38"/>
      <c r="U58" s="190"/>
      <c r="V58" s="190"/>
      <c r="W58" s="15" t="str">
        <f>IF(IFERROR(VLOOKUP($M58,'IMPORT GS-Tür OL FL 2S2 20'!$H$2:$H$847,1,0),"-")="-","","GS")</f>
        <v/>
      </c>
      <c r="X58" s="173" t="s">
        <v>1298</v>
      </c>
      <c r="Y58" s="190" t="s">
        <v>393</v>
      </c>
      <c r="Z58" s="59" t="str">
        <f>IF(OR($M58="",NOT($O58="{array}")),"",IFERROR(MATCH(PARAMETERS!$M58,DEFAULT!$B$5:$CG$5,0),""))</f>
        <v/>
      </c>
      <c r="AA58" s="56" t="str">
        <f t="shared" si="0"/>
        <v/>
      </c>
      <c r="AB58" s="63" t="str">
        <f>IF(AND(OR($A58="G",$A58="P"),NOT($O58="{array}")),IF(VLOOKUP($K58,base!$B$2:$D$20,3,0)="S",IF(OR($O58="",ISTEXT($O58)),"","STRING!"),IF(VLOOKUP($K58,base!$B$2:$D$20,3,0)="","",IF(ISTEXT($O58),"NUMERIC!",""))),"")</f>
        <v/>
      </c>
      <c r="AC58" s="17" t="str">
        <f>IF($AA58="","",IF($B58="I",VLOOKUP($AA58,#REF!,53,0),INDEX(VALUES!$B$1:$BR$1,1,$AA58)))</f>
        <v/>
      </c>
    </row>
    <row r="59" spans="1:29" hidden="1" outlineLevel="1" x14ac:dyDescent="0.3">
      <c r="A59" s="22" t="s">
        <v>84</v>
      </c>
      <c r="B59" s="41" t="str">
        <f t="shared" si="3"/>
        <v/>
      </c>
      <c r="C59" s="42">
        <f t="shared" si="4"/>
        <v>58</v>
      </c>
      <c r="D59" s="38"/>
      <c r="E59" s="38"/>
      <c r="F59" s="38"/>
      <c r="G59" s="38"/>
      <c r="H59" s="38"/>
      <c r="I59" s="38" t="s">
        <v>9</v>
      </c>
      <c r="J59" s="38"/>
      <c r="K59" s="180" t="s">
        <v>18</v>
      </c>
      <c r="L59" s="153" t="s">
        <v>21</v>
      </c>
      <c r="M59" s="176" t="s">
        <v>394</v>
      </c>
      <c r="N59" s="190" t="s">
        <v>395</v>
      </c>
      <c r="O59" s="160" t="s">
        <v>134</v>
      </c>
      <c r="Q59" s="191"/>
      <c r="R59" s="191" t="s">
        <v>103</v>
      </c>
      <c r="S59" s="191" t="s">
        <v>112</v>
      </c>
      <c r="T59" s="38"/>
      <c r="U59" s="190"/>
      <c r="V59" s="190"/>
      <c r="W59" s="15" t="str">
        <f>IF(IFERROR(VLOOKUP($M59,'IMPORT GS-Tür OL FL 2S2 20'!$H$2:$H$847,1,0),"-")="-","","GS")</f>
        <v/>
      </c>
      <c r="X59" s="173" t="s">
        <v>1298</v>
      </c>
      <c r="Y59" s="190" t="s">
        <v>393</v>
      </c>
      <c r="Z59" s="59" t="str">
        <f>IF(OR($M59="",NOT($O59="{array}")),"",IFERROR(MATCH(PARAMETERS!$M59,DEFAULT!$B$5:$CG$5,0),""))</f>
        <v/>
      </c>
      <c r="AA59" s="56" t="str">
        <f t="shared" si="0"/>
        <v/>
      </c>
      <c r="AB59" s="63" t="str">
        <f>IF(AND(OR($A59="G",$A59="P"),NOT($O59="{array}")),IF(VLOOKUP($K59,base!$B$2:$D$20,3,0)="S",IF(OR($O59="",ISTEXT($O59)),"","STRING!"),IF(VLOOKUP($K59,base!$B$2:$D$20,3,0)="","",IF(ISTEXT($O59),"NUMERIC!",""))),"")</f>
        <v/>
      </c>
      <c r="AC59" s="17" t="str">
        <f>IF($AA59="","",IF($B59="I",VLOOKUP($AA59,#REF!,53,0),INDEX(VALUES!$B$1:$BR$1,1,$AA59)))</f>
        <v/>
      </c>
    </row>
    <row r="60" spans="1:29" hidden="1" outlineLevel="1" x14ac:dyDescent="0.3">
      <c r="A60" s="22" t="s">
        <v>84</v>
      </c>
      <c r="B60" s="41" t="str">
        <f t="shared" si="3"/>
        <v/>
      </c>
      <c r="C60" s="42">
        <f t="shared" si="4"/>
        <v>59</v>
      </c>
      <c r="D60" s="38"/>
      <c r="E60" s="38"/>
      <c r="F60" s="38"/>
      <c r="G60" s="38"/>
      <c r="H60" s="38"/>
      <c r="I60" s="38" t="s">
        <v>9</v>
      </c>
      <c r="J60" s="38"/>
      <c r="K60" s="180" t="s">
        <v>18</v>
      </c>
      <c r="L60" s="153" t="s">
        <v>21</v>
      </c>
      <c r="M60" s="176" t="s">
        <v>396</v>
      </c>
      <c r="N60" s="190" t="s">
        <v>397</v>
      </c>
      <c r="O60" s="160" t="s">
        <v>134</v>
      </c>
      <c r="Q60" s="191"/>
      <c r="R60" s="191" t="s">
        <v>103</v>
      </c>
      <c r="S60" s="191" t="s">
        <v>112</v>
      </c>
      <c r="T60" s="38"/>
      <c r="U60" s="190"/>
      <c r="V60" s="190"/>
      <c r="W60" s="15" t="str">
        <f>IF(IFERROR(VLOOKUP($M60,'IMPORT GS-Tür OL FL 2S2 20'!$H$2:$H$847,1,0),"-")="-","","GS")</f>
        <v/>
      </c>
      <c r="X60" s="173" t="s">
        <v>1298</v>
      </c>
      <c r="Y60" s="190" t="s">
        <v>398</v>
      </c>
      <c r="Z60" s="59" t="str">
        <f>IF(OR($M60="",NOT($O60="{array}")),"",IFERROR(MATCH(PARAMETERS!$M60,DEFAULT!$B$5:$CG$5,0),""))</f>
        <v/>
      </c>
      <c r="AA60" s="56" t="str">
        <f t="shared" si="0"/>
        <v/>
      </c>
      <c r="AB60" s="63" t="str">
        <f>IF(AND(OR($A60="G",$A60="P"),NOT($O60="{array}")),IF(VLOOKUP($K60,base!$B$2:$D$20,3,0)="S",IF(OR($O60="",ISTEXT($O60)),"","STRING!"),IF(VLOOKUP($K60,base!$B$2:$D$20,3,0)="","",IF(ISTEXT($O60),"NUMERIC!",""))),"")</f>
        <v/>
      </c>
      <c r="AC60" s="17" t="str">
        <f>IF($AA60="","",IF($B60="I",VLOOKUP($AA60,#REF!,53,0),INDEX(VALUES!$B$1:$BR$1,1,$AA60)))</f>
        <v/>
      </c>
    </row>
    <row r="61" spans="1:29" hidden="1" outlineLevel="1" x14ac:dyDescent="0.3">
      <c r="A61" s="22" t="s">
        <v>84</v>
      </c>
      <c r="B61" s="41" t="str">
        <f t="shared" si="3"/>
        <v/>
      </c>
      <c r="C61" s="42">
        <f t="shared" si="4"/>
        <v>60</v>
      </c>
      <c r="D61" s="38"/>
      <c r="E61" s="38"/>
      <c r="F61" s="38"/>
      <c r="G61" s="38"/>
      <c r="H61" s="38"/>
      <c r="I61" s="38" t="s">
        <v>9</v>
      </c>
      <c r="J61" s="38"/>
      <c r="K61" s="180" t="s">
        <v>18</v>
      </c>
      <c r="L61" s="153" t="s">
        <v>21</v>
      </c>
      <c r="M61" s="176" t="s">
        <v>399</v>
      </c>
      <c r="N61" s="190" t="s">
        <v>400</v>
      </c>
      <c r="O61" s="160" t="s">
        <v>134</v>
      </c>
      <c r="Q61" s="191"/>
      <c r="R61" s="191" t="s">
        <v>103</v>
      </c>
      <c r="S61" s="191" t="s">
        <v>112</v>
      </c>
      <c r="T61" s="38"/>
      <c r="U61" s="190"/>
      <c r="V61" s="190"/>
      <c r="W61" s="15" t="str">
        <f>IF(IFERROR(VLOOKUP($M61,'IMPORT GS-Tür OL FL 2S2 20'!$H$2:$H$847,1,0),"-")="-","","GS")</f>
        <v/>
      </c>
      <c r="X61" s="173" t="s">
        <v>1298</v>
      </c>
      <c r="Y61" s="190" t="s">
        <v>401</v>
      </c>
      <c r="Z61" s="59" t="str">
        <f>IF(OR($M61="",NOT($O61="{array}")),"",IFERROR(MATCH(PARAMETERS!$M61,DEFAULT!$B$5:$CG$5,0),""))</f>
        <v/>
      </c>
      <c r="AA61" s="56" t="str">
        <f t="shared" si="0"/>
        <v/>
      </c>
      <c r="AB61" s="63" t="str">
        <f>IF(AND(OR($A61="G",$A61="P"),NOT($O61="{array}")),IF(VLOOKUP($K61,base!$B$2:$D$20,3,0)="S",IF(OR($O61="",ISTEXT($O61)),"","STRING!"),IF(VLOOKUP($K61,base!$B$2:$D$20,3,0)="","",IF(ISTEXT($O61),"NUMERIC!",""))),"")</f>
        <v/>
      </c>
      <c r="AC61" s="17" t="str">
        <f>IF($AA61="","",IF($B61="I",VLOOKUP($AA61,#REF!,53,0),INDEX(VALUES!$B$1:$BR$1,1,$AA61)))</f>
        <v/>
      </c>
    </row>
    <row r="62" spans="1:29" hidden="1" outlineLevel="1" x14ac:dyDescent="0.3">
      <c r="A62" s="22" t="s">
        <v>84</v>
      </c>
      <c r="B62" s="41" t="str">
        <f t="shared" si="3"/>
        <v/>
      </c>
      <c r="C62" s="42">
        <f t="shared" si="4"/>
        <v>61</v>
      </c>
      <c r="D62" s="38"/>
      <c r="E62" s="38"/>
      <c r="F62" s="38"/>
      <c r="G62" s="38"/>
      <c r="H62" s="38"/>
      <c r="I62" s="38" t="s">
        <v>9</v>
      </c>
      <c r="J62" s="38"/>
      <c r="K62" s="180" t="s">
        <v>18</v>
      </c>
      <c r="L62" s="153" t="s">
        <v>21</v>
      </c>
      <c r="M62" s="176" t="s">
        <v>402</v>
      </c>
      <c r="N62" s="190" t="s">
        <v>403</v>
      </c>
      <c r="O62" s="160" t="s">
        <v>134</v>
      </c>
      <c r="Q62" s="191"/>
      <c r="R62" s="191" t="s">
        <v>103</v>
      </c>
      <c r="S62" s="191" t="s">
        <v>112</v>
      </c>
      <c r="T62" s="38"/>
      <c r="U62" s="190"/>
      <c r="V62" s="190"/>
      <c r="W62" s="15" t="str">
        <f>IF(IFERROR(VLOOKUP($M62,'IMPORT GS-Tür OL FL 2S2 20'!$H$2:$H$847,1,0),"-")="-","","GS")</f>
        <v/>
      </c>
      <c r="X62" s="173" t="s">
        <v>1298</v>
      </c>
      <c r="Y62" s="190" t="s">
        <v>404</v>
      </c>
      <c r="Z62" s="59" t="str">
        <f>IF(OR($M62="",NOT($O62="{array}")),"",IFERROR(MATCH(PARAMETERS!$M62,DEFAULT!$B$5:$CG$5,0),""))</f>
        <v/>
      </c>
      <c r="AA62" s="56" t="str">
        <f t="shared" si="0"/>
        <v/>
      </c>
      <c r="AB62" s="63" t="str">
        <f>IF(AND(OR($A62="G",$A62="P"),NOT($O62="{array}")),IF(VLOOKUP($K62,base!$B$2:$D$20,3,0)="S",IF(OR($O62="",ISTEXT($O62)),"","STRING!"),IF(VLOOKUP($K62,base!$B$2:$D$20,3,0)="","",IF(ISTEXT($O62),"NUMERIC!",""))),"")</f>
        <v/>
      </c>
      <c r="AC62" s="17" t="str">
        <f>IF($AA62="","",IF($B62="I",VLOOKUP($AA62,#REF!,53,0),INDEX(VALUES!$B$1:$BR$1,1,$AA62)))</f>
        <v/>
      </c>
    </row>
    <row r="63" spans="1:29" collapsed="1" x14ac:dyDescent="0.3">
      <c r="A63" s="22" t="s">
        <v>405</v>
      </c>
      <c r="B63" s="41"/>
      <c r="C63" s="42"/>
      <c r="D63" s="38"/>
      <c r="E63" s="38"/>
      <c r="F63" s="38"/>
      <c r="G63" s="38"/>
      <c r="H63" s="38"/>
      <c r="I63" s="38"/>
      <c r="J63" s="38"/>
      <c r="R63" s="38"/>
      <c r="S63" s="38"/>
      <c r="T63" s="38"/>
      <c r="W63" s="15" t="str">
        <f>IF(IFERROR(VLOOKUP($M63,'IMPORT GS-Tür OL FL 2S2 20'!$H$2:$H$847,1,0),"-")="-","","GS")</f>
        <v/>
      </c>
      <c r="Z63" s="59" t="str">
        <f>IF(OR($M63="",NOT($O63="{array}")),"",IFERROR(MATCH(PARAMETERS!$M63,DEFAULT!$B$5:$CG$5,0),""))</f>
        <v/>
      </c>
      <c r="AA63" s="56" t="str">
        <f t="shared" si="0"/>
        <v/>
      </c>
      <c r="AB63" s="63" t="str">
        <f>IF(AND(OR($A63="G",$A63="P"),NOT($O63="{array}")),IF(VLOOKUP($K63,base!$B$2:$D$20,3,0)="S",IF(OR($O63="",ISTEXT($O63)),"","STRING!"),IF(VLOOKUP($K63,base!$B$2:$D$20,3,0)="","",IF(ISTEXT($O63),"NUMERIC!",""))),"")</f>
        <v/>
      </c>
      <c r="AC63" s="17" t="str">
        <f>IF($AA63="","",IF($B63="I",VLOOKUP($AA63,#REF!,53,0),INDEX(VALUES!$B$1:$BR$1,1,$AA63)))</f>
        <v/>
      </c>
    </row>
    <row r="64" spans="1:29" x14ac:dyDescent="0.3">
      <c r="A64" s="22" t="s">
        <v>84</v>
      </c>
      <c r="B64" s="41" t="str">
        <f t="shared" si="3"/>
        <v/>
      </c>
      <c r="C64" s="42">
        <f t="shared" ref="C64:C130" si="5">(ROW()-1)</f>
        <v>63</v>
      </c>
      <c r="D64" s="38" t="s">
        <v>9</v>
      </c>
      <c r="E64" s="38"/>
      <c r="F64" s="38"/>
      <c r="G64" s="38"/>
      <c r="H64" s="38"/>
      <c r="I64" s="38"/>
      <c r="J64" s="38"/>
      <c r="K64" s="14" t="s">
        <v>57</v>
      </c>
      <c r="L64" s="14" t="s">
        <v>38</v>
      </c>
      <c r="M64" s="48" t="s">
        <v>406</v>
      </c>
      <c r="N64" s="41" t="s">
        <v>407</v>
      </c>
      <c r="R64" s="38" t="s">
        <v>201</v>
      </c>
      <c r="S64" s="38"/>
      <c r="T64" s="15"/>
      <c r="W64" s="15" t="str">
        <f>IF(IFERROR(VLOOKUP($M64,'IMPORT GS-Tür OL FL 2S2 20'!$H$2:$H$847,1,0),"-")="-","","GS")</f>
        <v/>
      </c>
      <c r="Z64" s="59" t="str">
        <f>IF(OR($M64="",NOT($O64="{array}")),"",IFERROR(MATCH(PARAMETERS!$M64,DEFAULT!$B$5:$CG$5,0),""))</f>
        <v/>
      </c>
      <c r="AA64" s="56" t="str">
        <f t="shared" si="0"/>
        <v/>
      </c>
      <c r="AB64" s="63" t="str">
        <f>IF(AND(OR($A64="G",$A64="P"),NOT($O64="{array}")),IF(VLOOKUP($K64,base!$B$2:$D$20,3,0)="S",IF(OR($O64="",ISTEXT($O64)),"","STRING!"),IF(VLOOKUP($K64,base!$B$2:$D$20,3,0)="","",IF(ISTEXT($O64),"NUMERIC!",""))),"")</f>
        <v/>
      </c>
      <c r="AC64" s="17" t="str">
        <f>IF($AA64="","",IF($B64="I",VLOOKUP($AA64,#REF!,53,0),INDEX(VALUES!$B$1:$BR$1,1,$AA64)))</f>
        <v/>
      </c>
    </row>
    <row r="65" spans="1:29" hidden="1" outlineLevel="1" x14ac:dyDescent="0.3">
      <c r="A65" s="22" t="s">
        <v>84</v>
      </c>
      <c r="B65" s="41" t="str">
        <f t="shared" si="3"/>
        <v/>
      </c>
      <c r="C65" s="42">
        <f t="shared" si="5"/>
        <v>64</v>
      </c>
      <c r="D65" s="38"/>
      <c r="E65" s="38"/>
      <c r="F65" s="38"/>
      <c r="G65" s="38" t="s">
        <v>9</v>
      </c>
      <c r="H65" s="38"/>
      <c r="I65" s="38" t="s">
        <v>9</v>
      </c>
      <c r="J65" s="38"/>
      <c r="K65" s="160" t="s">
        <v>18</v>
      </c>
      <c r="L65" s="168" t="s">
        <v>21</v>
      </c>
      <c r="M65" s="176" t="s">
        <v>408</v>
      </c>
      <c r="N65" s="160" t="s">
        <v>409</v>
      </c>
      <c r="O65" s="164" t="s">
        <v>410</v>
      </c>
      <c r="P65" s="166" t="s">
        <v>270</v>
      </c>
      <c r="Q65" s="163"/>
      <c r="R65" s="163" t="s">
        <v>103</v>
      </c>
      <c r="S65" s="163" t="s">
        <v>112</v>
      </c>
      <c r="T65" s="162" t="s">
        <v>102</v>
      </c>
      <c r="U65" s="164" t="s">
        <v>270</v>
      </c>
      <c r="V65" s="164" t="s">
        <v>411</v>
      </c>
      <c r="W65" s="165" t="str">
        <f>IF(IFERROR(VLOOKUP($M65,'IMPORT GS-Tür OL FL 2S2 20'!$H$2:$H$847,1,0),"-")="-","","GS")</f>
        <v/>
      </c>
      <c r="X65" s="166">
        <v>26</v>
      </c>
      <c r="Y65" s="164" t="s">
        <v>412</v>
      </c>
      <c r="Z65" s="59" t="str">
        <f>IF(OR($M65="",NOT($O65="{array}")),"",IFERROR(MATCH(PARAMETERS!$M65,DEFAULT!$B$5:$CG$5,0),""))</f>
        <v/>
      </c>
      <c r="AA65" s="56" t="str">
        <f t="shared" si="0"/>
        <v/>
      </c>
      <c r="AB65" s="63" t="str">
        <f>IF(AND(OR($A65="G",$A65="P"),NOT($O65="{array}")),IF(VLOOKUP($K65,base!$B$2:$D$20,3,0)="S",IF(OR($O65="",ISTEXT($O65)),"","STRING!"),IF(VLOOKUP($K65,base!$B$2:$D$20,3,0)="","",IF(ISTEXT($O65),"NUMERIC!",""))),"")</f>
        <v/>
      </c>
      <c r="AC65" s="17" t="str">
        <f>IF($AA65="","",IF($B65="I",VLOOKUP($AA65,#REF!,53,0),INDEX(VALUES!$B$1:$BR$1,1,$AA65)))</f>
        <v/>
      </c>
    </row>
    <row r="66" spans="1:29" hidden="1" outlineLevel="1" x14ac:dyDescent="0.3">
      <c r="A66" s="22" t="s">
        <v>84</v>
      </c>
      <c r="B66" s="41" t="str">
        <f t="shared" si="3"/>
        <v/>
      </c>
      <c r="C66" s="42">
        <f t="shared" si="5"/>
        <v>65</v>
      </c>
      <c r="D66" s="38"/>
      <c r="E66" s="38"/>
      <c r="F66" s="38"/>
      <c r="G66" s="38"/>
      <c r="H66" s="38"/>
      <c r="I66" s="38" t="s">
        <v>9</v>
      </c>
      <c r="J66" s="38"/>
      <c r="K66" s="160" t="s">
        <v>18</v>
      </c>
      <c r="L66" s="168" t="s">
        <v>21</v>
      </c>
      <c r="M66" s="176" t="s">
        <v>413</v>
      </c>
      <c r="N66" s="164" t="s">
        <v>414</v>
      </c>
      <c r="O66" s="164" t="s">
        <v>221</v>
      </c>
      <c r="P66" s="161" t="s">
        <v>270</v>
      </c>
      <c r="Q66" s="172"/>
      <c r="R66" s="163" t="s">
        <v>103</v>
      </c>
      <c r="S66" s="163" t="s">
        <v>112</v>
      </c>
      <c r="T66" s="162" t="s">
        <v>270</v>
      </c>
      <c r="U66" s="164" t="s">
        <v>270</v>
      </c>
      <c r="V66" s="164" t="s">
        <v>415</v>
      </c>
      <c r="W66" s="165" t="str">
        <f>IF(IFERROR(VLOOKUP($M66,'IMPORT GS-Tür OL FL 2S2 20'!$H$2:$H$847,1,0),"-")="-","","GS")</f>
        <v/>
      </c>
      <c r="X66" s="166">
        <v>8</v>
      </c>
      <c r="Y66" s="164" t="s">
        <v>416</v>
      </c>
      <c r="Z66" s="59" t="str">
        <f>IF(OR($M66="",NOT($O66="{array}")),"",IFERROR(MATCH(PARAMETERS!$M66,DEFAULT!$B$5:$CG$5,0),""))</f>
        <v/>
      </c>
      <c r="AA66" s="56" t="str">
        <f t="shared" si="0"/>
        <v/>
      </c>
      <c r="AB66" s="63" t="str">
        <f>IF(AND(OR($A66="G",$A66="P"),NOT($O66="{array}")),IF(VLOOKUP($K66,base!$B$2:$D$20,3,0)="S",IF(OR($O66="",ISTEXT($O66)),"","STRING!"),IF(VLOOKUP($K66,base!$B$2:$D$20,3,0)="","",IF(ISTEXT($O66),"NUMERIC!",""))),"")</f>
        <v/>
      </c>
      <c r="AC66" s="17" t="str">
        <f>IF($AA66="","",IF($B66="I",VLOOKUP($AA66,#REF!,53,0),INDEX(VALUES!$B$1:$BR$1,1,$AA66)))</f>
        <v/>
      </c>
    </row>
    <row r="67" spans="1:29" hidden="1" outlineLevel="1" x14ac:dyDescent="0.3">
      <c r="A67" s="22"/>
      <c r="B67" s="41" t="str">
        <f t="shared" si="3"/>
        <v/>
      </c>
      <c r="C67" s="42">
        <f t="shared" si="5"/>
        <v>66</v>
      </c>
      <c r="D67" s="38"/>
      <c r="E67" s="38"/>
      <c r="F67" s="38" t="s">
        <v>9</v>
      </c>
      <c r="G67" s="38"/>
      <c r="H67" s="38"/>
      <c r="I67" s="38" t="s">
        <v>9</v>
      </c>
      <c r="J67" s="38"/>
      <c r="K67" s="192" t="s">
        <v>18</v>
      </c>
      <c r="L67" s="192" t="s">
        <v>21</v>
      </c>
      <c r="M67" s="193" t="s">
        <v>417</v>
      </c>
      <c r="N67" s="192" t="s">
        <v>418</v>
      </c>
      <c r="O67" s="194"/>
      <c r="P67" s="192"/>
      <c r="Q67" s="181" t="s">
        <v>9</v>
      </c>
      <c r="R67" s="181" t="s">
        <v>104</v>
      </c>
      <c r="S67" s="181"/>
      <c r="T67" s="181"/>
      <c r="U67" s="192"/>
      <c r="V67" s="192"/>
      <c r="W67" s="195" t="str">
        <f>IF(IFERROR(VLOOKUP($M67,'IMPORT GS-Tür OL FL 2S2 20'!$H$2:$H$847,1,0),"-")="-","","GS")</f>
        <v>GS</v>
      </c>
      <c r="X67" s="195"/>
      <c r="Y67" s="192"/>
      <c r="Z67" s="59" t="str">
        <f>IF(OR($M67="",NOT($O67="{array}")),"",IFERROR(MATCH(PARAMETERS!$M67,DEFAULT!$B$5:$CG$5,0),""))</f>
        <v/>
      </c>
      <c r="AA67" s="56" t="str">
        <f t="shared" si="0"/>
        <v/>
      </c>
      <c r="AB67" s="63" t="str">
        <f>IF(AND(OR($A67="G",$A67="P"),NOT($O67="{array}")),IF(VLOOKUP($K67,base!$B$2:$D$20,3,0)="S",IF(OR($O67="",ISTEXT($O67)),"","STRING!"),IF(VLOOKUP($K67,base!$B$2:$D$20,3,0)="","",IF(ISTEXT($O67),"NUMERIC!",""))),"")</f>
        <v/>
      </c>
      <c r="AC67" s="17" t="str">
        <f>IF($AA67="","",IF($B67="I",VLOOKUP($AA67,#REF!,53,0),INDEX(VALUES!$B$1:$BR$1,1,$AA67)))</f>
        <v/>
      </c>
    </row>
    <row r="68" spans="1:29" hidden="1" outlineLevel="1" x14ac:dyDescent="0.3">
      <c r="A68" s="22" t="s">
        <v>84</v>
      </c>
      <c r="B68" s="41" t="str">
        <f t="shared" si="3"/>
        <v/>
      </c>
      <c r="C68" s="42">
        <f t="shared" si="5"/>
        <v>67</v>
      </c>
      <c r="D68" s="38"/>
      <c r="E68" s="38"/>
      <c r="F68" s="38"/>
      <c r="G68" s="38"/>
      <c r="H68" s="38"/>
      <c r="I68" s="38" t="s">
        <v>9</v>
      </c>
      <c r="J68" s="38"/>
      <c r="K68" s="14" t="s">
        <v>47</v>
      </c>
      <c r="L68" s="14" t="s">
        <v>27</v>
      </c>
      <c r="M68" s="20" t="s">
        <v>419</v>
      </c>
      <c r="N68" s="14" t="s">
        <v>420</v>
      </c>
      <c r="O68" s="43">
        <v>0</v>
      </c>
      <c r="R68" s="38" t="s">
        <v>104</v>
      </c>
      <c r="S68" s="38"/>
      <c r="T68" s="38"/>
      <c r="W68" s="15" t="str">
        <f>IF(IFERROR(VLOOKUP($M68,'IMPORT GS-Tür OL FL 2S2 20'!$H$2:$H$847,1,0),"-")="-","","GS")</f>
        <v/>
      </c>
      <c r="Z68" s="59" t="str">
        <f>IF(OR($M68="",NOT($O68="{array}")),"",IFERROR(MATCH(PARAMETERS!$M68,DEFAULT!$B$5:$CG$5,0),""))</f>
        <v/>
      </c>
      <c r="AA68" s="56" t="str">
        <f t="shared" si="0"/>
        <v/>
      </c>
      <c r="AB68" s="63" t="str">
        <f>IF(AND(OR($A68="G",$A68="P"),NOT($O68="{array}")),IF(VLOOKUP($K68,base!$B$2:$D$20,3,0)="S",IF(OR($O68="",ISTEXT($O68)),"","STRING!"),IF(VLOOKUP($K68,base!$B$2:$D$20,3,0)="","",IF(ISTEXT($O68),"NUMERIC!",""))),"")</f>
        <v/>
      </c>
      <c r="AC68" s="17" t="str">
        <f>IF($AA68="","",IF($B68="I",VLOOKUP($AA68,#REF!,53,0),INDEX(VALUES!$B$1:$BR$1,1,$AA68)))</f>
        <v/>
      </c>
    </row>
    <row r="69" spans="1:29" hidden="1" outlineLevel="1" x14ac:dyDescent="0.3">
      <c r="A69" s="22" t="s">
        <v>84</v>
      </c>
      <c r="B69" s="41" t="str">
        <f t="shared" si="3"/>
        <v/>
      </c>
      <c r="C69" s="42">
        <f t="shared" si="5"/>
        <v>68</v>
      </c>
      <c r="D69" s="38"/>
      <c r="E69" s="38"/>
      <c r="F69" s="38"/>
      <c r="G69" s="38"/>
      <c r="H69" s="38"/>
      <c r="I69" s="38" t="s">
        <v>9</v>
      </c>
      <c r="J69" s="38"/>
      <c r="K69" s="167" t="s">
        <v>44</v>
      </c>
      <c r="L69" s="168" t="s">
        <v>21</v>
      </c>
      <c r="M69" s="176" t="s">
        <v>421</v>
      </c>
      <c r="N69" s="160" t="s">
        <v>422</v>
      </c>
      <c r="O69" s="167">
        <v>1</v>
      </c>
      <c r="P69" s="161" t="s">
        <v>270</v>
      </c>
      <c r="Q69" s="196"/>
      <c r="R69" s="172" t="s">
        <v>103</v>
      </c>
      <c r="S69" s="172" t="s">
        <v>112</v>
      </c>
      <c r="T69" s="171" t="s">
        <v>270</v>
      </c>
      <c r="U69" s="167" t="s">
        <v>270</v>
      </c>
      <c r="V69" s="167" t="s">
        <v>423</v>
      </c>
      <c r="W69" s="15" t="str">
        <f>IF(IFERROR(VLOOKUP($M69,'IMPORT GS-Tür OL FL 2S2 20'!$H$2:$H$847,1,0),"-")="-","","GS")</f>
        <v/>
      </c>
      <c r="X69" s="161">
        <v>27</v>
      </c>
      <c r="Y69" s="167" t="s">
        <v>424</v>
      </c>
      <c r="Z69" s="59" t="str">
        <f>IF(OR($M69="",NOT($O69="{array}")),"",IFERROR(MATCH(PARAMETERS!$M69,DEFAULT!$B$5:$CG$5,0),""))</f>
        <v/>
      </c>
      <c r="AA69" s="56" t="str">
        <f t="shared" si="0"/>
        <v/>
      </c>
      <c r="AB69" s="63" t="str">
        <f>IF(AND(OR($A69="G",$A69="P"),NOT($O69="{array}")),IF(VLOOKUP($K69,base!$B$2:$D$20,3,0)="S",IF(OR($O69="",ISTEXT($O69)),"","STRING!"),IF(VLOOKUP($K69,base!$B$2:$D$20,3,0)="","",IF(ISTEXT($O69),"NUMERIC!",""))),"")</f>
        <v/>
      </c>
      <c r="AC69" s="17" t="str">
        <f>IF($AA69="","",IF($B69="I",VLOOKUP($AA69,#REF!,53,0),INDEX(VALUES!$B$1:$BR$1,1,$AA69)))</f>
        <v/>
      </c>
    </row>
    <row r="70" spans="1:29" hidden="1" outlineLevel="1" x14ac:dyDescent="0.3">
      <c r="A70" s="22"/>
      <c r="B70" s="41" t="str">
        <f t="shared" si="3"/>
        <v/>
      </c>
      <c r="C70" s="42">
        <f t="shared" si="5"/>
        <v>69</v>
      </c>
      <c r="D70" s="38"/>
      <c r="E70" s="38"/>
      <c r="F70" s="38"/>
      <c r="G70" s="38"/>
      <c r="H70" s="38"/>
      <c r="I70" s="38" t="s">
        <v>9</v>
      </c>
      <c r="J70" s="38"/>
      <c r="K70" s="184" t="s">
        <v>36</v>
      </c>
      <c r="L70" s="184" t="s">
        <v>21</v>
      </c>
      <c r="M70" s="185" t="s">
        <v>425</v>
      </c>
      <c r="N70" s="184" t="s">
        <v>270</v>
      </c>
      <c r="O70" s="184" t="s">
        <v>270</v>
      </c>
      <c r="P70" s="186" t="s">
        <v>270</v>
      </c>
      <c r="Q70" s="188" t="s">
        <v>9</v>
      </c>
      <c r="R70" s="188" t="s">
        <v>103</v>
      </c>
      <c r="S70" s="188" t="s">
        <v>112</v>
      </c>
      <c r="T70" s="187" t="s">
        <v>102</v>
      </c>
      <c r="U70" s="184" t="s">
        <v>270</v>
      </c>
      <c r="V70" s="184" t="s">
        <v>425</v>
      </c>
      <c r="W70" s="189" t="str">
        <f>IF(IFERROR(VLOOKUP($M70,'IMPORT GS-Tür OL FL 2S2 20'!$H$2:$H$847,1,0),"-")="-","","GS")</f>
        <v/>
      </c>
      <c r="X70" s="186" t="s">
        <v>270</v>
      </c>
      <c r="Y70" s="184" t="s">
        <v>426</v>
      </c>
      <c r="Z70" s="59" t="str">
        <f>IF(OR($M70="",NOT($O70="{array}")),"",IFERROR(MATCH(PARAMETERS!$M70,DEFAULT!$B$5:$CG$5,0),""))</f>
        <v/>
      </c>
      <c r="AA70" s="56" t="str">
        <f t="shared" si="0"/>
        <v/>
      </c>
      <c r="AB70" s="63" t="str">
        <f>IF(AND(OR($A70="G",$A70="P"),NOT($O70="{array}")),IF(VLOOKUP($K70,base!$B$2:$D$20,3,0)="S",IF(OR($O70="",ISTEXT($O70)),"","STRING!"),IF(VLOOKUP($K70,base!$B$2:$D$20,3,0)="","",IF(ISTEXT($O70),"NUMERIC!",""))),"")</f>
        <v/>
      </c>
      <c r="AC70" s="17" t="str">
        <f>IF($AA70="","",IF($B70="I",VLOOKUP($AA70,#REF!,53,0),INDEX(VALUES!$B$1:$BR$1,1,$AA70)))</f>
        <v/>
      </c>
    </row>
    <row r="71" spans="1:29" hidden="1" outlineLevel="1" x14ac:dyDescent="0.3">
      <c r="A71" s="22"/>
      <c r="B71" s="41" t="str">
        <f t="shared" si="3"/>
        <v/>
      </c>
      <c r="C71" s="42">
        <f t="shared" si="5"/>
        <v>70</v>
      </c>
      <c r="D71" s="38"/>
      <c r="E71" s="38"/>
      <c r="F71" s="38"/>
      <c r="G71" s="38"/>
      <c r="H71" s="38"/>
      <c r="I71" s="38" t="s">
        <v>9</v>
      </c>
      <c r="J71" s="38"/>
      <c r="K71" s="184" t="s">
        <v>36</v>
      </c>
      <c r="L71" s="184" t="s">
        <v>21</v>
      </c>
      <c r="M71" s="185" t="s">
        <v>427</v>
      </c>
      <c r="N71" s="184" t="s">
        <v>270</v>
      </c>
      <c r="O71" s="184" t="s">
        <v>270</v>
      </c>
      <c r="P71" s="186" t="s">
        <v>270</v>
      </c>
      <c r="Q71" s="188" t="s">
        <v>9</v>
      </c>
      <c r="R71" s="188" t="s">
        <v>103</v>
      </c>
      <c r="S71" s="188" t="s">
        <v>112</v>
      </c>
      <c r="T71" s="187" t="s">
        <v>102</v>
      </c>
      <c r="U71" s="184" t="s">
        <v>270</v>
      </c>
      <c r="V71" s="184" t="s">
        <v>427</v>
      </c>
      <c r="W71" s="189" t="str">
        <f>IF(IFERROR(VLOOKUP($M71,'IMPORT GS-Tür OL FL 2S2 20'!$H$2:$H$847,1,0),"-")="-","","GS")</f>
        <v/>
      </c>
      <c r="X71" s="186" t="s">
        <v>270</v>
      </c>
      <c r="Y71" s="184" t="s">
        <v>428</v>
      </c>
      <c r="Z71" s="59" t="str">
        <f>IF(OR($M71="",NOT($O71="{array}")),"",IFERROR(MATCH(PARAMETERS!$M71,DEFAULT!$B$5:$CG$5,0),""))</f>
        <v/>
      </c>
      <c r="AA71" s="56" t="str">
        <f t="shared" si="0"/>
        <v/>
      </c>
      <c r="AB71" s="63" t="str">
        <f>IF(AND(OR($A71="G",$A71="P"),NOT($O71="{array}")),IF(VLOOKUP($K71,base!$B$2:$D$20,3,0)="S",IF(OR($O71="",ISTEXT($O71)),"","STRING!"),IF(VLOOKUP($K71,base!$B$2:$D$20,3,0)="","",IF(ISTEXT($O71),"NUMERIC!",""))),"")</f>
        <v/>
      </c>
      <c r="AC71" s="17" t="str">
        <f>IF($AA71="","",IF($B71="I",VLOOKUP($AA71,#REF!,53,0),INDEX(VALUES!$B$1:$BR$1,1,$AA71)))</f>
        <v/>
      </c>
    </row>
    <row r="72" spans="1:29" hidden="1" outlineLevel="1" x14ac:dyDescent="0.3">
      <c r="A72" s="22" t="s">
        <v>84</v>
      </c>
      <c r="B72" s="41" t="str">
        <f t="shared" si="3"/>
        <v/>
      </c>
      <c r="C72" s="42">
        <f t="shared" si="5"/>
        <v>71</v>
      </c>
      <c r="D72" s="38"/>
      <c r="E72" s="38"/>
      <c r="F72" s="38" t="s">
        <v>9</v>
      </c>
      <c r="G72" s="38"/>
      <c r="H72" s="38"/>
      <c r="I72" s="38" t="s">
        <v>9</v>
      </c>
      <c r="J72" s="38"/>
      <c r="K72" s="14" t="s">
        <v>47</v>
      </c>
      <c r="L72" s="14" t="s">
        <v>27</v>
      </c>
      <c r="M72" s="152" t="s">
        <v>429</v>
      </c>
      <c r="N72" s="14" t="s">
        <v>430</v>
      </c>
      <c r="O72" s="43">
        <v>0</v>
      </c>
      <c r="R72" s="38" t="s">
        <v>104</v>
      </c>
      <c r="S72" s="38"/>
      <c r="T72" s="38"/>
      <c r="W72" s="15" t="str">
        <f>IF(IFERROR(VLOOKUP($M72,'IMPORT GS-Tür OL FL 2S2 20'!$H$2:$H$847,1,0),"-")="-","","GS")</f>
        <v>GS</v>
      </c>
      <c r="Y72" s="14" t="s">
        <v>431</v>
      </c>
      <c r="Z72" s="59" t="str">
        <f>IF(OR($M72="",NOT($O72="{array}")),"",IFERROR(MATCH(PARAMETERS!$M72,DEFAULT!$B$5:$CG$5,0),""))</f>
        <v/>
      </c>
      <c r="AA72" s="56" t="str">
        <f t="shared" si="0"/>
        <v/>
      </c>
      <c r="AB72" s="63" t="str">
        <f>IF(AND(OR($A72="G",$A72="P"),NOT($O72="{array}")),IF(VLOOKUP($K72,base!$B$2:$D$20,3,0)="S",IF(OR($O72="",ISTEXT($O72)),"","STRING!"),IF(VLOOKUP($K72,base!$B$2:$D$20,3,0)="","",IF(ISTEXT($O72),"NUMERIC!",""))),"")</f>
        <v/>
      </c>
      <c r="AC72" s="17" t="str">
        <f>IF($AA72="","",IF($B72="I",VLOOKUP($AA72,#REF!,53,0),INDEX(VALUES!$B$1:$BR$1,1,$AA72)))</f>
        <v/>
      </c>
    </row>
    <row r="73" spans="1:29" hidden="1" outlineLevel="1" x14ac:dyDescent="0.3">
      <c r="A73" s="22"/>
      <c r="B73" s="41" t="str">
        <f t="shared" si="3"/>
        <v/>
      </c>
      <c r="C73" s="42">
        <f t="shared" si="5"/>
        <v>72</v>
      </c>
      <c r="D73" s="38"/>
      <c r="E73" s="38"/>
      <c r="F73" s="38"/>
      <c r="G73" s="38"/>
      <c r="H73" s="38"/>
      <c r="I73" s="38" t="s">
        <v>9</v>
      </c>
      <c r="J73" s="38"/>
      <c r="K73" s="197" t="s">
        <v>44</v>
      </c>
      <c r="L73" s="197" t="s">
        <v>21</v>
      </c>
      <c r="M73" s="198" t="s">
        <v>432</v>
      </c>
      <c r="N73" s="197" t="s">
        <v>270</v>
      </c>
      <c r="O73" s="197" t="s">
        <v>270</v>
      </c>
      <c r="P73" s="199" t="s">
        <v>270</v>
      </c>
      <c r="Q73" s="200" t="s">
        <v>9</v>
      </c>
      <c r="R73" s="200" t="s">
        <v>103</v>
      </c>
      <c r="S73" s="200" t="s">
        <v>112</v>
      </c>
      <c r="T73" s="201" t="s">
        <v>270</v>
      </c>
      <c r="U73" s="197" t="s">
        <v>270</v>
      </c>
      <c r="V73" s="197" t="s">
        <v>432</v>
      </c>
      <c r="W73" s="202" t="str">
        <f>IF(IFERROR(VLOOKUP($M73,'IMPORT GS-Tür OL FL 2S2 20'!$H$2:$H$847,1,0),"-")="-","","GS")</f>
        <v/>
      </c>
      <c r="X73" s="186" t="s">
        <v>270</v>
      </c>
      <c r="Y73" s="184" t="s">
        <v>433</v>
      </c>
      <c r="Z73" s="59" t="str">
        <f>IF(OR($M73="",NOT($O73="{array}")),"",IFERROR(MATCH(PARAMETERS!$M73,DEFAULT!$B$5:$CG$5,0),""))</f>
        <v/>
      </c>
      <c r="AA73" s="56" t="str">
        <f t="shared" si="0"/>
        <v/>
      </c>
      <c r="AB73" s="63" t="str">
        <f>IF(AND(OR($A73="G",$A73="P"),NOT($O73="{array}")),IF(VLOOKUP($K73,base!$B$2:$D$20,3,0)="S",IF(OR($O73="",ISTEXT($O73)),"","STRING!"),IF(VLOOKUP($K73,base!$B$2:$D$20,3,0)="","",IF(ISTEXT($O73),"NUMERIC!",""))),"")</f>
        <v/>
      </c>
      <c r="AC73" s="17" t="str">
        <f>IF($AA73="","",IF($B73="I",VLOOKUP($AA73,#REF!,53,0),INDEX(VALUES!$B$1:$BR$1,1,$AA73)))</f>
        <v/>
      </c>
    </row>
    <row r="74" spans="1:29" hidden="1" outlineLevel="1" x14ac:dyDescent="0.3">
      <c r="A74" s="22" t="s">
        <v>84</v>
      </c>
      <c r="B74" s="41" t="str">
        <f t="shared" si="3"/>
        <v/>
      </c>
      <c r="C74" s="42">
        <f t="shared" si="5"/>
        <v>73</v>
      </c>
      <c r="D74" s="38"/>
      <c r="E74" s="38"/>
      <c r="F74" s="38" t="s">
        <v>9</v>
      </c>
      <c r="G74" s="38"/>
      <c r="H74" s="38"/>
      <c r="I74" s="38" t="s">
        <v>9</v>
      </c>
      <c r="J74" s="38"/>
      <c r="K74" s="53" t="s">
        <v>18</v>
      </c>
      <c r="L74" s="14" t="s">
        <v>27</v>
      </c>
      <c r="M74" s="158" t="s">
        <v>434</v>
      </c>
      <c r="N74" s="14" t="s">
        <v>435</v>
      </c>
      <c r="O74" s="43" t="s">
        <v>436</v>
      </c>
      <c r="R74" s="38" t="s">
        <v>104</v>
      </c>
      <c r="S74" s="38"/>
      <c r="T74" s="38"/>
      <c r="W74" s="15" t="str">
        <f>IF(IFERROR(VLOOKUP($M74,'IMPORT GS-Tür OL FL 2S2 20'!$H$2:$H$847,1,0),"-")="-","","GS")</f>
        <v/>
      </c>
      <c r="Z74" s="59" t="str">
        <f>IF(OR($M74="",NOT($O74="{array}")),"",IFERROR(MATCH(PARAMETERS!$M74,DEFAULT!$B$5:$CG$5,0),""))</f>
        <v/>
      </c>
      <c r="AA74" s="56" t="str">
        <f t="shared" si="0"/>
        <v/>
      </c>
      <c r="AB74" s="63" t="str">
        <f>IF(AND(OR($A74="G",$A74="P"),NOT($O74="{array}")),IF(VLOOKUP($K74,base!$B$2:$D$20,3,0)="S",IF(OR($O74="",ISTEXT($O74)),"","STRING!"),IF(VLOOKUP($K74,base!$B$2:$D$20,3,0)="","",IF(ISTEXT($O74),"NUMERIC!",""))),"")</f>
        <v/>
      </c>
      <c r="AC74" s="17" t="str">
        <f>IF($AA74="","",IF($B74="I",VLOOKUP($AA74,#REF!,53,0),INDEX(VALUES!$B$1:$BR$1,1,$AA74)))</f>
        <v/>
      </c>
    </row>
    <row r="75" spans="1:29" hidden="1" outlineLevel="1" x14ac:dyDescent="0.3">
      <c r="A75" s="22"/>
      <c r="B75" s="41" t="str">
        <f t="shared" si="3"/>
        <v/>
      </c>
      <c r="C75" s="42">
        <f t="shared" si="5"/>
        <v>74</v>
      </c>
      <c r="D75" s="38"/>
      <c r="E75" s="38"/>
      <c r="F75" s="38" t="s">
        <v>9</v>
      </c>
      <c r="G75" s="38"/>
      <c r="H75" s="38"/>
      <c r="I75" s="38" t="s">
        <v>9</v>
      </c>
      <c r="J75" s="38"/>
      <c r="K75" s="192" t="s">
        <v>47</v>
      </c>
      <c r="L75" s="192" t="s">
        <v>27</v>
      </c>
      <c r="M75" s="193" t="s">
        <v>437</v>
      </c>
      <c r="N75" s="192" t="s">
        <v>438</v>
      </c>
      <c r="O75" s="194">
        <v>0</v>
      </c>
      <c r="P75" s="192"/>
      <c r="Q75" s="181"/>
      <c r="R75" s="181" t="s">
        <v>104</v>
      </c>
      <c r="S75" s="181"/>
      <c r="T75" s="181"/>
      <c r="U75" s="192"/>
      <c r="V75" s="192"/>
      <c r="W75" s="195" t="str">
        <f>IF(IFERROR(VLOOKUP($M75,'IMPORT GS-Tür OL FL 2S2 20'!$H$2:$H$847,1,0),"-")="-","","GS")</f>
        <v>GS</v>
      </c>
      <c r="X75" s="195"/>
      <c r="Y75" s="192" t="s">
        <v>439</v>
      </c>
      <c r="Z75" s="59" t="str">
        <f>IF(OR($M75="",NOT($O75="{array}")),"",IFERROR(MATCH(PARAMETERS!$M75,DEFAULT!$B$5:$CG$5,0),""))</f>
        <v/>
      </c>
      <c r="AA75" s="56" t="str">
        <f t="shared" si="0"/>
        <v/>
      </c>
      <c r="AB75" s="63" t="str">
        <f>IF(AND(OR($A75="G",$A75="P"),NOT($O75="{array}")),IF(VLOOKUP($K75,base!$B$2:$D$20,3,0)="S",IF(OR($O75="",ISTEXT($O75)),"","STRING!"),IF(VLOOKUP($K75,base!$B$2:$D$20,3,0)="","",IF(ISTEXT($O75),"NUMERIC!",""))),"")</f>
        <v/>
      </c>
      <c r="AC75" s="17" t="str">
        <f>IF($AA75="","",IF($B75="I",VLOOKUP($AA75,#REF!,53,0),INDEX(VALUES!$B$1:$BR$1,1,$AA75)))</f>
        <v/>
      </c>
    </row>
    <row r="76" spans="1:29" hidden="1" outlineLevel="1" x14ac:dyDescent="0.3">
      <c r="A76" s="22"/>
      <c r="B76" s="41" t="str">
        <f t="shared" si="3"/>
        <v/>
      </c>
      <c r="C76" s="42">
        <f t="shared" si="5"/>
        <v>75</v>
      </c>
      <c r="D76" s="38"/>
      <c r="E76" s="38"/>
      <c r="F76" s="38" t="s">
        <v>9</v>
      </c>
      <c r="G76" s="38"/>
      <c r="H76" s="38"/>
      <c r="I76" s="38" t="s">
        <v>9</v>
      </c>
      <c r="J76" s="38"/>
      <c r="K76" s="192" t="s">
        <v>47</v>
      </c>
      <c r="L76" s="192" t="s">
        <v>27</v>
      </c>
      <c r="M76" s="193" t="s">
        <v>440</v>
      </c>
      <c r="N76" s="192" t="s">
        <v>441</v>
      </c>
      <c r="O76" s="194">
        <v>0</v>
      </c>
      <c r="P76" s="192"/>
      <c r="Q76" s="181"/>
      <c r="R76" s="181" t="s">
        <v>104</v>
      </c>
      <c r="S76" s="181"/>
      <c r="T76" s="181"/>
      <c r="U76" s="192"/>
      <c r="V76" s="192"/>
      <c r="W76" s="195" t="str">
        <f>IF(IFERROR(VLOOKUP($M76,'IMPORT GS-Tür OL FL 2S2 20'!$H$2:$H$847,1,0),"-")="-","","GS")</f>
        <v>GS</v>
      </c>
      <c r="X76" s="195"/>
      <c r="Y76" s="192" t="s">
        <v>442</v>
      </c>
      <c r="Z76" s="59" t="str">
        <f>IF(OR($M76="",NOT($O76="{array}")),"",IFERROR(MATCH(PARAMETERS!$M76,DEFAULT!$B$5:$CG$5,0),""))</f>
        <v/>
      </c>
      <c r="AA76" s="56" t="str">
        <f t="shared" si="0"/>
        <v/>
      </c>
      <c r="AB76" s="63" t="str">
        <f>IF(AND(OR($A76="G",$A76="P"),NOT($O76="{array}")),IF(VLOOKUP($K76,base!$B$2:$D$20,3,0)="S",IF(OR($O76="",ISTEXT($O76)),"","STRING!"),IF(VLOOKUP($K76,base!$B$2:$D$20,3,0)="","",IF(ISTEXT($O76),"NUMERIC!",""))),"")</f>
        <v/>
      </c>
      <c r="AC76" s="17" t="str">
        <f>IF($AA76="","",IF($B76="I",VLOOKUP($AA76,#REF!,53,0),INDEX(VALUES!$B$1:$BR$1,1,$AA76)))</f>
        <v/>
      </c>
    </row>
    <row r="77" spans="1:29" hidden="1" outlineLevel="1" x14ac:dyDescent="0.25">
      <c r="A77" s="22"/>
      <c r="B77" s="41" t="str">
        <f t="shared" si="3"/>
        <v/>
      </c>
      <c r="C77" s="42">
        <f t="shared" si="5"/>
        <v>76</v>
      </c>
      <c r="D77" s="38"/>
      <c r="E77" s="38"/>
      <c r="F77" s="38"/>
      <c r="G77" s="38"/>
      <c r="H77" s="38"/>
      <c r="I77" s="38" t="s">
        <v>9</v>
      </c>
      <c r="J77" s="38"/>
      <c r="K77" s="184" t="s">
        <v>44</v>
      </c>
      <c r="L77" s="184" t="s">
        <v>21</v>
      </c>
      <c r="M77" s="184" t="s">
        <v>443</v>
      </c>
      <c r="N77" s="184" t="s">
        <v>270</v>
      </c>
      <c r="O77" s="184" t="s">
        <v>270</v>
      </c>
      <c r="P77" s="186" t="s">
        <v>270</v>
      </c>
      <c r="Q77" s="188" t="s">
        <v>9</v>
      </c>
      <c r="R77" s="188" t="s">
        <v>103</v>
      </c>
      <c r="S77" s="188" t="s">
        <v>112</v>
      </c>
      <c r="T77" s="187" t="s">
        <v>270</v>
      </c>
      <c r="U77" s="184" t="s">
        <v>270</v>
      </c>
      <c r="V77" s="184" t="s">
        <v>443</v>
      </c>
      <c r="W77" s="189" t="str">
        <f>IF(IFERROR(VLOOKUP($M77,'IMPORT GS-Tür OL FL 2S2 20'!$H$2:$H$847,1,0),"-")="-","","GS")</f>
        <v/>
      </c>
      <c r="X77" s="186" t="s">
        <v>270</v>
      </c>
      <c r="Y77" s="184" t="s">
        <v>444</v>
      </c>
      <c r="Z77" s="59" t="str">
        <f>IF(OR($M77="",NOT($O77="{array}")),"",IFERROR(MATCH(PARAMETERS!$M77,DEFAULT!$B$5:$CG$5,0),""))</f>
        <v/>
      </c>
      <c r="AA77" s="56" t="str">
        <f t="shared" si="0"/>
        <v/>
      </c>
      <c r="AB77" s="63" t="str">
        <f>IF(AND(OR($A77="G",$A77="P"),NOT($O77="{array}")),IF(VLOOKUP($K77,base!$B$2:$D$20,3,0)="S",IF(OR($O77="",ISTEXT($O77)),"","STRING!"),IF(VLOOKUP($K77,base!$B$2:$D$20,3,0)="","",IF(ISTEXT($O77),"NUMERIC!",""))),"")</f>
        <v/>
      </c>
      <c r="AC77" s="17" t="str">
        <f>IF($AA77="","",IF($B77="I",VLOOKUP($AA77,#REF!,53,0),INDEX(VALUES!$B$1:$BR$1,1,$AA77)))</f>
        <v/>
      </c>
    </row>
    <row r="78" spans="1:29" hidden="1" outlineLevel="1" x14ac:dyDescent="0.25">
      <c r="A78" s="22"/>
      <c r="B78" s="41" t="str">
        <f t="shared" si="3"/>
        <v/>
      </c>
      <c r="C78" s="42">
        <f t="shared" si="5"/>
        <v>77</v>
      </c>
      <c r="D78" s="38"/>
      <c r="E78" s="38"/>
      <c r="F78" s="38"/>
      <c r="G78" s="38"/>
      <c r="H78" s="38"/>
      <c r="I78" s="38" t="s">
        <v>9</v>
      </c>
      <c r="J78" s="38"/>
      <c r="K78" s="203" t="s">
        <v>31</v>
      </c>
      <c r="L78" s="184" t="s">
        <v>21</v>
      </c>
      <c r="M78" s="184" t="s">
        <v>445</v>
      </c>
      <c r="N78" s="184" t="s">
        <v>270</v>
      </c>
      <c r="O78" s="184" t="s">
        <v>270</v>
      </c>
      <c r="P78" s="186" t="s">
        <v>126</v>
      </c>
      <c r="Q78" s="188" t="s">
        <v>9</v>
      </c>
      <c r="R78" s="188" t="s">
        <v>103</v>
      </c>
      <c r="S78" s="188" t="s">
        <v>112</v>
      </c>
      <c r="T78" s="187" t="s">
        <v>270</v>
      </c>
      <c r="U78" s="184" t="s">
        <v>270</v>
      </c>
      <c r="V78" s="184" t="s">
        <v>445</v>
      </c>
      <c r="W78" s="189" t="str">
        <f>IF(IFERROR(VLOOKUP($M78,'IMPORT GS-Tür OL FL 2S2 20'!$H$2:$H$847,1,0),"-")="-","","GS")</f>
        <v/>
      </c>
      <c r="X78" s="186" t="s">
        <v>270</v>
      </c>
      <c r="Y78" s="184" t="s">
        <v>446</v>
      </c>
      <c r="Z78" s="59" t="str">
        <f>IF(OR($M78="",NOT($O78="{array}")),"",IFERROR(MATCH(PARAMETERS!$M78,DEFAULT!$B$5:$CG$5,0),""))</f>
        <v/>
      </c>
      <c r="AA78" s="56" t="str">
        <f t="shared" si="0"/>
        <v/>
      </c>
      <c r="AB78" s="63" t="str">
        <f>IF(AND(OR($A78="G",$A78="P"),NOT($O78="{array}")),IF(VLOOKUP($K78,base!$B$2:$D$20,3,0)="S",IF(OR($O78="",ISTEXT($O78)),"","STRING!"),IF(VLOOKUP($K78,base!$B$2:$D$20,3,0)="","",IF(ISTEXT($O78),"NUMERIC!",""))),"")</f>
        <v/>
      </c>
      <c r="AC78" s="17" t="str">
        <f>IF($AA78="","",IF($B78="I",VLOOKUP($AA78,#REF!,53,0),INDEX(VALUES!$B$1:$BR$1,1,$AA78)))</f>
        <v/>
      </c>
    </row>
    <row r="79" spans="1:29" hidden="1" outlineLevel="1" x14ac:dyDescent="0.25">
      <c r="A79" s="22"/>
      <c r="B79" s="41" t="str">
        <f t="shared" si="3"/>
        <v/>
      </c>
      <c r="C79" s="42">
        <f t="shared" si="5"/>
        <v>78</v>
      </c>
      <c r="D79" s="38"/>
      <c r="E79" s="38"/>
      <c r="F79" s="38"/>
      <c r="G79" s="38"/>
      <c r="H79" s="38"/>
      <c r="I79" s="38" t="s">
        <v>9</v>
      </c>
      <c r="J79" s="38"/>
      <c r="K79" s="184" t="s">
        <v>18</v>
      </c>
      <c r="L79" s="184" t="s">
        <v>21</v>
      </c>
      <c r="M79" s="184" t="s">
        <v>447</v>
      </c>
      <c r="N79" s="184" t="s">
        <v>270</v>
      </c>
      <c r="O79" s="184" t="s">
        <v>270</v>
      </c>
      <c r="P79" s="186" t="s">
        <v>270</v>
      </c>
      <c r="Q79" s="188" t="s">
        <v>9</v>
      </c>
      <c r="R79" s="188" t="s">
        <v>103</v>
      </c>
      <c r="S79" s="188" t="s">
        <v>112</v>
      </c>
      <c r="T79" s="187" t="s">
        <v>102</v>
      </c>
      <c r="U79" s="184" t="s">
        <v>270</v>
      </c>
      <c r="V79" s="184" t="s">
        <v>447</v>
      </c>
      <c r="W79" s="189" t="str">
        <f>IF(IFERROR(VLOOKUP($M79,'IMPORT GS-Tür OL FL 2S2 20'!$H$2:$H$847,1,0),"-")="-","","GS")</f>
        <v/>
      </c>
      <c r="X79" s="186">
        <v>28</v>
      </c>
      <c r="Y79" s="184" t="s">
        <v>448</v>
      </c>
      <c r="Z79" s="59" t="str">
        <f>IF(OR($M79="",NOT($O79="{array}")),"",IFERROR(MATCH(PARAMETERS!$M79,DEFAULT!$B$5:$CG$5,0),""))</f>
        <v/>
      </c>
      <c r="AA79" s="56" t="str">
        <f t="shared" si="0"/>
        <v/>
      </c>
      <c r="AB79" s="63" t="str">
        <f>IF(AND(OR($A79="G",$A79="P"),NOT($O79="{array}")),IF(VLOOKUP($K79,base!$B$2:$D$20,3,0)="S",IF(OR($O79="",ISTEXT($O79)),"","STRING!"),IF(VLOOKUP($K79,base!$B$2:$D$20,3,0)="","",IF(ISTEXT($O79),"NUMERIC!",""))),"")</f>
        <v/>
      </c>
      <c r="AC79" s="17" t="str">
        <f>IF($AA79="","",IF($B79="I",VLOOKUP($AA79,#REF!,53,0),INDEX(VALUES!$B$1:$BR$1,1,$AA79)))</f>
        <v/>
      </c>
    </row>
    <row r="80" spans="1:29" hidden="1" outlineLevel="1" x14ac:dyDescent="0.3">
      <c r="A80" s="22" t="s">
        <v>84</v>
      </c>
      <c r="B80" s="41" t="str">
        <f t="shared" si="3"/>
        <v/>
      </c>
      <c r="C80" s="42">
        <f t="shared" si="5"/>
        <v>79</v>
      </c>
      <c r="D80" s="38"/>
      <c r="E80" s="38"/>
      <c r="F80" s="38"/>
      <c r="G80" s="38"/>
      <c r="H80" s="38"/>
      <c r="I80" s="38" t="s">
        <v>9</v>
      </c>
      <c r="J80" s="38"/>
      <c r="K80" s="14" t="s">
        <v>44</v>
      </c>
      <c r="L80" s="14" t="s">
        <v>21</v>
      </c>
      <c r="M80" s="20" t="s">
        <v>449</v>
      </c>
      <c r="N80" s="14" t="s">
        <v>450</v>
      </c>
      <c r="O80" s="43">
        <v>0</v>
      </c>
      <c r="R80" s="38" t="s">
        <v>104</v>
      </c>
      <c r="S80" s="38"/>
      <c r="T80" s="38"/>
      <c r="W80" s="15" t="str">
        <f>IF(IFERROR(VLOOKUP($M80,'IMPORT GS-Tür OL FL 2S2 20'!$H$2:$H$847,1,0),"-")="-","","GS")</f>
        <v>GS</v>
      </c>
      <c r="Z80" s="59" t="str">
        <f>IF(OR($M80="",NOT($O80="{array}")),"",IFERROR(MATCH(PARAMETERS!$M80,DEFAULT!$B$5:$CG$5,0),""))</f>
        <v/>
      </c>
      <c r="AA80" s="56" t="str">
        <f t="shared" si="0"/>
        <v/>
      </c>
      <c r="AB80" s="63" t="str">
        <f>IF(AND(OR($A80="G",$A80="P"),NOT($O80="{array}")),IF(VLOOKUP($K80,base!$B$2:$D$20,3,0)="S",IF(OR($O80="",ISTEXT($O80)),"","STRING!"),IF(VLOOKUP($K80,base!$B$2:$D$20,3,0)="","",IF(ISTEXT($O80),"NUMERIC!",""))),"")</f>
        <v/>
      </c>
      <c r="AC80" s="17" t="str">
        <f>IF($AA80="","",IF($B80="I",VLOOKUP($AA80,#REF!,53,0),INDEX(VALUES!$B$1:$BR$1,1,$AA80)))</f>
        <v/>
      </c>
    </row>
    <row r="81" spans="1:29" hidden="1" outlineLevel="1" x14ac:dyDescent="0.25">
      <c r="A81" s="22" t="s">
        <v>84</v>
      </c>
      <c r="B81" s="41" t="str">
        <f t="shared" si="3"/>
        <v/>
      </c>
      <c r="C81" s="42">
        <f t="shared" si="5"/>
        <v>80</v>
      </c>
      <c r="D81" s="38"/>
      <c r="E81" s="38"/>
      <c r="F81" s="38" t="s">
        <v>9</v>
      </c>
      <c r="G81" s="38"/>
      <c r="H81" s="38"/>
      <c r="I81" s="38" t="s">
        <v>9</v>
      </c>
      <c r="J81" s="38" t="s">
        <v>9</v>
      </c>
      <c r="K81" s="14" t="s">
        <v>18</v>
      </c>
      <c r="L81" s="14" t="s">
        <v>21</v>
      </c>
      <c r="M81" s="152" t="s">
        <v>451</v>
      </c>
      <c r="N81" s="14" t="s">
        <v>452</v>
      </c>
      <c r="O81" s="43" t="s">
        <v>453</v>
      </c>
      <c r="P81" s="161" t="s">
        <v>270</v>
      </c>
      <c r="Q81" s="172"/>
      <c r="R81" s="172" t="s">
        <v>103</v>
      </c>
      <c r="S81" s="172" t="s">
        <v>112</v>
      </c>
      <c r="T81" s="171" t="s">
        <v>270</v>
      </c>
      <c r="U81" s="167" t="s">
        <v>270</v>
      </c>
      <c r="V81" s="167" t="s">
        <v>454</v>
      </c>
      <c r="W81" s="15" t="str">
        <f>IF(IFERROR(VLOOKUP($M81,'IMPORT GS-Tür OL FL 2S2 20'!$H$2:$H$847,1,0),"-")="-","","GS")</f>
        <v>GS</v>
      </c>
      <c r="X81" s="161" t="s">
        <v>270</v>
      </c>
      <c r="Y81" s="167" t="s">
        <v>455</v>
      </c>
      <c r="Z81" s="59" t="str">
        <f>IF(OR($M81="",NOT($O81="{array}")),"",IFERROR(MATCH(PARAMETERS!$M81,DEFAULT!$B$5:$CG$5,0),""))</f>
        <v/>
      </c>
      <c r="AA81" s="56" t="str">
        <f t="shared" si="0"/>
        <v/>
      </c>
      <c r="AB81" s="63" t="str">
        <f>IF(AND(OR($A81="G",$A81="P"),NOT($O81="{array}")),IF(VLOOKUP($K81,base!$B$2:$D$20,3,0)="S",IF(OR($O81="",ISTEXT($O81)),"","STRING!"),IF(VLOOKUP($K81,base!$B$2:$D$20,3,0)="","",IF(ISTEXT($O81),"NUMERIC!",""))),"")</f>
        <v/>
      </c>
      <c r="AC81" s="17" t="str">
        <f>IF($AA81="","",IF($B81="I",VLOOKUP($AA81,#REF!,53,0),INDEX(VALUES!$B$1:$BR$1,1,$AA81)))</f>
        <v/>
      </c>
    </row>
    <row r="82" spans="1:29" hidden="1" outlineLevel="1" x14ac:dyDescent="0.25">
      <c r="A82" s="22" t="s">
        <v>84</v>
      </c>
      <c r="B82" s="41" t="str">
        <f t="shared" si="3"/>
        <v/>
      </c>
      <c r="C82" s="42">
        <f t="shared" si="5"/>
        <v>81</v>
      </c>
      <c r="D82" s="38"/>
      <c r="E82" s="38"/>
      <c r="F82" s="38"/>
      <c r="G82" s="38"/>
      <c r="H82" s="38"/>
      <c r="I82" s="38" t="s">
        <v>9</v>
      </c>
      <c r="J82" s="38"/>
      <c r="K82" s="167" t="s">
        <v>44</v>
      </c>
      <c r="L82" s="168" t="s">
        <v>21</v>
      </c>
      <c r="M82" s="204" t="s">
        <v>456</v>
      </c>
      <c r="N82" s="167" t="s">
        <v>457</v>
      </c>
      <c r="O82" s="167">
        <v>0</v>
      </c>
      <c r="P82" s="161" t="s">
        <v>270</v>
      </c>
      <c r="Q82" s="172"/>
      <c r="R82" s="172" t="s">
        <v>103</v>
      </c>
      <c r="S82" s="172" t="s">
        <v>112</v>
      </c>
      <c r="T82" s="171" t="s">
        <v>270</v>
      </c>
      <c r="U82" s="167" t="s">
        <v>270</v>
      </c>
      <c r="V82" s="167" t="s">
        <v>458</v>
      </c>
      <c r="W82" s="15" t="str">
        <f>IF(IFERROR(VLOOKUP($M82,'IMPORT GS-Tür OL FL 2S2 20'!$H$2:$H$847,1,0),"-")="-","","GS")</f>
        <v/>
      </c>
      <c r="X82" s="161" t="s">
        <v>270</v>
      </c>
      <c r="Y82" s="167" t="s">
        <v>459</v>
      </c>
      <c r="Z82" s="59" t="str">
        <f>IF(OR($M82="",NOT($O82="{array}")),"",IFERROR(MATCH(PARAMETERS!$M82,DEFAULT!$B$5:$CG$5,0),""))</f>
        <v/>
      </c>
      <c r="AA82" s="56" t="str">
        <f t="shared" si="0"/>
        <v/>
      </c>
      <c r="AB82" s="63" t="str">
        <f>IF(AND(OR($A82="G",$A82="P"),NOT($O82="{array}")),IF(VLOOKUP($K82,base!$B$2:$D$20,3,0)="S",IF(OR($O82="",ISTEXT($O82)),"","STRING!"),IF(VLOOKUP($K82,base!$B$2:$D$20,3,0)="","",IF(ISTEXT($O82),"NUMERIC!",""))),"")</f>
        <v/>
      </c>
      <c r="AC82" s="17" t="str">
        <f>IF($AA82="","",IF($B82="I",VLOOKUP($AA82,#REF!,53,0),INDEX(VALUES!$B$1:$BR$1,1,$AA82)))</f>
        <v/>
      </c>
    </row>
    <row r="83" spans="1:29" hidden="1" outlineLevel="1" x14ac:dyDescent="0.3">
      <c r="A83" s="22" t="s">
        <v>84</v>
      </c>
      <c r="B83" s="41" t="str">
        <f t="shared" si="3"/>
        <v/>
      </c>
      <c r="C83" s="42">
        <f t="shared" si="5"/>
        <v>82</v>
      </c>
      <c r="D83" s="38"/>
      <c r="E83" s="38"/>
      <c r="F83" s="38" t="s">
        <v>9</v>
      </c>
      <c r="G83" s="38"/>
      <c r="H83" s="38" t="s">
        <v>9</v>
      </c>
      <c r="I83" s="38"/>
      <c r="J83" s="38"/>
      <c r="K83" s="14" t="s">
        <v>47</v>
      </c>
      <c r="L83" s="14" t="s">
        <v>27</v>
      </c>
      <c r="M83" s="20" t="s">
        <v>460</v>
      </c>
      <c r="N83" s="14" t="s">
        <v>461</v>
      </c>
      <c r="O83" s="43">
        <v>0</v>
      </c>
      <c r="R83" s="38" t="s">
        <v>104</v>
      </c>
      <c r="S83" s="38"/>
      <c r="T83" s="38"/>
      <c r="W83" s="15" t="str">
        <f>IF(IFERROR(VLOOKUP($M83,'IMPORT GS-Tür OL FL 2S2 20'!$H$2:$H$847,1,0),"-")="-","","GS")</f>
        <v>GS</v>
      </c>
      <c r="Z83" s="59" t="str">
        <f>IF(OR($M83="",NOT($O83="{array}")),"",IFERROR(MATCH(PARAMETERS!$M83,DEFAULT!$B$5:$CG$5,0),""))</f>
        <v/>
      </c>
      <c r="AA83" s="56" t="str">
        <f t="shared" si="0"/>
        <v/>
      </c>
      <c r="AB83" s="63" t="str">
        <f>IF(AND(OR($A83="G",$A83="P"),NOT($O83="{array}")),IF(VLOOKUP($K83,base!$B$2:$D$20,3,0)="S",IF(OR($O83="",ISTEXT($O83)),"","STRING!"),IF(VLOOKUP($K83,base!$B$2:$D$20,3,0)="","",IF(ISTEXT($O83),"NUMERIC!",""))),"")</f>
        <v/>
      </c>
      <c r="AC83" s="17" t="str">
        <f>IF($AA83="","",IF($B83="I",VLOOKUP($AA83,#REF!,53,0),INDEX(VALUES!$B$1:$BR$1,1,$AA83)))</f>
        <v/>
      </c>
    </row>
    <row r="84" spans="1:29" hidden="1" outlineLevel="1" x14ac:dyDescent="0.3">
      <c r="A84" s="22" t="s">
        <v>84</v>
      </c>
      <c r="B84" s="41" t="str">
        <f t="shared" si="3"/>
        <v/>
      </c>
      <c r="C84" s="42">
        <f t="shared" si="5"/>
        <v>83</v>
      </c>
      <c r="D84" s="38"/>
      <c r="E84" s="38"/>
      <c r="F84" s="38" t="s">
        <v>9</v>
      </c>
      <c r="G84" s="38"/>
      <c r="H84" s="38" t="s">
        <v>9</v>
      </c>
      <c r="I84" s="38"/>
      <c r="J84" s="38"/>
      <c r="K84" s="14" t="s">
        <v>47</v>
      </c>
      <c r="L84" s="14" t="s">
        <v>27</v>
      </c>
      <c r="M84" s="20" t="s">
        <v>462</v>
      </c>
      <c r="N84" s="14" t="s">
        <v>463</v>
      </c>
      <c r="O84" s="43">
        <v>0</v>
      </c>
      <c r="R84" s="38" t="s">
        <v>104</v>
      </c>
      <c r="S84" s="38"/>
      <c r="T84" s="38"/>
      <c r="W84" s="15" t="str">
        <f>IF(IFERROR(VLOOKUP($M84,'IMPORT GS-Tür OL FL 2S2 20'!$H$2:$H$847,1,0),"-")="-","","GS")</f>
        <v>GS</v>
      </c>
      <c r="Z84" s="59" t="str">
        <f>IF(OR($M84="",NOT($O84="{array}")),"",IFERROR(MATCH(PARAMETERS!$M84,DEFAULT!$B$5:$CG$5,0),""))</f>
        <v/>
      </c>
      <c r="AA84" s="56" t="str">
        <f t="shared" si="0"/>
        <v/>
      </c>
      <c r="AB84" s="63" t="str">
        <f>IF(AND(OR($A84="G",$A84="P"),NOT($O84="{array}")),IF(VLOOKUP($K84,base!$B$2:$D$20,3,0)="S",IF(OR($O84="",ISTEXT($O84)),"","STRING!"),IF(VLOOKUP($K84,base!$B$2:$D$20,3,0)="","",IF(ISTEXT($O84),"NUMERIC!",""))),"")</f>
        <v/>
      </c>
      <c r="AC84" s="17" t="str">
        <f>IF($AA84="","",IF($B84="I",VLOOKUP($AA84,#REF!,53,0),INDEX(VALUES!$B$1:$BR$1,1,$AA84)))</f>
        <v/>
      </c>
    </row>
    <row r="85" spans="1:29" collapsed="1" x14ac:dyDescent="0.3">
      <c r="A85" s="22" t="s">
        <v>84</v>
      </c>
      <c r="B85" s="41" t="str">
        <f t="shared" si="3"/>
        <v/>
      </c>
      <c r="C85" s="42">
        <f t="shared" si="5"/>
        <v>84</v>
      </c>
      <c r="D85" s="38"/>
      <c r="E85" s="38"/>
      <c r="F85" s="38" t="s">
        <v>9</v>
      </c>
      <c r="G85" s="38"/>
      <c r="H85" s="38"/>
      <c r="I85" s="38"/>
      <c r="J85" s="38"/>
      <c r="K85" s="14" t="s">
        <v>57</v>
      </c>
      <c r="L85" s="14" t="s">
        <v>38</v>
      </c>
      <c r="M85" s="48" t="s">
        <v>465</v>
      </c>
      <c r="N85" s="41" t="s">
        <v>466</v>
      </c>
      <c r="R85" s="38" t="s">
        <v>104</v>
      </c>
      <c r="S85" s="38"/>
      <c r="T85" s="38"/>
      <c r="W85" s="15" t="str">
        <f>IF(IFERROR(VLOOKUP($M85,'IMPORT GS-Tür OL FL 2S2 20'!$H$2:$H$847,1,0),"-")="-","","GS")</f>
        <v>GS</v>
      </c>
      <c r="Z85" s="59" t="str">
        <f>IF(OR($M85="",NOT($O85="{array}")),"",IFERROR(MATCH(PARAMETERS!$M85,DEFAULT!$B$5:$CG$5,0),""))</f>
        <v/>
      </c>
      <c r="AA85" s="56" t="str">
        <f t="shared" si="0"/>
        <v/>
      </c>
      <c r="AB85" s="63" t="str">
        <f>IF(AND(OR($A85="G",$A85="P"),NOT($O85="{array}")),IF(VLOOKUP($K85,base!$B$2:$D$20,3,0)="S",IF(OR($O85="",ISTEXT($O85)),"","STRING!"),IF(VLOOKUP($K85,base!$B$2:$D$20,3,0)="","",IF(ISTEXT($O85),"NUMERIC!",""))),"")</f>
        <v/>
      </c>
      <c r="AC85" s="17" t="str">
        <f>IF($AA85="","",IF($B85="I",VLOOKUP($AA85,#REF!,53,0),INDEX(VALUES!$B$1:$BR$1,1,$AA85)))</f>
        <v/>
      </c>
    </row>
    <row r="86" spans="1:29" hidden="1" outlineLevel="1" x14ac:dyDescent="0.3">
      <c r="A86" s="22" t="s">
        <v>84</v>
      </c>
      <c r="B86" s="41" t="str">
        <f t="shared" si="3"/>
        <v/>
      </c>
      <c r="C86" s="42">
        <f t="shared" si="5"/>
        <v>85</v>
      </c>
      <c r="D86" s="38"/>
      <c r="E86" s="38"/>
      <c r="F86" s="38" t="s">
        <v>9</v>
      </c>
      <c r="G86" s="38"/>
      <c r="H86" s="38"/>
      <c r="I86" s="38" t="s">
        <v>9</v>
      </c>
      <c r="J86" s="38"/>
      <c r="K86" s="14" t="s">
        <v>24</v>
      </c>
      <c r="L86" s="14" t="s">
        <v>27</v>
      </c>
      <c r="M86" s="152" t="s">
        <v>467</v>
      </c>
      <c r="N86" s="14" t="s">
        <v>468</v>
      </c>
      <c r="O86" s="43">
        <v>0.04</v>
      </c>
      <c r="R86" s="38" t="s">
        <v>104</v>
      </c>
      <c r="S86" s="38"/>
      <c r="T86" s="38"/>
      <c r="W86" s="15" t="str">
        <f>IF(IFERROR(VLOOKUP($M86,'IMPORT GS-Tür OL FL 2S2 20'!$H$2:$H$847,1,0),"-")="-","","GS")</f>
        <v>GS</v>
      </c>
      <c r="Y86" s="14" t="s">
        <v>469</v>
      </c>
      <c r="Z86" s="59" t="str">
        <f>IF(OR($M86="",NOT($O86="{array}")),"",IFERROR(MATCH(PARAMETERS!$M86,DEFAULT!$B$5:$CG$5,0),""))</f>
        <v/>
      </c>
      <c r="AA86" s="56" t="str">
        <f t="shared" si="0"/>
        <v/>
      </c>
      <c r="AB86" s="63" t="str">
        <f>IF(AND(OR($A86="G",$A86="P"),NOT($O86="{array}")),IF(VLOOKUP($K86,base!$B$2:$D$20,3,0)="S",IF(OR($O86="",ISTEXT($O86)),"","STRING!"),IF(VLOOKUP($K86,base!$B$2:$D$20,3,0)="","",IF(ISTEXT($O86),"NUMERIC!",""))),"")</f>
        <v/>
      </c>
      <c r="AC86" s="17" t="str">
        <f>IF($AA86="","",IF($B86="I",VLOOKUP($AA86,#REF!,53,0),INDEX(VALUES!$B$1:$BR$1,1,$AA86)))</f>
        <v/>
      </c>
    </row>
    <row r="87" spans="1:29" hidden="1" outlineLevel="1" x14ac:dyDescent="0.3">
      <c r="A87" s="22" t="s">
        <v>84</v>
      </c>
      <c r="B87" s="41" t="str">
        <f t="shared" si="3"/>
        <v/>
      </c>
      <c r="C87" s="42">
        <f t="shared" si="5"/>
        <v>86</v>
      </c>
      <c r="D87" s="38"/>
      <c r="E87" s="38"/>
      <c r="F87" s="38" t="s">
        <v>9</v>
      </c>
      <c r="G87" s="38"/>
      <c r="H87" s="38"/>
      <c r="I87" s="38" t="s">
        <v>9</v>
      </c>
      <c r="J87" s="38"/>
      <c r="K87" s="14" t="s">
        <v>24</v>
      </c>
      <c r="L87" s="14" t="s">
        <v>27</v>
      </c>
      <c r="M87" s="152" t="s">
        <v>470</v>
      </c>
      <c r="N87" s="14" t="s">
        <v>471</v>
      </c>
      <c r="O87" s="43">
        <v>0.05</v>
      </c>
      <c r="R87" s="38" t="s">
        <v>104</v>
      </c>
      <c r="S87" s="38"/>
      <c r="T87" s="38"/>
      <c r="W87" s="15" t="str">
        <f>IF(IFERROR(VLOOKUP($M87,'IMPORT GS-Tür OL FL 2S2 20'!$H$2:$H$847,1,0),"-")="-","","GS")</f>
        <v>GS</v>
      </c>
      <c r="Y87" s="14" t="s">
        <v>472</v>
      </c>
      <c r="Z87" s="59" t="str">
        <f>IF(OR($M87="",NOT($O87="{array}")),"",IFERROR(MATCH(PARAMETERS!$M87,DEFAULT!$B$5:$CG$5,0),""))</f>
        <v/>
      </c>
      <c r="AA87" s="56" t="str">
        <f t="shared" si="0"/>
        <v/>
      </c>
      <c r="AB87" s="63" t="str">
        <f>IF(AND(OR($A87="G",$A87="P"),NOT($O87="{array}")),IF(VLOOKUP($K87,base!$B$2:$D$20,3,0)="S",IF(OR($O87="",ISTEXT($O87)),"","STRING!"),IF(VLOOKUP($K87,base!$B$2:$D$20,3,0)="","",IF(ISTEXT($O87),"NUMERIC!",""))),"")</f>
        <v/>
      </c>
      <c r="AC87" s="17" t="str">
        <f>IF($AA87="","",IF($B87="I",VLOOKUP($AA87,#REF!,53,0),INDEX(VALUES!$B$1:$BR$1,1,$AA87)))</f>
        <v/>
      </c>
    </row>
    <row r="88" spans="1:29" hidden="1" outlineLevel="1" x14ac:dyDescent="0.3">
      <c r="A88" s="22" t="s">
        <v>84</v>
      </c>
      <c r="B88" s="41" t="str">
        <f t="shared" si="3"/>
        <v/>
      </c>
      <c r="C88" s="42">
        <f t="shared" si="5"/>
        <v>87</v>
      </c>
      <c r="D88" s="38"/>
      <c r="E88" s="38"/>
      <c r="F88" s="38" t="s">
        <v>9</v>
      </c>
      <c r="G88" s="38"/>
      <c r="H88" s="38"/>
      <c r="I88" s="38" t="s">
        <v>9</v>
      </c>
      <c r="J88" s="38"/>
      <c r="K88" s="14" t="s">
        <v>24</v>
      </c>
      <c r="L88" s="14" t="s">
        <v>27</v>
      </c>
      <c r="M88" s="152" t="s">
        <v>473</v>
      </c>
      <c r="N88" s="14" t="s">
        <v>474</v>
      </c>
      <c r="O88" s="43">
        <v>0</v>
      </c>
      <c r="R88" s="38" t="s">
        <v>104</v>
      </c>
      <c r="S88" s="38"/>
      <c r="T88" s="38"/>
      <c r="W88" s="15" t="str">
        <f>IF(IFERROR(VLOOKUP($M88,'IMPORT GS-Tür OL FL 2S2 20'!$H$2:$H$847,1,0),"-")="-","","GS")</f>
        <v>GS</v>
      </c>
      <c r="Y88" s="14" t="s">
        <v>475</v>
      </c>
      <c r="Z88" s="59" t="str">
        <f>IF(OR($M88="",NOT($O88="{array}")),"",IFERROR(MATCH(PARAMETERS!$M88,DEFAULT!$B$5:$CG$5,0),""))</f>
        <v/>
      </c>
      <c r="AA88" s="56" t="str">
        <f t="shared" si="0"/>
        <v/>
      </c>
      <c r="AB88" s="63" t="str">
        <f>IF(AND(OR($A88="G",$A88="P"),NOT($O88="{array}")),IF(VLOOKUP($K88,base!$B$2:$D$20,3,0)="S",IF(OR($O88="",ISTEXT($O88)),"","STRING!"),IF(VLOOKUP($K88,base!$B$2:$D$20,3,0)="","",IF(ISTEXT($O88),"NUMERIC!",""))),"")</f>
        <v/>
      </c>
      <c r="AC88" s="17" t="str">
        <f>IF($AA88="","",IF($B88="I",VLOOKUP($AA88,#REF!,53,0),INDEX(VALUES!$B$1:$BR$1,1,$AA88)))</f>
        <v/>
      </c>
    </row>
    <row r="89" spans="1:29" hidden="1" outlineLevel="1" x14ac:dyDescent="0.3">
      <c r="A89" s="22" t="s">
        <v>84</v>
      </c>
      <c r="B89" s="41" t="str">
        <f t="shared" si="3"/>
        <v/>
      </c>
      <c r="C89" s="42">
        <f t="shared" si="5"/>
        <v>88</v>
      </c>
      <c r="D89" s="38"/>
      <c r="E89" s="38"/>
      <c r="F89" s="38" t="s">
        <v>9</v>
      </c>
      <c r="G89" s="38" t="s">
        <v>9</v>
      </c>
      <c r="H89" s="38"/>
      <c r="I89" s="38" t="s">
        <v>9</v>
      </c>
      <c r="J89" s="38"/>
      <c r="K89" s="14" t="s">
        <v>24</v>
      </c>
      <c r="L89" s="14" t="s">
        <v>27</v>
      </c>
      <c r="M89" s="20" t="s">
        <v>476</v>
      </c>
      <c r="N89" s="14" t="s">
        <v>477</v>
      </c>
      <c r="O89" s="43">
        <v>0</v>
      </c>
      <c r="R89" s="38" t="s">
        <v>104</v>
      </c>
      <c r="S89" s="38"/>
      <c r="T89" s="38"/>
      <c r="W89" s="15" t="str">
        <f>IF(IFERROR(VLOOKUP($M89,'IMPORT GS-Tür OL FL 2S2 20'!$H$2:$H$847,1,0),"-")="-","","GS")</f>
        <v>GS</v>
      </c>
      <c r="Y89" s="14" t="s">
        <v>478</v>
      </c>
      <c r="Z89" s="59" t="str">
        <f>IF(OR($M89="",NOT($O89="{array}")),"",IFERROR(MATCH(PARAMETERS!$M89,DEFAULT!$B$5:$CG$5,0),""))</f>
        <v/>
      </c>
      <c r="AA89" s="56" t="str">
        <f t="shared" si="0"/>
        <v/>
      </c>
      <c r="AB89" s="63" t="str">
        <f>IF(AND(OR($A89="G",$A89="P"),NOT($O89="{array}")),IF(VLOOKUP($K89,base!$B$2:$D$20,3,0)="S",IF(OR($O89="",ISTEXT($O89)),"","STRING!"),IF(VLOOKUP($K89,base!$B$2:$D$20,3,0)="","",IF(ISTEXT($O89),"NUMERIC!",""))),"")</f>
        <v/>
      </c>
      <c r="AC89" s="17" t="str">
        <f>IF($AA89="","",IF($B89="I",VLOOKUP($AA89,#REF!,53,0),INDEX(VALUES!$B$1:$BR$1,1,$AA89)))</f>
        <v/>
      </c>
    </row>
    <row r="90" spans="1:29" hidden="1" outlineLevel="1" x14ac:dyDescent="0.25">
      <c r="A90" s="22"/>
      <c r="B90" s="41" t="str">
        <f t="shared" si="3"/>
        <v/>
      </c>
      <c r="C90" s="42">
        <f t="shared" si="5"/>
        <v>89</v>
      </c>
      <c r="D90" s="38"/>
      <c r="E90" s="38"/>
      <c r="F90" s="38"/>
      <c r="G90" s="38"/>
      <c r="H90" s="38"/>
      <c r="I90" s="38" t="s">
        <v>9</v>
      </c>
      <c r="J90" s="38"/>
      <c r="K90" s="197" t="s">
        <v>24</v>
      </c>
      <c r="L90" s="192" t="s">
        <v>27</v>
      </c>
      <c r="M90" s="197" t="s">
        <v>479</v>
      </c>
      <c r="N90" s="197" t="s">
        <v>270</v>
      </c>
      <c r="O90" s="197" t="s">
        <v>270</v>
      </c>
      <c r="P90" s="199" t="s">
        <v>124</v>
      </c>
      <c r="Q90" s="201" t="s">
        <v>9</v>
      </c>
      <c r="R90" s="200" t="s">
        <v>103</v>
      </c>
      <c r="S90" s="200" t="s">
        <v>112</v>
      </c>
      <c r="T90" s="197" t="s">
        <v>270</v>
      </c>
      <c r="U90" s="197" t="s">
        <v>270</v>
      </c>
      <c r="V90" s="197" t="s">
        <v>479</v>
      </c>
      <c r="W90" s="195" t="str">
        <f>IF(IFERROR(VLOOKUP($M90,'IMPORT GS-Tür OL FL 2S2 20'!$H$2:$H$847,1,0),"-")="-","","GS")</f>
        <v/>
      </c>
      <c r="X90" s="199" t="s">
        <v>270</v>
      </c>
      <c r="Y90" s="197" t="s">
        <v>480</v>
      </c>
      <c r="Z90" s="59" t="str">
        <f>IF(OR($M90="",NOT($O90="{array}")),"",IFERROR(MATCH(PARAMETERS!$M90,DEFAULT!$B$5:$CG$5,0),""))</f>
        <v/>
      </c>
      <c r="AA90" s="56" t="str">
        <f t="shared" si="0"/>
        <v/>
      </c>
      <c r="AB90" s="63" t="str">
        <f>IF(AND(OR($A90="G",$A90="P"),NOT($O90="{array}")),IF(VLOOKUP($K90,base!$B$2:$D$20,3,0)="S",IF(OR($O90="",ISTEXT($O90)),"","STRING!"),IF(VLOOKUP($K90,base!$B$2:$D$20,3,0)="","",IF(ISTEXT($O90),"NUMERIC!",""))),"")</f>
        <v/>
      </c>
      <c r="AC90" s="17" t="str">
        <f>IF($AA90="","",IF($B90="I",VLOOKUP($AA90,#REF!,53,0),INDEX(VALUES!$B$1:$BR$1,1,$AA90)))</f>
        <v/>
      </c>
    </row>
    <row r="91" spans="1:29" hidden="1" outlineLevel="1" x14ac:dyDescent="0.3">
      <c r="A91" s="22" t="s">
        <v>84</v>
      </c>
      <c r="B91" s="41" t="str">
        <f t="shared" si="3"/>
        <v/>
      </c>
      <c r="C91" s="42">
        <f t="shared" si="5"/>
        <v>90</v>
      </c>
      <c r="D91" s="38"/>
      <c r="E91" s="38"/>
      <c r="F91" s="38" t="s">
        <v>9</v>
      </c>
      <c r="G91" s="38"/>
      <c r="H91" s="38"/>
      <c r="I91" s="38" t="s">
        <v>9</v>
      </c>
      <c r="J91" s="38"/>
      <c r="K91" s="14" t="s">
        <v>24</v>
      </c>
      <c r="L91" s="14" t="s">
        <v>27</v>
      </c>
      <c r="M91" s="20" t="s">
        <v>481</v>
      </c>
      <c r="N91" s="14" t="s">
        <v>482</v>
      </c>
      <c r="O91" s="43">
        <v>0</v>
      </c>
      <c r="Q91" s="38" t="s">
        <v>9</v>
      </c>
      <c r="R91" s="38" t="s">
        <v>104</v>
      </c>
      <c r="S91" s="38"/>
      <c r="T91" s="38"/>
      <c r="W91" s="15" t="str">
        <f>IF(IFERROR(VLOOKUP($M91,'IMPORT GS-Tür OL FL 2S2 20'!$H$2:$H$847,1,0),"-")="-","","GS")</f>
        <v>GS</v>
      </c>
      <c r="Z91" s="59" t="str">
        <f>IF(OR($M91="",NOT($O91="{array}")),"",IFERROR(MATCH(PARAMETERS!$M91,DEFAULT!$B$5:$CG$5,0),""))</f>
        <v/>
      </c>
      <c r="AA91" s="56" t="str">
        <f t="shared" si="0"/>
        <v/>
      </c>
      <c r="AB91" s="63" t="str">
        <f>IF(AND(OR($A91="G",$A91="P"),NOT($O91="{array}")),IF(VLOOKUP($K91,base!$B$2:$D$20,3,0)="S",IF(OR($O91="",ISTEXT($O91)),"","STRING!"),IF(VLOOKUP($K91,base!$B$2:$D$20,3,0)="","",IF(ISTEXT($O91),"NUMERIC!",""))),"")</f>
        <v/>
      </c>
      <c r="AC91" s="17" t="str">
        <f>IF($AA91="","",IF($B91="I",VLOOKUP($AA91,#REF!,53,0),INDEX(VALUES!$B$1:$BR$1,1,$AA91)))</f>
        <v/>
      </c>
    </row>
    <row r="92" spans="1:29" hidden="1" outlineLevel="1" x14ac:dyDescent="0.3">
      <c r="A92" s="22" t="s">
        <v>84</v>
      </c>
      <c r="B92" s="41" t="str">
        <f t="shared" si="3"/>
        <v/>
      </c>
      <c r="C92" s="42">
        <f t="shared" si="5"/>
        <v>91</v>
      </c>
      <c r="D92" s="38"/>
      <c r="E92" s="38"/>
      <c r="F92" s="38" t="s">
        <v>9</v>
      </c>
      <c r="G92" s="38"/>
      <c r="H92" s="38"/>
      <c r="I92" s="38" t="s">
        <v>9</v>
      </c>
      <c r="J92" s="38"/>
      <c r="K92" s="14" t="s">
        <v>24</v>
      </c>
      <c r="L92" s="14" t="s">
        <v>27</v>
      </c>
      <c r="M92" s="20" t="s">
        <v>483</v>
      </c>
      <c r="N92" s="14" t="s">
        <v>484</v>
      </c>
      <c r="O92" s="43">
        <v>0</v>
      </c>
      <c r="Q92" s="38" t="s">
        <v>9</v>
      </c>
      <c r="R92" s="38" t="s">
        <v>104</v>
      </c>
      <c r="S92" s="38"/>
      <c r="T92" s="38"/>
      <c r="W92" s="15" t="str">
        <f>IF(IFERROR(VLOOKUP($M92,'IMPORT GS-Tür OL FL 2S2 20'!$H$2:$H$847,1,0),"-")="-","","GS")</f>
        <v>GS</v>
      </c>
      <c r="Z92" s="59" t="str">
        <f>IF(OR($M92="",NOT($O92="{array}")),"",IFERROR(MATCH(PARAMETERS!$M92,DEFAULT!$B$5:$CG$5,0),""))</f>
        <v/>
      </c>
      <c r="AA92" s="56" t="str">
        <f t="shared" si="0"/>
        <v/>
      </c>
      <c r="AB92" s="63" t="str">
        <f>IF(AND(OR($A92="G",$A92="P"),NOT($O92="{array}")),IF(VLOOKUP($K92,base!$B$2:$D$20,3,0)="S",IF(OR($O92="",ISTEXT($O92)),"","STRING!"),IF(VLOOKUP($K92,base!$B$2:$D$20,3,0)="","",IF(ISTEXT($O92),"NUMERIC!",""))),"")</f>
        <v/>
      </c>
      <c r="AC92" s="17" t="str">
        <f>IF($AA92="","",IF($B92="I",VLOOKUP($AA92,#REF!,53,0),INDEX(VALUES!$B$1:$BR$1,1,$AA92)))</f>
        <v/>
      </c>
    </row>
    <row r="93" spans="1:29" hidden="1" outlineLevel="1" x14ac:dyDescent="0.3">
      <c r="A93" s="22" t="s">
        <v>84</v>
      </c>
      <c r="B93" s="41" t="str">
        <f t="shared" si="3"/>
        <v/>
      </c>
      <c r="C93" s="42">
        <f t="shared" si="5"/>
        <v>92</v>
      </c>
      <c r="D93" s="38"/>
      <c r="E93" s="38"/>
      <c r="F93" s="38" t="s">
        <v>9</v>
      </c>
      <c r="G93" s="38"/>
      <c r="H93" s="38"/>
      <c r="I93" s="38" t="s">
        <v>9</v>
      </c>
      <c r="J93" s="38"/>
      <c r="K93" s="14" t="s">
        <v>24</v>
      </c>
      <c r="L93" s="14" t="s">
        <v>27</v>
      </c>
      <c r="M93" s="20" t="s">
        <v>485</v>
      </c>
      <c r="N93" s="14" t="s">
        <v>486</v>
      </c>
      <c r="O93" s="43">
        <v>0</v>
      </c>
      <c r="Q93" s="38" t="s">
        <v>9</v>
      </c>
      <c r="R93" s="38" t="s">
        <v>104</v>
      </c>
      <c r="S93" s="38"/>
      <c r="T93" s="38"/>
      <c r="W93" s="15" t="str">
        <f>IF(IFERROR(VLOOKUP($M93,'IMPORT GS-Tür OL FL 2S2 20'!$H$2:$H$847,1,0),"-")="-","","GS")</f>
        <v>GS</v>
      </c>
      <c r="Z93" s="59" t="str">
        <f>IF(OR($M93="",NOT($O93="{array}")),"",IFERROR(MATCH(PARAMETERS!$M93,DEFAULT!$B$5:$CG$5,0),""))</f>
        <v/>
      </c>
      <c r="AA93" s="56" t="str">
        <f t="shared" si="0"/>
        <v/>
      </c>
      <c r="AB93" s="63" t="str">
        <f>IF(AND(OR($A93="G",$A93="P"),NOT($O93="{array}")),IF(VLOOKUP($K93,base!$B$2:$D$20,3,0)="S",IF(OR($O93="",ISTEXT($O93)),"","STRING!"),IF(VLOOKUP($K93,base!$B$2:$D$20,3,0)="","",IF(ISTEXT($O93),"NUMERIC!",""))),"")</f>
        <v/>
      </c>
      <c r="AC93" s="17" t="str">
        <f>IF($AA93="","",IF($B93="I",VLOOKUP($AA93,#REF!,53,0),INDEX(VALUES!$B$1:$BR$1,1,$AA93)))</f>
        <v/>
      </c>
    </row>
    <row r="94" spans="1:29" hidden="1" outlineLevel="1" x14ac:dyDescent="0.3">
      <c r="A94" s="22" t="s">
        <v>84</v>
      </c>
      <c r="B94" s="41" t="str">
        <f t="shared" si="3"/>
        <v/>
      </c>
      <c r="C94" s="42">
        <f t="shared" si="5"/>
        <v>93</v>
      </c>
      <c r="D94" s="38"/>
      <c r="E94" s="38"/>
      <c r="F94" s="38" t="s">
        <v>9</v>
      </c>
      <c r="G94" s="38"/>
      <c r="H94" s="38"/>
      <c r="I94" s="38" t="s">
        <v>9</v>
      </c>
      <c r="J94" s="38"/>
      <c r="K94" s="14" t="s">
        <v>24</v>
      </c>
      <c r="L94" s="14" t="s">
        <v>27</v>
      </c>
      <c r="M94" s="20" t="s">
        <v>487</v>
      </c>
      <c r="N94" s="14" t="s">
        <v>488</v>
      </c>
      <c r="O94" s="43">
        <v>0</v>
      </c>
      <c r="Q94" s="38" t="s">
        <v>9</v>
      </c>
      <c r="R94" s="38" t="s">
        <v>104</v>
      </c>
      <c r="S94" s="38"/>
      <c r="T94" s="38"/>
      <c r="W94" s="15" t="str">
        <f>IF(IFERROR(VLOOKUP($M94,'IMPORT GS-Tür OL FL 2S2 20'!$H$2:$H$847,1,0),"-")="-","","GS")</f>
        <v>GS</v>
      </c>
      <c r="Z94" s="59" t="str">
        <f>IF(OR($M94="",NOT($O94="{array}")),"",IFERROR(MATCH(PARAMETERS!$M94,DEFAULT!$B$5:$CG$5,0),""))</f>
        <v/>
      </c>
      <c r="AA94" s="56" t="str">
        <f t="shared" si="0"/>
        <v/>
      </c>
      <c r="AB94" s="63" t="str">
        <f>IF(AND(OR($A94="G",$A94="P"),NOT($O94="{array}")),IF(VLOOKUP($K94,base!$B$2:$D$20,3,0)="S",IF(OR($O94="",ISTEXT($O94)),"","STRING!"),IF(VLOOKUP($K94,base!$B$2:$D$20,3,0)="","",IF(ISTEXT($O94),"NUMERIC!",""))),"")</f>
        <v/>
      </c>
      <c r="AC94" s="17" t="str">
        <f>IF($AA94="","",IF($B94="I",VLOOKUP($AA94,#REF!,53,0),INDEX(VALUES!$B$1:$BR$1,1,$AA94)))</f>
        <v/>
      </c>
    </row>
    <row r="95" spans="1:29" hidden="1" outlineLevel="1" x14ac:dyDescent="0.3">
      <c r="A95" s="22" t="s">
        <v>84</v>
      </c>
      <c r="B95" s="41" t="str">
        <f t="shared" si="3"/>
        <v/>
      </c>
      <c r="C95" s="42">
        <f t="shared" si="5"/>
        <v>94</v>
      </c>
      <c r="D95" s="38"/>
      <c r="E95" s="38"/>
      <c r="F95" s="38" t="s">
        <v>9</v>
      </c>
      <c r="G95" s="38"/>
      <c r="H95" s="38"/>
      <c r="I95" s="38" t="s">
        <v>9</v>
      </c>
      <c r="J95" s="38"/>
      <c r="K95" s="14" t="s">
        <v>24</v>
      </c>
      <c r="L95" s="14" t="s">
        <v>27</v>
      </c>
      <c r="M95" s="20" t="s">
        <v>489</v>
      </c>
      <c r="N95" s="14" t="s">
        <v>490</v>
      </c>
      <c r="O95" s="43">
        <v>0</v>
      </c>
      <c r="Q95" s="38" t="s">
        <v>9</v>
      </c>
      <c r="R95" s="38" t="s">
        <v>104</v>
      </c>
      <c r="S95" s="38"/>
      <c r="T95" s="38"/>
      <c r="W95" s="15" t="str">
        <f>IF(IFERROR(VLOOKUP($M95,'IMPORT GS-Tür OL FL 2S2 20'!$H$2:$H$847,1,0),"-")="-","","GS")</f>
        <v>GS</v>
      </c>
      <c r="Z95" s="59" t="str">
        <f>IF(OR($M95="",NOT($O95="{array}")),"",IFERROR(MATCH(PARAMETERS!$M95,DEFAULT!$B$5:$CG$5,0),""))</f>
        <v/>
      </c>
      <c r="AA95" s="56" t="str">
        <f t="shared" si="0"/>
        <v/>
      </c>
      <c r="AB95" s="63" t="str">
        <f>IF(AND(OR($A95="G",$A95="P"),NOT($O95="{array}")),IF(VLOOKUP($K95,base!$B$2:$D$20,3,0)="S",IF(OR($O95="",ISTEXT($O95)),"","STRING!"),IF(VLOOKUP($K95,base!$B$2:$D$20,3,0)="","",IF(ISTEXT($O95),"NUMERIC!",""))),"")</f>
        <v/>
      </c>
      <c r="AC95" s="17" t="str">
        <f>IF($AA95="","",IF($B95="I",VLOOKUP($AA95,#REF!,53,0),INDEX(VALUES!$B$1:$BR$1,1,$AA95)))</f>
        <v/>
      </c>
    </row>
    <row r="96" spans="1:29" hidden="1" outlineLevel="1" x14ac:dyDescent="0.3">
      <c r="A96" s="22" t="s">
        <v>84</v>
      </c>
      <c r="B96" s="41" t="str">
        <f t="shared" si="3"/>
        <v/>
      </c>
      <c r="C96" s="42">
        <f t="shared" si="5"/>
        <v>95</v>
      </c>
      <c r="D96" s="38"/>
      <c r="E96" s="38"/>
      <c r="F96" s="38" t="s">
        <v>9</v>
      </c>
      <c r="G96" s="38"/>
      <c r="H96" s="38"/>
      <c r="I96" s="38" t="s">
        <v>9</v>
      </c>
      <c r="J96" s="38"/>
      <c r="K96" s="14" t="s">
        <v>24</v>
      </c>
      <c r="L96" s="14" t="s">
        <v>27</v>
      </c>
      <c r="M96" s="20" t="s">
        <v>491</v>
      </c>
      <c r="N96" s="14" t="s">
        <v>492</v>
      </c>
      <c r="O96" s="43">
        <v>0</v>
      </c>
      <c r="Q96" s="38" t="s">
        <v>9</v>
      </c>
      <c r="R96" s="38" t="s">
        <v>104</v>
      </c>
      <c r="S96" s="38"/>
      <c r="T96" s="38"/>
      <c r="W96" s="15" t="str">
        <f>IF(IFERROR(VLOOKUP($M96,'IMPORT GS-Tür OL FL 2S2 20'!$H$2:$H$847,1,0),"-")="-","","GS")</f>
        <v>GS</v>
      </c>
      <c r="Z96" s="59" t="str">
        <f>IF(OR($M96="",NOT($O96="{array}")),"",IFERROR(MATCH(PARAMETERS!$M96,DEFAULT!$B$5:$CG$5,0),""))</f>
        <v/>
      </c>
      <c r="AA96" s="56" t="str">
        <f t="shared" si="0"/>
        <v/>
      </c>
      <c r="AB96" s="63" t="str">
        <f>IF(AND(OR($A96="G",$A96="P"),NOT($O96="{array}")),IF(VLOOKUP($K96,base!$B$2:$D$20,3,0)="S",IF(OR($O96="",ISTEXT($O96)),"","STRING!"),IF(VLOOKUP($K96,base!$B$2:$D$20,3,0)="","",IF(ISTEXT($O96),"NUMERIC!",""))),"")</f>
        <v/>
      </c>
      <c r="AC96" s="17" t="str">
        <f>IF($AA96="","",IF($B96="I",VLOOKUP($AA96,#REF!,53,0),INDEX(VALUES!$B$1:$BR$1,1,$AA96)))</f>
        <v/>
      </c>
    </row>
    <row r="97" spans="1:29" hidden="1" outlineLevel="1" x14ac:dyDescent="0.3">
      <c r="A97" s="22" t="s">
        <v>84</v>
      </c>
      <c r="B97" s="41" t="str">
        <f t="shared" si="3"/>
        <v/>
      </c>
      <c r="C97" s="42">
        <f t="shared" si="5"/>
        <v>96</v>
      </c>
      <c r="D97" s="38"/>
      <c r="E97" s="38"/>
      <c r="F97" s="38" t="s">
        <v>9</v>
      </c>
      <c r="G97" s="38" t="s">
        <v>9</v>
      </c>
      <c r="H97" s="38"/>
      <c r="I97" s="38" t="s">
        <v>9</v>
      </c>
      <c r="J97" s="38"/>
      <c r="K97" s="14" t="s">
        <v>24</v>
      </c>
      <c r="L97" s="14" t="s">
        <v>27</v>
      </c>
      <c r="M97" s="20" t="s">
        <v>493</v>
      </c>
      <c r="N97" s="14" t="s">
        <v>494</v>
      </c>
      <c r="O97" s="43">
        <v>0</v>
      </c>
      <c r="Q97" s="38" t="s">
        <v>9</v>
      </c>
      <c r="R97" s="38" t="s">
        <v>104</v>
      </c>
      <c r="S97" s="38"/>
      <c r="T97" s="38"/>
      <c r="W97" s="15" t="str">
        <f>IF(IFERROR(VLOOKUP($M97,'IMPORT GS-Tür OL FL 2S2 20'!$H$2:$H$847,1,0),"-")="-","","GS")</f>
        <v>GS</v>
      </c>
      <c r="Z97" s="59" t="str">
        <f>IF(OR($M97="",NOT($O97="{array}")),"",IFERROR(MATCH(PARAMETERS!$M97,DEFAULT!$B$5:$CG$5,0),""))</f>
        <v/>
      </c>
      <c r="AA97" s="56" t="str">
        <f t="shared" si="0"/>
        <v/>
      </c>
      <c r="AB97" s="63" t="str">
        <f>IF(AND(OR($A97="G",$A97="P"),NOT($O97="{array}")),IF(VLOOKUP($K97,base!$B$2:$D$20,3,0)="S",IF(OR($O97="",ISTEXT($O97)),"","STRING!"),IF(VLOOKUP($K97,base!$B$2:$D$20,3,0)="","",IF(ISTEXT($O97),"NUMERIC!",""))),"")</f>
        <v/>
      </c>
      <c r="AC97" s="17" t="str">
        <f>IF($AA97="","",IF($B97="I",VLOOKUP($AA97,#REF!,53,0),INDEX(VALUES!$B$1:$BR$1,1,$AA97)))</f>
        <v/>
      </c>
    </row>
    <row r="98" spans="1:29" hidden="1" outlineLevel="1" x14ac:dyDescent="0.3">
      <c r="A98" s="22" t="s">
        <v>84</v>
      </c>
      <c r="B98" s="41" t="str">
        <f t="shared" si="3"/>
        <v/>
      </c>
      <c r="C98" s="42">
        <f t="shared" si="5"/>
        <v>97</v>
      </c>
      <c r="D98" s="38"/>
      <c r="E98" s="38"/>
      <c r="F98" s="38" t="s">
        <v>9</v>
      </c>
      <c r="G98" s="38" t="s">
        <v>9</v>
      </c>
      <c r="H98" s="38"/>
      <c r="I98" s="38" t="s">
        <v>9</v>
      </c>
      <c r="J98" s="38"/>
      <c r="K98" s="14" t="s">
        <v>24</v>
      </c>
      <c r="L98" s="14" t="s">
        <v>27</v>
      </c>
      <c r="M98" s="20" t="s">
        <v>495</v>
      </c>
      <c r="N98" s="14" t="s">
        <v>496</v>
      </c>
      <c r="O98" s="43">
        <v>0</v>
      </c>
      <c r="Q98" s="38" t="s">
        <v>9</v>
      </c>
      <c r="R98" s="38" t="s">
        <v>104</v>
      </c>
      <c r="S98" s="38"/>
      <c r="T98" s="38"/>
      <c r="W98" s="15" t="str">
        <f>IF(IFERROR(VLOOKUP($M98,'IMPORT GS-Tür OL FL 2S2 20'!$H$2:$H$847,1,0),"-")="-","","GS")</f>
        <v>GS</v>
      </c>
      <c r="Z98" s="59" t="str">
        <f>IF(OR($M98="",NOT($O98="{array}")),"",IFERROR(MATCH(PARAMETERS!$M98,DEFAULT!$B$5:$CG$5,0),""))</f>
        <v/>
      </c>
      <c r="AA98" s="56" t="str">
        <f t="shared" si="0"/>
        <v/>
      </c>
      <c r="AB98" s="63" t="str">
        <f>IF(AND(OR($A98="G",$A98="P"),NOT($O98="{array}")),IF(VLOOKUP($K98,base!$B$2:$D$20,3,0)="S",IF(OR($O98="",ISTEXT($O98)),"","STRING!"),IF(VLOOKUP($K98,base!$B$2:$D$20,3,0)="","",IF(ISTEXT($O98),"NUMERIC!",""))),"")</f>
        <v/>
      </c>
      <c r="AC98" s="17" t="str">
        <f>IF($AA98="","",IF($B98="I",VLOOKUP($AA98,#REF!,53,0),INDEX(VALUES!$B$1:$BR$1,1,$AA98)))</f>
        <v/>
      </c>
    </row>
    <row r="99" spans="1:29" hidden="1" outlineLevel="1" x14ac:dyDescent="0.25">
      <c r="A99" s="22" t="s">
        <v>84</v>
      </c>
      <c r="B99" s="41" t="str">
        <f t="shared" ref="B99:B124" si="6">IF($A99="P",IF(NOT($Z99=""),"A",IF(NOT($AA99=""),"I","")),IF(NOT($AA99=""),IF($A99="G","V","X"),IF(NOT($Z99=""),"A","")))</f>
        <v/>
      </c>
      <c r="C99" s="42">
        <f t="shared" si="5"/>
        <v>98</v>
      </c>
      <c r="D99" s="38"/>
      <c r="E99" s="38"/>
      <c r="F99" s="38" t="s">
        <v>9</v>
      </c>
      <c r="G99" s="38"/>
      <c r="H99" s="38"/>
      <c r="I99" s="38" t="s">
        <v>9</v>
      </c>
      <c r="J99" s="38"/>
      <c r="K99" s="14" t="s">
        <v>24</v>
      </c>
      <c r="L99" s="14" t="s">
        <v>27</v>
      </c>
      <c r="M99" s="152" t="s">
        <v>497</v>
      </c>
      <c r="N99" s="14" t="s">
        <v>498</v>
      </c>
      <c r="O99" s="43">
        <v>2.62</v>
      </c>
      <c r="P99" s="161" t="s">
        <v>127</v>
      </c>
      <c r="Q99" s="38" t="s">
        <v>9</v>
      </c>
      <c r="R99" s="38" t="s">
        <v>104</v>
      </c>
      <c r="S99" s="172" t="s">
        <v>112</v>
      </c>
      <c r="T99" s="171" t="s">
        <v>270</v>
      </c>
      <c r="U99" s="167" t="s">
        <v>270</v>
      </c>
      <c r="V99" s="167" t="s">
        <v>499</v>
      </c>
      <c r="W99" s="15" t="str">
        <f>IF(IFERROR(VLOOKUP($M99,'IMPORT GS-Tür OL FL 2S2 20'!$H$2:$H$847,1,0),"-")="-","","GS")</f>
        <v>GS</v>
      </c>
      <c r="X99" s="161">
        <v>21</v>
      </c>
      <c r="Y99" s="167" t="s">
        <v>500</v>
      </c>
      <c r="Z99" s="59" t="str">
        <f>IF(OR($M99="",NOT($O99="{array}")),"",IFERROR(MATCH(PARAMETERS!$M99,DEFAULT!$B$5:$CG$5,0),""))</f>
        <v/>
      </c>
      <c r="AA99" s="56" t="str">
        <f t="shared" si="0"/>
        <v/>
      </c>
      <c r="AB99" s="63" t="str">
        <f>IF(AND(OR($A99="G",$A99="P"),NOT($O99="{array}")),IF(VLOOKUP($K99,base!$B$2:$D$20,3,0)="S",IF(OR($O99="",ISTEXT($O99)),"","STRING!"),IF(VLOOKUP($K99,base!$B$2:$D$20,3,0)="","",IF(ISTEXT($O99),"NUMERIC!",""))),"")</f>
        <v/>
      </c>
      <c r="AC99" s="17" t="str">
        <f>IF($AA99="","",IF($B99="I",VLOOKUP($AA99,#REF!,53,0),INDEX(VALUES!$B$1:$BR$1,1,$AA99)))</f>
        <v/>
      </c>
    </row>
    <row r="100" spans="1:29" hidden="1" outlineLevel="1" x14ac:dyDescent="0.25">
      <c r="A100" s="22" t="s">
        <v>84</v>
      </c>
      <c r="B100" s="41" t="str">
        <f t="shared" si="6"/>
        <v/>
      </c>
      <c r="C100" s="42">
        <f t="shared" si="5"/>
        <v>99</v>
      </c>
      <c r="D100" s="38"/>
      <c r="E100" s="38"/>
      <c r="F100" s="38" t="s">
        <v>9</v>
      </c>
      <c r="G100" s="38"/>
      <c r="H100" s="38"/>
      <c r="I100" s="38" t="s">
        <v>9</v>
      </c>
      <c r="J100" s="38"/>
      <c r="K100" s="14" t="s">
        <v>24</v>
      </c>
      <c r="L100" s="14" t="s">
        <v>27</v>
      </c>
      <c r="M100" s="152" t="s">
        <v>501</v>
      </c>
      <c r="N100" s="14" t="s">
        <v>502</v>
      </c>
      <c r="O100" s="43">
        <v>2.5649999999999999</v>
      </c>
      <c r="P100" s="161" t="s">
        <v>127</v>
      </c>
      <c r="Q100" s="38" t="s">
        <v>9</v>
      </c>
      <c r="R100" s="38" t="s">
        <v>104</v>
      </c>
      <c r="S100" s="172" t="s">
        <v>112</v>
      </c>
      <c r="T100" s="171" t="s">
        <v>270</v>
      </c>
      <c r="U100" s="167" t="s">
        <v>270</v>
      </c>
      <c r="V100" s="167" t="s">
        <v>503</v>
      </c>
      <c r="W100" s="15" t="str">
        <f>IF(IFERROR(VLOOKUP($M100,'IMPORT GS-Tür OL FL 2S2 20'!$H$2:$H$847,1,0),"-")="-","","GS")</f>
        <v>GS</v>
      </c>
      <c r="X100" s="161">
        <v>22</v>
      </c>
      <c r="Y100" s="167" t="s">
        <v>504</v>
      </c>
      <c r="Z100" s="59" t="str">
        <f>IF(OR($M100="",NOT($O100="{array}")),"",IFERROR(MATCH(PARAMETERS!$M100,DEFAULT!$B$5:$CG$5,0),""))</f>
        <v/>
      </c>
      <c r="AA100" s="56" t="str">
        <f t="shared" si="0"/>
        <v/>
      </c>
      <c r="AB100" s="63" t="str">
        <f>IF(AND(OR($A100="G",$A100="P"),NOT($O100="{array}")),IF(VLOOKUP($K100,base!$B$2:$D$20,3,0)="S",IF(OR($O100="",ISTEXT($O100)),"","STRING!"),IF(VLOOKUP($K100,base!$B$2:$D$20,3,0)="","",IF(ISTEXT($O100),"NUMERIC!",""))),"")</f>
        <v/>
      </c>
      <c r="AC100" s="17" t="str">
        <f>IF($AA100="","",IF($B100="I",VLOOKUP($AA100,#REF!,53,0),INDEX(VALUES!$B$1:$BR$1,1,$AA100)))</f>
        <v/>
      </c>
    </row>
    <row r="101" spans="1:29" hidden="1" outlineLevel="1" x14ac:dyDescent="0.3">
      <c r="A101" s="22" t="s">
        <v>84</v>
      </c>
      <c r="B101" s="41" t="str">
        <f t="shared" si="6"/>
        <v/>
      </c>
      <c r="C101" s="42">
        <f t="shared" si="5"/>
        <v>100</v>
      </c>
      <c r="D101" s="38"/>
      <c r="E101" s="38"/>
      <c r="F101" s="38" t="s">
        <v>9</v>
      </c>
      <c r="G101" s="38" t="s">
        <v>9</v>
      </c>
      <c r="H101" s="38"/>
      <c r="I101" s="38" t="s">
        <v>9</v>
      </c>
      <c r="J101" s="38" t="s">
        <v>9</v>
      </c>
      <c r="K101" s="14" t="s">
        <v>24</v>
      </c>
      <c r="L101" s="14" t="s">
        <v>27</v>
      </c>
      <c r="M101" s="20" t="s">
        <v>505</v>
      </c>
      <c r="N101" s="14" t="s">
        <v>502</v>
      </c>
      <c r="O101" s="43">
        <v>2.5649999999999999</v>
      </c>
      <c r="Q101" s="38" t="s">
        <v>9</v>
      </c>
      <c r="R101" s="38" t="s">
        <v>104</v>
      </c>
      <c r="S101" s="38"/>
      <c r="T101" s="38"/>
      <c r="W101" s="15" t="str">
        <f>IF(IFERROR(VLOOKUP($M101,'IMPORT GS-Tür OL FL 2S2 20'!$H$2:$H$847,1,0),"-")="-","","GS")</f>
        <v>GS</v>
      </c>
      <c r="Z101" s="59" t="str">
        <f>IF(OR($M101="",NOT($O101="{array}")),"",IFERROR(MATCH(PARAMETERS!$M101,DEFAULT!$B$5:$CG$5,0),""))</f>
        <v/>
      </c>
      <c r="AA101" s="56" t="str">
        <f t="shared" si="0"/>
        <v/>
      </c>
      <c r="AB101" s="63" t="str">
        <f>IF(AND(OR($A101="G",$A101="P"),NOT($O101="{array}")),IF(VLOOKUP($K101,base!$B$2:$D$20,3,0)="S",IF(OR($O101="",ISTEXT($O101)),"","STRING!"),IF(VLOOKUP($K101,base!$B$2:$D$20,3,0)="","",IF(ISTEXT($O101),"NUMERIC!",""))),"")</f>
        <v/>
      </c>
      <c r="AC101" s="17" t="str">
        <f>IF($AA101="","",IF($B101="I",VLOOKUP($AA101,#REF!,53,0),INDEX(VALUES!$B$1:$BR$1,1,$AA101)))</f>
        <v/>
      </c>
    </row>
    <row r="102" spans="1:29" hidden="1" outlineLevel="1" x14ac:dyDescent="0.3">
      <c r="A102" s="22" t="s">
        <v>84</v>
      </c>
      <c r="B102" s="41" t="str">
        <f t="shared" si="6"/>
        <v/>
      </c>
      <c r="C102" s="42">
        <f t="shared" si="5"/>
        <v>101</v>
      </c>
      <c r="D102" s="38"/>
      <c r="E102" s="38"/>
      <c r="F102" s="38" t="s">
        <v>9</v>
      </c>
      <c r="G102" s="38"/>
      <c r="H102" s="38"/>
      <c r="I102" s="38" t="s">
        <v>9</v>
      </c>
      <c r="J102" s="38"/>
      <c r="K102" s="14" t="s">
        <v>24</v>
      </c>
      <c r="L102" s="14" t="s">
        <v>27</v>
      </c>
      <c r="M102" s="152" t="s">
        <v>506</v>
      </c>
      <c r="N102" s="14" t="s">
        <v>507</v>
      </c>
      <c r="O102" s="43">
        <v>2.5099999999999998</v>
      </c>
      <c r="Q102" s="38" t="s">
        <v>9</v>
      </c>
      <c r="R102" s="38" t="s">
        <v>104</v>
      </c>
      <c r="S102" s="38"/>
      <c r="T102" s="38"/>
      <c r="W102" s="15" t="str">
        <f>IF(IFERROR(VLOOKUP($M102,'IMPORT GS-Tür OL FL 2S2 20'!$H$2:$H$847,1,0),"-")="-","","GS")</f>
        <v>GS</v>
      </c>
      <c r="Z102" s="59" t="str">
        <f>IF(OR($M102="",NOT($O102="{array}")),"",IFERROR(MATCH(PARAMETERS!$M102,DEFAULT!$B$5:$CG$5,0),""))</f>
        <v/>
      </c>
      <c r="AA102" s="56" t="str">
        <f t="shared" si="0"/>
        <v/>
      </c>
      <c r="AB102" s="63" t="str">
        <f>IF(AND(OR($A102="G",$A102="P"),NOT($O102="{array}")),IF(VLOOKUP($K102,base!$B$2:$D$20,3,0)="S",IF(OR($O102="",ISTEXT($O102)),"","STRING!"),IF(VLOOKUP($K102,base!$B$2:$D$20,3,0)="","",IF(ISTEXT($O102),"NUMERIC!",""))),"")</f>
        <v/>
      </c>
      <c r="AC102" s="17" t="str">
        <f>IF($AA102="","",IF($B102="I",VLOOKUP($AA102,#REF!,53,0),INDEX(VALUES!$B$1:$BR$1,1,$AA102)))</f>
        <v/>
      </c>
    </row>
    <row r="103" spans="1:29" hidden="1" outlineLevel="1" x14ac:dyDescent="0.3">
      <c r="A103" s="22" t="s">
        <v>84</v>
      </c>
      <c r="B103" s="41" t="str">
        <f t="shared" si="6"/>
        <v/>
      </c>
      <c r="C103" s="42">
        <f t="shared" si="5"/>
        <v>102</v>
      </c>
      <c r="D103" s="38"/>
      <c r="E103" s="38"/>
      <c r="F103" s="38" t="s">
        <v>9</v>
      </c>
      <c r="G103" s="38"/>
      <c r="H103" s="38"/>
      <c r="I103" s="38" t="s">
        <v>9</v>
      </c>
      <c r="J103" s="38"/>
      <c r="K103" s="14" t="s">
        <v>24</v>
      </c>
      <c r="L103" s="14" t="s">
        <v>27</v>
      </c>
      <c r="M103" s="152" t="s">
        <v>508</v>
      </c>
      <c r="N103" s="14" t="s">
        <v>509</v>
      </c>
      <c r="O103" s="43">
        <v>2.5099999999999998</v>
      </c>
      <c r="Q103" s="38" t="s">
        <v>9</v>
      </c>
      <c r="R103" s="38" t="s">
        <v>104</v>
      </c>
      <c r="S103" s="38"/>
      <c r="T103" s="38"/>
      <c r="W103" s="15" t="str">
        <f>IF(IFERROR(VLOOKUP($M103,'IMPORT GS-Tür OL FL 2S2 20'!$H$2:$H$847,1,0),"-")="-","","GS")</f>
        <v>GS</v>
      </c>
      <c r="Z103" s="59" t="str">
        <f>IF(OR($M103="",NOT($O103="{array}")),"",IFERROR(MATCH(PARAMETERS!$M103,DEFAULT!$B$5:$CG$5,0),""))</f>
        <v/>
      </c>
      <c r="AA103" s="56" t="str">
        <f t="shared" si="0"/>
        <v/>
      </c>
      <c r="AB103" s="63" t="str">
        <f>IF(AND(OR($A103="G",$A103="P"),NOT($O103="{array}")),IF(VLOOKUP($K103,base!$B$2:$D$20,3,0)="S",IF(OR($O103="",ISTEXT($O103)),"","STRING!"),IF(VLOOKUP($K103,base!$B$2:$D$20,3,0)="","",IF(ISTEXT($O103),"NUMERIC!",""))),"")</f>
        <v/>
      </c>
      <c r="AC103" s="17" t="str">
        <f>IF($AA103="","",IF($B103="I",VLOOKUP($AA103,#REF!,53,0),INDEX(VALUES!$B$1:$BR$1,1,$AA103)))</f>
        <v/>
      </c>
    </row>
    <row r="104" spans="1:29" hidden="1" outlineLevel="1" x14ac:dyDescent="0.3">
      <c r="A104" s="22" t="s">
        <v>84</v>
      </c>
      <c r="B104" s="41" t="str">
        <f t="shared" si="6"/>
        <v/>
      </c>
      <c r="C104" s="42">
        <f t="shared" si="5"/>
        <v>103</v>
      </c>
      <c r="D104" s="38"/>
      <c r="E104" s="38"/>
      <c r="F104" s="38" t="s">
        <v>9</v>
      </c>
      <c r="G104" s="38" t="s">
        <v>9</v>
      </c>
      <c r="H104" s="38"/>
      <c r="I104" s="38" t="s">
        <v>9</v>
      </c>
      <c r="J104" s="38" t="s">
        <v>9</v>
      </c>
      <c r="K104" s="14" t="s">
        <v>24</v>
      </c>
      <c r="L104" s="14" t="s">
        <v>27</v>
      </c>
      <c r="M104" s="20" t="s">
        <v>510</v>
      </c>
      <c r="N104" s="14" t="s">
        <v>509</v>
      </c>
      <c r="O104" s="43">
        <v>2.5099999999999998</v>
      </c>
      <c r="Q104" s="38" t="s">
        <v>9</v>
      </c>
      <c r="R104" s="38" t="s">
        <v>104</v>
      </c>
      <c r="S104" s="38"/>
      <c r="T104" s="38"/>
      <c r="W104" s="15" t="str">
        <f>IF(IFERROR(VLOOKUP($M104,'IMPORT GS-Tür OL FL 2S2 20'!$H$2:$H$847,1,0),"-")="-","","GS")</f>
        <v>GS</v>
      </c>
      <c r="Z104" s="59" t="str">
        <f>IF(OR($M104="",NOT($O104="{array}")),"",IFERROR(MATCH(PARAMETERS!$M104,DEFAULT!$B$5:$CG$5,0),""))</f>
        <v/>
      </c>
      <c r="AA104" s="56" t="str">
        <f t="shared" si="0"/>
        <v/>
      </c>
      <c r="AB104" s="63" t="str">
        <f>IF(AND(OR($A104="G",$A104="P"),NOT($O104="{array}")),IF(VLOOKUP($K104,base!$B$2:$D$20,3,0)="S",IF(OR($O104="",ISTEXT($O104)),"","STRING!"),IF(VLOOKUP($K104,base!$B$2:$D$20,3,0)="","",IF(ISTEXT($O104),"NUMERIC!",""))),"")</f>
        <v/>
      </c>
      <c r="AC104" s="17" t="str">
        <f>IF($AA104="","",IF($B104="I",VLOOKUP($AA104,#REF!,53,0),INDEX(VALUES!$B$1:$BR$1,1,$AA104)))</f>
        <v/>
      </c>
    </row>
    <row r="105" spans="1:29" hidden="1" outlineLevel="1" x14ac:dyDescent="0.3">
      <c r="A105" s="22" t="s">
        <v>84</v>
      </c>
      <c r="B105" s="41" t="str">
        <f t="shared" si="6"/>
        <v/>
      </c>
      <c r="C105" s="42">
        <f t="shared" si="5"/>
        <v>104</v>
      </c>
      <c r="D105" s="38"/>
      <c r="E105" s="38"/>
      <c r="F105" s="38" t="s">
        <v>9</v>
      </c>
      <c r="G105" s="38"/>
      <c r="H105" s="38"/>
      <c r="I105" s="38" t="s">
        <v>9</v>
      </c>
      <c r="J105" s="38"/>
      <c r="K105" s="14" t="s">
        <v>24</v>
      </c>
      <c r="L105" s="14" t="s">
        <v>27</v>
      </c>
      <c r="M105" s="152" t="s">
        <v>511</v>
      </c>
      <c r="N105" s="14" t="s">
        <v>512</v>
      </c>
      <c r="O105" s="43">
        <v>2.5299999999999998</v>
      </c>
      <c r="Q105" s="38" t="s">
        <v>9</v>
      </c>
      <c r="R105" s="38" t="s">
        <v>104</v>
      </c>
      <c r="S105" s="38"/>
      <c r="T105" s="38"/>
      <c r="W105" s="15" t="str">
        <f>IF(IFERROR(VLOOKUP($M105,'IMPORT GS-Tür OL FL 2S2 20'!$H$2:$H$847,1,0),"-")="-","","GS")</f>
        <v>GS</v>
      </c>
      <c r="Z105" s="59" t="str">
        <f>IF(OR($M105="",NOT($O105="{array}")),"",IFERROR(MATCH(PARAMETERS!$M105,DEFAULT!$B$5:$CG$5,0),""))</f>
        <v/>
      </c>
      <c r="AA105" s="56" t="str">
        <f t="shared" si="0"/>
        <v/>
      </c>
      <c r="AB105" s="63" t="str">
        <f>IF(AND(OR($A105="G",$A105="P"),NOT($O105="{array}")),IF(VLOOKUP($K105,base!$B$2:$D$20,3,0)="S",IF(OR($O105="",ISTEXT($O105)),"","STRING!"),IF(VLOOKUP($K105,base!$B$2:$D$20,3,0)="","",IF(ISTEXT($O105),"NUMERIC!",""))),"")</f>
        <v/>
      </c>
      <c r="AC105" s="17" t="str">
        <f>IF($AA105="","",IF($B105="I",VLOOKUP($AA105,#REF!,53,0),INDEX(VALUES!$B$1:$BR$1,1,$AA105)))</f>
        <v/>
      </c>
    </row>
    <row r="106" spans="1:29" hidden="1" outlineLevel="1" x14ac:dyDescent="0.3">
      <c r="A106" s="22" t="s">
        <v>84</v>
      </c>
      <c r="B106" s="41" t="str">
        <f t="shared" si="6"/>
        <v/>
      </c>
      <c r="C106" s="42">
        <f t="shared" si="5"/>
        <v>105</v>
      </c>
      <c r="D106" s="38"/>
      <c r="E106" s="38"/>
      <c r="F106" s="38" t="s">
        <v>9</v>
      </c>
      <c r="G106" s="38"/>
      <c r="H106" s="38"/>
      <c r="I106" s="38" t="s">
        <v>9</v>
      </c>
      <c r="J106" s="38"/>
      <c r="K106" s="14" t="s">
        <v>24</v>
      </c>
      <c r="L106" s="14" t="s">
        <v>27</v>
      </c>
      <c r="M106" s="152" t="s">
        <v>513</v>
      </c>
      <c r="N106" s="14" t="s">
        <v>514</v>
      </c>
      <c r="O106" s="43">
        <v>2.5649999999999999</v>
      </c>
      <c r="Q106" s="38" t="s">
        <v>9</v>
      </c>
      <c r="R106" s="38" t="s">
        <v>104</v>
      </c>
      <c r="S106" s="38"/>
      <c r="T106" s="38"/>
      <c r="W106" s="15" t="str">
        <f>IF(IFERROR(VLOOKUP($M106,'IMPORT GS-Tür OL FL 2S2 20'!$H$2:$H$847,1,0),"-")="-","","GS")</f>
        <v>GS</v>
      </c>
      <c r="Z106" s="59" t="str">
        <f>IF(OR($M106="",NOT($O106="{array}")),"",IFERROR(MATCH(PARAMETERS!$M106,DEFAULT!$B$5:$CG$5,0),""))</f>
        <v/>
      </c>
      <c r="AA106" s="56" t="str">
        <f t="shared" si="0"/>
        <v/>
      </c>
      <c r="AB106" s="63" t="str">
        <f>IF(AND(OR($A106="G",$A106="P"),NOT($O106="{array}")),IF(VLOOKUP($K106,base!$B$2:$D$20,3,0)="S",IF(OR($O106="",ISTEXT($O106)),"","STRING!"),IF(VLOOKUP($K106,base!$B$2:$D$20,3,0)="","",IF(ISTEXT($O106),"NUMERIC!",""))),"")</f>
        <v/>
      </c>
      <c r="AC106" s="17" t="str">
        <f>IF($AA106="","",IF($B106="I",VLOOKUP($AA106,#REF!,53,0),INDEX(VALUES!$B$1:$BR$1,1,$AA106)))</f>
        <v/>
      </c>
    </row>
    <row r="107" spans="1:29" hidden="1" outlineLevel="1" x14ac:dyDescent="0.3">
      <c r="A107" s="22" t="s">
        <v>84</v>
      </c>
      <c r="B107" s="41" t="str">
        <f t="shared" si="6"/>
        <v/>
      </c>
      <c r="C107" s="42">
        <f t="shared" si="5"/>
        <v>106</v>
      </c>
      <c r="D107" s="38"/>
      <c r="E107" s="38"/>
      <c r="F107" s="38" t="s">
        <v>9</v>
      </c>
      <c r="G107" s="38"/>
      <c r="H107" s="38"/>
      <c r="I107" s="38" t="s">
        <v>9</v>
      </c>
      <c r="J107" s="38" t="s">
        <v>9</v>
      </c>
      <c r="K107" s="14" t="s">
        <v>24</v>
      </c>
      <c r="L107" s="14" t="s">
        <v>27</v>
      </c>
      <c r="M107" s="152" t="s">
        <v>515</v>
      </c>
      <c r="N107" s="14" t="s">
        <v>516</v>
      </c>
      <c r="O107" s="43">
        <v>2.62</v>
      </c>
      <c r="Q107" s="38" t="s">
        <v>9</v>
      </c>
      <c r="R107" s="38" t="s">
        <v>104</v>
      </c>
      <c r="S107" s="38"/>
      <c r="T107" s="38"/>
      <c r="W107" s="15" t="str">
        <f>IF(IFERROR(VLOOKUP($M107,'IMPORT GS-Tür OL FL 2S2 20'!$H$2:$H$847,1,0),"-")="-","","GS")</f>
        <v>GS</v>
      </c>
      <c r="Z107" s="59" t="str">
        <f>IF(OR($M107="",NOT($O107="{array}")),"",IFERROR(MATCH(PARAMETERS!$M107,DEFAULT!$B$5:$CG$5,0),""))</f>
        <v/>
      </c>
      <c r="AA107" s="56" t="str">
        <f t="shared" si="0"/>
        <v/>
      </c>
      <c r="AB107" s="63" t="str">
        <f>IF(AND(OR($A107="G",$A107="P"),NOT($O107="{array}")),IF(VLOOKUP($K107,base!$B$2:$D$20,3,0)="S",IF(OR($O107="",ISTEXT($O107)),"","STRING!"),IF(VLOOKUP($K107,base!$B$2:$D$20,3,0)="","",IF(ISTEXT($O107),"NUMERIC!",""))),"")</f>
        <v/>
      </c>
      <c r="AC107" s="17" t="str">
        <f>IF($AA107="","",IF($B107="I",VLOOKUP($AA107,#REF!,53,0),INDEX(VALUES!$B$1:$BR$1,1,$AA107)))</f>
        <v/>
      </c>
    </row>
    <row r="108" spans="1:29" hidden="1" outlineLevel="1" x14ac:dyDescent="0.3">
      <c r="A108" s="22" t="s">
        <v>84</v>
      </c>
      <c r="B108" s="41" t="str">
        <f t="shared" si="6"/>
        <v/>
      </c>
      <c r="C108" s="42">
        <f t="shared" si="5"/>
        <v>107</v>
      </c>
      <c r="D108" s="38"/>
      <c r="E108" s="38"/>
      <c r="F108" s="38" t="s">
        <v>9</v>
      </c>
      <c r="G108" s="38"/>
      <c r="H108" s="38"/>
      <c r="I108" s="38" t="s">
        <v>9</v>
      </c>
      <c r="J108" s="38" t="s">
        <v>9</v>
      </c>
      <c r="K108" s="14" t="s">
        <v>24</v>
      </c>
      <c r="L108" s="14" t="s">
        <v>27</v>
      </c>
      <c r="M108" s="152" t="s">
        <v>517</v>
      </c>
      <c r="N108" s="14" t="s">
        <v>518</v>
      </c>
      <c r="O108" s="43">
        <v>2.5649999999999999</v>
      </c>
      <c r="Q108" s="38" t="s">
        <v>9</v>
      </c>
      <c r="R108" s="38" t="s">
        <v>104</v>
      </c>
      <c r="S108" s="38"/>
      <c r="T108" s="38"/>
      <c r="W108" s="15" t="str">
        <f>IF(IFERROR(VLOOKUP($M108,'IMPORT GS-Tür OL FL 2S2 20'!$H$2:$H$847,1,0),"-")="-","","GS")</f>
        <v>GS</v>
      </c>
      <c r="Z108" s="59" t="str">
        <f>IF(OR($M108="",NOT($O108="{array}")),"",IFERROR(MATCH(PARAMETERS!$M108,DEFAULT!$B$5:$CG$5,0),""))</f>
        <v/>
      </c>
      <c r="AA108" s="56" t="str">
        <f t="shared" si="0"/>
        <v/>
      </c>
      <c r="AB108" s="63" t="str">
        <f>IF(AND(OR($A108="G",$A108="P"),NOT($O108="{array}")),IF(VLOOKUP($K108,base!$B$2:$D$20,3,0)="S",IF(OR($O108="",ISTEXT($O108)),"","STRING!"),IF(VLOOKUP($K108,base!$B$2:$D$20,3,0)="","",IF(ISTEXT($O108),"NUMERIC!",""))),"")</f>
        <v/>
      </c>
      <c r="AC108" s="17" t="str">
        <f>IF($AA108="","",IF($B108="I",VLOOKUP($AA108,#REF!,53,0),INDEX(VALUES!$B$1:$BR$1,1,$AA108)))</f>
        <v/>
      </c>
    </row>
    <row r="109" spans="1:29" hidden="1" outlineLevel="1" x14ac:dyDescent="0.25">
      <c r="A109" s="22" t="s">
        <v>84</v>
      </c>
      <c r="B109" s="41" t="str">
        <f t="shared" si="6"/>
        <v/>
      </c>
      <c r="C109" s="42">
        <f t="shared" si="5"/>
        <v>108</v>
      </c>
      <c r="D109" s="38"/>
      <c r="E109" s="38"/>
      <c r="F109" s="38"/>
      <c r="G109" s="38"/>
      <c r="H109" s="38"/>
      <c r="I109" s="38" t="s">
        <v>9</v>
      </c>
      <c r="J109" s="38"/>
      <c r="K109" s="53" t="s">
        <v>24</v>
      </c>
      <c r="L109" s="53" t="s">
        <v>27</v>
      </c>
      <c r="M109" s="158" t="s">
        <v>2119</v>
      </c>
      <c r="N109" s="53" t="s">
        <v>2120</v>
      </c>
      <c r="O109" s="156">
        <v>0.98</v>
      </c>
      <c r="Q109" s="38" t="s">
        <v>9</v>
      </c>
      <c r="R109" s="179" t="s">
        <v>103</v>
      </c>
      <c r="S109" s="179" t="s">
        <v>112</v>
      </c>
      <c r="T109" s="38"/>
      <c r="V109" s="180"/>
      <c r="W109" s="15" t="s">
        <v>270</v>
      </c>
      <c r="X109" s="161"/>
      <c r="Y109" s="53" t="s">
        <v>2121</v>
      </c>
      <c r="Z109" s="59" t="str">
        <f>IF(OR($M109="",NOT($O109="{array}")),"",IFERROR(MATCH(PARAMETERS!$M109,DEFAULT!$B$5:$CG$5,0),""))</f>
        <v/>
      </c>
      <c r="AA109" s="56" t="str">
        <f t="shared" si="0"/>
        <v/>
      </c>
      <c r="AB109" s="63" t="str">
        <f>IF(AND(OR($A109="G",$A109="P"),NOT($O109="{array}")),IF(VLOOKUP($K109,base!$B$2:$D$20,3,0)="S",IF(OR($O109="",ISTEXT($O109)),"","STRING!"),IF(VLOOKUP($K109,base!$B$2:$D$20,3,0)="","",IF(ISTEXT($O109),"NUMERIC!",""))),"")</f>
        <v/>
      </c>
      <c r="AC109" s="17" t="str">
        <f>IF($AA109="","",IF($B109="I",VLOOKUP($AA109,#REF!,53,0),INDEX(VALUES!$B$1:$BR$1,1,$AA109)))</f>
        <v/>
      </c>
    </row>
    <row r="110" spans="1:29" hidden="1" outlineLevel="1" x14ac:dyDescent="0.25">
      <c r="A110" s="22" t="s">
        <v>84</v>
      </c>
      <c r="B110" s="41" t="str">
        <f t="shared" si="6"/>
        <v/>
      </c>
      <c r="C110" s="42">
        <f t="shared" si="5"/>
        <v>109</v>
      </c>
      <c r="D110" s="38"/>
      <c r="E110" s="38"/>
      <c r="F110" s="38"/>
      <c r="G110" s="38"/>
      <c r="H110" s="38"/>
      <c r="I110" s="38" t="s">
        <v>9</v>
      </c>
      <c r="J110" s="38"/>
      <c r="K110" s="53" t="s">
        <v>24</v>
      </c>
      <c r="L110" s="53" t="s">
        <v>27</v>
      </c>
      <c r="M110" s="158" t="s">
        <v>2122</v>
      </c>
      <c r="N110" s="53" t="s">
        <v>2123</v>
      </c>
      <c r="O110" s="156">
        <v>1.99</v>
      </c>
      <c r="Q110" s="38" t="s">
        <v>9</v>
      </c>
      <c r="R110" s="179" t="s">
        <v>103</v>
      </c>
      <c r="S110" s="179" t="s">
        <v>112</v>
      </c>
      <c r="T110" s="38"/>
      <c r="V110" s="180"/>
      <c r="W110" s="15" t="s">
        <v>270</v>
      </c>
      <c r="X110" s="161"/>
      <c r="Y110" s="53" t="s">
        <v>2124</v>
      </c>
      <c r="Z110" s="59" t="str">
        <f>IF(OR($M110="",NOT($O110="{array}")),"",IFERROR(MATCH(PARAMETERS!$M110,DEFAULT!$B$5:$CG$5,0),""))</f>
        <v/>
      </c>
      <c r="AA110" s="56" t="str">
        <f t="shared" si="0"/>
        <v/>
      </c>
      <c r="AB110" s="63" t="str">
        <f>IF(AND(OR($A110="G",$A110="P"),NOT($O110="{array}")),IF(VLOOKUP($K110,base!$B$2:$D$20,3,0)="S",IF(OR($O110="",ISTEXT($O110)),"","STRING!"),IF(VLOOKUP($K110,base!$B$2:$D$20,3,0)="","",IF(ISTEXT($O110),"NUMERIC!",""))),"")</f>
        <v/>
      </c>
      <c r="AC110" s="17" t="str">
        <f>IF($AA110="","",IF($B110="I",VLOOKUP($AA110,#REF!,53,0),INDEX(VALUES!$B$1:$BR$1,1,$AA110)))</f>
        <v/>
      </c>
    </row>
    <row r="111" spans="1:29" hidden="1" outlineLevel="1" x14ac:dyDescent="0.25">
      <c r="A111" s="22" t="s">
        <v>84</v>
      </c>
      <c r="B111" s="41" t="str">
        <f t="shared" si="6"/>
        <v/>
      </c>
      <c r="C111" s="42">
        <f t="shared" si="5"/>
        <v>110</v>
      </c>
      <c r="D111" s="38"/>
      <c r="E111" s="38"/>
      <c r="F111" s="38" t="s">
        <v>9</v>
      </c>
      <c r="G111" s="38"/>
      <c r="H111" s="38"/>
      <c r="I111" s="38" t="s">
        <v>9</v>
      </c>
      <c r="J111" s="38"/>
      <c r="K111" s="14" t="s">
        <v>24</v>
      </c>
      <c r="L111" s="14" t="s">
        <v>27</v>
      </c>
      <c r="M111" s="152" t="s">
        <v>519</v>
      </c>
      <c r="N111" s="14" t="s">
        <v>520</v>
      </c>
      <c r="O111" s="43">
        <v>1.3</v>
      </c>
      <c r="Q111" s="38" t="s">
        <v>9</v>
      </c>
      <c r="R111" s="38" t="s">
        <v>104</v>
      </c>
      <c r="S111" s="38"/>
      <c r="T111" s="38"/>
      <c r="V111" s="180"/>
      <c r="W111" s="15" t="str">
        <f>IF(IFERROR(VLOOKUP($M111,'IMPORT GS-Tür OL FL 2S2 20'!$H$2:$H$847,1,0),"-")="-","","GS")</f>
        <v>GS</v>
      </c>
      <c r="X111" s="161"/>
      <c r="Y111" s="14" t="s">
        <v>521</v>
      </c>
      <c r="Z111" s="59" t="str">
        <f>IF(OR($M111="",NOT($O111="{array}")),"",IFERROR(MATCH(PARAMETERS!$M111,DEFAULT!$B$5:$CG$5,0),""))</f>
        <v/>
      </c>
      <c r="AA111" s="56" t="str">
        <f t="shared" si="0"/>
        <v/>
      </c>
      <c r="AB111" s="63" t="str">
        <f>IF(AND(OR($A111="G",$A111="P"),NOT($O111="{array}")),IF(VLOOKUP($K111,base!$B$2:$D$20,3,0)="S",IF(OR($O111="",ISTEXT($O111)),"","STRING!"),IF(VLOOKUP($K111,base!$B$2:$D$20,3,0)="","",IF(ISTEXT($O111),"NUMERIC!",""))),"")</f>
        <v/>
      </c>
      <c r="AC111" s="17" t="str">
        <f>IF($AA111="","",IF($B111="I",VLOOKUP($AA111,#REF!,53,0),INDEX(VALUES!$B$1:$BR$1,1,$AA111)))</f>
        <v/>
      </c>
    </row>
    <row r="112" spans="1:29" hidden="1" outlineLevel="1" x14ac:dyDescent="0.25">
      <c r="A112" s="22" t="s">
        <v>84</v>
      </c>
      <c r="B112" s="41" t="str">
        <f t="shared" si="6"/>
        <v/>
      </c>
      <c r="C112" s="42">
        <f t="shared" si="5"/>
        <v>111</v>
      </c>
      <c r="D112" s="38"/>
      <c r="E112" s="38"/>
      <c r="F112" s="38" t="s">
        <v>9</v>
      </c>
      <c r="G112" s="38"/>
      <c r="H112" s="38"/>
      <c r="I112" s="38" t="s">
        <v>9</v>
      </c>
      <c r="J112" s="38"/>
      <c r="K112" s="14" t="s">
        <v>24</v>
      </c>
      <c r="L112" s="14" t="s">
        <v>27</v>
      </c>
      <c r="M112" s="152" t="s">
        <v>522</v>
      </c>
      <c r="N112" s="14" t="s">
        <v>523</v>
      </c>
      <c r="O112" s="43">
        <v>2.0649999999999999</v>
      </c>
      <c r="Q112" s="38" t="s">
        <v>9</v>
      </c>
      <c r="R112" s="38" t="s">
        <v>104</v>
      </c>
      <c r="S112" s="38"/>
      <c r="T112" s="38"/>
      <c r="V112" s="180"/>
      <c r="W112" s="15" t="str">
        <f>IF(IFERROR(VLOOKUP($M112,'IMPORT GS-Tür OL FL 2S2 20'!$H$2:$H$847,1,0),"-")="-","","GS")</f>
        <v>GS</v>
      </c>
      <c r="X112" s="161"/>
      <c r="Y112" s="14" t="s">
        <v>524</v>
      </c>
      <c r="Z112" s="59" t="str">
        <f>IF(OR($M112="",NOT($O112="{array}")),"",IFERROR(MATCH(PARAMETERS!$M112,DEFAULT!$B$5:$CG$5,0),""))</f>
        <v/>
      </c>
      <c r="AA112" s="56" t="str">
        <f t="shared" si="0"/>
        <v/>
      </c>
      <c r="AB112" s="63" t="str">
        <f>IF(AND(OR($A112="G",$A112="P"),NOT($O112="{array}")),IF(VLOOKUP($K112,base!$B$2:$D$20,3,0)="S",IF(OR($O112="",ISTEXT($O112)),"","STRING!"),IF(VLOOKUP($K112,base!$B$2:$D$20,3,0)="","",IF(ISTEXT($O112),"NUMERIC!",""))),"")</f>
        <v/>
      </c>
      <c r="AC112" s="17" t="str">
        <f>IF($AA112="","",IF($B112="I",VLOOKUP($AA112,#REF!,53,0),INDEX(VALUES!$B$1:$BR$1,1,$AA112)))</f>
        <v/>
      </c>
    </row>
    <row r="113" spans="1:29" hidden="1" outlineLevel="1" x14ac:dyDescent="0.3">
      <c r="A113" s="22" t="s">
        <v>84</v>
      </c>
      <c r="B113" s="41" t="str">
        <f t="shared" si="6"/>
        <v/>
      </c>
      <c r="C113" s="42">
        <f t="shared" si="5"/>
        <v>112</v>
      </c>
      <c r="D113" s="38"/>
      <c r="E113" s="38"/>
      <c r="F113" s="38"/>
      <c r="G113" s="38"/>
      <c r="H113" s="38"/>
      <c r="I113" s="38" t="s">
        <v>9</v>
      </c>
      <c r="J113" s="38"/>
      <c r="K113" s="160" t="s">
        <v>24</v>
      </c>
      <c r="L113" s="160" t="s">
        <v>27</v>
      </c>
      <c r="M113" s="176" t="s">
        <v>525</v>
      </c>
      <c r="N113" s="160" t="s">
        <v>526</v>
      </c>
      <c r="O113" s="160">
        <v>0.8</v>
      </c>
      <c r="P113" s="177" t="s">
        <v>270</v>
      </c>
      <c r="Q113" s="178"/>
      <c r="R113" s="179" t="s">
        <v>103</v>
      </c>
      <c r="S113" s="179" t="s">
        <v>112</v>
      </c>
      <c r="T113" s="160" t="s">
        <v>270</v>
      </c>
      <c r="U113" s="160" t="s">
        <v>270</v>
      </c>
      <c r="V113" s="180" t="s">
        <v>425</v>
      </c>
      <c r="W113" s="15" t="str">
        <f>IF(IFERROR(VLOOKUP($M113,'IMPORT GS-Tür OL FL 2S2 20'!$H$2:$H$847,1,0),"-")="-","","GS")</f>
        <v/>
      </c>
      <c r="X113" s="161">
        <v>44</v>
      </c>
      <c r="Y113" s="160" t="s">
        <v>527</v>
      </c>
      <c r="Z113" s="59" t="str">
        <f>IF(OR($M113="",NOT($O113="{array}")),"",IFERROR(MATCH(PARAMETERS!$M113,DEFAULT!$B$5:$CG$5,0),""))</f>
        <v/>
      </c>
      <c r="AA113" s="56" t="str">
        <f t="shared" si="0"/>
        <v/>
      </c>
      <c r="AB113" s="63" t="str">
        <f>IF(AND(OR($A113="G",$A113="P"),NOT($O113="{array}")),IF(VLOOKUP($K113,base!$B$2:$D$20,3,0)="S",IF(OR($O113="",ISTEXT($O113)),"","STRING!"),IF(VLOOKUP($K113,base!$B$2:$D$20,3,0)="","",IF(ISTEXT($O113),"NUMERIC!",""))),"")</f>
        <v/>
      </c>
      <c r="AC113" s="17" t="str">
        <f>IF($AA113="","",IF($B113="I",VLOOKUP($AA113,#REF!,53,0),INDEX(VALUES!$B$1:$BR$1,1,$AA113)))</f>
        <v/>
      </c>
    </row>
    <row r="114" spans="1:29" hidden="1" outlineLevel="1" x14ac:dyDescent="0.3">
      <c r="A114" s="22" t="s">
        <v>84</v>
      </c>
      <c r="B114" s="41" t="str">
        <f t="shared" si="6"/>
        <v/>
      </c>
      <c r="C114" s="42">
        <f t="shared" si="5"/>
        <v>113</v>
      </c>
      <c r="D114" s="38"/>
      <c r="E114" s="38"/>
      <c r="F114" s="38"/>
      <c r="G114" s="38"/>
      <c r="H114" s="38"/>
      <c r="I114" s="38" t="s">
        <v>9</v>
      </c>
      <c r="J114" s="38"/>
      <c r="K114" s="160" t="s">
        <v>24</v>
      </c>
      <c r="L114" s="160" t="s">
        <v>27</v>
      </c>
      <c r="M114" s="176" t="s">
        <v>528</v>
      </c>
      <c r="N114" s="160" t="s">
        <v>529</v>
      </c>
      <c r="O114" s="160">
        <v>2.0499999999999998</v>
      </c>
      <c r="P114" s="177" t="s">
        <v>270</v>
      </c>
      <c r="Q114" s="178"/>
      <c r="R114" s="179" t="s">
        <v>103</v>
      </c>
      <c r="S114" s="179" t="s">
        <v>112</v>
      </c>
      <c r="T114" s="160" t="s">
        <v>270</v>
      </c>
      <c r="U114" s="160" t="s">
        <v>270</v>
      </c>
      <c r="V114" s="180" t="s">
        <v>427</v>
      </c>
      <c r="W114" s="15" t="str">
        <f>IF(IFERROR(VLOOKUP($M114,'IMPORT GS-Tür OL FL 2S2 20'!$H$2:$H$847,1,0),"-")="-","","GS")</f>
        <v/>
      </c>
      <c r="X114" s="161">
        <v>45</v>
      </c>
      <c r="Y114" s="160" t="s">
        <v>527</v>
      </c>
      <c r="Z114" s="59" t="str">
        <f>IF(OR($M114="",NOT($O114="{array}")),"",IFERROR(MATCH(PARAMETERS!$M114,DEFAULT!$B$5:$CG$5,0),""))</f>
        <v/>
      </c>
      <c r="AA114" s="56" t="str">
        <f t="shared" si="0"/>
        <v/>
      </c>
      <c r="AB114" s="63" t="str">
        <f>IF(AND(OR($A114="G",$A114="P"),NOT($O114="{array}")),IF(VLOOKUP($K114,base!$B$2:$D$20,3,0)="S",IF(OR($O114="",ISTEXT($O114)),"","STRING!"),IF(VLOOKUP($K114,base!$B$2:$D$20,3,0)="","",IF(ISTEXT($O114),"NUMERIC!",""))),"")</f>
        <v/>
      </c>
      <c r="AC114" s="17" t="str">
        <f>IF($AA114="","",IF($B114="I",VLOOKUP($AA114,#REF!,53,0),INDEX(VALUES!$B$1:$BR$1,1,$AA114)))</f>
        <v/>
      </c>
    </row>
    <row r="115" spans="1:29" hidden="1" outlineLevel="1" x14ac:dyDescent="0.25">
      <c r="A115" s="22" t="s">
        <v>84</v>
      </c>
      <c r="B115" s="41" t="str">
        <f t="shared" si="6"/>
        <v/>
      </c>
      <c r="C115" s="42">
        <f t="shared" si="5"/>
        <v>114</v>
      </c>
      <c r="D115" s="38"/>
      <c r="E115" s="38"/>
      <c r="F115" s="38" t="s">
        <v>9</v>
      </c>
      <c r="G115" s="38"/>
      <c r="H115" s="38"/>
      <c r="I115" s="38" t="s">
        <v>9</v>
      </c>
      <c r="J115" s="38"/>
      <c r="K115" s="14" t="s">
        <v>24</v>
      </c>
      <c r="L115" s="14" t="s">
        <v>27</v>
      </c>
      <c r="M115" s="152" t="s">
        <v>530</v>
      </c>
      <c r="N115" s="14" t="s">
        <v>531</v>
      </c>
      <c r="O115" s="43">
        <v>1.33</v>
      </c>
      <c r="R115" s="38" t="s">
        <v>104</v>
      </c>
      <c r="S115" s="172" t="s">
        <v>112</v>
      </c>
      <c r="T115" s="167" t="s">
        <v>270</v>
      </c>
      <c r="U115" s="167" t="s">
        <v>270</v>
      </c>
      <c r="V115" s="167" t="s">
        <v>532</v>
      </c>
      <c r="W115" s="15" t="str">
        <f>IF(IFERROR(VLOOKUP($M115,'IMPORT GS-Tür OL FL 2S2 20'!$H$2:$H$847,1,0),"-")="-","","GS")</f>
        <v>GS</v>
      </c>
      <c r="X115" s="161" t="s">
        <v>270</v>
      </c>
      <c r="Y115" s="167" t="s">
        <v>533</v>
      </c>
      <c r="Z115" s="59" t="str">
        <f>IF(OR($M115="",NOT($O115="{array}")),"",IFERROR(MATCH(PARAMETERS!$M115,DEFAULT!$B$5:$CG$5,0),""))</f>
        <v/>
      </c>
      <c r="AA115" s="56" t="str">
        <f t="shared" si="0"/>
        <v/>
      </c>
      <c r="AB115" s="63" t="str">
        <f>IF(AND(OR($A115="G",$A115="P"),NOT($O115="{array}")),IF(VLOOKUP($K115,base!$B$2:$D$20,3,0)="S",IF(OR($O115="",ISTEXT($O115)),"","STRING!"),IF(VLOOKUP($K115,base!$B$2:$D$20,3,0)="","",IF(ISTEXT($O115),"NUMERIC!",""))),"")</f>
        <v/>
      </c>
      <c r="AC115" s="17" t="str">
        <f>IF($AA115="","",IF($B115="I",VLOOKUP($AA115,#REF!,53,0),INDEX(VALUES!$B$1:$BR$1,1,$AA115)))</f>
        <v/>
      </c>
    </row>
    <row r="116" spans="1:29" hidden="1" outlineLevel="1" x14ac:dyDescent="0.25">
      <c r="A116" s="22" t="s">
        <v>84</v>
      </c>
      <c r="B116" s="41" t="str">
        <f t="shared" si="6"/>
        <v/>
      </c>
      <c r="C116" s="42">
        <f t="shared" si="5"/>
        <v>115</v>
      </c>
      <c r="D116" s="38"/>
      <c r="E116" s="38"/>
      <c r="F116" s="38" t="s">
        <v>9</v>
      </c>
      <c r="G116" s="38"/>
      <c r="H116" s="38"/>
      <c r="I116" s="38" t="s">
        <v>9</v>
      </c>
      <c r="J116" s="38"/>
      <c r="K116" s="14" t="s">
        <v>24</v>
      </c>
      <c r="L116" s="14" t="s">
        <v>27</v>
      </c>
      <c r="M116" s="152" t="s">
        <v>534</v>
      </c>
      <c r="N116" s="14" t="s">
        <v>535</v>
      </c>
      <c r="O116" s="43">
        <v>2.0750000000000002</v>
      </c>
      <c r="R116" s="38" t="s">
        <v>104</v>
      </c>
      <c r="S116" s="172" t="s">
        <v>112</v>
      </c>
      <c r="T116" s="167" t="s">
        <v>270</v>
      </c>
      <c r="U116" s="167" t="s">
        <v>270</v>
      </c>
      <c r="V116" s="167" t="s">
        <v>536</v>
      </c>
      <c r="W116" s="15" t="str">
        <f>IF(IFERROR(VLOOKUP($M116,'IMPORT GS-Tür OL FL 2S2 20'!$H$2:$H$847,1,0),"-")="-","","GS")</f>
        <v>GS</v>
      </c>
      <c r="X116" s="161" t="s">
        <v>270</v>
      </c>
      <c r="Y116" s="167" t="s">
        <v>537</v>
      </c>
      <c r="Z116" s="59" t="str">
        <f>IF(OR($M116="",NOT($O116="{array}")),"",IFERROR(MATCH(PARAMETERS!$M116,DEFAULT!$B$5:$CG$5,0),""))</f>
        <v/>
      </c>
      <c r="AA116" s="56" t="str">
        <f t="shared" ref="AA116:AA123" si="7">IF($M116="","",IFERROR(MATCH($M116,VALUESnames,0),""))</f>
        <v/>
      </c>
      <c r="AB116" s="63" t="str">
        <f>IF(AND(OR($A116="G",$A116="P"),NOT($O116="{array}")),IF(VLOOKUP($K116,base!$B$2:$D$20,3,0)="S",IF(OR($O116="",ISTEXT($O116)),"","STRING!"),IF(VLOOKUP($K116,base!$B$2:$D$20,3,0)="","",IF(ISTEXT($O116),"NUMERIC!",""))),"")</f>
        <v/>
      </c>
      <c r="AC116" s="17" t="str">
        <f>IF($AA116="","",IF($B116="I",VLOOKUP($AA116,#REF!,53,0),INDEX(VALUES!$B$1:$BR$1,1,$AA116)))</f>
        <v/>
      </c>
    </row>
    <row r="117" spans="1:29" hidden="1" outlineLevel="1" x14ac:dyDescent="0.3">
      <c r="A117" s="22" t="s">
        <v>84</v>
      </c>
      <c r="B117" s="41" t="str">
        <f t="shared" si="6"/>
        <v/>
      </c>
      <c r="C117" s="42">
        <f t="shared" si="5"/>
        <v>116</v>
      </c>
      <c r="D117" s="38"/>
      <c r="E117" s="38"/>
      <c r="F117" s="38" t="s">
        <v>9</v>
      </c>
      <c r="G117" s="38" t="s">
        <v>9</v>
      </c>
      <c r="H117" s="38"/>
      <c r="I117" s="38" t="s">
        <v>9</v>
      </c>
      <c r="J117" s="38"/>
      <c r="K117" s="14" t="s">
        <v>44</v>
      </c>
      <c r="L117" s="14" t="s">
        <v>27</v>
      </c>
      <c r="M117" s="152" t="s">
        <v>538</v>
      </c>
      <c r="N117" s="14" t="s">
        <v>539</v>
      </c>
      <c r="O117" s="43">
        <v>1</v>
      </c>
      <c r="R117" s="38" t="s">
        <v>104</v>
      </c>
      <c r="S117" s="38"/>
      <c r="T117" s="38"/>
      <c r="W117" s="15" t="str">
        <f>IF(IFERROR(VLOOKUP($M117,'IMPORT GS-Tür OL FL 2S2 20'!$H$2:$H$847,1,0),"-")="-","","GS")</f>
        <v>GS</v>
      </c>
      <c r="Z117" s="59" t="str">
        <f>IF(OR($M117="",NOT($O117="{array}")),"",IFERROR(MATCH(PARAMETERS!$M117,DEFAULT!$B$5:$CG$5,0),""))</f>
        <v/>
      </c>
      <c r="AA117" s="56" t="str">
        <f t="shared" si="7"/>
        <v/>
      </c>
      <c r="AB117" s="63" t="str">
        <f>IF(AND(OR($A117="G",$A117="P"),NOT($O117="{array}")),IF(VLOOKUP($K117,base!$B$2:$D$20,3,0)="S",IF(OR($O117="",ISTEXT($O117)),"","STRING!"),IF(VLOOKUP($K117,base!$B$2:$D$20,3,0)="","",IF(ISTEXT($O117),"NUMERIC!",""))),"")</f>
        <v/>
      </c>
      <c r="AC117" s="17" t="str">
        <f>IF($AA117="","",IF($B117="I",VLOOKUP($AA117,#REF!,53,0),INDEX(VALUES!$B$1:$BR$1,1,$AA117)))</f>
        <v/>
      </c>
    </row>
    <row r="118" spans="1:29" hidden="1" outlineLevel="1" x14ac:dyDescent="0.3">
      <c r="A118" s="22"/>
      <c r="B118" s="41" t="str">
        <f t="shared" si="6"/>
        <v/>
      </c>
      <c r="C118" s="42">
        <f t="shared" si="5"/>
        <v>117</v>
      </c>
      <c r="D118" s="38"/>
      <c r="E118" s="38"/>
      <c r="F118" s="38" t="s">
        <v>9</v>
      </c>
      <c r="G118" s="38"/>
      <c r="H118" s="38"/>
      <c r="I118" s="38" t="s">
        <v>9</v>
      </c>
      <c r="J118" s="38"/>
      <c r="K118" s="205" t="s">
        <v>47</v>
      </c>
      <c r="L118" s="205" t="s">
        <v>27</v>
      </c>
      <c r="M118" s="193" t="s">
        <v>540</v>
      </c>
      <c r="N118" s="205" t="s">
        <v>541</v>
      </c>
      <c r="O118" s="206">
        <v>0</v>
      </c>
      <c r="P118" s="205"/>
      <c r="Q118" s="207"/>
      <c r="R118" s="207" t="s">
        <v>104</v>
      </c>
      <c r="S118" s="207"/>
      <c r="T118" s="207"/>
      <c r="U118" s="205"/>
      <c r="V118" s="205"/>
      <c r="W118" s="208" t="str">
        <f>IF(IFERROR(VLOOKUP($M118,'IMPORT GS-Tür OL FL 2S2 20'!$H$2:$H$847,1,0),"-")="-","","GS")</f>
        <v>GS</v>
      </c>
      <c r="X118" s="208"/>
      <c r="Y118" s="205"/>
      <c r="Z118" s="59" t="str">
        <f>IF(OR($M118="",NOT($O118="{array}")),"",IFERROR(MATCH(PARAMETERS!$M118,DEFAULT!$B$5:$CG$5,0),""))</f>
        <v/>
      </c>
      <c r="AA118" s="56" t="str">
        <f t="shared" si="7"/>
        <v/>
      </c>
      <c r="AB118" s="63" t="str">
        <f>IF(AND(OR($A118="G",$A118="P"),NOT($O118="{array}")),IF(VLOOKUP($K118,base!$B$2:$D$20,3,0)="S",IF(OR($O118="",ISTEXT($O118)),"","STRING!"),IF(VLOOKUP($K118,base!$B$2:$D$20,3,0)="","",IF(ISTEXT($O118),"NUMERIC!",""))),"")</f>
        <v/>
      </c>
      <c r="AC118" s="17" t="str">
        <f>IF($AA118="","",IF($B118="I",VLOOKUP($AA118,#REF!,53,0),INDEX(VALUES!$B$1:$BR$1,1,$AA118)))</f>
        <v/>
      </c>
    </row>
    <row r="119" spans="1:29" hidden="1" outlineLevel="1" x14ac:dyDescent="0.3">
      <c r="A119" s="22"/>
      <c r="B119" s="41" t="str">
        <f t="shared" si="6"/>
        <v/>
      </c>
      <c r="C119" s="42">
        <f t="shared" si="5"/>
        <v>118</v>
      </c>
      <c r="D119" s="38"/>
      <c r="E119" s="38"/>
      <c r="F119" s="38" t="s">
        <v>9</v>
      </c>
      <c r="G119" s="38"/>
      <c r="H119" s="38"/>
      <c r="I119" s="38" t="s">
        <v>9</v>
      </c>
      <c r="J119" s="38"/>
      <c r="K119" s="205" t="s">
        <v>47</v>
      </c>
      <c r="L119" s="205" t="s">
        <v>27</v>
      </c>
      <c r="M119" s="193" t="s">
        <v>542</v>
      </c>
      <c r="N119" s="205" t="s">
        <v>543</v>
      </c>
      <c r="O119" s="206">
        <v>1</v>
      </c>
      <c r="P119" s="205"/>
      <c r="Q119" s="207"/>
      <c r="R119" s="207" t="s">
        <v>104</v>
      </c>
      <c r="S119" s="207"/>
      <c r="T119" s="207"/>
      <c r="U119" s="205"/>
      <c r="V119" s="205"/>
      <c r="W119" s="208" t="str">
        <f>IF(IFERROR(VLOOKUP($M119,'IMPORT GS-Tür OL FL 2S2 20'!$H$2:$H$847,1,0),"-")="-","","GS")</f>
        <v>GS</v>
      </c>
      <c r="X119" s="208"/>
      <c r="Y119" s="205"/>
      <c r="Z119" s="59" t="str">
        <f>IF(OR($M119="",NOT($O119="{array}")),"",IFERROR(MATCH(PARAMETERS!$M119,DEFAULT!$B$5:$CG$5,0),""))</f>
        <v/>
      </c>
      <c r="AA119" s="56" t="str">
        <f t="shared" si="7"/>
        <v/>
      </c>
      <c r="AB119" s="63" t="str">
        <f>IF(AND(OR($A119="G",$A119="P"),NOT($O119="{array}")),IF(VLOOKUP($K119,base!$B$2:$D$20,3,0)="S",IF(OR($O119="",ISTEXT($O119)),"","STRING!"),IF(VLOOKUP($K119,base!$B$2:$D$20,3,0)="","",IF(ISTEXT($O119),"NUMERIC!",""))),"")</f>
        <v/>
      </c>
      <c r="AC119" s="17" t="str">
        <f>IF($AA119="","",IF($B119="I",VLOOKUP($AA119,#REF!,53,0),INDEX(VALUES!$B$1:$BR$1,1,$AA119)))</f>
        <v/>
      </c>
    </row>
    <row r="120" spans="1:29" hidden="1" outlineLevel="1" x14ac:dyDescent="0.3">
      <c r="A120" s="22"/>
      <c r="B120" s="41" t="str">
        <f t="shared" si="6"/>
        <v/>
      </c>
      <c r="C120" s="42">
        <f t="shared" si="5"/>
        <v>119</v>
      </c>
      <c r="D120" s="38"/>
      <c r="E120" s="38"/>
      <c r="F120" s="38" t="s">
        <v>9</v>
      </c>
      <c r="G120" s="38"/>
      <c r="H120" s="38"/>
      <c r="I120" s="38" t="s">
        <v>9</v>
      </c>
      <c r="J120" s="38"/>
      <c r="K120" s="205" t="s">
        <v>47</v>
      </c>
      <c r="L120" s="205" t="s">
        <v>27</v>
      </c>
      <c r="M120" s="193" t="s">
        <v>544</v>
      </c>
      <c r="N120" s="205" t="s">
        <v>545</v>
      </c>
      <c r="O120" s="206">
        <v>0</v>
      </c>
      <c r="P120" s="205"/>
      <c r="Q120" s="207"/>
      <c r="R120" s="207" t="s">
        <v>104</v>
      </c>
      <c r="S120" s="207"/>
      <c r="T120" s="207"/>
      <c r="U120" s="205"/>
      <c r="V120" s="205"/>
      <c r="W120" s="208" t="str">
        <f>IF(IFERROR(VLOOKUP($M120,'IMPORT GS-Tür OL FL 2S2 20'!$H$2:$H$847,1,0),"-")="-","","GS")</f>
        <v>GS</v>
      </c>
      <c r="X120" s="208"/>
      <c r="Y120" s="205"/>
      <c r="Z120" s="59" t="str">
        <f>IF(OR($M120="",NOT($O120="{array}")),"",IFERROR(MATCH(PARAMETERS!$M120,DEFAULT!$B$5:$CG$5,0),""))</f>
        <v/>
      </c>
      <c r="AA120" s="56" t="str">
        <f t="shared" si="7"/>
        <v/>
      </c>
      <c r="AB120" s="63" t="str">
        <f>IF(AND(OR($A120="G",$A120="P"),NOT($O120="{array}")),IF(VLOOKUP($K120,base!$B$2:$D$20,3,0)="S",IF(OR($O120="",ISTEXT($O120)),"","STRING!"),IF(VLOOKUP($K120,base!$B$2:$D$20,3,0)="","",IF(ISTEXT($O120),"NUMERIC!",""))),"")</f>
        <v/>
      </c>
      <c r="AC120" s="17" t="str">
        <f>IF($AA120="","",IF($B120="I",VLOOKUP($AA120,#REF!,53,0),INDEX(VALUES!$B$1:$BR$1,1,$AA120)))</f>
        <v/>
      </c>
    </row>
    <row r="121" spans="1:29" hidden="1" outlineLevel="1" x14ac:dyDescent="0.3">
      <c r="A121" s="22"/>
      <c r="B121" s="41" t="str">
        <f t="shared" si="6"/>
        <v/>
      </c>
      <c r="C121" s="42">
        <f t="shared" si="5"/>
        <v>120</v>
      </c>
      <c r="D121" s="38"/>
      <c r="E121" s="38"/>
      <c r="F121" s="38" t="s">
        <v>9</v>
      </c>
      <c r="G121" s="38"/>
      <c r="H121" s="38"/>
      <c r="I121" s="38" t="s">
        <v>9</v>
      </c>
      <c r="J121" s="38"/>
      <c r="K121" s="205" t="s">
        <v>47</v>
      </c>
      <c r="L121" s="205" t="s">
        <v>27</v>
      </c>
      <c r="M121" s="193" t="s">
        <v>546</v>
      </c>
      <c r="N121" s="205" t="s">
        <v>547</v>
      </c>
      <c r="O121" s="206">
        <v>0</v>
      </c>
      <c r="P121" s="205"/>
      <c r="Q121" s="207"/>
      <c r="R121" s="207" t="s">
        <v>104</v>
      </c>
      <c r="S121" s="207"/>
      <c r="T121" s="207"/>
      <c r="U121" s="205"/>
      <c r="V121" s="205"/>
      <c r="W121" s="208" t="str">
        <f>IF(IFERROR(VLOOKUP($M121,'IMPORT GS-Tür OL FL 2S2 20'!$H$2:$H$847,1,0),"-")="-","","GS")</f>
        <v>GS</v>
      </c>
      <c r="X121" s="208"/>
      <c r="Y121" s="205"/>
      <c r="Z121" s="59" t="str">
        <f>IF(OR($M121="",NOT($O121="{array}")),"",IFERROR(MATCH(PARAMETERS!$M121,DEFAULT!$B$5:$CG$5,0),""))</f>
        <v/>
      </c>
      <c r="AA121" s="56" t="str">
        <f t="shared" si="7"/>
        <v/>
      </c>
      <c r="AB121" s="63" t="str">
        <f>IF(AND(OR($A121="G",$A121="P"),NOT($O121="{array}")),IF(VLOOKUP($K121,base!$B$2:$D$20,3,0)="S",IF(OR($O121="",ISTEXT($O121)),"","STRING!"),IF(VLOOKUP($K121,base!$B$2:$D$20,3,0)="","",IF(ISTEXT($O121),"NUMERIC!",""))),"")</f>
        <v/>
      </c>
      <c r="AC121" s="17" t="str">
        <f>IF($AA121="","",IF($B121="I",VLOOKUP($AA121,#REF!,53,0),INDEX(VALUES!$B$1:$BR$1,1,$AA121)))</f>
        <v/>
      </c>
    </row>
    <row r="122" spans="1:29" hidden="1" outlineLevel="1" x14ac:dyDescent="0.3">
      <c r="A122" s="22"/>
      <c r="B122" s="41" t="str">
        <f t="shared" si="6"/>
        <v/>
      </c>
      <c r="C122" s="42">
        <f t="shared" si="5"/>
        <v>121</v>
      </c>
      <c r="D122" s="38"/>
      <c r="E122" s="38"/>
      <c r="F122" s="38" t="s">
        <v>9</v>
      </c>
      <c r="G122" s="38"/>
      <c r="H122" s="38"/>
      <c r="I122" s="38" t="s">
        <v>9</v>
      </c>
      <c r="J122" s="38"/>
      <c r="K122" s="205" t="s">
        <v>47</v>
      </c>
      <c r="L122" s="205" t="s">
        <v>27</v>
      </c>
      <c r="M122" s="193" t="s">
        <v>548</v>
      </c>
      <c r="N122" s="205" t="s">
        <v>549</v>
      </c>
      <c r="O122" s="206">
        <v>0</v>
      </c>
      <c r="P122" s="205"/>
      <c r="Q122" s="207"/>
      <c r="R122" s="207" t="s">
        <v>104</v>
      </c>
      <c r="S122" s="207"/>
      <c r="T122" s="207"/>
      <c r="U122" s="205"/>
      <c r="V122" s="205"/>
      <c r="W122" s="208" t="str">
        <f>IF(IFERROR(VLOOKUP($M122,'IMPORT GS-Tür OL FL 2S2 20'!$H$2:$H$847,1,0),"-")="-","","GS")</f>
        <v>GS</v>
      </c>
      <c r="X122" s="208"/>
      <c r="Y122" s="205"/>
      <c r="Z122" s="59" t="str">
        <f>IF(OR($M122="",NOT($O122="{array}")),"",IFERROR(MATCH(PARAMETERS!$M122,DEFAULT!$B$5:$CG$5,0),""))</f>
        <v/>
      </c>
      <c r="AA122" s="56" t="str">
        <f t="shared" si="7"/>
        <v/>
      </c>
      <c r="AB122" s="63" t="str">
        <f>IF(AND(OR($A122="G",$A122="P"),NOT($O122="{array}")),IF(VLOOKUP($K122,base!$B$2:$D$20,3,0)="S",IF(OR($O122="",ISTEXT($O122)),"","STRING!"),IF(VLOOKUP($K122,base!$B$2:$D$20,3,0)="","",IF(ISTEXT($O122),"NUMERIC!",""))),"")</f>
        <v/>
      </c>
      <c r="AC122" s="17" t="str">
        <f>IF($AA122="","",IF($B122="I",VLOOKUP($AA122,#REF!,53,0),INDEX(VALUES!$B$1:$BR$1,1,$AA122)))</f>
        <v/>
      </c>
    </row>
    <row r="123" spans="1:29" hidden="1" outlineLevel="1" x14ac:dyDescent="0.3">
      <c r="A123" s="22"/>
      <c r="B123" s="41" t="str">
        <f t="shared" si="6"/>
        <v/>
      </c>
      <c r="C123" s="42">
        <f t="shared" si="5"/>
        <v>122</v>
      </c>
      <c r="D123" s="38"/>
      <c r="E123" s="38"/>
      <c r="F123" s="38" t="s">
        <v>9</v>
      </c>
      <c r="G123" s="38"/>
      <c r="H123" s="38"/>
      <c r="I123" s="38" t="s">
        <v>9</v>
      </c>
      <c r="J123" s="38"/>
      <c r="K123" s="205" t="s">
        <v>47</v>
      </c>
      <c r="L123" s="205" t="s">
        <v>27</v>
      </c>
      <c r="M123" s="193" t="s">
        <v>550</v>
      </c>
      <c r="N123" s="205" t="s">
        <v>551</v>
      </c>
      <c r="O123" s="206">
        <v>0</v>
      </c>
      <c r="P123" s="205"/>
      <c r="Q123" s="207"/>
      <c r="R123" s="207" t="s">
        <v>104</v>
      </c>
      <c r="S123" s="207"/>
      <c r="T123" s="207"/>
      <c r="U123" s="205"/>
      <c r="V123" s="205"/>
      <c r="W123" s="208" t="str">
        <f>IF(IFERROR(VLOOKUP($M123,'IMPORT GS-Tür OL FL 2S2 20'!$H$2:$H$847,1,0),"-")="-","","GS")</f>
        <v>GS</v>
      </c>
      <c r="X123" s="208"/>
      <c r="Y123" s="205"/>
      <c r="Z123" s="59" t="str">
        <f>IF(OR($M123="",NOT($O123="{array}")),"",IFERROR(MATCH(PARAMETERS!$M123,DEFAULT!$B$5:$CG$5,0),""))</f>
        <v/>
      </c>
      <c r="AA123" s="56" t="str">
        <f t="shared" si="7"/>
        <v/>
      </c>
      <c r="AB123" s="63" t="str">
        <f>IF(AND(OR($A123="G",$A123="P"),NOT($O123="{array}")),IF(VLOOKUP($K123,base!$B$2:$D$20,3,0)="S",IF(OR($O123="",ISTEXT($O123)),"","STRING!"),IF(VLOOKUP($K123,base!$B$2:$D$20,3,0)="","",IF(ISTEXT($O123),"NUMERIC!",""))),"")</f>
        <v/>
      </c>
      <c r="AC123" s="17" t="str">
        <f>IF($AA123="","",IF($B123="I",VLOOKUP($AA123,#REF!,53,0),INDEX(VALUES!$B$1:$BR$1,1,$AA123)))</f>
        <v/>
      </c>
    </row>
    <row r="124" spans="1:29" hidden="1" outlineLevel="1" x14ac:dyDescent="0.3">
      <c r="A124" s="22" t="s">
        <v>84</v>
      </c>
      <c r="B124" s="41" t="str">
        <f t="shared" si="6"/>
        <v/>
      </c>
      <c r="C124" s="42">
        <f t="shared" si="5"/>
        <v>123</v>
      </c>
      <c r="D124" s="38"/>
      <c r="E124" s="38"/>
      <c r="F124" s="38" t="s">
        <v>9</v>
      </c>
      <c r="G124" s="38"/>
      <c r="H124" s="38"/>
      <c r="I124" s="38" t="s">
        <v>9</v>
      </c>
      <c r="J124" s="38"/>
      <c r="K124" s="14" t="s">
        <v>47</v>
      </c>
      <c r="L124" s="14" t="s">
        <v>27</v>
      </c>
      <c r="M124" s="152" t="s">
        <v>552</v>
      </c>
      <c r="N124" s="14" t="s">
        <v>553</v>
      </c>
      <c r="O124" s="43">
        <v>1</v>
      </c>
      <c r="R124" s="38" t="s">
        <v>104</v>
      </c>
      <c r="S124" s="38"/>
      <c r="T124" s="38"/>
      <c r="W124" s="15" t="str">
        <f>IF(IFERROR(VLOOKUP($M124,'IMPORT GS-Tür OL FL 2S2 20'!$H$2:$H$847,1,0),"-")="-","","GS")</f>
        <v>GS</v>
      </c>
      <c r="Z124" s="59" t="str">
        <f>IF(OR($M124="",NOT($O124="{array}")),"",IFERROR(MATCH(PARAMETERS!$M124,DEFAULT!$B$5:$CG$5,0),""))</f>
        <v/>
      </c>
      <c r="AA124" s="56" t="str">
        <f>IF($M124="","",IFERROR(MATCH($M124,VALUESnames,0),""))</f>
        <v/>
      </c>
      <c r="AB124" s="63" t="str">
        <f>IF(AND(OR($A124="G",$A124="P"),NOT($O124="{array}")),IF(VLOOKUP($K124,base!$B$2:$D$20,3,0)="S",IF(OR($O124="",ISTEXT($O124)),"","STRING!"),IF(VLOOKUP($K124,base!$B$2:$D$20,3,0)="","",IF(ISTEXT($O124),"NUMERIC!",""))),"")</f>
        <v/>
      </c>
      <c r="AC124" s="17" t="str">
        <f>IF($AA124="","",IF($B124="I",VLOOKUP($AA124,#REF!,53,0),INDEX(VALUES!$B$1:$BR$1,1,$AA124)))</f>
        <v/>
      </c>
    </row>
    <row r="125" spans="1:29" collapsed="1" x14ac:dyDescent="0.3">
      <c r="A125" s="22" t="s">
        <v>84</v>
      </c>
      <c r="B125" s="41" t="str">
        <f t="shared" ref="B125:B163" si="8">IF($A125="P",IF(NOT($Z125=""),"A",IF(NOT($AA125=""),"I","")),IF(NOT($AA125=""),IF($A125="G","V","X"),IF(NOT($Z125=""),"A","")))</f>
        <v/>
      </c>
      <c r="C125" s="42">
        <f t="shared" si="5"/>
        <v>124</v>
      </c>
      <c r="D125" s="38"/>
      <c r="E125" s="38"/>
      <c r="F125" s="38" t="s">
        <v>9</v>
      </c>
      <c r="G125" s="38"/>
      <c r="H125" s="38"/>
      <c r="I125" s="38"/>
      <c r="J125" s="38"/>
      <c r="K125" s="14" t="s">
        <v>57</v>
      </c>
      <c r="L125" s="14" t="s">
        <v>38</v>
      </c>
      <c r="M125" s="48" t="s">
        <v>670</v>
      </c>
      <c r="N125" s="41" t="s">
        <v>671</v>
      </c>
      <c r="R125" s="38" t="s">
        <v>104</v>
      </c>
      <c r="S125" s="38"/>
      <c r="T125" s="38"/>
      <c r="W125" s="15" t="str">
        <f>IF(IFERROR(VLOOKUP($M125,'IMPORT GS-Tür OL FL 2S2 20'!$H$2:$H$847,1,0),"-")="-","","GS")</f>
        <v>GS</v>
      </c>
      <c r="Z125" s="59" t="str">
        <f>IF(OR($M125="",NOT($O125="{array}")),"",IFERROR(MATCH(PARAMETERS!$M125,DEFAULT!$B$5:$CG$5,0),""))</f>
        <v/>
      </c>
      <c r="AA125" s="56" t="str">
        <f t="shared" ref="AA125:AA206" si="9">IF($M125="","",IFERROR(MATCH($M125,VALUESnames,0),""))</f>
        <v/>
      </c>
      <c r="AB125" s="63" t="str">
        <f>IF(AND(OR($A125="G",$A125="P"),NOT($O125="{array}")),IF(VLOOKUP($K125,base!$B$2:$D$20,3,0)="S",IF(OR($O125="",ISTEXT($O125)),"","STRING!"),IF(VLOOKUP($K125,base!$B$2:$D$20,3,0)="","",IF(ISTEXT($O125),"NUMERIC!",""))),"")</f>
        <v/>
      </c>
      <c r="AC125" s="17" t="str">
        <f>IF($AA125="","",IF($B125="I",VLOOKUP($AA125,#REF!,53,0),INDEX(VALUES!$B$1:$BR$1,1,$AA125)))</f>
        <v/>
      </c>
    </row>
    <row r="126" spans="1:29" hidden="1" outlineLevel="1" x14ac:dyDescent="0.3">
      <c r="A126" s="22"/>
      <c r="B126" s="41" t="str">
        <f t="shared" si="8"/>
        <v/>
      </c>
      <c r="C126" s="42">
        <f t="shared" si="5"/>
        <v>125</v>
      </c>
      <c r="D126" s="38"/>
      <c r="E126" s="38"/>
      <c r="F126" s="38"/>
      <c r="G126" s="38"/>
      <c r="H126" s="38"/>
      <c r="I126" s="38" t="s">
        <v>9</v>
      </c>
      <c r="J126" s="38"/>
      <c r="K126" s="53" t="s">
        <v>18</v>
      </c>
      <c r="L126" s="53" t="s">
        <v>32</v>
      </c>
      <c r="M126" s="53" t="s">
        <v>672</v>
      </c>
      <c r="N126" s="53" t="s">
        <v>673</v>
      </c>
      <c r="O126" s="156" t="str">
        <f>"UZ"</f>
        <v>UZ</v>
      </c>
      <c r="R126" s="38" t="s">
        <v>201</v>
      </c>
      <c r="S126" s="38"/>
      <c r="T126" s="38"/>
      <c r="W126" s="15"/>
      <c r="Z126" s="59" t="str">
        <f>IF(OR($M126="",NOT($O126="{array}")),"",IFERROR(MATCH(PARAMETERS!$M126,DEFAULT!$B$5:$CG$5,0),""))</f>
        <v/>
      </c>
      <c r="AA126" s="56" t="str">
        <f t="shared" si="9"/>
        <v/>
      </c>
      <c r="AB126" s="63" t="str">
        <f>IF(AND(OR($A126="G",$A126="P"),NOT($O126="{array}")),IF(VLOOKUP($K126,base!$B$2:$D$20,3,0)="S",IF(OR($O126="",ISTEXT($O126)),"","STRING!"),IF(VLOOKUP($K126,base!$B$2:$D$20,3,0)="","",IF(ISTEXT($O126),"NUMERIC!",""))),"")</f>
        <v/>
      </c>
      <c r="AC126" s="17" t="str">
        <f>IF($AA126="","",IF($B126="I",VLOOKUP($AA126,#REF!,53,0),INDEX(VALUES!$B$1:$BR$1,1,$AA126)))</f>
        <v/>
      </c>
    </row>
    <row r="127" spans="1:29" hidden="1" outlineLevel="1" x14ac:dyDescent="0.25">
      <c r="A127" s="22" t="s">
        <v>84</v>
      </c>
      <c r="B127" s="41" t="str">
        <f t="shared" si="8"/>
        <v/>
      </c>
      <c r="C127" s="42">
        <f t="shared" si="5"/>
        <v>126</v>
      </c>
      <c r="D127" s="38"/>
      <c r="E127" s="38"/>
      <c r="F127" s="38" t="s">
        <v>9</v>
      </c>
      <c r="G127" s="38"/>
      <c r="H127" s="38"/>
      <c r="I127" s="38" t="s">
        <v>9</v>
      </c>
      <c r="J127" s="38"/>
      <c r="K127" s="14" t="s">
        <v>18</v>
      </c>
      <c r="L127" s="14" t="s">
        <v>27</v>
      </c>
      <c r="M127" s="20" t="s">
        <v>674</v>
      </c>
      <c r="N127" s="14" t="s">
        <v>675</v>
      </c>
      <c r="O127" s="43" t="s">
        <v>182</v>
      </c>
      <c r="Q127" s="171"/>
      <c r="R127" s="172"/>
      <c r="S127" s="172" t="s">
        <v>112</v>
      </c>
      <c r="T127" s="167" t="s">
        <v>270</v>
      </c>
      <c r="U127" s="167" t="s">
        <v>270</v>
      </c>
      <c r="V127" s="167" t="s">
        <v>676</v>
      </c>
      <c r="W127" s="15" t="str">
        <f>IF(IFERROR(VLOOKUP($M127,'IMPORT GS-Tür OL FL 2S2 20'!$H$2:$H$847,1,0),"-")="-","","GS")</f>
        <v>GS</v>
      </c>
      <c r="X127" s="161">
        <v>25</v>
      </c>
      <c r="Y127" s="167" t="s">
        <v>677</v>
      </c>
      <c r="Z127" s="59" t="str">
        <f>IF(OR($M127="",NOT($O127="{array}")),"",IFERROR(MATCH(PARAMETERS!$M127,DEFAULT!$B$5:$CG$5,0),""))</f>
        <v/>
      </c>
      <c r="AA127" s="56" t="str">
        <f t="shared" si="9"/>
        <v/>
      </c>
      <c r="AB127" s="63" t="str">
        <f>IF(AND(OR($A127="G",$A127="P"),NOT($O127="{array}")),IF(VLOOKUP($K127,base!$B$2:$D$20,3,0)="S",IF(OR($O127="",ISTEXT($O127)),"","STRING!"),IF(VLOOKUP($K127,base!$B$2:$D$20,3,0)="","",IF(ISTEXT($O127),"NUMERIC!",""))),"")</f>
        <v/>
      </c>
      <c r="AC127" s="17" t="str">
        <f>IF($AA127="","",IF($B127="I",VLOOKUP($AA127,#REF!,53,0),INDEX(VALUES!$B$1:$BR$1,1,$AA127)))</f>
        <v/>
      </c>
    </row>
    <row r="128" spans="1:29" hidden="1" outlineLevel="1" x14ac:dyDescent="0.3">
      <c r="A128" s="22" t="s">
        <v>84</v>
      </c>
      <c r="B128" s="41" t="str">
        <f t="shared" si="8"/>
        <v/>
      </c>
      <c r="C128" s="42">
        <f t="shared" si="5"/>
        <v>127</v>
      </c>
      <c r="D128" s="38"/>
      <c r="E128" s="38"/>
      <c r="F128" s="38" t="s">
        <v>9</v>
      </c>
      <c r="G128" s="38" t="s">
        <v>9</v>
      </c>
      <c r="H128" s="38"/>
      <c r="I128" s="38" t="s">
        <v>9</v>
      </c>
      <c r="J128" s="38"/>
      <c r="K128" s="14" t="s">
        <v>44</v>
      </c>
      <c r="L128" s="14" t="s">
        <v>27</v>
      </c>
      <c r="M128" s="20" t="s">
        <v>678</v>
      </c>
      <c r="N128" s="14" t="s">
        <v>675</v>
      </c>
      <c r="O128" s="43">
        <v>1</v>
      </c>
      <c r="R128" s="38" t="s">
        <v>104</v>
      </c>
      <c r="S128" s="38"/>
      <c r="T128" s="38"/>
      <c r="W128" s="15" t="str">
        <f>IF(IFERROR(VLOOKUP($M128,'IMPORT GS-Tür OL FL 2S2 20'!$H$2:$H$847,1,0),"-")="-","","GS")</f>
        <v>GS</v>
      </c>
      <c r="Z128" s="59" t="str">
        <f>IF(OR($M128="",NOT($O128="{array}")),"",IFERROR(MATCH(PARAMETERS!$M128,DEFAULT!$B$5:$CG$5,0),""))</f>
        <v/>
      </c>
      <c r="AA128" s="56" t="str">
        <f t="shared" si="9"/>
        <v/>
      </c>
      <c r="AB128" s="63" t="str">
        <f>IF(AND(OR($A128="G",$A128="P"),NOT($O128="{array}")),IF(VLOOKUP($K128,base!$B$2:$D$20,3,0)="S",IF(OR($O128="",ISTEXT($O128)),"","STRING!"),IF(VLOOKUP($K128,base!$B$2:$D$20,3,0)="","",IF(ISTEXT($O128),"NUMERIC!",""))),"")</f>
        <v/>
      </c>
      <c r="AC128" s="17" t="str">
        <f>IF($AA128="","",IF($B128="I",VLOOKUP($AA128,#REF!,53,0),INDEX(VALUES!$B$1:$BR$1,1,$AA128)))</f>
        <v/>
      </c>
    </row>
    <row r="129" spans="1:29" hidden="1" outlineLevel="1" x14ac:dyDescent="0.25">
      <c r="A129" s="22" t="s">
        <v>84</v>
      </c>
      <c r="B129" s="41" t="str">
        <f>IF($A129="P",IF(NOT($Z129=""),"A",IF(NOT($AA129=""),"I","")),IF(NOT($AA129=""),IF($A129="G","V","X"),IF(NOT($Z129=""),"A","")))</f>
        <v/>
      </c>
      <c r="C129" s="42">
        <f t="shared" si="5"/>
        <v>128</v>
      </c>
      <c r="D129" s="38"/>
      <c r="E129" s="38"/>
      <c r="F129" s="38"/>
      <c r="G129" s="38"/>
      <c r="H129" s="38"/>
      <c r="I129" s="38" t="s">
        <v>9</v>
      </c>
      <c r="J129" s="38"/>
      <c r="K129" s="14" t="s">
        <v>44</v>
      </c>
      <c r="L129" s="14" t="s">
        <v>27</v>
      </c>
      <c r="M129" s="241" t="s">
        <v>2032</v>
      </c>
      <c r="N129" s="14" t="s">
        <v>2033</v>
      </c>
      <c r="O129" s="43">
        <v>3</v>
      </c>
      <c r="R129" s="172" t="s">
        <v>103</v>
      </c>
      <c r="S129" s="172" t="s">
        <v>112</v>
      </c>
      <c r="T129" s="167" t="s">
        <v>270</v>
      </c>
      <c r="U129" s="167" t="s">
        <v>270</v>
      </c>
      <c r="V129" s="167" t="s">
        <v>679</v>
      </c>
      <c r="W129" s="15" t="str">
        <f>IF(IFERROR(VLOOKUP($M129,'IMPORT GS-Tür OL FL 2S2 20'!$H$2:$H$847,1,0),"-")="-","","GS")</f>
        <v/>
      </c>
      <c r="X129" s="161">
        <v>51</v>
      </c>
      <c r="Y129" s="167" t="s">
        <v>680</v>
      </c>
      <c r="Z129" s="59" t="str">
        <f>IF(OR($M129="",NOT($O129="{array}")),"",IFERROR(MATCH(PARAMETERS!$M129,DEFAULT!$B$5:$CG$5,0),""))</f>
        <v/>
      </c>
      <c r="AA129" s="56" t="str">
        <f t="shared" si="9"/>
        <v/>
      </c>
      <c r="AB129" s="63" t="str">
        <f>IF(AND(OR($A129="G",$A129="P"),NOT($O129="{array}")),IF(VLOOKUP($K129,base!$B$2:$D$20,3,0)="S",IF(OR($O129="",ISTEXT($O129)),"","STRING!"),IF(VLOOKUP($K129,base!$B$2:$D$20,3,0)="","",IF(ISTEXT($O129),"NUMERIC!",""))),"")</f>
        <v/>
      </c>
      <c r="AC129" s="17" t="str">
        <f>IF($AA129="","",IF($B129="I",VLOOKUP($AA129,#REF!,53,0),INDEX(VALUES!$B$1:$BR$1,1,$AA129)))</f>
        <v/>
      </c>
    </row>
    <row r="130" spans="1:29" hidden="1" outlineLevel="1" x14ac:dyDescent="0.25">
      <c r="A130" s="22" t="s">
        <v>84</v>
      </c>
      <c r="B130" s="41" t="str">
        <f>IF($A130="P",IF(NOT($Z130=""),"A",IF(NOT($AA130=""),"I","")),IF(NOT($AA130=""),IF($A130="G","V","X"),IF(NOT($Z130=""),"A","")))</f>
        <v/>
      </c>
      <c r="C130" s="42">
        <f t="shared" si="5"/>
        <v>129</v>
      </c>
      <c r="D130" s="38"/>
      <c r="E130" s="38"/>
      <c r="F130" s="38"/>
      <c r="G130" s="38"/>
      <c r="H130" s="38"/>
      <c r="I130" s="38" t="s">
        <v>9</v>
      </c>
      <c r="J130" s="38"/>
      <c r="K130" s="167" t="s">
        <v>18</v>
      </c>
      <c r="L130" s="14" t="s">
        <v>32</v>
      </c>
      <c r="M130" s="158" t="s">
        <v>2118</v>
      </c>
      <c r="N130" s="167" t="s">
        <v>681</v>
      </c>
      <c r="O130" s="167" t="s">
        <v>2057</v>
      </c>
      <c r="P130" s="161" t="s">
        <v>270</v>
      </c>
      <c r="Q130" s="172" t="s">
        <v>9</v>
      </c>
      <c r="R130" s="172" t="s">
        <v>103</v>
      </c>
      <c r="S130" s="172" t="s">
        <v>112</v>
      </c>
      <c r="T130" s="167" t="s">
        <v>270</v>
      </c>
      <c r="U130" s="167" t="s">
        <v>270</v>
      </c>
      <c r="V130" s="167" t="s">
        <v>681</v>
      </c>
      <c r="W130" s="15" t="str">
        <f>IF(IFERROR(VLOOKUP($M130,'IMPORT GS-Tür OL FL 2S2 20'!$H$2:$H$847,1,0),"-")="-","","GS")</f>
        <v/>
      </c>
      <c r="X130" s="161">
        <v>51</v>
      </c>
      <c r="Y130" s="167" t="s">
        <v>680</v>
      </c>
      <c r="Z130" s="59" t="str">
        <f>IF(OR($M130="",NOT($O130="{array}")),"",IFERROR(MATCH(PARAMETERS!$M130,DEFAULT!$B$5:$CG$5,0),""))</f>
        <v/>
      </c>
      <c r="AA130" s="56" t="str">
        <f t="shared" si="9"/>
        <v/>
      </c>
      <c r="AB130" s="63" t="str">
        <f>IF(AND(OR($A130="G",$A130="P"),NOT($O130="{array}")),IF(VLOOKUP($K130,base!$B$2:$D$20,3,0)="S",IF(OR($O130="",ISTEXT($O130)),"","STRING!"),IF(VLOOKUP($K130,base!$B$2:$D$20,3,0)="","",IF(ISTEXT($O130),"NUMERIC!",""))),"")</f>
        <v/>
      </c>
      <c r="AC130" s="17" t="str">
        <f>IF($AA130="","",IF($B130="I",VLOOKUP($AA130,#REF!,53,0),INDEX(VALUES!$B$1:$BR$1,1,$AA130)))</f>
        <v/>
      </c>
    </row>
    <row r="131" spans="1:29" hidden="1" outlineLevel="1" x14ac:dyDescent="0.3">
      <c r="A131" s="22" t="s">
        <v>84</v>
      </c>
      <c r="B131" s="41" t="str">
        <f t="shared" si="8"/>
        <v/>
      </c>
      <c r="C131" s="42">
        <f t="shared" ref="C131:C175" si="10">(ROW()-1)</f>
        <v>130</v>
      </c>
      <c r="D131" s="38"/>
      <c r="E131" s="38"/>
      <c r="F131" s="38"/>
      <c r="G131" s="38"/>
      <c r="H131" s="38"/>
      <c r="I131" s="38" t="s">
        <v>9</v>
      </c>
      <c r="J131" s="38"/>
      <c r="K131" s="14" t="s">
        <v>47</v>
      </c>
      <c r="L131" s="14" t="s">
        <v>27</v>
      </c>
      <c r="M131" s="20" t="s">
        <v>682</v>
      </c>
      <c r="N131" s="14" t="s">
        <v>683</v>
      </c>
      <c r="O131" s="43">
        <v>1</v>
      </c>
      <c r="R131" s="38" t="s">
        <v>104</v>
      </c>
      <c r="S131" s="38"/>
      <c r="T131" s="38"/>
      <c r="W131" s="15" t="str">
        <f>IF(IFERROR(VLOOKUP($M131,'IMPORT GS-Tür OL FL 2S2 20'!$H$2:$H$847,1,0),"-")="-","","GS")</f>
        <v>GS</v>
      </c>
      <c r="Z131" s="59" t="str">
        <f>IF(OR($M131="",NOT($O131="{array}")),"",IFERROR(MATCH(PARAMETERS!$M131,DEFAULT!$B$5:$CG$5,0),""))</f>
        <v/>
      </c>
      <c r="AA131" s="56" t="str">
        <f t="shared" si="9"/>
        <v/>
      </c>
      <c r="AB131" s="63" t="str">
        <f>IF(AND(OR($A131="G",$A131="P"),NOT($O131="{array}")),IF(VLOOKUP($K131,base!$B$2:$D$20,3,0)="S",IF(OR($O131="",ISTEXT($O131)),"","STRING!"),IF(VLOOKUP($K131,base!$B$2:$D$20,3,0)="","",IF(ISTEXT($O131),"NUMERIC!",""))),"")</f>
        <v/>
      </c>
      <c r="AC131" s="17" t="str">
        <f>IF($AA131="","",IF($B131="I",VLOOKUP($AA131,#REF!,53,0),INDEX(VALUES!$B$1:$BR$1,1,$AA131)))</f>
        <v/>
      </c>
    </row>
    <row r="132" spans="1:29" hidden="1" outlineLevel="1" x14ac:dyDescent="0.3">
      <c r="A132" s="22" t="s">
        <v>84</v>
      </c>
      <c r="B132" s="41" t="str">
        <f t="shared" si="8"/>
        <v/>
      </c>
      <c r="C132" s="42">
        <f t="shared" si="10"/>
        <v>131</v>
      </c>
      <c r="D132" s="38"/>
      <c r="E132" s="38"/>
      <c r="F132" s="38" t="s">
        <v>9</v>
      </c>
      <c r="G132" s="38"/>
      <c r="H132" s="38"/>
      <c r="I132" s="38" t="s">
        <v>9</v>
      </c>
      <c r="J132" s="38"/>
      <c r="K132" s="14" t="s">
        <v>24</v>
      </c>
      <c r="L132" s="14" t="s">
        <v>27</v>
      </c>
      <c r="M132" s="20" t="s">
        <v>684</v>
      </c>
      <c r="N132" s="14" t="s">
        <v>685</v>
      </c>
      <c r="O132" s="43">
        <v>0.1</v>
      </c>
      <c r="R132" s="38" t="s">
        <v>104</v>
      </c>
      <c r="S132" s="38"/>
      <c r="T132" s="38"/>
      <c r="W132" s="15" t="str">
        <f>IF(IFERROR(VLOOKUP($M132,'IMPORT GS-Tür OL FL 2S2 20'!$H$2:$H$847,1,0),"-")="-","","GS")</f>
        <v>GS</v>
      </c>
      <c r="Z132" s="59" t="str">
        <f>IF(OR($M132="",NOT($O132="{array}")),"",IFERROR(MATCH(PARAMETERS!$M132,DEFAULT!$B$5:$CG$5,0),""))</f>
        <v/>
      </c>
      <c r="AA132" s="56" t="str">
        <f t="shared" si="9"/>
        <v/>
      </c>
      <c r="AB132" s="63" t="str">
        <f>IF(AND(OR($A132="G",$A132="P"),NOT($O132="{array}")),IF(VLOOKUP($K132,base!$B$2:$D$20,3,0)="S",IF(OR($O132="",ISTEXT($O132)),"","STRING!"),IF(VLOOKUP($K132,base!$B$2:$D$20,3,0)="","",IF(ISTEXT($O132),"NUMERIC!",""))),"")</f>
        <v/>
      </c>
      <c r="AC132" s="17" t="str">
        <f>IF($AA132="","",IF($B132="I",VLOOKUP($AA132,#REF!,53,0),INDEX(VALUES!$B$1:$BR$1,1,$AA132)))</f>
        <v/>
      </c>
    </row>
    <row r="133" spans="1:29" hidden="1" outlineLevel="1" x14ac:dyDescent="0.3">
      <c r="A133" s="22" t="s">
        <v>84</v>
      </c>
      <c r="B133" s="41" t="str">
        <f t="shared" si="8"/>
        <v/>
      </c>
      <c r="C133" s="42">
        <f t="shared" si="10"/>
        <v>132</v>
      </c>
      <c r="D133" s="38"/>
      <c r="E133" s="38"/>
      <c r="F133" s="38"/>
      <c r="G133" s="38"/>
      <c r="H133" s="38"/>
      <c r="I133" s="38" t="s">
        <v>9</v>
      </c>
      <c r="J133" s="38"/>
      <c r="K133" s="14" t="s">
        <v>24</v>
      </c>
      <c r="L133" s="14" t="s">
        <v>27</v>
      </c>
      <c r="M133" s="20" t="s">
        <v>686</v>
      </c>
      <c r="N133" s="14" t="s">
        <v>687</v>
      </c>
      <c r="O133" s="43">
        <v>0.1</v>
      </c>
      <c r="R133" s="38" t="s">
        <v>104</v>
      </c>
      <c r="S133" s="38"/>
      <c r="T133" s="38"/>
      <c r="W133" s="15" t="str">
        <f>IF(IFERROR(VLOOKUP($M133,'IMPORT GS-Tür OL FL 2S2 20'!$H$2:$H$847,1,0),"-")="-","","GS")</f>
        <v>GS</v>
      </c>
      <c r="Z133" s="59" t="str">
        <f>IF(OR($M133="",NOT($O133="{array}")),"",IFERROR(MATCH(PARAMETERS!$M133,DEFAULT!$B$5:$CG$5,0),""))</f>
        <v/>
      </c>
      <c r="AA133" s="56" t="str">
        <f t="shared" si="9"/>
        <v/>
      </c>
      <c r="AB133" s="63" t="str">
        <f>IF(AND(OR($A133="G",$A133="P"),NOT($O133="{array}")),IF(VLOOKUP($K133,base!$B$2:$D$20,3,0)="S",IF(OR($O133="",ISTEXT($O133)),"","STRING!"),IF(VLOOKUP($K133,base!$B$2:$D$20,3,0)="","",IF(ISTEXT($O133),"NUMERIC!",""))),"")</f>
        <v/>
      </c>
      <c r="AC133" s="17" t="str">
        <f>IF($AA133="","",IF($B133="I",VLOOKUP($AA133,#REF!,53,0),INDEX(VALUES!$B$1:$BR$1,1,$AA133)))</f>
        <v/>
      </c>
    </row>
    <row r="134" spans="1:29" hidden="1" outlineLevel="1" x14ac:dyDescent="0.3">
      <c r="A134" s="22" t="s">
        <v>84</v>
      </c>
      <c r="B134" s="41" t="str">
        <f t="shared" si="8"/>
        <v/>
      </c>
      <c r="C134" s="42">
        <f t="shared" si="10"/>
        <v>133</v>
      </c>
      <c r="D134" s="38"/>
      <c r="E134" s="38"/>
      <c r="F134" s="38"/>
      <c r="G134" s="38"/>
      <c r="H134" s="38"/>
      <c r="I134" s="38" t="s">
        <v>9</v>
      </c>
      <c r="J134" s="38"/>
      <c r="K134" s="14" t="s">
        <v>24</v>
      </c>
      <c r="L134" s="14" t="s">
        <v>27</v>
      </c>
      <c r="M134" s="20" t="s">
        <v>688</v>
      </c>
      <c r="N134" s="14" t="s">
        <v>689</v>
      </c>
      <c r="O134" s="43">
        <v>0.1</v>
      </c>
      <c r="R134" s="38" t="s">
        <v>104</v>
      </c>
      <c r="S134" s="38"/>
      <c r="T134" s="38"/>
      <c r="W134" s="15" t="str">
        <f>IF(IFERROR(VLOOKUP($M134,'IMPORT GS-Tür OL FL 2S2 20'!$H$2:$H$847,1,0),"-")="-","","GS")</f>
        <v>GS</v>
      </c>
      <c r="Z134" s="59" t="str">
        <f>IF(OR($M134="",NOT($O134="{array}")),"",IFERROR(MATCH(PARAMETERS!$M134,DEFAULT!$B$5:$CG$5,0),""))</f>
        <v/>
      </c>
      <c r="AA134" s="56" t="str">
        <f t="shared" si="9"/>
        <v/>
      </c>
      <c r="AB134" s="63" t="str">
        <f>IF(AND(OR($A134="G",$A134="P"),NOT($O134="{array}")),IF(VLOOKUP($K134,base!$B$2:$D$20,3,0)="S",IF(OR($O134="",ISTEXT($O134)),"","STRING!"),IF(VLOOKUP($K134,base!$B$2:$D$20,3,0)="","",IF(ISTEXT($O134),"NUMERIC!",""))),"")</f>
        <v/>
      </c>
      <c r="AC134" s="17" t="str">
        <f>IF($AA134="","",IF($B134="I",VLOOKUP($AA134,#REF!,53,0),INDEX(VALUES!$B$1:$BR$1,1,$AA134)))</f>
        <v/>
      </c>
    </row>
    <row r="135" spans="1:29" hidden="1" outlineLevel="1" x14ac:dyDescent="0.3">
      <c r="A135" s="22" t="s">
        <v>84</v>
      </c>
      <c r="B135" s="41" t="str">
        <f t="shared" si="8"/>
        <v/>
      </c>
      <c r="C135" s="42">
        <f t="shared" si="10"/>
        <v>134</v>
      </c>
      <c r="D135" s="38"/>
      <c r="E135" s="38"/>
      <c r="F135" s="38"/>
      <c r="G135" s="38"/>
      <c r="H135" s="38"/>
      <c r="I135" s="38" t="s">
        <v>9</v>
      </c>
      <c r="J135" s="38"/>
      <c r="K135" s="14" t="s">
        <v>24</v>
      </c>
      <c r="L135" s="14" t="s">
        <v>27</v>
      </c>
      <c r="M135" s="20" t="s">
        <v>690</v>
      </c>
      <c r="N135" s="14" t="s">
        <v>691</v>
      </c>
      <c r="O135" s="43">
        <v>0.1</v>
      </c>
      <c r="R135" s="38" t="s">
        <v>104</v>
      </c>
      <c r="S135" s="38"/>
      <c r="T135" s="38"/>
      <c r="W135" s="15" t="str">
        <f>IF(IFERROR(VLOOKUP($M135,'IMPORT GS-Tür OL FL 2S2 20'!$H$2:$H$847,1,0),"-")="-","","GS")</f>
        <v>GS</v>
      </c>
      <c r="Z135" s="59" t="str">
        <f>IF(OR($M135="",NOT($O135="{array}")),"",IFERROR(MATCH(PARAMETERS!$M135,DEFAULT!$B$5:$CG$5,0),""))</f>
        <v/>
      </c>
      <c r="AA135" s="56" t="str">
        <f t="shared" si="9"/>
        <v/>
      </c>
      <c r="AB135" s="63" t="str">
        <f>IF(AND(OR($A135="G",$A135="P"),NOT($O135="{array}")),IF(VLOOKUP($K135,base!$B$2:$D$20,3,0)="S",IF(OR($O135="",ISTEXT($O135)),"","STRING!"),IF(VLOOKUP($K135,base!$B$2:$D$20,3,0)="","",IF(ISTEXT($O135),"NUMERIC!",""))),"")</f>
        <v/>
      </c>
      <c r="AC135" s="17" t="str">
        <f>IF($AA135="","",IF($B135="I",VLOOKUP($AA135,#REF!,53,0),INDEX(VALUES!$B$1:$BR$1,1,$AA135)))</f>
        <v/>
      </c>
    </row>
    <row r="136" spans="1:29" hidden="1" outlineLevel="1" x14ac:dyDescent="0.3">
      <c r="A136" s="22" t="s">
        <v>84</v>
      </c>
      <c r="B136" s="41" t="str">
        <f t="shared" si="8"/>
        <v/>
      </c>
      <c r="C136" s="42">
        <f t="shared" si="10"/>
        <v>135</v>
      </c>
      <c r="D136" s="38"/>
      <c r="E136" s="38"/>
      <c r="F136" s="38"/>
      <c r="G136" s="38"/>
      <c r="H136" s="38"/>
      <c r="I136" s="38" t="s">
        <v>9</v>
      </c>
      <c r="J136" s="38"/>
      <c r="K136" s="14" t="s">
        <v>24</v>
      </c>
      <c r="L136" s="14" t="s">
        <v>27</v>
      </c>
      <c r="M136" s="20" t="s">
        <v>692</v>
      </c>
      <c r="N136" s="14" t="s">
        <v>693</v>
      </c>
      <c r="O136" s="43">
        <v>0.1</v>
      </c>
      <c r="R136" s="38" t="s">
        <v>104</v>
      </c>
      <c r="S136" s="38"/>
      <c r="T136" s="38"/>
      <c r="W136" s="15" t="str">
        <f>IF(IFERROR(VLOOKUP($M136,'IMPORT GS-Tür OL FL 2S2 20'!$H$2:$H$847,1,0),"-")="-","","GS")</f>
        <v>GS</v>
      </c>
      <c r="Z136" s="59" t="str">
        <f>IF(OR($M136="",NOT($O136="{array}")),"",IFERROR(MATCH(PARAMETERS!$M136,DEFAULT!$B$5:$CG$5,0),""))</f>
        <v/>
      </c>
      <c r="AA136" s="56" t="str">
        <f t="shared" si="9"/>
        <v/>
      </c>
      <c r="AB136" s="63" t="str">
        <f>IF(AND(OR($A136="G",$A136="P"),NOT($O136="{array}")),IF(VLOOKUP($K136,base!$B$2:$D$20,3,0)="S",IF(OR($O136="",ISTEXT($O136)),"","STRING!"),IF(VLOOKUP($K136,base!$B$2:$D$20,3,0)="","",IF(ISTEXT($O136),"NUMERIC!",""))),"")</f>
        <v/>
      </c>
      <c r="AC136" s="17" t="str">
        <f>IF($AA136="","",IF($B136="I",VLOOKUP($AA136,#REF!,53,0),INDEX(VALUES!$B$1:$BR$1,1,$AA136)))</f>
        <v/>
      </c>
    </row>
    <row r="137" spans="1:29" hidden="1" outlineLevel="1" x14ac:dyDescent="0.3">
      <c r="A137" s="22" t="s">
        <v>84</v>
      </c>
      <c r="B137" s="41" t="str">
        <f t="shared" si="8"/>
        <v/>
      </c>
      <c r="C137" s="42">
        <f t="shared" si="10"/>
        <v>136</v>
      </c>
      <c r="D137" s="38"/>
      <c r="E137" s="38"/>
      <c r="F137" s="38"/>
      <c r="G137" s="38"/>
      <c r="H137" s="38"/>
      <c r="I137" s="38" t="s">
        <v>9</v>
      </c>
      <c r="J137" s="38"/>
      <c r="K137" s="14" t="s">
        <v>24</v>
      </c>
      <c r="L137" s="14" t="s">
        <v>27</v>
      </c>
      <c r="M137" s="20" t="s">
        <v>694</v>
      </c>
      <c r="N137" s="14" t="s">
        <v>695</v>
      </c>
      <c r="O137" s="43">
        <v>0.1</v>
      </c>
      <c r="R137" s="38" t="s">
        <v>104</v>
      </c>
      <c r="S137" s="38"/>
      <c r="T137" s="38"/>
      <c r="W137" s="15" t="str">
        <f>IF(IFERROR(VLOOKUP($M137,'IMPORT GS-Tür OL FL 2S2 20'!$H$2:$H$847,1,0),"-")="-","","GS")</f>
        <v>GS</v>
      </c>
      <c r="Z137" s="59" t="str">
        <f>IF(OR($M137="",NOT($O137="{array}")),"",IFERROR(MATCH(PARAMETERS!$M137,DEFAULT!$B$5:$CG$5,0),""))</f>
        <v/>
      </c>
      <c r="AA137" s="56" t="str">
        <f t="shared" si="9"/>
        <v/>
      </c>
      <c r="AB137" s="63" t="str">
        <f>IF(AND(OR($A137="G",$A137="P"),NOT($O137="{array}")),IF(VLOOKUP($K137,base!$B$2:$D$20,3,0)="S",IF(OR($O137="",ISTEXT($O137)),"","STRING!"),IF(VLOOKUP($K137,base!$B$2:$D$20,3,0)="","",IF(ISTEXT($O137),"NUMERIC!",""))),"")</f>
        <v/>
      </c>
      <c r="AC137" s="17" t="str">
        <f>IF($AA137="","",IF($B137="I",VLOOKUP($AA137,#REF!,53,0),INDEX(VALUES!$B$1:$BR$1,1,$AA137)))</f>
        <v/>
      </c>
    </row>
    <row r="138" spans="1:29" hidden="1" outlineLevel="1" x14ac:dyDescent="0.3">
      <c r="A138" s="22" t="s">
        <v>84</v>
      </c>
      <c r="B138" s="41" t="str">
        <f t="shared" si="8"/>
        <v/>
      </c>
      <c r="C138" s="42">
        <f t="shared" si="10"/>
        <v>137</v>
      </c>
      <c r="D138" s="38"/>
      <c r="E138" s="38"/>
      <c r="F138" s="38"/>
      <c r="G138" s="38"/>
      <c r="H138" s="38"/>
      <c r="I138" s="38" t="s">
        <v>9</v>
      </c>
      <c r="J138" s="38"/>
      <c r="K138" s="14" t="s">
        <v>24</v>
      </c>
      <c r="L138" s="14" t="s">
        <v>27</v>
      </c>
      <c r="M138" s="20" t="s">
        <v>696</v>
      </c>
      <c r="N138" s="14" t="s">
        <v>697</v>
      </c>
      <c r="O138" s="43">
        <v>0.1</v>
      </c>
      <c r="R138" s="38" t="s">
        <v>104</v>
      </c>
      <c r="S138" s="38"/>
      <c r="T138" s="38"/>
      <c r="W138" s="15" t="str">
        <f>IF(IFERROR(VLOOKUP($M138,'IMPORT GS-Tür OL FL 2S2 20'!$H$2:$H$847,1,0),"-")="-","","GS")</f>
        <v>GS</v>
      </c>
      <c r="Z138" s="59" t="str">
        <f>IF(OR($M138="",NOT($O138="{array}")),"",IFERROR(MATCH(PARAMETERS!$M138,DEFAULT!$B$5:$CG$5,0),""))</f>
        <v/>
      </c>
      <c r="AA138" s="56" t="str">
        <f t="shared" si="9"/>
        <v/>
      </c>
      <c r="AB138" s="63" t="str">
        <f>IF(AND(OR($A138="G",$A138="P"),NOT($O138="{array}")),IF(VLOOKUP($K138,base!$B$2:$D$20,3,0)="S",IF(OR($O138="",ISTEXT($O138)),"","STRING!"),IF(VLOOKUP($K138,base!$B$2:$D$20,3,0)="","",IF(ISTEXT($O138),"NUMERIC!",""))),"")</f>
        <v/>
      </c>
      <c r="AC138" s="17" t="str">
        <f>IF($AA138="","",IF($B138="I",VLOOKUP($AA138,#REF!,53,0),INDEX(VALUES!$B$1:$BR$1,1,$AA138)))</f>
        <v/>
      </c>
    </row>
    <row r="139" spans="1:29" hidden="1" outlineLevel="1" x14ac:dyDescent="0.3">
      <c r="A139" s="22" t="s">
        <v>84</v>
      </c>
      <c r="B139" s="41" t="str">
        <f t="shared" si="8"/>
        <v/>
      </c>
      <c r="C139" s="42">
        <f t="shared" si="10"/>
        <v>138</v>
      </c>
      <c r="D139" s="38"/>
      <c r="E139" s="38"/>
      <c r="F139" s="38"/>
      <c r="G139" s="38"/>
      <c r="H139" s="38"/>
      <c r="I139" s="38" t="s">
        <v>9</v>
      </c>
      <c r="J139" s="38"/>
      <c r="K139" s="14" t="s">
        <v>24</v>
      </c>
      <c r="L139" s="14" t="s">
        <v>27</v>
      </c>
      <c r="M139" s="20" t="s">
        <v>698</v>
      </c>
      <c r="N139" s="14" t="s">
        <v>699</v>
      </c>
      <c r="O139" s="43">
        <v>0.1</v>
      </c>
      <c r="R139" s="38" t="s">
        <v>104</v>
      </c>
      <c r="S139" s="38"/>
      <c r="T139" s="38"/>
      <c r="W139" s="15" t="str">
        <f>IF(IFERROR(VLOOKUP($M139,'IMPORT GS-Tür OL FL 2S2 20'!$H$2:$H$847,1,0),"-")="-","","GS")</f>
        <v>GS</v>
      </c>
      <c r="Z139" s="59" t="str">
        <f>IF(OR($M139="",NOT($O139="{array}")),"",IFERROR(MATCH(PARAMETERS!$M139,DEFAULT!$B$5:$CG$5,0),""))</f>
        <v/>
      </c>
      <c r="AA139" s="56" t="str">
        <f t="shared" si="9"/>
        <v/>
      </c>
      <c r="AB139" s="63" t="str">
        <f>IF(AND(OR($A139="G",$A139="P"),NOT($O139="{array}")),IF(VLOOKUP($K139,base!$B$2:$D$20,3,0)="S",IF(OR($O139="",ISTEXT($O139)),"","STRING!"),IF(VLOOKUP($K139,base!$B$2:$D$20,3,0)="","",IF(ISTEXT($O139),"NUMERIC!",""))),"")</f>
        <v/>
      </c>
      <c r="AC139" s="17" t="str">
        <f>IF($AA139="","",IF($B139="I",VLOOKUP($AA139,#REF!,53,0),INDEX(VALUES!$B$1:$BR$1,1,$AA139)))</f>
        <v/>
      </c>
    </row>
    <row r="140" spans="1:29" hidden="1" outlineLevel="1" x14ac:dyDescent="0.3">
      <c r="A140" s="22" t="s">
        <v>84</v>
      </c>
      <c r="B140" s="41" t="str">
        <f t="shared" si="8"/>
        <v/>
      </c>
      <c r="C140" s="42">
        <f t="shared" si="10"/>
        <v>139</v>
      </c>
      <c r="D140" s="38"/>
      <c r="E140" s="38"/>
      <c r="F140" s="38" t="s">
        <v>9</v>
      </c>
      <c r="G140" s="38"/>
      <c r="H140" s="38"/>
      <c r="I140" s="38" t="s">
        <v>9</v>
      </c>
      <c r="J140" s="38"/>
      <c r="K140" s="14" t="s">
        <v>24</v>
      </c>
      <c r="L140" s="14" t="s">
        <v>27</v>
      </c>
      <c r="M140" s="20" t="s">
        <v>700</v>
      </c>
      <c r="N140" s="14" t="s">
        <v>701</v>
      </c>
      <c r="O140" s="43">
        <v>7.0000000000000007E-2</v>
      </c>
      <c r="R140" s="38" t="s">
        <v>104</v>
      </c>
      <c r="S140" s="38"/>
      <c r="T140" s="38"/>
      <c r="W140" s="15" t="str">
        <f>IF(IFERROR(VLOOKUP($M140,'IMPORT GS-Tür OL FL 2S2 20'!$H$2:$H$847,1,0),"-")="-","","GS")</f>
        <v>GS</v>
      </c>
      <c r="Z140" s="59" t="str">
        <f>IF(OR($M140="",NOT($O140="{array}")),"",IFERROR(MATCH(PARAMETERS!$M140,DEFAULT!$B$5:$CG$5,0),""))</f>
        <v/>
      </c>
      <c r="AA140" s="56" t="str">
        <f t="shared" si="9"/>
        <v/>
      </c>
      <c r="AB140" s="63" t="str">
        <f>IF(AND(OR($A140="G",$A140="P"),NOT($O140="{array}")),IF(VLOOKUP($K140,base!$B$2:$D$20,3,0)="S",IF(OR($O140="",ISTEXT($O140)),"","STRING!"),IF(VLOOKUP($K140,base!$B$2:$D$20,3,0)="","",IF(ISTEXT($O140),"NUMERIC!",""))),"")</f>
        <v/>
      </c>
      <c r="AC140" s="17" t="str">
        <f>IF($AA140="","",IF($B140="I",VLOOKUP($AA140,#REF!,53,0),INDEX(VALUES!$B$1:$BR$1,1,$AA140)))</f>
        <v/>
      </c>
    </row>
    <row r="141" spans="1:29" hidden="1" outlineLevel="1" x14ac:dyDescent="0.25">
      <c r="A141" s="22" t="s">
        <v>84</v>
      </c>
      <c r="B141" s="41" t="str">
        <f t="shared" si="8"/>
        <v/>
      </c>
      <c r="C141" s="42">
        <f t="shared" si="10"/>
        <v>140</v>
      </c>
      <c r="D141" s="38"/>
      <c r="E141" s="38"/>
      <c r="F141" s="38"/>
      <c r="G141" s="38"/>
      <c r="H141" s="38"/>
      <c r="I141" s="38" t="s">
        <v>9</v>
      </c>
      <c r="J141" s="38"/>
      <c r="K141" s="14" t="s">
        <v>47</v>
      </c>
      <c r="L141" s="14" t="s">
        <v>27</v>
      </c>
      <c r="M141" s="241" t="s">
        <v>2009</v>
      </c>
      <c r="N141" s="53" t="s">
        <v>2010</v>
      </c>
      <c r="O141" s="156">
        <v>1</v>
      </c>
      <c r="P141" s="53"/>
      <c r="Q141" s="209" t="s">
        <v>9</v>
      </c>
      <c r="R141" s="38" t="s">
        <v>201</v>
      </c>
      <c r="S141" s="242" t="s">
        <v>112</v>
      </c>
      <c r="T141" s="171"/>
      <c r="U141" s="167"/>
      <c r="V141" s="167"/>
      <c r="W141" s="15"/>
      <c r="X141" s="161"/>
      <c r="Y141" s="167"/>
      <c r="Z141" s="59" t="str">
        <f>IF(OR($M141="",NOT($O141="{array}")),"",IFERROR(MATCH(PARAMETERS!$M141,DEFAULT!$B$5:$CG$5,0),""))</f>
        <v/>
      </c>
      <c r="AA141" s="56" t="str">
        <f t="shared" si="9"/>
        <v/>
      </c>
      <c r="AB141" s="63" t="str">
        <f>IF(AND(OR($A141="G",$A141="P"),NOT($O141="{array}")),IF(VLOOKUP($K141,base!$B$2:$D$20,3,0)="S",IF(OR($O141="",ISTEXT($O141)),"","STRING!"),IF(VLOOKUP($K141,base!$B$2:$D$20,3,0)="","",IF(ISTEXT($O141),"NUMERIC!",""))),"")</f>
        <v/>
      </c>
      <c r="AC141" s="17" t="str">
        <f>IF($AA141="","",IF($B141="I",VLOOKUP($AA141,#REF!,53,0),INDEX(VALUES!$B$1:$BR$1,1,$AA141)))</f>
        <v/>
      </c>
    </row>
    <row r="142" spans="1:29" hidden="1" outlineLevel="1" x14ac:dyDescent="0.25">
      <c r="A142" s="22" t="s">
        <v>84</v>
      </c>
      <c r="B142" s="41" t="str">
        <f t="shared" si="8"/>
        <v/>
      </c>
      <c r="C142" s="42">
        <f t="shared" si="10"/>
        <v>141</v>
      </c>
      <c r="D142" s="38"/>
      <c r="E142" s="38"/>
      <c r="F142" s="38"/>
      <c r="G142" s="38"/>
      <c r="H142" s="38"/>
      <c r="I142" s="38" t="s">
        <v>9</v>
      </c>
      <c r="J142" s="38"/>
      <c r="K142" s="14" t="s">
        <v>24</v>
      </c>
      <c r="L142" s="14" t="s">
        <v>27</v>
      </c>
      <c r="M142" s="241" t="s">
        <v>2011</v>
      </c>
      <c r="N142" s="53" t="s">
        <v>2012</v>
      </c>
      <c r="O142" s="156">
        <v>7.0000000000000007E-2</v>
      </c>
      <c r="P142" s="53"/>
      <c r="Q142" s="209" t="s">
        <v>9</v>
      </c>
      <c r="R142" s="38" t="s">
        <v>201</v>
      </c>
      <c r="S142" s="242" t="s">
        <v>112</v>
      </c>
      <c r="T142" s="171"/>
      <c r="U142" s="167"/>
      <c r="V142" s="167"/>
      <c r="W142" s="15"/>
      <c r="X142" s="161"/>
      <c r="Y142" s="167"/>
      <c r="Z142" s="59" t="str">
        <f>IF(OR($M142="",NOT($O142="{array}")),"",IFERROR(MATCH(PARAMETERS!$M142,DEFAULT!$B$5:$CG$5,0),""))</f>
        <v/>
      </c>
      <c r="AA142" s="56" t="str">
        <f t="shared" si="9"/>
        <v/>
      </c>
      <c r="AB142" s="63" t="str">
        <f>IF(AND(OR($A142="G",$A142="P"),NOT($O142="{array}")),IF(VLOOKUP($K142,base!$B$2:$D$20,3,0)="S",IF(OR($O142="",ISTEXT($O142)),"","STRING!"),IF(VLOOKUP($K142,base!$B$2:$D$20,3,0)="","",IF(ISTEXT($O142),"NUMERIC!",""))),"")</f>
        <v/>
      </c>
      <c r="AC142" s="17" t="str">
        <f>IF($AA142="","",IF($B142="I",VLOOKUP($AA142,#REF!,53,0),INDEX(VALUES!$B$1:$BR$1,1,$AA142)))</f>
        <v/>
      </c>
    </row>
    <row r="143" spans="1:29" hidden="1" outlineLevel="1" x14ac:dyDescent="0.25">
      <c r="A143" s="22" t="s">
        <v>84</v>
      </c>
      <c r="B143" s="41" t="str">
        <f t="shared" si="8"/>
        <v/>
      </c>
      <c r="C143" s="42">
        <f t="shared" si="10"/>
        <v>142</v>
      </c>
      <c r="D143" s="38"/>
      <c r="E143" s="38"/>
      <c r="F143" s="38"/>
      <c r="G143" s="38"/>
      <c r="H143" s="38"/>
      <c r="I143" s="38" t="s">
        <v>9</v>
      </c>
      <c r="J143" s="38"/>
      <c r="K143" s="14" t="s">
        <v>24</v>
      </c>
      <c r="L143" s="14" t="s">
        <v>27</v>
      </c>
      <c r="M143" s="241" t="s">
        <v>2013</v>
      </c>
      <c r="N143" s="53" t="s">
        <v>2014</v>
      </c>
      <c r="O143" s="156">
        <v>0.1</v>
      </c>
      <c r="P143" s="53"/>
      <c r="Q143" s="209" t="s">
        <v>9</v>
      </c>
      <c r="R143" s="38" t="s">
        <v>201</v>
      </c>
      <c r="S143" s="242" t="s">
        <v>112</v>
      </c>
      <c r="T143" s="171"/>
      <c r="U143" s="167"/>
      <c r="V143" s="167"/>
      <c r="W143" s="15"/>
      <c r="X143" s="161"/>
      <c r="Y143" s="167"/>
      <c r="Z143" s="59" t="str">
        <f>IF(OR($M143="",NOT($O143="{array}")),"",IFERROR(MATCH(PARAMETERS!$M143,DEFAULT!$B$5:$CG$5,0),""))</f>
        <v/>
      </c>
      <c r="AA143" s="56" t="str">
        <f t="shared" si="9"/>
        <v/>
      </c>
      <c r="AB143" s="63" t="str">
        <f>IF(AND(OR($A143="G",$A143="P"),NOT($O143="{array}")),IF(VLOOKUP($K143,base!$B$2:$D$20,3,0)="S",IF(OR($O143="",ISTEXT($O143)),"","STRING!"),IF(VLOOKUP($K143,base!$B$2:$D$20,3,0)="","",IF(ISTEXT($O143),"NUMERIC!",""))),"")</f>
        <v/>
      </c>
      <c r="AC143" s="17" t="str">
        <f>IF($AA143="","",IF($B143="I",VLOOKUP($AA143,#REF!,53,0),INDEX(VALUES!$B$1:$BR$1,1,$AA143)))</f>
        <v/>
      </c>
    </row>
    <row r="144" spans="1:29" hidden="1" outlineLevel="1" x14ac:dyDescent="0.25">
      <c r="A144" s="22" t="s">
        <v>84</v>
      </c>
      <c r="B144" s="41" t="str">
        <f t="shared" si="8"/>
        <v/>
      </c>
      <c r="C144" s="42">
        <f t="shared" si="10"/>
        <v>143</v>
      </c>
      <c r="D144" s="38"/>
      <c r="E144" s="38"/>
      <c r="F144" s="38"/>
      <c r="G144" s="38"/>
      <c r="H144" s="38"/>
      <c r="I144" s="38" t="s">
        <v>9</v>
      </c>
      <c r="J144" s="38"/>
      <c r="K144" s="14" t="s">
        <v>24</v>
      </c>
      <c r="L144" s="14" t="s">
        <v>27</v>
      </c>
      <c r="M144" s="241" t="s">
        <v>2015</v>
      </c>
      <c r="N144" s="53" t="s">
        <v>2016</v>
      </c>
      <c r="O144" s="156">
        <v>0.1</v>
      </c>
      <c r="P144" s="53"/>
      <c r="Q144" s="209" t="s">
        <v>9</v>
      </c>
      <c r="R144" s="38" t="s">
        <v>201</v>
      </c>
      <c r="S144" s="242" t="s">
        <v>112</v>
      </c>
      <c r="T144" s="171"/>
      <c r="U144" s="167"/>
      <c r="V144" s="167"/>
      <c r="W144" s="15"/>
      <c r="X144" s="161"/>
      <c r="Y144" s="167"/>
      <c r="Z144" s="59" t="str">
        <f>IF(OR($M144="",NOT($O144="{array}")),"",IFERROR(MATCH(PARAMETERS!$M144,DEFAULT!$B$5:$CG$5,0),""))</f>
        <v/>
      </c>
      <c r="AA144" s="56" t="str">
        <f t="shared" si="9"/>
        <v/>
      </c>
      <c r="AB144" s="63" t="str">
        <f>IF(AND(OR($A144="G",$A144="P"),NOT($O144="{array}")),IF(VLOOKUP($K144,base!$B$2:$D$20,3,0)="S",IF(OR($O144="",ISTEXT($O144)),"","STRING!"),IF(VLOOKUP($K144,base!$B$2:$D$20,3,0)="","",IF(ISTEXT($O144),"NUMERIC!",""))),"")</f>
        <v/>
      </c>
      <c r="AC144" s="17" t="str">
        <f>IF($AA144="","",IF($B144="I",VLOOKUP($AA144,#REF!,53,0),INDEX(VALUES!$B$1:$BR$1,1,$AA144)))</f>
        <v/>
      </c>
    </row>
    <row r="145" spans="1:29" hidden="1" outlineLevel="1" x14ac:dyDescent="0.25">
      <c r="A145" s="22" t="s">
        <v>84</v>
      </c>
      <c r="B145" s="41" t="str">
        <f t="shared" si="8"/>
        <v/>
      </c>
      <c r="C145" s="42">
        <f t="shared" si="10"/>
        <v>144</v>
      </c>
      <c r="D145" s="38"/>
      <c r="E145" s="38"/>
      <c r="F145" s="38"/>
      <c r="G145" s="38"/>
      <c r="H145" s="38"/>
      <c r="I145" s="38" t="s">
        <v>9</v>
      </c>
      <c r="J145" s="38"/>
      <c r="K145" s="14" t="s">
        <v>24</v>
      </c>
      <c r="L145" s="14" t="s">
        <v>27</v>
      </c>
      <c r="M145" s="241" t="s">
        <v>2017</v>
      </c>
      <c r="N145" s="53" t="s">
        <v>2018</v>
      </c>
      <c r="O145" s="156">
        <v>0.1</v>
      </c>
      <c r="P145" s="53"/>
      <c r="Q145" s="209" t="s">
        <v>9</v>
      </c>
      <c r="R145" s="38" t="s">
        <v>201</v>
      </c>
      <c r="S145" s="242" t="s">
        <v>112</v>
      </c>
      <c r="T145" s="171"/>
      <c r="U145" s="167"/>
      <c r="V145" s="167"/>
      <c r="W145" s="15"/>
      <c r="X145" s="161"/>
      <c r="Y145" s="167"/>
      <c r="Z145" s="59" t="str">
        <f>IF(OR($M145="",NOT($O145="{array}")),"",IFERROR(MATCH(PARAMETERS!$M145,DEFAULT!$B$5:$CG$5,0),""))</f>
        <v/>
      </c>
      <c r="AA145" s="56" t="str">
        <f t="shared" si="9"/>
        <v/>
      </c>
      <c r="AB145" s="63" t="str">
        <f>IF(AND(OR($A145="G",$A145="P"),NOT($O145="{array}")),IF(VLOOKUP($K145,base!$B$2:$D$20,3,0)="S",IF(OR($O145="",ISTEXT($O145)),"","STRING!"),IF(VLOOKUP($K145,base!$B$2:$D$20,3,0)="","",IF(ISTEXT($O145),"NUMERIC!",""))),"")</f>
        <v/>
      </c>
      <c r="AC145" s="17" t="str">
        <f>IF($AA145="","",IF($B145="I",VLOOKUP($AA145,#REF!,53,0),INDEX(VALUES!$B$1:$BR$1,1,$AA145)))</f>
        <v/>
      </c>
    </row>
    <row r="146" spans="1:29" hidden="1" outlineLevel="1" x14ac:dyDescent="0.25">
      <c r="A146" s="22" t="s">
        <v>84</v>
      </c>
      <c r="B146" s="41" t="str">
        <f t="shared" si="8"/>
        <v/>
      </c>
      <c r="C146" s="42">
        <f t="shared" si="10"/>
        <v>145</v>
      </c>
      <c r="D146" s="38"/>
      <c r="E146" s="38"/>
      <c r="F146" s="38"/>
      <c r="G146" s="38"/>
      <c r="H146" s="38"/>
      <c r="I146" s="38" t="s">
        <v>9</v>
      </c>
      <c r="J146" s="38"/>
      <c r="K146" s="14" t="s">
        <v>24</v>
      </c>
      <c r="L146" s="14" t="s">
        <v>27</v>
      </c>
      <c r="M146" s="241" t="s">
        <v>2019</v>
      </c>
      <c r="N146" s="53" t="s">
        <v>2020</v>
      </c>
      <c r="O146" s="156">
        <v>0.12</v>
      </c>
      <c r="P146" s="53"/>
      <c r="Q146" s="209" t="s">
        <v>9</v>
      </c>
      <c r="R146" s="38" t="s">
        <v>201</v>
      </c>
      <c r="S146" s="242" t="s">
        <v>112</v>
      </c>
      <c r="T146" s="171"/>
      <c r="U146" s="167"/>
      <c r="V146" s="167"/>
      <c r="W146" s="15"/>
      <c r="X146" s="161"/>
      <c r="Y146" s="167"/>
      <c r="Z146" s="59" t="str">
        <f>IF(OR($M146="",NOT($O146="{array}")),"",IFERROR(MATCH(PARAMETERS!$M146,DEFAULT!$B$5:$CG$5,0),""))</f>
        <v/>
      </c>
      <c r="AA146" s="56" t="str">
        <f t="shared" si="9"/>
        <v/>
      </c>
      <c r="AB146" s="63" t="str">
        <f>IF(AND(OR($A146="G",$A146="P"),NOT($O146="{array}")),IF(VLOOKUP($K146,base!$B$2:$D$20,3,0)="S",IF(OR($O146="",ISTEXT($O146)),"","STRING!"),IF(VLOOKUP($K146,base!$B$2:$D$20,3,0)="","",IF(ISTEXT($O146),"NUMERIC!",""))),"")</f>
        <v/>
      </c>
      <c r="AC146" s="17" t="str">
        <f>IF($AA146="","",IF($B146="I",VLOOKUP($AA146,#REF!,53,0),INDEX(VALUES!$B$1:$BR$1,1,$AA146)))</f>
        <v/>
      </c>
    </row>
    <row r="147" spans="1:29" hidden="1" outlineLevel="1" x14ac:dyDescent="0.25">
      <c r="A147" s="22" t="s">
        <v>84</v>
      </c>
      <c r="B147" s="41" t="str">
        <f t="shared" si="8"/>
        <v/>
      </c>
      <c r="C147" s="42">
        <f t="shared" si="10"/>
        <v>146</v>
      </c>
      <c r="D147" s="38"/>
      <c r="E147" s="38"/>
      <c r="F147" s="38"/>
      <c r="G147" s="38"/>
      <c r="H147" s="38"/>
      <c r="I147" s="38" t="s">
        <v>9</v>
      </c>
      <c r="J147" s="38"/>
      <c r="K147" s="14" t="s">
        <v>24</v>
      </c>
      <c r="L147" s="14" t="s">
        <v>27</v>
      </c>
      <c r="M147" s="241" t="s">
        <v>2021</v>
      </c>
      <c r="N147" s="53" t="s">
        <v>2022</v>
      </c>
      <c r="O147" s="156">
        <v>8.0000000000000002E-3</v>
      </c>
      <c r="P147" s="53"/>
      <c r="Q147" s="209" t="s">
        <v>9</v>
      </c>
      <c r="R147" s="38" t="s">
        <v>201</v>
      </c>
      <c r="S147" s="242" t="s">
        <v>112</v>
      </c>
      <c r="T147" s="171"/>
      <c r="U147" s="167"/>
      <c r="V147" s="167"/>
      <c r="W147" s="15"/>
      <c r="X147" s="161"/>
      <c r="Y147" s="167"/>
      <c r="Z147" s="59" t="str">
        <f>IF(OR($M147="",NOT($O147="{array}")),"",IFERROR(MATCH(PARAMETERS!$M147,DEFAULT!$B$5:$CG$5,0),""))</f>
        <v/>
      </c>
      <c r="AA147" s="56" t="str">
        <f t="shared" si="9"/>
        <v/>
      </c>
      <c r="AB147" s="63" t="str">
        <f>IF(AND(OR($A147="G",$A147="P"),NOT($O147="{array}")),IF(VLOOKUP($K147,base!$B$2:$D$20,3,0)="S",IF(OR($O147="",ISTEXT($O147)),"","STRING!"),IF(VLOOKUP($K147,base!$B$2:$D$20,3,0)="","",IF(ISTEXT($O147),"NUMERIC!",""))),"")</f>
        <v/>
      </c>
      <c r="AC147" s="17" t="str">
        <f>IF($AA147="","",IF($B147="I",VLOOKUP($AA147,#REF!,53,0),INDEX(VALUES!$B$1:$BR$1,1,$AA147)))</f>
        <v/>
      </c>
    </row>
    <row r="148" spans="1:29" hidden="1" outlineLevel="1" x14ac:dyDescent="0.25">
      <c r="A148" s="22" t="s">
        <v>84</v>
      </c>
      <c r="B148" s="41" t="str">
        <f t="shared" si="8"/>
        <v/>
      </c>
      <c r="C148" s="42">
        <f t="shared" si="10"/>
        <v>147</v>
      </c>
      <c r="D148" s="38"/>
      <c r="E148" s="38"/>
      <c r="F148" s="38"/>
      <c r="G148" s="38"/>
      <c r="H148" s="38"/>
      <c r="I148" s="38" t="s">
        <v>9</v>
      </c>
      <c r="J148" s="38"/>
      <c r="K148" s="14" t="s">
        <v>24</v>
      </c>
      <c r="L148" s="14" t="s">
        <v>27</v>
      </c>
      <c r="M148" s="241" t="s">
        <v>2023</v>
      </c>
      <c r="N148" s="53" t="s">
        <v>2024</v>
      </c>
      <c r="O148" s="156">
        <v>8.0000000000000002E-3</v>
      </c>
      <c r="P148" s="53"/>
      <c r="Q148" s="209" t="s">
        <v>9</v>
      </c>
      <c r="R148" s="38" t="s">
        <v>201</v>
      </c>
      <c r="S148" s="242" t="s">
        <v>112</v>
      </c>
      <c r="T148" s="171"/>
      <c r="U148" s="167"/>
      <c r="V148" s="167"/>
      <c r="W148" s="15"/>
      <c r="X148" s="161"/>
      <c r="Y148" s="167"/>
      <c r="Z148" s="59" t="str">
        <f>IF(OR($M148="",NOT($O148="{array}")),"",IFERROR(MATCH(PARAMETERS!$M148,DEFAULT!$B$5:$CG$5,0),""))</f>
        <v/>
      </c>
      <c r="AA148" s="56" t="str">
        <f t="shared" si="9"/>
        <v/>
      </c>
      <c r="AB148" s="63" t="str">
        <f>IF(AND(OR($A148="G",$A148="P"),NOT($O148="{array}")),IF(VLOOKUP($K148,base!$B$2:$D$20,3,0)="S",IF(OR($O148="",ISTEXT($O148)),"","STRING!"),IF(VLOOKUP($K148,base!$B$2:$D$20,3,0)="","",IF(ISTEXT($O148),"NUMERIC!",""))),"")</f>
        <v/>
      </c>
      <c r="AC148" s="17" t="str">
        <f>IF($AA148="","",IF($B148="I",VLOOKUP($AA148,#REF!,53,0),INDEX(VALUES!$B$1:$BR$1,1,$AA148)))</f>
        <v/>
      </c>
    </row>
    <row r="149" spans="1:29" hidden="1" outlineLevel="1" x14ac:dyDescent="0.25">
      <c r="A149" s="22" t="s">
        <v>84</v>
      </c>
      <c r="B149" s="41" t="str">
        <f t="shared" si="8"/>
        <v/>
      </c>
      <c r="C149" s="42">
        <f t="shared" si="10"/>
        <v>148</v>
      </c>
      <c r="D149" s="38"/>
      <c r="E149" s="38"/>
      <c r="F149" s="38"/>
      <c r="G149" s="38"/>
      <c r="H149" s="38"/>
      <c r="I149" s="38" t="s">
        <v>9</v>
      </c>
      <c r="J149" s="38"/>
      <c r="K149" s="14" t="s">
        <v>24</v>
      </c>
      <c r="L149" s="14" t="s">
        <v>27</v>
      </c>
      <c r="M149" s="241" t="s">
        <v>2029</v>
      </c>
      <c r="N149" s="167" t="s">
        <v>702</v>
      </c>
      <c r="O149" s="160">
        <v>3.5000000000000003E-2</v>
      </c>
      <c r="P149" s="161"/>
      <c r="Q149" s="172" t="s">
        <v>9</v>
      </c>
      <c r="R149" s="172" t="s">
        <v>103</v>
      </c>
      <c r="S149" s="172" t="s">
        <v>112</v>
      </c>
      <c r="T149" s="167" t="s">
        <v>270</v>
      </c>
      <c r="U149" s="167" t="s">
        <v>270</v>
      </c>
      <c r="V149" s="167" t="s">
        <v>702</v>
      </c>
      <c r="W149" s="15" t="str">
        <f>IF(IFERROR(VLOOKUP($M149,'IMPORT GS-Tür OL FL 2S2 20'!$H$2:$H$847,1,0),"-")="-","","GS")</f>
        <v/>
      </c>
      <c r="X149" s="161">
        <v>53</v>
      </c>
      <c r="Y149" s="167" t="s">
        <v>703</v>
      </c>
      <c r="Z149" s="59" t="str">
        <f>IF(OR($M149="",NOT($O149="{array}")),"",IFERROR(MATCH(PARAMETERS!$M149,DEFAULT!$B$5:$CG$5,0),""))</f>
        <v/>
      </c>
      <c r="AA149" s="56" t="str">
        <f t="shared" si="9"/>
        <v/>
      </c>
      <c r="AB149" s="63" t="str">
        <f>IF(AND(OR($A149="G",$A149="P"),NOT($O149="{array}")),IF(VLOOKUP($K149,base!$B$2:$D$20,3,0)="S",IF(OR($O149="",ISTEXT($O149)),"","STRING!"),IF(VLOOKUP($K149,base!$B$2:$D$20,3,0)="","",IF(ISTEXT($O149),"NUMERIC!",""))),"")</f>
        <v/>
      </c>
      <c r="AC149" s="17" t="str">
        <f>IF($AA149="","",IF($B149="I",VLOOKUP($AA149,#REF!,53,0),INDEX(VALUES!$B$1:$BR$1,1,$AA149)))</f>
        <v/>
      </c>
    </row>
    <row r="150" spans="1:29" hidden="1" outlineLevel="1" x14ac:dyDescent="0.25">
      <c r="A150" s="22" t="s">
        <v>84</v>
      </c>
      <c r="B150" s="41" t="str">
        <f t="shared" si="8"/>
        <v/>
      </c>
      <c r="C150" s="42">
        <f t="shared" si="10"/>
        <v>149</v>
      </c>
      <c r="D150" s="38"/>
      <c r="E150" s="38"/>
      <c r="F150" s="38"/>
      <c r="G150" s="38"/>
      <c r="H150" s="38"/>
      <c r="I150" s="38" t="s">
        <v>9</v>
      </c>
      <c r="J150" s="38"/>
      <c r="K150" s="14" t="s">
        <v>24</v>
      </c>
      <c r="L150" s="14" t="s">
        <v>27</v>
      </c>
      <c r="M150" s="241" t="s">
        <v>2030</v>
      </c>
      <c r="N150" s="160" t="s">
        <v>704</v>
      </c>
      <c r="O150" s="160">
        <v>3.5000000000000003E-2</v>
      </c>
      <c r="P150" s="177"/>
      <c r="Q150" s="179" t="s">
        <v>9</v>
      </c>
      <c r="R150" s="179" t="s">
        <v>103</v>
      </c>
      <c r="S150" s="179" t="s">
        <v>112</v>
      </c>
      <c r="T150" s="160" t="s">
        <v>270</v>
      </c>
      <c r="U150" s="160" t="s">
        <v>270</v>
      </c>
      <c r="V150" s="160" t="s">
        <v>704</v>
      </c>
      <c r="W150" s="15" t="str">
        <f>IF(IFERROR(VLOOKUP($M150,'IMPORT GS-Tür OL FL 2S2 20'!$H$2:$H$847,1,0),"-")="-","","GS")</f>
        <v/>
      </c>
      <c r="X150" s="177">
        <v>53</v>
      </c>
      <c r="Y150" s="160" t="s">
        <v>703</v>
      </c>
      <c r="Z150" s="59" t="str">
        <f>IF(OR($M150="",NOT($O150="{array}")),"",IFERROR(MATCH(PARAMETERS!$M150,DEFAULT!$B$5:$CG$5,0),""))</f>
        <v/>
      </c>
      <c r="AA150" s="56" t="str">
        <f t="shared" si="9"/>
        <v/>
      </c>
      <c r="AB150" s="63" t="str">
        <f>IF(AND(OR($A150="G",$A150="P"),NOT($O150="{array}")),IF(VLOOKUP($K150,base!$B$2:$D$20,3,0)="S",IF(OR($O150="",ISTEXT($O150)),"","STRING!"),IF(VLOOKUP($K150,base!$B$2:$D$20,3,0)="","",IF(ISTEXT($O150),"NUMERIC!",""))),"")</f>
        <v/>
      </c>
      <c r="AC150" s="17" t="str">
        <f>IF($AA150="","",IF($B150="I",VLOOKUP($AA150,#REF!,53,0),INDEX(VALUES!$B$1:$BR$1,1,$AA150)))</f>
        <v/>
      </c>
    </row>
    <row r="151" spans="1:29" hidden="1" outlineLevel="1" x14ac:dyDescent="0.25">
      <c r="A151" s="22" t="s">
        <v>84</v>
      </c>
      <c r="B151" s="41" t="str">
        <f t="shared" si="8"/>
        <v/>
      </c>
      <c r="C151" s="42">
        <f t="shared" si="10"/>
        <v>150</v>
      </c>
      <c r="D151" s="38"/>
      <c r="E151" s="38"/>
      <c r="F151" s="38"/>
      <c r="G151" s="38"/>
      <c r="H151" s="38"/>
      <c r="I151" s="38" t="s">
        <v>9</v>
      </c>
      <c r="J151" s="38"/>
      <c r="K151" s="14" t="s">
        <v>24</v>
      </c>
      <c r="L151" s="14" t="s">
        <v>27</v>
      </c>
      <c r="M151" s="241" t="s">
        <v>2031</v>
      </c>
      <c r="N151" s="160" t="s">
        <v>705</v>
      </c>
      <c r="O151" s="160">
        <v>3.5000000000000003E-2</v>
      </c>
      <c r="P151" s="177"/>
      <c r="Q151" s="179" t="s">
        <v>9</v>
      </c>
      <c r="R151" s="179" t="s">
        <v>103</v>
      </c>
      <c r="S151" s="179" t="s">
        <v>112</v>
      </c>
      <c r="T151" s="160" t="s">
        <v>270</v>
      </c>
      <c r="U151" s="160" t="s">
        <v>270</v>
      </c>
      <c r="V151" s="160" t="s">
        <v>705</v>
      </c>
      <c r="W151" s="15" t="str">
        <f>IF(IFERROR(VLOOKUP($M151,'IMPORT GS-Tür OL FL 2S2 20'!$H$2:$H$847,1,0),"-")="-","","GS")</f>
        <v/>
      </c>
      <c r="X151" s="177">
        <v>53</v>
      </c>
      <c r="Y151" s="160" t="s">
        <v>703</v>
      </c>
      <c r="Z151" s="59" t="str">
        <f>IF(OR($M151="",NOT($O151="{array}")),"",IFERROR(MATCH(PARAMETERS!$M151,DEFAULT!$B$5:$CG$5,0),""))</f>
        <v/>
      </c>
      <c r="AA151" s="56" t="str">
        <f t="shared" si="9"/>
        <v/>
      </c>
      <c r="AB151" s="63" t="str">
        <f>IF(AND(OR($A151="G",$A151="P"),NOT($O151="{array}")),IF(VLOOKUP($K151,base!$B$2:$D$20,3,0)="S",IF(OR($O151="",ISTEXT($O151)),"","STRING!"),IF(VLOOKUP($K151,base!$B$2:$D$20,3,0)="","",IF(ISTEXT($O151),"NUMERIC!",""))),"")</f>
        <v/>
      </c>
      <c r="AC151" s="17" t="str">
        <f>IF($AA151="","",IF($B151="I",VLOOKUP($AA151,#REF!,53,0),INDEX(VALUES!$B$1:$BR$1,1,$AA151)))</f>
        <v/>
      </c>
    </row>
    <row r="152" spans="1:29" hidden="1" outlineLevel="1" x14ac:dyDescent="0.25">
      <c r="A152" s="22" t="s">
        <v>84</v>
      </c>
      <c r="B152" s="41" t="str">
        <f t="shared" si="8"/>
        <v/>
      </c>
      <c r="C152" s="42">
        <f t="shared" si="10"/>
        <v>151</v>
      </c>
      <c r="D152" s="38"/>
      <c r="E152" s="38"/>
      <c r="F152" s="38"/>
      <c r="G152" s="38"/>
      <c r="H152" s="38"/>
      <c r="I152" s="38" t="s">
        <v>9</v>
      </c>
      <c r="J152" s="38"/>
      <c r="K152" s="14" t="s">
        <v>24</v>
      </c>
      <c r="L152" s="14" t="s">
        <v>27</v>
      </c>
      <c r="M152" s="241" t="s">
        <v>2036</v>
      </c>
      <c r="N152" s="160" t="s">
        <v>706</v>
      </c>
      <c r="O152" s="160">
        <v>3.5000000000000003E-2</v>
      </c>
      <c r="P152" s="177"/>
      <c r="Q152" s="179" t="s">
        <v>9</v>
      </c>
      <c r="R152" s="179" t="s">
        <v>103</v>
      </c>
      <c r="S152" s="179" t="s">
        <v>112</v>
      </c>
      <c r="T152" s="160" t="s">
        <v>270</v>
      </c>
      <c r="U152" s="160" t="s">
        <v>270</v>
      </c>
      <c r="V152" s="160" t="s">
        <v>706</v>
      </c>
      <c r="W152" s="15" t="str">
        <f>IF(IFERROR(VLOOKUP($M152,'IMPORT GS-Tür OL FL 2S2 20'!$H$2:$H$847,1,0),"-")="-","","GS")</f>
        <v/>
      </c>
      <c r="X152" s="177">
        <v>53</v>
      </c>
      <c r="Y152" s="160" t="s">
        <v>703</v>
      </c>
      <c r="Z152" s="59" t="str">
        <f>IF(OR($M152="",NOT($O152="{array}")),"",IFERROR(MATCH(PARAMETERS!$M152,DEFAULT!$B$5:$CG$5,0),""))</f>
        <v/>
      </c>
      <c r="AA152" s="56" t="str">
        <f t="shared" si="9"/>
        <v/>
      </c>
      <c r="AB152" s="63" t="str">
        <f>IF(AND(OR($A152="G",$A152="P"),NOT($O152="{array}")),IF(VLOOKUP($K152,base!$B$2:$D$20,3,0)="S",IF(OR($O152="",ISTEXT($O152)),"","STRING!"),IF(VLOOKUP($K152,base!$B$2:$D$20,3,0)="","",IF(ISTEXT($O152),"NUMERIC!",""))),"")</f>
        <v/>
      </c>
      <c r="AC152" s="17" t="str">
        <f>IF($AA152="","",IF($B152="I",VLOOKUP($AA152,#REF!,53,0),INDEX(VALUES!$B$1:$BR$1,1,$AA152)))</f>
        <v/>
      </c>
    </row>
    <row r="153" spans="1:29" hidden="1" outlineLevel="1" x14ac:dyDescent="0.25">
      <c r="A153" s="22"/>
      <c r="B153" s="41" t="str">
        <f t="shared" si="8"/>
        <v/>
      </c>
      <c r="C153" s="42">
        <f t="shared" si="10"/>
        <v>152</v>
      </c>
      <c r="D153" s="38"/>
      <c r="E153" s="38"/>
      <c r="F153" s="38"/>
      <c r="G153" s="38"/>
      <c r="H153" s="38"/>
      <c r="I153" s="38" t="s">
        <v>9</v>
      </c>
      <c r="J153" s="38"/>
      <c r="K153" s="167" t="s">
        <v>36</v>
      </c>
      <c r="L153" s="14" t="s">
        <v>27</v>
      </c>
      <c r="M153" s="167" t="s">
        <v>707</v>
      </c>
      <c r="N153" s="167" t="s">
        <v>270</v>
      </c>
      <c r="O153" s="167" t="s">
        <v>270</v>
      </c>
      <c r="P153" s="161" t="s">
        <v>128</v>
      </c>
      <c r="Q153" s="171" t="s">
        <v>9</v>
      </c>
      <c r="R153" s="172" t="s">
        <v>103</v>
      </c>
      <c r="S153" s="172" t="s">
        <v>112</v>
      </c>
      <c r="T153" s="167" t="s">
        <v>270</v>
      </c>
      <c r="U153" s="167" t="s">
        <v>270</v>
      </c>
      <c r="V153" s="167" t="s">
        <v>707</v>
      </c>
      <c r="W153" s="15" t="str">
        <f>IF(IFERROR(VLOOKUP($M153,'IMPORT GS-Tür OL FL 2S2 20'!$H$2:$H$847,1,0),"-")="-","","GS")</f>
        <v/>
      </c>
      <c r="X153" s="161">
        <v>49</v>
      </c>
      <c r="Y153" s="167" t="s">
        <v>708</v>
      </c>
      <c r="Z153" s="59" t="str">
        <f>IF(OR($M153="",NOT($O153="{array}")),"",IFERROR(MATCH(PARAMETERS!$M153,DEFAULT!$B$5:$CG$5,0),""))</f>
        <v/>
      </c>
      <c r="AA153" s="56" t="str">
        <f t="shared" si="9"/>
        <v/>
      </c>
      <c r="AB153" s="63" t="str">
        <f>IF(AND(OR($A153="G",$A153="P"),NOT($O153="{array}")),IF(VLOOKUP($K153,base!$B$2:$D$20,3,0)="S",IF(OR($O153="",ISTEXT($O153)),"","STRING!"),IF(VLOOKUP($K153,base!$B$2:$D$20,3,0)="","",IF(ISTEXT($O153),"NUMERIC!",""))),"")</f>
        <v/>
      </c>
      <c r="AC153" s="17" t="str">
        <f>IF($AA153="","",IF($B153="I",VLOOKUP($AA153,#REF!,53,0),INDEX(VALUES!$B$1:$BR$1,1,$AA153)))</f>
        <v/>
      </c>
    </row>
    <row r="154" spans="1:29" hidden="1" outlineLevel="1" x14ac:dyDescent="0.25">
      <c r="A154" s="22"/>
      <c r="B154" s="41" t="str">
        <f t="shared" si="8"/>
        <v/>
      </c>
      <c r="C154" s="42">
        <f t="shared" si="10"/>
        <v>153</v>
      </c>
      <c r="D154" s="38"/>
      <c r="E154" s="38"/>
      <c r="F154" s="38"/>
      <c r="G154" s="38"/>
      <c r="H154" s="38"/>
      <c r="I154" s="38" t="s">
        <v>9</v>
      </c>
      <c r="J154" s="38"/>
      <c r="K154" s="167" t="s">
        <v>44</v>
      </c>
      <c r="L154" s="14" t="s">
        <v>27</v>
      </c>
      <c r="M154" s="167" t="s">
        <v>709</v>
      </c>
      <c r="N154" s="167" t="s">
        <v>270</v>
      </c>
      <c r="O154" s="167" t="s">
        <v>270</v>
      </c>
      <c r="P154" s="161" t="s">
        <v>124</v>
      </c>
      <c r="Q154" s="171" t="s">
        <v>9</v>
      </c>
      <c r="R154" s="172" t="s">
        <v>103</v>
      </c>
      <c r="S154" s="172" t="s">
        <v>112</v>
      </c>
      <c r="T154" s="167" t="s">
        <v>270</v>
      </c>
      <c r="U154" s="167" t="s">
        <v>270</v>
      </c>
      <c r="V154" s="167" t="s">
        <v>709</v>
      </c>
      <c r="W154" s="15" t="str">
        <f>IF(IFERROR(VLOOKUP($M154,'IMPORT GS-Tür OL FL 2S2 20'!$H$2:$H$847,1,0),"-")="-","","GS")</f>
        <v/>
      </c>
      <c r="X154" s="161">
        <v>52</v>
      </c>
      <c r="Y154" s="167" t="s">
        <v>710</v>
      </c>
      <c r="Z154" s="59" t="str">
        <f>IF(OR($M154="",NOT($O154="{array}")),"",IFERROR(MATCH(PARAMETERS!$M154,DEFAULT!$B$5:$CG$5,0),""))</f>
        <v/>
      </c>
      <c r="AA154" s="56" t="str">
        <f t="shared" si="9"/>
        <v/>
      </c>
      <c r="AB154" s="63" t="str">
        <f>IF(AND(OR($A154="G",$A154="P"),NOT($O154="{array}")),IF(VLOOKUP($K154,base!$B$2:$D$20,3,0)="S",IF(OR($O154="",ISTEXT($O154)),"","STRING!"),IF(VLOOKUP($K154,base!$B$2:$D$20,3,0)="","",IF(ISTEXT($O154),"NUMERIC!",""))),"")</f>
        <v/>
      </c>
      <c r="AC154" s="17" t="str">
        <f>IF($AA154="","",IF($B154="I",VLOOKUP($AA154,#REF!,53,0),INDEX(VALUES!$B$1:$BR$1,1,$AA154)))</f>
        <v/>
      </c>
    </row>
    <row r="155" spans="1:29" hidden="1" outlineLevel="1" x14ac:dyDescent="0.25">
      <c r="A155" s="22"/>
      <c r="B155" s="41" t="str">
        <f t="shared" si="8"/>
        <v/>
      </c>
      <c r="C155" s="42">
        <f t="shared" si="10"/>
        <v>154</v>
      </c>
      <c r="D155" s="38"/>
      <c r="E155" s="38"/>
      <c r="F155" s="38"/>
      <c r="G155" s="38"/>
      <c r="H155" s="38"/>
      <c r="I155" s="38" t="s">
        <v>9</v>
      </c>
      <c r="J155" s="38"/>
      <c r="K155" s="167" t="s">
        <v>44</v>
      </c>
      <c r="L155" s="14" t="s">
        <v>27</v>
      </c>
      <c r="M155" s="167" t="s">
        <v>711</v>
      </c>
      <c r="N155" s="167" t="s">
        <v>270</v>
      </c>
      <c r="O155" s="167" t="s">
        <v>270</v>
      </c>
      <c r="P155" s="161" t="s">
        <v>124</v>
      </c>
      <c r="Q155" s="171" t="s">
        <v>9</v>
      </c>
      <c r="R155" s="172" t="s">
        <v>103</v>
      </c>
      <c r="S155" s="172" t="s">
        <v>112</v>
      </c>
      <c r="T155" s="167" t="s">
        <v>270</v>
      </c>
      <c r="U155" s="167" t="s">
        <v>270</v>
      </c>
      <c r="V155" s="167" t="s">
        <v>711</v>
      </c>
      <c r="W155" s="15" t="str">
        <f>IF(IFERROR(VLOOKUP($M155,'IMPORT GS-Tür OL FL 2S2 20'!$H$2:$H$847,1,0),"-")="-","","GS")</f>
        <v/>
      </c>
      <c r="X155" s="161" t="s">
        <v>270</v>
      </c>
      <c r="Y155" s="167" t="s">
        <v>712</v>
      </c>
      <c r="Z155" s="59" t="str">
        <f>IF(OR($M155="",NOT($O155="{array}")),"",IFERROR(MATCH(PARAMETERS!$M155,DEFAULT!$B$5:$CG$5,0),""))</f>
        <v/>
      </c>
      <c r="AA155" s="56" t="str">
        <f t="shared" si="9"/>
        <v/>
      </c>
      <c r="AB155" s="63" t="str">
        <f>IF(AND(OR($A155="G",$A155="P"),NOT($O155="{array}")),IF(VLOOKUP($K155,base!$B$2:$D$20,3,0)="S",IF(OR($O155="",ISTEXT($O155)),"","STRING!"),IF(VLOOKUP($K155,base!$B$2:$D$20,3,0)="","",IF(ISTEXT($O155),"NUMERIC!",""))),"")</f>
        <v/>
      </c>
      <c r="AC155" s="17" t="str">
        <f>IF($AA155="","",IF($B155="I",VLOOKUP($AA155,#REF!,53,0),INDEX(VALUES!$B$1:$BR$1,1,$AA155)))</f>
        <v/>
      </c>
    </row>
    <row r="156" spans="1:29" hidden="1" outlineLevel="1" x14ac:dyDescent="0.25">
      <c r="A156" s="22"/>
      <c r="B156" s="41" t="str">
        <f t="shared" si="8"/>
        <v/>
      </c>
      <c r="C156" s="42">
        <f t="shared" si="10"/>
        <v>155</v>
      </c>
      <c r="D156" s="38"/>
      <c r="E156" s="38"/>
      <c r="F156" s="38"/>
      <c r="G156" s="38"/>
      <c r="H156" s="38"/>
      <c r="I156" s="38" t="s">
        <v>9</v>
      </c>
      <c r="J156" s="38"/>
      <c r="K156" s="167" t="s">
        <v>44</v>
      </c>
      <c r="L156" s="14" t="s">
        <v>27</v>
      </c>
      <c r="M156" s="167" t="s">
        <v>713</v>
      </c>
      <c r="N156" s="167" t="s">
        <v>270</v>
      </c>
      <c r="O156" s="167" t="s">
        <v>270</v>
      </c>
      <c r="P156" s="161" t="s">
        <v>124</v>
      </c>
      <c r="Q156" s="171" t="s">
        <v>9</v>
      </c>
      <c r="R156" s="172" t="s">
        <v>103</v>
      </c>
      <c r="S156" s="172" t="s">
        <v>112</v>
      </c>
      <c r="T156" s="167" t="s">
        <v>270</v>
      </c>
      <c r="U156" s="167" t="s">
        <v>270</v>
      </c>
      <c r="V156" s="167" t="s">
        <v>713</v>
      </c>
      <c r="W156" s="15" t="str">
        <f>IF(IFERROR(VLOOKUP($M156,'IMPORT GS-Tür OL FL 2S2 20'!$H$2:$H$847,1,0),"-")="-","","GS")</f>
        <v/>
      </c>
      <c r="X156" s="161">
        <v>54</v>
      </c>
      <c r="Y156" s="167" t="s">
        <v>714</v>
      </c>
      <c r="Z156" s="59" t="str">
        <f>IF(OR($M156="",NOT($O156="{array}")),"",IFERROR(MATCH(PARAMETERS!$M156,DEFAULT!$B$5:$CG$5,0),""))</f>
        <v/>
      </c>
      <c r="AA156" s="56" t="str">
        <f t="shared" si="9"/>
        <v/>
      </c>
      <c r="AB156" s="63" t="str">
        <f>IF(AND(OR($A156="G",$A156="P"),NOT($O156="{array}")),IF(VLOOKUP($K156,base!$B$2:$D$20,3,0)="S",IF(OR($O156="",ISTEXT($O156)),"","STRING!"),IF(VLOOKUP($K156,base!$B$2:$D$20,3,0)="","",IF(ISTEXT($O156),"NUMERIC!",""))),"")</f>
        <v/>
      </c>
      <c r="AC156" s="17" t="str">
        <f>IF($AA156="","",IF($B156="I",VLOOKUP($AA156,#REF!,53,0),INDEX(VALUES!$B$1:$BR$1,1,$AA156)))</f>
        <v/>
      </c>
    </row>
    <row r="157" spans="1:29" hidden="1" outlineLevel="1" x14ac:dyDescent="0.3">
      <c r="A157" s="22" t="s">
        <v>84</v>
      </c>
      <c r="B157" s="41" t="str">
        <f t="shared" si="8"/>
        <v/>
      </c>
      <c r="C157" s="42">
        <f t="shared" si="10"/>
        <v>156</v>
      </c>
      <c r="D157" s="38"/>
      <c r="E157" s="38"/>
      <c r="F157" s="38"/>
      <c r="G157" s="38"/>
      <c r="H157" s="38"/>
      <c r="I157" s="38" t="s">
        <v>9</v>
      </c>
      <c r="J157" s="38"/>
      <c r="K157" s="167" t="s">
        <v>44</v>
      </c>
      <c r="L157" s="14" t="s">
        <v>27</v>
      </c>
      <c r="M157" s="176" t="s">
        <v>715</v>
      </c>
      <c r="N157" s="167" t="s">
        <v>716</v>
      </c>
      <c r="O157" s="167">
        <v>1</v>
      </c>
      <c r="P157" s="161" t="s">
        <v>270</v>
      </c>
      <c r="Q157" s="171"/>
      <c r="R157" s="172" t="s">
        <v>103</v>
      </c>
      <c r="S157" s="172" t="s">
        <v>112</v>
      </c>
      <c r="T157" s="167" t="s">
        <v>270</v>
      </c>
      <c r="U157" s="167" t="s">
        <v>270</v>
      </c>
      <c r="V157" s="167" t="s">
        <v>716</v>
      </c>
      <c r="W157" s="15" t="str">
        <f>IF(IFERROR(VLOOKUP($M157,'IMPORT GS-Tür OL FL 2S2 20'!$H$2:$H$847,1,0),"-")="-","","GS")</f>
        <v/>
      </c>
      <c r="X157" s="161">
        <v>50</v>
      </c>
      <c r="Y157" s="167" t="s">
        <v>717</v>
      </c>
      <c r="Z157" s="59" t="str">
        <f>IF(OR($M157="",NOT($O157="{array}")),"",IFERROR(MATCH(PARAMETERS!$M157,DEFAULT!$B$5:$CG$5,0),""))</f>
        <v/>
      </c>
      <c r="AA157" s="56" t="str">
        <f t="shared" si="9"/>
        <v/>
      </c>
      <c r="AB157" s="63" t="str">
        <f>IF(AND(OR($A157="G",$A157="P"),NOT($O157="{array}")),IF(VLOOKUP($K157,base!$B$2:$D$20,3,0)="S",IF(OR($O157="",ISTEXT($O157)),"","STRING!"),IF(VLOOKUP($K157,base!$B$2:$D$20,3,0)="","",IF(ISTEXT($O157),"NUMERIC!",""))),"")</f>
        <v/>
      </c>
      <c r="AC157" s="17" t="str">
        <f>IF($AA157="","",IF($B157="I",VLOOKUP($AA157,#REF!,53,0),INDEX(VALUES!$B$1:$BR$1,1,$AA157)))</f>
        <v/>
      </c>
    </row>
    <row r="158" spans="1:29" hidden="1" outlineLevel="1" x14ac:dyDescent="0.3">
      <c r="A158" s="22" t="s">
        <v>84</v>
      </c>
      <c r="B158" s="41" t="str">
        <f t="shared" si="8"/>
        <v/>
      </c>
      <c r="C158" s="42">
        <f t="shared" si="10"/>
        <v>157</v>
      </c>
      <c r="D158" s="38"/>
      <c r="E158" s="38"/>
      <c r="F158" s="38" t="s">
        <v>9</v>
      </c>
      <c r="G158" s="38"/>
      <c r="H158" s="38"/>
      <c r="I158" s="38" t="s">
        <v>9</v>
      </c>
      <c r="J158" s="38"/>
      <c r="K158" s="14" t="s">
        <v>24</v>
      </c>
      <c r="L158" s="14" t="s">
        <v>27</v>
      </c>
      <c r="M158" s="152" t="s">
        <v>718</v>
      </c>
      <c r="N158" s="14" t="s">
        <v>719</v>
      </c>
      <c r="O158" s="43">
        <v>1.4999999999999999E-2</v>
      </c>
      <c r="Q158" s="38" t="s">
        <v>9</v>
      </c>
      <c r="R158" s="38" t="s">
        <v>104</v>
      </c>
      <c r="S158" s="38"/>
      <c r="T158" s="38"/>
      <c r="W158" s="15" t="str">
        <f>IF(IFERROR(VLOOKUP($M158,'IMPORT GS-Tür OL FL 2S2 20'!$H$2:$H$847,1,0),"-")="-","","GS")</f>
        <v>GS</v>
      </c>
      <c r="Y158" s="53" t="s">
        <v>720</v>
      </c>
      <c r="Z158" s="59" t="str">
        <f>IF(OR($M158="",NOT($O158="{array}")),"",IFERROR(MATCH(PARAMETERS!$M158,DEFAULT!$B$5:$CG$5,0),""))</f>
        <v/>
      </c>
      <c r="AA158" s="56" t="str">
        <f t="shared" si="9"/>
        <v/>
      </c>
      <c r="AB158" s="63" t="str">
        <f>IF(AND(OR($A158="G",$A158="P"),NOT($O158="{array}")),IF(VLOOKUP($K158,base!$B$2:$D$20,3,0)="S",IF(OR($O158="",ISTEXT($O158)),"","STRING!"),IF(VLOOKUP($K158,base!$B$2:$D$20,3,0)="","",IF(ISTEXT($O158),"NUMERIC!",""))),"")</f>
        <v/>
      </c>
      <c r="AC158" s="17" t="str">
        <f>IF($AA158="","",IF($B158="I",VLOOKUP($AA158,#REF!,53,0),INDEX(VALUES!$B$1:$BR$1,1,$AA158)))</f>
        <v/>
      </c>
    </row>
    <row r="159" spans="1:29" hidden="1" outlineLevel="1" x14ac:dyDescent="0.3">
      <c r="A159" s="22" t="s">
        <v>84</v>
      </c>
      <c r="B159" s="41" t="str">
        <f t="shared" si="8"/>
        <v/>
      </c>
      <c r="C159" s="42">
        <f t="shared" si="10"/>
        <v>158</v>
      </c>
      <c r="D159" s="38"/>
      <c r="E159" s="38"/>
      <c r="F159" s="38" t="s">
        <v>9</v>
      </c>
      <c r="G159" s="38"/>
      <c r="H159" s="38"/>
      <c r="I159" s="38" t="s">
        <v>9</v>
      </c>
      <c r="J159" s="38"/>
      <c r="K159" s="14" t="s">
        <v>24</v>
      </c>
      <c r="L159" s="14" t="s">
        <v>27</v>
      </c>
      <c r="M159" s="152" t="s">
        <v>721</v>
      </c>
      <c r="N159" s="14" t="s">
        <v>722</v>
      </c>
      <c r="O159" s="43">
        <v>0.02</v>
      </c>
      <c r="Q159" s="38" t="s">
        <v>9</v>
      </c>
      <c r="R159" s="38" t="s">
        <v>104</v>
      </c>
      <c r="S159" s="38"/>
      <c r="T159" s="38"/>
      <c r="W159" s="15" t="str">
        <f>IF(IFERROR(VLOOKUP($M159,'IMPORT GS-Tür OL FL 2S2 20'!$H$2:$H$847,1,0),"-")="-","","GS")</f>
        <v>GS</v>
      </c>
      <c r="Y159" s="53" t="s">
        <v>720</v>
      </c>
      <c r="Z159" s="59" t="str">
        <f>IF(OR($M159="",NOT($O159="{array}")),"",IFERROR(MATCH(PARAMETERS!$M159,DEFAULT!$B$5:$CG$5,0),""))</f>
        <v/>
      </c>
      <c r="AA159" s="56" t="str">
        <f t="shared" si="9"/>
        <v/>
      </c>
      <c r="AB159" s="63" t="str">
        <f>IF(AND(OR($A159="G",$A159="P"),NOT($O159="{array}")),IF(VLOOKUP($K159,base!$B$2:$D$20,3,0)="S",IF(OR($O159="",ISTEXT($O159)),"","STRING!"),IF(VLOOKUP($K159,base!$B$2:$D$20,3,0)="","",IF(ISTEXT($O159),"NUMERIC!",""))),"")</f>
        <v/>
      </c>
      <c r="AC159" s="17" t="str">
        <f>IF($AA159="","",IF($B159="I",VLOOKUP($AA159,#REF!,53,0),INDEX(VALUES!$B$1:$BR$1,1,$AA159)))</f>
        <v/>
      </c>
    </row>
    <row r="160" spans="1:29" hidden="1" outlineLevel="1" x14ac:dyDescent="0.3">
      <c r="A160" s="22" t="s">
        <v>84</v>
      </c>
      <c r="B160" s="41" t="str">
        <f t="shared" si="8"/>
        <v/>
      </c>
      <c r="C160" s="42">
        <f t="shared" si="10"/>
        <v>159</v>
      </c>
      <c r="D160" s="38"/>
      <c r="E160" s="38"/>
      <c r="F160" s="38" t="s">
        <v>9</v>
      </c>
      <c r="G160" s="38"/>
      <c r="H160" s="38"/>
      <c r="I160" s="38" t="s">
        <v>9</v>
      </c>
      <c r="J160" s="38"/>
      <c r="K160" s="14" t="s">
        <v>24</v>
      </c>
      <c r="L160" s="14" t="s">
        <v>27</v>
      </c>
      <c r="M160" s="241" t="s">
        <v>2034</v>
      </c>
      <c r="N160" s="53" t="s">
        <v>2035</v>
      </c>
      <c r="O160" s="156">
        <v>0</v>
      </c>
      <c r="P160" s="53"/>
      <c r="Q160" s="209" t="s">
        <v>9</v>
      </c>
      <c r="R160" s="38" t="s">
        <v>201</v>
      </c>
      <c r="S160" s="38"/>
      <c r="T160" s="38"/>
      <c r="W160" s="15"/>
      <c r="Y160" s="53"/>
      <c r="Z160" s="59" t="str">
        <f>IF(OR($M160="",NOT($O160="{array}")),"",IFERROR(MATCH(PARAMETERS!$M160,DEFAULT!$B$5:$CG$5,0),""))</f>
        <v/>
      </c>
      <c r="AA160" s="56" t="str">
        <f t="shared" si="9"/>
        <v/>
      </c>
      <c r="AB160" s="63" t="str">
        <f>IF(AND(OR($A160="G",$A160="P"),NOT($O160="{array}")),IF(VLOOKUP($K160,base!$B$2:$D$20,3,0)="S",IF(OR($O160="",ISTEXT($O160)),"","STRING!"),IF(VLOOKUP($K160,base!$B$2:$D$20,3,0)="","",IF(ISTEXT($O160),"NUMERIC!",""))),"")</f>
        <v/>
      </c>
      <c r="AC160" s="17" t="str">
        <f>IF($AA160="","",IF($B160="I",VLOOKUP($AA160,#REF!,53,0),INDEX(VALUES!$B$1:$BR$1,1,$AA160)))</f>
        <v/>
      </c>
    </row>
    <row r="161" spans="1:29" hidden="1" outlineLevel="1" x14ac:dyDescent="0.25">
      <c r="A161" s="22" t="s">
        <v>84</v>
      </c>
      <c r="B161" s="41" t="str">
        <f t="shared" si="8"/>
        <v>A</v>
      </c>
      <c r="C161" s="42">
        <f t="shared" si="10"/>
        <v>160</v>
      </c>
      <c r="D161" s="38"/>
      <c r="E161" s="38"/>
      <c r="F161" s="38"/>
      <c r="G161" s="38"/>
      <c r="H161" s="38"/>
      <c r="I161" s="38" t="s">
        <v>9</v>
      </c>
      <c r="J161" s="38"/>
      <c r="K161" s="160" t="s">
        <v>24</v>
      </c>
      <c r="L161" s="14" t="s">
        <v>27</v>
      </c>
      <c r="M161" s="160" t="s">
        <v>723</v>
      </c>
      <c r="N161" s="160" t="s">
        <v>724</v>
      </c>
      <c r="O161" s="160" t="s">
        <v>33</v>
      </c>
      <c r="P161" s="177"/>
      <c r="Q161" s="179" t="s">
        <v>9</v>
      </c>
      <c r="R161" s="179" t="s">
        <v>103</v>
      </c>
      <c r="S161" s="172"/>
      <c r="T161" s="167"/>
      <c r="U161" s="167"/>
      <c r="V161" s="167"/>
      <c r="W161" s="15"/>
      <c r="X161" s="161"/>
      <c r="Y161" s="167"/>
      <c r="Z161" s="59">
        <f>IF(OR($M161="",NOT($O161="{array}")),"",IFERROR(MATCH(PARAMETERS!$M161,DEFAULT!$B$5:$CG$5,0),""))</f>
        <v>66</v>
      </c>
      <c r="AA161" s="56" t="str">
        <f t="shared" si="9"/>
        <v/>
      </c>
      <c r="AB161" s="63" t="str">
        <f>IF(AND(OR($A161="G",$A161="P"),NOT($O161="{array}")),IF(VLOOKUP($K161,base!$B$2:$D$20,3,0)="S",IF(OR($O161="",ISTEXT($O161)),"","STRING!"),IF(VLOOKUP($K161,base!$B$2:$D$20,3,0)="","",IF(ISTEXT($O161),"NUMERIC!",""))),"")</f>
        <v/>
      </c>
      <c r="AC161" s="17" t="str">
        <f>IF($AA161="","",IF($B161="I",VLOOKUP($AA161,#REF!,53,0),INDEX(VALUES!$B$1:$BR$1,1,$AA161)))</f>
        <v/>
      </c>
    </row>
    <row r="162" spans="1:29" hidden="1" outlineLevel="1" x14ac:dyDescent="0.25">
      <c r="A162" s="22" t="s">
        <v>84</v>
      </c>
      <c r="B162" s="41" t="str">
        <f t="shared" si="8"/>
        <v/>
      </c>
      <c r="C162" s="42">
        <f t="shared" si="10"/>
        <v>161</v>
      </c>
      <c r="D162" s="38"/>
      <c r="E162" s="38"/>
      <c r="F162" s="38"/>
      <c r="G162" s="38"/>
      <c r="H162" s="38"/>
      <c r="I162" s="38" t="s">
        <v>9</v>
      </c>
      <c r="J162" s="38"/>
      <c r="K162" s="160" t="s">
        <v>24</v>
      </c>
      <c r="L162" s="53" t="s">
        <v>27</v>
      </c>
      <c r="M162" s="230" t="s">
        <v>1995</v>
      </c>
      <c r="N162" s="53" t="s">
        <v>1997</v>
      </c>
      <c r="O162" s="156">
        <v>8.0000000000000002E-3</v>
      </c>
      <c r="P162" s="53"/>
      <c r="Q162" s="209"/>
      <c r="R162" s="179" t="s">
        <v>103</v>
      </c>
      <c r="S162" s="172"/>
      <c r="T162" s="167"/>
      <c r="U162" s="167"/>
      <c r="V162" s="167"/>
      <c r="W162" s="15"/>
      <c r="X162" s="161"/>
      <c r="Y162" s="167"/>
      <c r="Z162" s="59" t="str">
        <f>IF(OR($M162="",NOT($O162="{array}")),"",IFERROR(MATCH(PARAMETERS!$M162,DEFAULT!$B$5:$CG$5,0),""))</f>
        <v/>
      </c>
      <c r="AA162" s="56" t="str">
        <f t="shared" si="9"/>
        <v/>
      </c>
      <c r="AB162" s="63" t="str">
        <f>IF(AND(OR($A162="G",$A162="P"),NOT($O162="{array}")),IF(VLOOKUP($K162,base!$B$2:$D$20,3,0)="S",IF(OR($O162="",ISTEXT($O162)),"","STRING!"),IF(VLOOKUP($K162,base!$B$2:$D$20,3,0)="","",IF(ISTEXT($O162),"NUMERIC!",""))),"")</f>
        <v/>
      </c>
      <c r="AC162" s="17" t="str">
        <f>IF($AA162="","",IF($B162="I",VLOOKUP($AA162,#REF!,53,0),INDEX(VALUES!$B$1:$BR$1,1,$AA162)))</f>
        <v/>
      </c>
    </row>
    <row r="163" spans="1:29" hidden="1" outlineLevel="1" x14ac:dyDescent="0.25">
      <c r="A163" s="22"/>
      <c r="B163" s="41" t="str">
        <f t="shared" si="8"/>
        <v/>
      </c>
      <c r="C163" s="42">
        <f t="shared" si="10"/>
        <v>162</v>
      </c>
      <c r="D163" s="38"/>
      <c r="E163" s="38"/>
      <c r="F163" s="38"/>
      <c r="G163" s="38"/>
      <c r="H163" s="38"/>
      <c r="I163" s="38" t="s">
        <v>9</v>
      </c>
      <c r="J163" s="38"/>
      <c r="K163" s="167" t="s">
        <v>18</v>
      </c>
      <c r="L163" s="14" t="s">
        <v>27</v>
      </c>
      <c r="M163" s="167" t="s">
        <v>725</v>
      </c>
      <c r="N163" s="167" t="s">
        <v>270</v>
      </c>
      <c r="O163" s="167" t="s">
        <v>270</v>
      </c>
      <c r="P163" s="161" t="s">
        <v>270</v>
      </c>
      <c r="Q163" s="171" t="s">
        <v>9</v>
      </c>
      <c r="R163" s="172" t="s">
        <v>103</v>
      </c>
      <c r="S163" s="172" t="s">
        <v>112</v>
      </c>
      <c r="T163" s="167" t="s">
        <v>270</v>
      </c>
      <c r="U163" s="167" t="s">
        <v>270</v>
      </c>
      <c r="V163" s="167" t="s">
        <v>725</v>
      </c>
      <c r="W163" s="15" t="str">
        <f>IF(IFERROR(VLOOKUP($M163,'IMPORT GS-Tür OL FL 2S2 20'!$H$2:$H$847,1,0),"-")="-","","GS")</f>
        <v/>
      </c>
      <c r="X163" s="161">
        <v>55</v>
      </c>
      <c r="Y163" s="167" t="s">
        <v>726</v>
      </c>
      <c r="Z163" s="59" t="str">
        <f>IF(OR($M163="",NOT($O163="{array}")),"",IFERROR(MATCH(PARAMETERS!$M163,DEFAULT!$B$5:$CG$5,0),""))</f>
        <v/>
      </c>
      <c r="AA163" s="56" t="str">
        <f t="shared" si="9"/>
        <v/>
      </c>
      <c r="AB163" s="63" t="str">
        <f>IF(AND(OR($A163="G",$A163="P"),NOT($O163="{array}")),IF(VLOOKUP($K163,base!$B$2:$D$20,3,0)="S",IF(OR($O163="",ISTEXT($O163)),"","STRING!"),IF(VLOOKUP($K163,base!$B$2:$D$20,3,0)="","",IF(ISTEXT($O163),"NUMERIC!",""))),"")</f>
        <v/>
      </c>
      <c r="AC163" s="17" t="str">
        <f>IF($AA163="","",IF($B163="I",VLOOKUP($AA163,#REF!,53,0),INDEX(VALUES!$B$1:$BR$1,1,$AA163)))</f>
        <v/>
      </c>
    </row>
    <row r="164" spans="1:29" hidden="1" outlineLevel="1" x14ac:dyDescent="0.3">
      <c r="A164" s="22" t="s">
        <v>84</v>
      </c>
      <c r="B164" s="41" t="str">
        <f t="shared" ref="B164:B182" si="11">IF($A164="P",IF(NOT($Z164=""),"A",IF(NOT($AA164=""),"I","")),IF(NOT($AA164=""),IF($A164="G","V","X"),IF(NOT($Z164=""),"A","")))</f>
        <v/>
      </c>
      <c r="C164" s="42">
        <f t="shared" si="10"/>
        <v>163</v>
      </c>
      <c r="D164" s="38"/>
      <c r="E164" s="38"/>
      <c r="F164" s="38" t="s">
        <v>9</v>
      </c>
      <c r="G164" s="38"/>
      <c r="H164" s="38"/>
      <c r="I164" s="38" t="s">
        <v>9</v>
      </c>
      <c r="J164" s="38"/>
      <c r="K164" s="14" t="s">
        <v>47</v>
      </c>
      <c r="L164" s="14" t="s">
        <v>27</v>
      </c>
      <c r="M164" s="20" t="s">
        <v>727</v>
      </c>
      <c r="N164" s="14" t="s">
        <v>728</v>
      </c>
      <c r="O164" s="43">
        <v>1</v>
      </c>
      <c r="R164" s="38" t="s">
        <v>104</v>
      </c>
      <c r="S164" s="38"/>
      <c r="T164" s="38"/>
      <c r="W164" s="15" t="str">
        <f>IF(IFERROR(VLOOKUP($M164,'IMPORT GS-Tür OL FL 2S2 20'!$H$2:$H$847,1,0),"-")="-","","GS")</f>
        <v>GS</v>
      </c>
      <c r="Z164" s="59" t="str">
        <f>IF(OR($M164="",NOT($O164="{array}")),"",IFERROR(MATCH(PARAMETERS!$M164,DEFAULT!$B$5:$CG$5,0),""))</f>
        <v/>
      </c>
      <c r="AA164" s="56" t="str">
        <f t="shared" si="9"/>
        <v/>
      </c>
      <c r="AB164" s="63" t="str">
        <f>IF(AND(OR($A164="G",$A164="P"),NOT($O164="{array}")),IF(VLOOKUP($K164,base!$B$2:$D$20,3,0)="S",IF(OR($O164="",ISTEXT($O164)),"","STRING!"),IF(VLOOKUP($K164,base!$B$2:$D$20,3,0)="","",IF(ISTEXT($O164),"NUMERIC!",""))),"")</f>
        <v/>
      </c>
      <c r="AC164" s="17" t="str">
        <f>IF($AA164="","",IF($B164="I",VLOOKUP($AA164,#REF!,53,0),INDEX(VALUES!$B$1:$BR$1,1,$AA164)))</f>
        <v/>
      </c>
    </row>
    <row r="165" spans="1:29" hidden="1" outlineLevel="1" x14ac:dyDescent="0.3">
      <c r="A165" s="22" t="s">
        <v>84</v>
      </c>
      <c r="B165" s="41" t="str">
        <f t="shared" si="11"/>
        <v/>
      </c>
      <c r="C165" s="42">
        <f t="shared" si="10"/>
        <v>164</v>
      </c>
      <c r="D165" s="38"/>
      <c r="E165" s="38"/>
      <c r="F165" s="38" t="s">
        <v>9</v>
      </c>
      <c r="G165" s="38"/>
      <c r="H165" s="38"/>
      <c r="I165" s="38" t="s">
        <v>9</v>
      </c>
      <c r="J165" s="38"/>
      <c r="K165" s="14" t="s">
        <v>24</v>
      </c>
      <c r="L165" s="14" t="s">
        <v>27</v>
      </c>
      <c r="M165" s="20" t="s">
        <v>729</v>
      </c>
      <c r="N165" s="14" t="s">
        <v>730</v>
      </c>
      <c r="O165" s="43">
        <v>0.05</v>
      </c>
      <c r="R165" s="38" t="s">
        <v>104</v>
      </c>
      <c r="S165" s="38"/>
      <c r="T165" s="38"/>
      <c r="W165" s="15" t="str">
        <f>IF(IFERROR(VLOOKUP($M165,'IMPORT GS-Tür OL FL 2S2 20'!$H$2:$H$847,1,0),"-")="-","","GS")</f>
        <v>GS</v>
      </c>
      <c r="Z165" s="59" t="str">
        <f>IF(OR($M165="",NOT($O165="{array}")),"",IFERROR(MATCH(PARAMETERS!$M165,DEFAULT!$B$5:$CG$5,0),""))</f>
        <v/>
      </c>
      <c r="AA165" s="56" t="str">
        <f t="shared" si="9"/>
        <v/>
      </c>
      <c r="AB165" s="63" t="str">
        <f>IF(AND(OR($A165="G",$A165="P"),NOT($O165="{array}")),IF(VLOOKUP($K165,base!$B$2:$D$20,3,0)="S",IF(OR($O165="",ISTEXT($O165)),"","STRING!"),IF(VLOOKUP($K165,base!$B$2:$D$20,3,0)="","",IF(ISTEXT($O165),"NUMERIC!",""))),"")</f>
        <v/>
      </c>
      <c r="AC165" s="17" t="str">
        <f>IF($AA165="","",IF($B165="I",VLOOKUP($AA165,#REF!,53,0),INDEX(VALUES!$B$1:$BR$1,1,$AA165)))</f>
        <v/>
      </c>
    </row>
    <row r="166" spans="1:29" hidden="1" outlineLevel="1" x14ac:dyDescent="0.3">
      <c r="A166" s="22" t="s">
        <v>84</v>
      </c>
      <c r="B166" s="41" t="str">
        <f t="shared" si="11"/>
        <v/>
      </c>
      <c r="C166" s="42">
        <f t="shared" si="10"/>
        <v>165</v>
      </c>
      <c r="D166" s="38"/>
      <c r="E166" s="38"/>
      <c r="F166" s="38" t="s">
        <v>9</v>
      </c>
      <c r="G166" s="38"/>
      <c r="H166" s="38"/>
      <c r="I166" s="38" t="s">
        <v>9</v>
      </c>
      <c r="J166" s="38"/>
      <c r="K166" s="14" t="s">
        <v>24</v>
      </c>
      <c r="L166" s="14" t="s">
        <v>27</v>
      </c>
      <c r="M166" s="20" t="s">
        <v>731</v>
      </c>
      <c r="N166" s="14" t="s">
        <v>732</v>
      </c>
      <c r="O166" s="43">
        <v>0.06</v>
      </c>
      <c r="R166" s="38" t="s">
        <v>104</v>
      </c>
      <c r="S166" s="38"/>
      <c r="T166" s="38"/>
      <c r="W166" s="15" t="str">
        <f>IF(IFERROR(VLOOKUP($M166,'IMPORT GS-Tür OL FL 2S2 20'!$H$2:$H$847,1,0),"-")="-","","GS")</f>
        <v>GS</v>
      </c>
      <c r="Z166" s="59" t="str">
        <f>IF(OR($M166="",NOT($O166="{array}")),"",IFERROR(MATCH(PARAMETERS!$M166,DEFAULT!$B$5:$CG$5,0),""))</f>
        <v/>
      </c>
      <c r="AA166" s="56" t="str">
        <f t="shared" si="9"/>
        <v/>
      </c>
      <c r="AB166" s="63" t="str">
        <f>IF(AND(OR($A166="G",$A166="P"),NOT($O166="{array}")),IF(VLOOKUP($K166,base!$B$2:$D$20,3,0)="S",IF(OR($O166="",ISTEXT($O166)),"","STRING!"),IF(VLOOKUP($K166,base!$B$2:$D$20,3,0)="","",IF(ISTEXT($O166),"NUMERIC!",""))),"")</f>
        <v/>
      </c>
      <c r="AC166" s="17" t="str">
        <f>IF($AA166="","",IF($B166="I",VLOOKUP($AA166,#REF!,53,0),INDEX(VALUES!$B$1:$BR$1,1,$AA166)))</f>
        <v/>
      </c>
    </row>
    <row r="167" spans="1:29" hidden="1" outlineLevel="1" x14ac:dyDescent="0.3">
      <c r="A167" s="22" t="s">
        <v>84</v>
      </c>
      <c r="B167" s="41" t="str">
        <f t="shared" si="11"/>
        <v/>
      </c>
      <c r="C167" s="42">
        <f t="shared" si="10"/>
        <v>166</v>
      </c>
      <c r="D167" s="38"/>
      <c r="E167" s="38"/>
      <c r="F167" s="38" t="s">
        <v>9</v>
      </c>
      <c r="G167" s="38"/>
      <c r="H167" s="38"/>
      <c r="I167" s="38" t="s">
        <v>9</v>
      </c>
      <c r="J167" s="38"/>
      <c r="K167" s="14" t="s">
        <v>24</v>
      </c>
      <c r="L167" s="14" t="s">
        <v>27</v>
      </c>
      <c r="M167" s="20" t="s">
        <v>733</v>
      </c>
      <c r="N167" s="14" t="s">
        <v>734</v>
      </c>
      <c r="O167" s="43">
        <v>0.01</v>
      </c>
      <c r="R167" s="38" t="s">
        <v>104</v>
      </c>
      <c r="S167" s="38"/>
      <c r="T167" s="38"/>
      <c r="W167" s="15" t="str">
        <f>IF(IFERROR(VLOOKUP($M167,'IMPORT GS-Tür OL FL 2S2 20'!$H$2:$H$847,1,0),"-")="-","","GS")</f>
        <v>GS</v>
      </c>
      <c r="Z167" s="59" t="str">
        <f>IF(OR($M167="",NOT($O167="{array}")),"",IFERROR(MATCH(PARAMETERS!$M167,DEFAULT!$B$5:$CG$5,0),""))</f>
        <v/>
      </c>
      <c r="AA167" s="56" t="str">
        <f t="shared" si="9"/>
        <v/>
      </c>
      <c r="AB167" s="63" t="str">
        <f>IF(AND(OR($A167="G",$A167="P"),NOT($O167="{array}")),IF(VLOOKUP($K167,base!$B$2:$D$20,3,0)="S",IF(OR($O167="",ISTEXT($O167)),"","STRING!"),IF(VLOOKUP($K167,base!$B$2:$D$20,3,0)="","",IF(ISTEXT($O167),"NUMERIC!",""))),"")</f>
        <v/>
      </c>
      <c r="AC167" s="17" t="str">
        <f>IF($AA167="","",IF($B167="I",VLOOKUP($AA167,#REF!,53,0),INDEX(VALUES!$B$1:$BR$1,1,$AA167)))</f>
        <v/>
      </c>
    </row>
    <row r="168" spans="1:29" hidden="1" outlineLevel="1" x14ac:dyDescent="0.3">
      <c r="A168" s="22" t="s">
        <v>84</v>
      </c>
      <c r="B168" s="41" t="str">
        <f t="shared" si="11"/>
        <v/>
      </c>
      <c r="C168" s="42">
        <f t="shared" si="10"/>
        <v>167</v>
      </c>
      <c r="D168" s="38"/>
      <c r="E168" s="38"/>
      <c r="F168" s="38" t="s">
        <v>9</v>
      </c>
      <c r="G168" s="38"/>
      <c r="H168" s="38"/>
      <c r="I168" s="38" t="s">
        <v>9</v>
      </c>
      <c r="J168" s="38"/>
      <c r="K168" s="14" t="s">
        <v>24</v>
      </c>
      <c r="L168" s="14" t="s">
        <v>27</v>
      </c>
      <c r="M168" s="20" t="s">
        <v>735</v>
      </c>
      <c r="N168" s="14" t="s">
        <v>736</v>
      </c>
      <c r="O168" s="43">
        <v>0.01</v>
      </c>
      <c r="R168" s="38" t="s">
        <v>104</v>
      </c>
      <c r="S168" s="38"/>
      <c r="T168" s="38"/>
      <c r="W168" s="15" t="str">
        <f>IF(IFERROR(VLOOKUP($M168,'IMPORT GS-Tür OL FL 2S2 20'!$H$2:$H$847,1,0),"-")="-","","GS")</f>
        <v>GS</v>
      </c>
      <c r="Z168" s="59" t="str">
        <f>IF(OR($M168="",NOT($O168="{array}")),"",IFERROR(MATCH(PARAMETERS!$M168,DEFAULT!$B$5:$CG$5,0),""))</f>
        <v/>
      </c>
      <c r="AA168" s="56" t="str">
        <f t="shared" si="9"/>
        <v/>
      </c>
      <c r="AB168" s="63" t="str">
        <f>IF(AND(OR($A168="G",$A168="P"),NOT($O168="{array}")),IF(VLOOKUP($K168,base!$B$2:$D$20,3,0)="S",IF(OR($O168="",ISTEXT($O168)),"","STRING!"),IF(VLOOKUP($K168,base!$B$2:$D$20,3,0)="","",IF(ISTEXT($O168),"NUMERIC!",""))),"")</f>
        <v/>
      </c>
      <c r="AC168" s="17" t="str">
        <f>IF($AA168="","",IF($B168="I",VLOOKUP($AA168,#REF!,53,0),INDEX(VALUES!$B$1:$BR$1,1,$AA168)))</f>
        <v/>
      </c>
    </row>
    <row r="169" spans="1:29" hidden="1" outlineLevel="1" x14ac:dyDescent="0.3">
      <c r="A169" s="22" t="s">
        <v>84</v>
      </c>
      <c r="B169" s="41" t="str">
        <f t="shared" si="11"/>
        <v/>
      </c>
      <c r="C169" s="42">
        <f t="shared" si="10"/>
        <v>168</v>
      </c>
      <c r="D169" s="38"/>
      <c r="E169" s="38"/>
      <c r="F169" s="38" t="s">
        <v>9</v>
      </c>
      <c r="G169" s="38"/>
      <c r="H169" s="38"/>
      <c r="I169" s="38" t="s">
        <v>9</v>
      </c>
      <c r="J169" s="38"/>
      <c r="K169" s="14" t="s">
        <v>24</v>
      </c>
      <c r="L169" s="14" t="s">
        <v>27</v>
      </c>
      <c r="M169" s="20" t="s">
        <v>737</v>
      </c>
      <c r="N169" s="14" t="s">
        <v>738</v>
      </c>
      <c r="O169" s="43">
        <v>0.01</v>
      </c>
      <c r="R169" s="38" t="s">
        <v>104</v>
      </c>
      <c r="S169" s="38"/>
      <c r="T169" s="38"/>
      <c r="W169" s="15" t="str">
        <f>IF(IFERROR(VLOOKUP($M169,'IMPORT GS-Tür OL FL 2S2 20'!$H$2:$H$847,1,0),"-")="-","","GS")</f>
        <v>GS</v>
      </c>
      <c r="Z169" s="59" t="str">
        <f>IF(OR($M169="",NOT($O169="{array}")),"",IFERROR(MATCH(PARAMETERS!$M169,DEFAULT!$B$5:$CG$5,0),""))</f>
        <v/>
      </c>
      <c r="AA169" s="56" t="str">
        <f t="shared" si="9"/>
        <v/>
      </c>
      <c r="AB169" s="63" t="str">
        <f>IF(AND(OR($A169="G",$A169="P"),NOT($O169="{array}")),IF(VLOOKUP($K169,base!$B$2:$D$20,3,0)="S",IF(OR($O169="",ISTEXT($O169)),"","STRING!"),IF(VLOOKUP($K169,base!$B$2:$D$20,3,0)="","",IF(ISTEXT($O169),"NUMERIC!",""))),"")</f>
        <v/>
      </c>
      <c r="AC169" s="17" t="str">
        <f>IF($AA169="","",IF($B169="I",VLOOKUP($AA169,#REF!,53,0),INDEX(VALUES!$B$1:$BR$1,1,$AA169)))</f>
        <v/>
      </c>
    </row>
    <row r="170" spans="1:29" hidden="1" outlineLevel="1" x14ac:dyDescent="0.3">
      <c r="A170" s="22" t="s">
        <v>84</v>
      </c>
      <c r="B170" s="41" t="str">
        <f t="shared" si="11"/>
        <v/>
      </c>
      <c r="C170" s="42">
        <f t="shared" si="10"/>
        <v>169</v>
      </c>
      <c r="D170" s="38"/>
      <c r="E170" s="38"/>
      <c r="F170" s="38" t="s">
        <v>9</v>
      </c>
      <c r="G170" s="38"/>
      <c r="H170" s="38"/>
      <c r="I170" s="38" t="s">
        <v>9</v>
      </c>
      <c r="J170" s="38"/>
      <c r="K170" s="14" t="s">
        <v>50</v>
      </c>
      <c r="L170" s="14" t="s">
        <v>27</v>
      </c>
      <c r="M170" s="20" t="s">
        <v>739</v>
      </c>
      <c r="N170" s="14" t="s">
        <v>740</v>
      </c>
      <c r="O170" s="43">
        <v>133</v>
      </c>
      <c r="R170" s="38" t="s">
        <v>104</v>
      </c>
      <c r="S170" s="38"/>
      <c r="T170" s="38"/>
      <c r="W170" s="15" t="str">
        <f>IF(IFERROR(VLOOKUP($M170,'IMPORT GS-Tür OL FL 2S2 20'!$H$2:$H$847,1,0),"-")="-","","GS")</f>
        <v>GS</v>
      </c>
      <c r="Z170" s="59" t="str">
        <f>IF(OR($M170="",NOT($O170="{array}")),"",IFERROR(MATCH(PARAMETERS!$M170,DEFAULT!$B$5:$CG$5,0),""))</f>
        <v/>
      </c>
      <c r="AA170" s="56" t="str">
        <f t="shared" si="9"/>
        <v/>
      </c>
      <c r="AB170" s="63" t="str">
        <f>IF(AND(OR($A170="G",$A170="P"),NOT($O170="{array}")),IF(VLOOKUP($K170,base!$B$2:$D$20,3,0)="S",IF(OR($O170="",ISTEXT($O170)),"","STRING!"),IF(VLOOKUP($K170,base!$B$2:$D$20,3,0)="","",IF(ISTEXT($O170),"NUMERIC!",""))),"")</f>
        <v/>
      </c>
      <c r="AC170" s="17" t="str">
        <f>IF($AA170="","",IF($B170="I",VLOOKUP($AA170,#REF!,53,0),INDEX(VALUES!$B$1:$BR$1,1,$AA170)))</f>
        <v/>
      </c>
    </row>
    <row r="171" spans="1:29" hidden="1" outlineLevel="1" x14ac:dyDescent="0.25">
      <c r="A171" s="22" t="s">
        <v>84</v>
      </c>
      <c r="B171" s="41" t="str">
        <f t="shared" si="11"/>
        <v/>
      </c>
      <c r="C171" s="42">
        <f t="shared" si="10"/>
        <v>170</v>
      </c>
      <c r="D171" s="38"/>
      <c r="E171" s="38"/>
      <c r="F171" s="38"/>
      <c r="G171" s="38"/>
      <c r="H171" s="38"/>
      <c r="I171" s="38" t="s">
        <v>9</v>
      </c>
      <c r="J171" s="38"/>
      <c r="K171" s="53" t="s">
        <v>24</v>
      </c>
      <c r="L171" s="53" t="s">
        <v>27</v>
      </c>
      <c r="M171" s="241" t="s">
        <v>1999</v>
      </c>
      <c r="N171" s="53" t="s">
        <v>2000</v>
      </c>
      <c r="O171" s="156">
        <v>0.15</v>
      </c>
      <c r="P171" s="53"/>
      <c r="Q171" s="209" t="s">
        <v>9</v>
      </c>
      <c r="R171" s="209" t="s">
        <v>103</v>
      </c>
      <c r="S171" s="172"/>
      <c r="T171" s="171"/>
      <c r="U171" s="167"/>
      <c r="V171" s="167"/>
      <c r="W171" s="15"/>
      <c r="X171" s="161"/>
      <c r="Y171" s="167"/>
      <c r="Z171" s="59" t="str">
        <f>IF(OR($M171="",NOT($O171="{array}")),"",IFERROR(MATCH(PARAMETERS!$M171,DEFAULT!$B$5:$CG$5,0),""))</f>
        <v/>
      </c>
      <c r="AA171" s="56" t="str">
        <f t="shared" si="9"/>
        <v/>
      </c>
      <c r="AB171" s="63" t="str">
        <f>IF(AND(OR($A171="G",$A171="P"),NOT($O171="{array}")),IF(VLOOKUP($K171,base!$B$2:$D$20,3,0)="S",IF(OR($O171="",ISTEXT($O171)),"","STRING!"),IF(VLOOKUP($K171,base!$B$2:$D$20,3,0)="","",IF(ISTEXT($O171),"NUMERIC!",""))),"")</f>
        <v/>
      </c>
      <c r="AC171" s="17" t="str">
        <f>IF($AA171="","",IF($B171="I",VLOOKUP($AA171,#REF!,53,0),INDEX(VALUES!$B$1:$BR$1,1,$AA171)))</f>
        <v/>
      </c>
    </row>
    <row r="172" spans="1:29" hidden="1" outlineLevel="1" x14ac:dyDescent="0.25">
      <c r="A172" s="22" t="s">
        <v>84</v>
      </c>
      <c r="B172" s="41" t="str">
        <f t="shared" si="11"/>
        <v/>
      </c>
      <c r="C172" s="42">
        <f t="shared" si="10"/>
        <v>171</v>
      </c>
      <c r="D172" s="38"/>
      <c r="E172" s="38"/>
      <c r="F172" s="38"/>
      <c r="G172" s="38"/>
      <c r="H172" s="38"/>
      <c r="I172" s="38" t="s">
        <v>9</v>
      </c>
      <c r="J172" s="38"/>
      <c r="K172" s="53" t="s">
        <v>44</v>
      </c>
      <c r="L172" s="53" t="s">
        <v>27</v>
      </c>
      <c r="M172" s="241" t="s">
        <v>2001</v>
      </c>
      <c r="N172" s="53" t="s">
        <v>2002</v>
      </c>
      <c r="O172" s="156">
        <v>1</v>
      </c>
      <c r="P172" s="53"/>
      <c r="Q172" s="209"/>
      <c r="R172" s="209" t="s">
        <v>103</v>
      </c>
      <c r="S172" s="172"/>
      <c r="T172" s="171"/>
      <c r="U172" s="167"/>
      <c r="V172" s="167"/>
      <c r="W172" s="15"/>
      <c r="X172" s="161"/>
      <c r="Y172" s="167"/>
      <c r="Z172" s="59" t="str">
        <f>IF(OR($M172="",NOT($O172="{array}")),"",IFERROR(MATCH(PARAMETERS!$M172,DEFAULT!$B$5:$CG$5,0),""))</f>
        <v/>
      </c>
      <c r="AA172" s="56" t="str">
        <f t="shared" si="9"/>
        <v/>
      </c>
      <c r="AB172" s="63" t="str">
        <f>IF(AND(OR($A172="G",$A172="P"),NOT($O172="{array}")),IF(VLOOKUP($K172,base!$B$2:$D$20,3,0)="S",IF(OR($O172="",ISTEXT($O172)),"","STRING!"),IF(VLOOKUP($K172,base!$B$2:$D$20,3,0)="","",IF(ISTEXT($O172),"NUMERIC!",""))),"")</f>
        <v/>
      </c>
      <c r="AC172" s="17" t="str">
        <f>IF($AA172="","",IF($B172="I",VLOOKUP($AA172,#REF!,53,0),INDEX(VALUES!$B$1:$BR$1,1,$AA172)))</f>
        <v/>
      </c>
    </row>
    <row r="173" spans="1:29" hidden="1" outlineLevel="1" x14ac:dyDescent="0.25">
      <c r="A173" s="22" t="s">
        <v>84</v>
      </c>
      <c r="B173" s="41" t="str">
        <f t="shared" si="11"/>
        <v/>
      </c>
      <c r="C173" s="42">
        <f t="shared" si="10"/>
        <v>172</v>
      </c>
      <c r="D173" s="38"/>
      <c r="E173" s="38"/>
      <c r="F173" s="38"/>
      <c r="G173" s="38"/>
      <c r="H173" s="38"/>
      <c r="I173" s="38" t="s">
        <v>9</v>
      </c>
      <c r="J173" s="38"/>
      <c r="K173" s="53" t="s">
        <v>24</v>
      </c>
      <c r="L173" s="53" t="s">
        <v>27</v>
      </c>
      <c r="M173" s="241" t="s">
        <v>2003</v>
      </c>
      <c r="N173" s="53" t="s">
        <v>2004</v>
      </c>
      <c r="O173" s="156">
        <v>0</v>
      </c>
      <c r="P173" s="53"/>
      <c r="Q173" s="209" t="s">
        <v>9</v>
      </c>
      <c r="R173" s="209" t="s">
        <v>103</v>
      </c>
      <c r="S173" s="172"/>
      <c r="T173" s="171"/>
      <c r="U173" s="167"/>
      <c r="V173" s="167"/>
      <c r="W173" s="15"/>
      <c r="X173" s="161"/>
      <c r="Y173" s="167"/>
      <c r="Z173" s="59" t="str">
        <f>IF(OR($M173="",NOT($O173="{array}")),"",IFERROR(MATCH(PARAMETERS!$M173,DEFAULT!$B$5:$CG$5,0),""))</f>
        <v/>
      </c>
      <c r="AA173" s="56" t="str">
        <f t="shared" si="9"/>
        <v/>
      </c>
      <c r="AB173" s="63" t="str">
        <f>IF(AND(OR($A173="G",$A173="P"),NOT($O173="{array}")),IF(VLOOKUP($K173,base!$B$2:$D$20,3,0)="S",IF(OR($O173="",ISTEXT($O173)),"","STRING!"),IF(VLOOKUP($K173,base!$B$2:$D$20,3,0)="","",IF(ISTEXT($O173),"NUMERIC!",""))),"")</f>
        <v/>
      </c>
      <c r="AC173" s="17" t="str">
        <f>IF($AA173="","",IF($B173="I",VLOOKUP($AA173,#REF!,53,0),INDEX(VALUES!$B$1:$BR$1,1,$AA173)))</f>
        <v/>
      </c>
    </row>
    <row r="174" spans="1:29" hidden="1" outlineLevel="1" x14ac:dyDescent="0.25">
      <c r="A174" s="22" t="s">
        <v>84</v>
      </c>
      <c r="B174" s="41" t="str">
        <f t="shared" si="11"/>
        <v/>
      </c>
      <c r="C174" s="42">
        <f t="shared" si="10"/>
        <v>173</v>
      </c>
      <c r="D174" s="38"/>
      <c r="E174" s="38"/>
      <c r="F174" s="38"/>
      <c r="G174" s="38"/>
      <c r="H174" s="38"/>
      <c r="I174" s="38" t="s">
        <v>9</v>
      </c>
      <c r="J174" s="38"/>
      <c r="K174" s="53" t="s">
        <v>24</v>
      </c>
      <c r="L174" s="53" t="s">
        <v>27</v>
      </c>
      <c r="M174" s="241" t="s">
        <v>2005</v>
      </c>
      <c r="N174" s="53" t="s">
        <v>2006</v>
      </c>
      <c r="O174" s="156">
        <v>5.0000000000000001E-3</v>
      </c>
      <c r="P174" s="53"/>
      <c r="Q174" s="209" t="s">
        <v>9</v>
      </c>
      <c r="R174" s="209" t="s">
        <v>103</v>
      </c>
      <c r="S174" s="172"/>
      <c r="T174" s="171"/>
      <c r="U174" s="167"/>
      <c r="V174" s="167"/>
      <c r="W174" s="15"/>
      <c r="X174" s="161"/>
      <c r="Y174" s="167"/>
      <c r="Z174" s="59" t="str">
        <f>IF(OR($M174="",NOT($O174="{array}")),"",IFERROR(MATCH(PARAMETERS!$M174,DEFAULT!$B$5:$CG$5,0),""))</f>
        <v/>
      </c>
      <c r="AA174" s="56" t="str">
        <f t="shared" si="9"/>
        <v/>
      </c>
      <c r="AB174" s="63" t="str">
        <f>IF(AND(OR($A174="G",$A174="P"),NOT($O174="{array}")),IF(VLOOKUP($K174,base!$B$2:$D$20,3,0)="S",IF(OR($O174="",ISTEXT($O174)),"","STRING!"),IF(VLOOKUP($K174,base!$B$2:$D$20,3,0)="","",IF(ISTEXT($O174),"NUMERIC!",""))),"")</f>
        <v/>
      </c>
      <c r="AC174" s="17" t="str">
        <f>IF($AA174="","",IF($B174="I",VLOOKUP($AA174,#REF!,53,0),INDEX(VALUES!$B$1:$BR$1,1,$AA174)))</f>
        <v/>
      </c>
    </row>
    <row r="175" spans="1:29" hidden="1" outlineLevel="1" x14ac:dyDescent="0.25">
      <c r="A175" s="22" t="s">
        <v>84</v>
      </c>
      <c r="B175" s="41" t="str">
        <f t="shared" si="11"/>
        <v/>
      </c>
      <c r="C175" s="42">
        <f t="shared" si="10"/>
        <v>174</v>
      </c>
      <c r="D175" s="38"/>
      <c r="E175" s="38"/>
      <c r="F175" s="38"/>
      <c r="G175" s="38"/>
      <c r="H175" s="38"/>
      <c r="I175" s="38" t="s">
        <v>9</v>
      </c>
      <c r="J175" s="38"/>
      <c r="K175" s="53" t="s">
        <v>24</v>
      </c>
      <c r="L175" s="53" t="s">
        <v>27</v>
      </c>
      <c r="M175" s="241" t="s">
        <v>2007</v>
      </c>
      <c r="N175" s="53" t="s">
        <v>2008</v>
      </c>
      <c r="O175" s="156">
        <v>5.0000000000000001E-3</v>
      </c>
      <c r="P175" s="53"/>
      <c r="Q175" s="209" t="s">
        <v>9</v>
      </c>
      <c r="R175" s="209" t="s">
        <v>103</v>
      </c>
      <c r="S175" s="172"/>
      <c r="T175" s="171"/>
      <c r="U175" s="167"/>
      <c r="V175" s="167"/>
      <c r="W175" s="15"/>
      <c r="X175" s="161"/>
      <c r="Y175" s="167"/>
      <c r="Z175" s="59" t="str">
        <f>IF(OR($M175="",NOT($O175="{array}")),"",IFERROR(MATCH(PARAMETERS!$M175,DEFAULT!$B$5:$CG$5,0),""))</f>
        <v/>
      </c>
      <c r="AA175" s="56" t="str">
        <f t="shared" si="9"/>
        <v/>
      </c>
      <c r="AB175" s="63" t="str">
        <f>IF(AND(OR($A175="G",$A175="P"),NOT($O175="{array}")),IF(VLOOKUP($K175,base!$B$2:$D$20,3,0)="S",IF(OR($O175="",ISTEXT($O175)),"","STRING!"),IF(VLOOKUP($K175,base!$B$2:$D$20,3,0)="","",IF(ISTEXT($O175),"NUMERIC!",""))),"")</f>
        <v/>
      </c>
      <c r="AC175" s="17" t="str">
        <f>IF($AA175="","",IF($B175="I",VLOOKUP($AA175,#REF!,53,0),INDEX(VALUES!$B$1:$BR$1,1,$AA175)))</f>
        <v/>
      </c>
    </row>
    <row r="176" spans="1:29" collapsed="1" x14ac:dyDescent="0.3">
      <c r="A176" s="22" t="s">
        <v>84</v>
      </c>
      <c r="B176" s="41" t="str">
        <f t="shared" si="11"/>
        <v/>
      </c>
      <c r="C176" s="42">
        <f t="shared" ref="C176:C199" si="12">(ROW()-1)</f>
        <v>175</v>
      </c>
      <c r="D176" s="38"/>
      <c r="E176" s="38"/>
      <c r="F176" s="38" t="s">
        <v>9</v>
      </c>
      <c r="G176" s="38"/>
      <c r="H176" s="38"/>
      <c r="I176" s="38"/>
      <c r="J176" s="38"/>
      <c r="K176" s="14" t="s">
        <v>57</v>
      </c>
      <c r="L176" s="14" t="s">
        <v>38</v>
      </c>
      <c r="M176" s="48" t="s">
        <v>763</v>
      </c>
      <c r="N176" s="41" t="s">
        <v>764</v>
      </c>
      <c r="R176" s="38" t="s">
        <v>104</v>
      </c>
      <c r="S176" s="38"/>
      <c r="T176" s="38"/>
      <c r="W176" s="15" t="str">
        <f>IF(IFERROR(VLOOKUP($M176,'IMPORT GS-Tür OL FL 2S2 20'!$H$2:$H$847,1,0),"-")="-","","GS")</f>
        <v>GS</v>
      </c>
      <c r="Z176" s="59" t="str">
        <f>IF(OR($M176="",NOT($O176="{array}")),"",IFERROR(MATCH(PARAMETERS!$M176,DEFAULT!$B$5:$CG$5,0),""))</f>
        <v/>
      </c>
      <c r="AA176" s="56" t="str">
        <f t="shared" si="9"/>
        <v/>
      </c>
      <c r="AB176" s="63" t="str">
        <f>IF(AND(OR($A176="G",$A176="P"),NOT($O176="{array}")),IF(VLOOKUP($K176,base!$B$2:$D$20,3,0)="S",IF(OR($O176="",ISTEXT($O176)),"","STRING!"),IF(VLOOKUP($K176,base!$B$2:$D$20,3,0)="","",IF(ISTEXT($O176),"NUMERIC!",""))),"")</f>
        <v/>
      </c>
      <c r="AC176" s="17" t="str">
        <f>IF($AA176="","",IF($B176="I",VLOOKUP($AA176,#REF!,53,0),INDEX(VALUES!$B$1:$BR$1,1,$AA176)))</f>
        <v/>
      </c>
    </row>
    <row r="177" spans="1:29" hidden="1" outlineLevel="1" x14ac:dyDescent="0.25">
      <c r="A177" s="22" t="s">
        <v>84</v>
      </c>
      <c r="B177" s="41" t="str">
        <f t="shared" si="11"/>
        <v/>
      </c>
      <c r="C177" s="42">
        <f t="shared" si="12"/>
        <v>176</v>
      </c>
      <c r="D177" s="38"/>
      <c r="E177" s="38"/>
      <c r="F177" s="38"/>
      <c r="G177" s="38"/>
      <c r="H177" s="38"/>
      <c r="I177" s="38" t="s">
        <v>9</v>
      </c>
      <c r="J177" s="38"/>
      <c r="K177" s="53" t="s">
        <v>18</v>
      </c>
      <c r="L177" s="53" t="s">
        <v>32</v>
      </c>
      <c r="M177" s="158" t="s">
        <v>765</v>
      </c>
      <c r="N177" s="53" t="s">
        <v>764</v>
      </c>
      <c r="O177" s="156" t="s">
        <v>1867</v>
      </c>
      <c r="R177" s="172" t="s">
        <v>103</v>
      </c>
      <c r="S177" s="172" t="s">
        <v>112</v>
      </c>
      <c r="T177" s="167" t="s">
        <v>270</v>
      </c>
      <c r="U177" s="167" t="s">
        <v>270</v>
      </c>
      <c r="V177" s="167" t="s">
        <v>766</v>
      </c>
      <c r="W177" s="15" t="str">
        <f>IF(IFERROR(VLOOKUP(#REF!,'IMPORT GS-Tür OL FL 2S2 20'!$H$2:$H$847,1,0),"-")="-","","GS")</f>
        <v/>
      </c>
      <c r="X177" s="161" t="s">
        <v>270</v>
      </c>
      <c r="Y177" s="167" t="s">
        <v>767</v>
      </c>
      <c r="Z177" s="59" t="str">
        <f>IF(OR($M177="",NOT($O177="{array}")),"",IFERROR(MATCH(PARAMETERS!$M177,DEFAULT!$B$5:$CG$5,0),""))</f>
        <v/>
      </c>
      <c r="AA177" s="56" t="str">
        <f t="shared" si="9"/>
        <v/>
      </c>
      <c r="AB177" s="63" t="str">
        <f>IF(AND(OR($A177="G",$A177="P"),NOT($O177="{array}")),IF(VLOOKUP($K177,base!$B$2:$D$20,3,0)="S",IF(OR($O177="",ISTEXT($O177)),"","STRING!"),IF(VLOOKUP($K177,base!$B$2:$D$20,3,0)="","",IF(ISTEXT($O177),"NUMERIC!",""))),"")</f>
        <v/>
      </c>
      <c r="AC177" s="17" t="str">
        <f>IF($AA177="","",IF($B177="I",VLOOKUP($AA177,#REF!,53,0),INDEX(VALUES!$B$1:$BR$1,1,$AA177)))</f>
        <v/>
      </c>
    </row>
    <row r="178" spans="1:29" hidden="1" outlineLevel="1" x14ac:dyDescent="0.25">
      <c r="A178" s="22" t="s">
        <v>84</v>
      </c>
      <c r="B178" s="41" t="str">
        <f>IF($A178="P",IF(NOT($Z178=""),"A",IF(NOT($AA178=""),"I","")),IF(NOT($AA178=""),IF($A178="G","V","X"),IF(NOT($Z178=""),"A","")))</f>
        <v/>
      </c>
      <c r="C178" s="42">
        <f t="shared" si="12"/>
        <v>177</v>
      </c>
      <c r="D178" s="38"/>
      <c r="E178" s="38"/>
      <c r="F178" s="38"/>
      <c r="G178" s="38"/>
      <c r="H178" s="38"/>
      <c r="I178" s="38" t="s">
        <v>9</v>
      </c>
      <c r="J178" s="38"/>
      <c r="K178" s="160" t="s">
        <v>44</v>
      </c>
      <c r="L178" s="53" t="s">
        <v>27</v>
      </c>
      <c r="M178" s="158" t="s">
        <v>1869</v>
      </c>
      <c r="N178" s="53" t="s">
        <v>1868</v>
      </c>
      <c r="O178" s="156">
        <v>0</v>
      </c>
      <c r="P178" s="53"/>
      <c r="Q178" s="209"/>
      <c r="R178" s="179" t="s">
        <v>103</v>
      </c>
      <c r="S178" s="172"/>
      <c r="T178" s="167"/>
      <c r="U178" s="167"/>
      <c r="V178" s="167"/>
      <c r="W178" s="15"/>
      <c r="X178" s="161"/>
      <c r="Y178" s="167"/>
      <c r="Z178" s="59" t="str">
        <f>IF(OR($M178="",NOT($O178="{array}")),"",IFERROR(MATCH(PARAMETERS!$M178,DEFAULT!$B$5:$CG$5,0),""))</f>
        <v/>
      </c>
      <c r="AA178" s="56" t="str">
        <f>IF($M178="","",IFERROR(MATCH($M178,VALUESnames,0),""))</f>
        <v/>
      </c>
      <c r="AB178" s="63" t="str">
        <f>IF(AND(OR($A178="G",$A178="P"),NOT($O178="{array}")),IF(VLOOKUP($K178,base!$B$2:$D$20,3,0)="S",IF(OR($O178="",ISTEXT($O178)),"","STRING!"),IF(VLOOKUP($K178,base!$B$2:$D$20,3,0)="","",IF(ISTEXT($O178),"NUMERIC!",""))),"")</f>
        <v/>
      </c>
      <c r="AC178" s="17" t="str">
        <f>IF($AA178="","",IF($B178="I",VLOOKUP($AA178,#REF!,53,0),INDEX(VALUES!$B$1:$BR$1,1,$AA178)))</f>
        <v/>
      </c>
    </row>
    <row r="179" spans="1:29" hidden="1" outlineLevel="1" x14ac:dyDescent="0.3">
      <c r="A179" s="22" t="s">
        <v>84</v>
      </c>
      <c r="B179" s="41" t="str">
        <f>IF($A179="P",IF(NOT($Z179=""),"A",IF(NOT($AA179=""),"I","")),IF(NOT($AA179=""),IF($A179="G","V","X"),IF(NOT($Z179=""),"A","")))</f>
        <v/>
      </c>
      <c r="C179" s="42">
        <f t="shared" si="12"/>
        <v>178</v>
      </c>
      <c r="D179" s="38"/>
      <c r="E179" s="38"/>
      <c r="F179" s="38"/>
      <c r="G179" s="38"/>
      <c r="H179" s="38"/>
      <c r="I179" s="38" t="s">
        <v>9</v>
      </c>
      <c r="J179" s="38"/>
      <c r="K179" s="167" t="s">
        <v>18</v>
      </c>
      <c r="L179" s="168" t="s">
        <v>32</v>
      </c>
      <c r="M179" s="176" t="s">
        <v>2115</v>
      </c>
      <c r="N179" s="167" t="s">
        <v>2116</v>
      </c>
      <c r="O179" s="167" t="s">
        <v>2117</v>
      </c>
      <c r="P179" s="161" t="s">
        <v>270</v>
      </c>
      <c r="Q179" s="172"/>
      <c r="R179" s="172" t="s">
        <v>103</v>
      </c>
      <c r="S179" s="172" t="s">
        <v>112</v>
      </c>
      <c r="T179" s="167" t="s">
        <v>102</v>
      </c>
      <c r="U179" s="167" t="s">
        <v>270</v>
      </c>
      <c r="V179" s="167" t="s">
        <v>2116</v>
      </c>
      <c r="W179" s="15"/>
      <c r="X179" s="161"/>
      <c r="Y179" s="167"/>
      <c r="Z179" s="59" t="str">
        <f>IF(OR($M179="",NOT($O179="{array}")),"",IFERROR(MATCH(PARAMETERS!$M179,DEFAULT!$B$5:$CG$5,0),""))</f>
        <v/>
      </c>
      <c r="AA179" s="56" t="str">
        <f>IF($M179="","",IFERROR(MATCH($M179,VALUESnames,0),""))</f>
        <v/>
      </c>
      <c r="AB179" s="63" t="str">
        <f>IF(AND(OR($A179="G",$A179="P"),NOT($O179="{array}")),IF(VLOOKUP($K179,base!$B$2:$D$20,3,0)="S",IF(OR($O179="",ISTEXT($O179)),"","STRING!"),IF(VLOOKUP($K179,base!$B$2:$D$20,3,0)="","",IF(ISTEXT($O179),"NUMERIC!",""))),"")</f>
        <v/>
      </c>
      <c r="AC179" s="17" t="str">
        <f>IF($AA179="","",IF($B179="I",VLOOKUP($AA179,#REF!,53,0),INDEX(VALUES!$B$1:$BR$1,1,$AA179)))</f>
        <v/>
      </c>
    </row>
    <row r="180" spans="1:29" hidden="1" outlineLevel="1" x14ac:dyDescent="0.25">
      <c r="A180" s="22" t="s">
        <v>84</v>
      </c>
      <c r="B180" s="41" t="str">
        <f t="shared" ref="B180:B181" si="13">IF($A180="P",IF(NOT($Z180=""),"A",IF(NOT($AA180=""),"I","")),IF(NOT($AA180=""),IF($A180="G","V","X"),IF(NOT($Z180=""),"A","")))</f>
        <v/>
      </c>
      <c r="C180" s="42">
        <f t="shared" si="12"/>
        <v>179</v>
      </c>
      <c r="D180" s="38"/>
      <c r="E180" s="38"/>
      <c r="F180" s="38"/>
      <c r="G180" s="38"/>
      <c r="H180" s="38"/>
      <c r="I180" s="38" t="s">
        <v>9</v>
      </c>
      <c r="J180" s="38"/>
      <c r="K180" s="160" t="s">
        <v>36</v>
      </c>
      <c r="L180" s="168" t="s">
        <v>21</v>
      </c>
      <c r="M180" s="158" t="s">
        <v>2156</v>
      </c>
      <c r="N180" s="160" t="s">
        <v>2157</v>
      </c>
      <c r="O180" s="160">
        <v>0</v>
      </c>
      <c r="P180" s="177"/>
      <c r="Q180" s="179" t="s">
        <v>9</v>
      </c>
      <c r="R180" s="179" t="s">
        <v>103</v>
      </c>
      <c r="S180" s="179" t="s">
        <v>112</v>
      </c>
      <c r="T180" s="38"/>
      <c r="Z180" s="59" t="str">
        <f>IF(OR($M180="",NOT($O180="{array}")),"",IFERROR(MATCH(PARAMETERS!$M180,DEFAULT!$B$5:$CG$5,0),""))</f>
        <v/>
      </c>
      <c r="AA180" s="56" t="str">
        <f t="shared" ref="AA180:AA181" si="14">IF($M180="","",IFERROR(MATCH($M180,VALUESnames,0),""))</f>
        <v/>
      </c>
      <c r="AB180" s="63" t="str">
        <f>IF(AND(OR($A180="G",$A180="P"),NOT($O180="{array}")),IF(VLOOKUP($K180,base!$B$2:$D$20,3,0)="S",IF(OR($O180="",ISTEXT($O180)),"","STRING!"),IF(VLOOKUP($K180,base!$B$2:$D$20,3,0)="","",IF(ISTEXT($O180),"NUMERIC!",""))),"")</f>
        <v/>
      </c>
      <c r="AC180" s="17" t="str">
        <f>IF($AA180="","",IF($B180="I",VLOOKUP($AA180,#REF!,53,0),INDEX(VALUES!$B$1:$BR$1,1,$AA180)))</f>
        <v/>
      </c>
    </row>
    <row r="181" spans="1:29" hidden="1" outlineLevel="1" x14ac:dyDescent="0.25">
      <c r="A181" s="22" t="s">
        <v>84</v>
      </c>
      <c r="B181" s="41" t="str">
        <f t="shared" si="13"/>
        <v/>
      </c>
      <c r="C181" s="42">
        <f t="shared" si="12"/>
        <v>180</v>
      </c>
      <c r="D181" s="38"/>
      <c r="E181" s="38"/>
      <c r="F181" s="38"/>
      <c r="G181" s="38"/>
      <c r="H181" s="38"/>
      <c r="I181" s="38" t="s">
        <v>9</v>
      </c>
      <c r="J181" s="38"/>
      <c r="K181" s="160" t="s">
        <v>36</v>
      </c>
      <c r="L181" s="168" t="s">
        <v>21</v>
      </c>
      <c r="M181" s="158" t="s">
        <v>2158</v>
      </c>
      <c r="N181" s="160" t="s">
        <v>2159</v>
      </c>
      <c r="O181" s="160">
        <v>0</v>
      </c>
      <c r="P181" s="177"/>
      <c r="Q181" s="179" t="s">
        <v>9</v>
      </c>
      <c r="R181" s="179" t="s">
        <v>103</v>
      </c>
      <c r="S181" s="179" t="s">
        <v>112</v>
      </c>
      <c r="T181" s="38"/>
      <c r="Z181" s="59" t="str">
        <f>IF(OR($M181="",NOT($O181="{array}")),"",IFERROR(MATCH(PARAMETERS!$M181,DEFAULT!$B$5:$CG$5,0),""))</f>
        <v/>
      </c>
      <c r="AA181" s="56" t="str">
        <f t="shared" si="14"/>
        <v/>
      </c>
      <c r="AB181" s="63" t="str">
        <f>IF(AND(OR($A181="G",$A181="P"),NOT($O181="{array}")),IF(VLOOKUP($K181,base!$B$2:$D$20,3,0)="S",IF(OR($O181="",ISTEXT($O181)),"","STRING!"),IF(VLOOKUP($K181,base!$B$2:$D$20,3,0)="","",IF(ISTEXT($O181),"NUMERIC!",""))),"")</f>
        <v/>
      </c>
      <c r="AC181" s="17" t="str">
        <f>IF($AA181="","",IF($B181="I",VLOOKUP($AA181,#REF!,53,0),INDEX(VALUES!$B$1:$BR$1,1,$AA181)))</f>
        <v/>
      </c>
    </row>
    <row r="182" spans="1:29" collapsed="1" x14ac:dyDescent="0.3">
      <c r="A182" s="22" t="s">
        <v>84</v>
      </c>
      <c r="B182" s="41" t="str">
        <f t="shared" si="11"/>
        <v/>
      </c>
      <c r="C182" s="42">
        <f t="shared" si="12"/>
        <v>181</v>
      </c>
      <c r="D182" s="38"/>
      <c r="E182" s="38"/>
      <c r="F182" s="38" t="s">
        <v>9</v>
      </c>
      <c r="G182" s="38"/>
      <c r="H182" s="38"/>
      <c r="I182" s="38"/>
      <c r="J182" s="38"/>
      <c r="K182" s="14" t="s">
        <v>57</v>
      </c>
      <c r="L182" s="14" t="s">
        <v>38</v>
      </c>
      <c r="M182" s="48" t="s">
        <v>796</v>
      </c>
      <c r="N182" s="41" t="s">
        <v>1873</v>
      </c>
      <c r="R182" s="38" t="s">
        <v>104</v>
      </c>
      <c r="S182" s="38"/>
      <c r="T182" s="38"/>
      <c r="W182" s="15" t="str">
        <f>IF(IFERROR(VLOOKUP($M182,'IMPORT GS-Tür OL FL 2S2 20'!$H$2:$H$847,1,0),"-")="-","","GS")</f>
        <v/>
      </c>
      <c r="Z182" s="59" t="str">
        <f>IF(OR($M182="",NOT($O182="{array}")),"",IFERROR(MATCH(PARAMETERS!$M182,DEFAULT!$B$5:$CG$5,0),""))</f>
        <v/>
      </c>
      <c r="AA182" s="56" t="str">
        <f t="shared" si="9"/>
        <v/>
      </c>
      <c r="AB182" s="63" t="str">
        <f>IF(AND(OR($A182="G",$A182="P"),NOT($O182="{array}")),IF(VLOOKUP($K182,base!$B$2:$D$20,3,0)="S",IF(OR($O182="",ISTEXT($O182)),"","STRING!"),IF(VLOOKUP($K182,base!$B$2:$D$20,3,0)="","",IF(ISTEXT($O182),"NUMERIC!",""))),"")</f>
        <v/>
      </c>
      <c r="AC182" s="17" t="str">
        <f>IF($AA182="","",IF($B182="I",VLOOKUP($AA182,#REF!,53,0),INDEX(VALUES!$B$1:$BR$1,1,$AA182)))</f>
        <v/>
      </c>
    </row>
    <row r="183" spans="1:29" hidden="1" outlineLevel="1" x14ac:dyDescent="0.3">
      <c r="A183" s="22" t="s">
        <v>84</v>
      </c>
      <c r="B183" s="41" t="str">
        <f t="shared" ref="B183:B202" si="15">IF($A183="P",IF(NOT($Z183=""),"A",IF(NOT($AA183=""),"I","")),IF(NOT($AA183=""),IF($A183="G","V","X"),IF(NOT($Z183=""),"A","")))</f>
        <v/>
      </c>
      <c r="C183" s="42">
        <f t="shared" si="12"/>
        <v>182</v>
      </c>
      <c r="D183" s="38"/>
      <c r="E183" s="38"/>
      <c r="F183" s="38"/>
      <c r="G183" s="38"/>
      <c r="H183" s="38"/>
      <c r="I183" s="38" t="s">
        <v>9</v>
      </c>
      <c r="J183" s="38"/>
      <c r="K183" s="14" t="s">
        <v>47</v>
      </c>
      <c r="L183" s="14" t="s">
        <v>27</v>
      </c>
      <c r="M183" s="20" t="s">
        <v>770</v>
      </c>
      <c r="N183" s="14" t="s">
        <v>771</v>
      </c>
      <c r="O183" s="43">
        <v>0</v>
      </c>
      <c r="R183" s="38" t="s">
        <v>104</v>
      </c>
      <c r="S183" s="38"/>
      <c r="T183" s="38"/>
      <c r="W183" s="15" t="str">
        <f>IF(IFERROR(VLOOKUP($M183,'IMPORT GS-Tür OL FL 2S2 20'!$H$2:$H$847,1,0),"-")="-","","GS")</f>
        <v>GS</v>
      </c>
      <c r="Z183" s="59" t="str">
        <f>IF(OR($M183="",NOT($O183="{array}")),"",IFERROR(MATCH(PARAMETERS!$M183,DEFAULT!$B$5:$CG$5,0),""))</f>
        <v/>
      </c>
      <c r="AA183" s="56" t="str">
        <f>IF($M183="","",IFERROR(MATCH($M183,VALUESnames,0),""))</f>
        <v/>
      </c>
      <c r="AB183" s="63" t="str">
        <f>IF(AND(OR($A183="G",$A183="P"),NOT($O183="{array}")),IF(VLOOKUP($K183,base!$B$2:$D$20,3,0)="S",IF(OR($O183="",ISTEXT($O183)),"","STRING!"),IF(VLOOKUP($K183,base!$B$2:$D$20,3,0)="","",IF(ISTEXT($O183),"NUMERIC!",""))),"")</f>
        <v/>
      </c>
      <c r="AC183" s="17" t="str">
        <f>IF($AA183="","",IF($B183="I",VLOOKUP($AA183,#REF!,53,0),INDEX(VALUES!$B$1:$BR$1,1,$AA183)))</f>
        <v/>
      </c>
    </row>
    <row r="184" spans="1:29" hidden="1" outlineLevel="1" x14ac:dyDescent="0.3">
      <c r="A184" s="22" t="s">
        <v>84</v>
      </c>
      <c r="B184" s="41" t="str">
        <f t="shared" si="15"/>
        <v/>
      </c>
      <c r="C184" s="42">
        <f t="shared" si="12"/>
        <v>183</v>
      </c>
      <c r="D184" s="38"/>
      <c r="E184" s="38"/>
      <c r="F184" s="38"/>
      <c r="G184" s="38"/>
      <c r="H184" s="38"/>
      <c r="I184" s="38" t="s">
        <v>9</v>
      </c>
      <c r="J184" s="38"/>
      <c r="K184" s="14" t="s">
        <v>47</v>
      </c>
      <c r="L184" s="14" t="s">
        <v>27</v>
      </c>
      <c r="M184" s="20" t="s">
        <v>772</v>
      </c>
      <c r="N184" s="14" t="s">
        <v>773</v>
      </c>
      <c r="O184" s="43">
        <v>0</v>
      </c>
      <c r="R184" s="38" t="s">
        <v>104</v>
      </c>
      <c r="S184" s="38"/>
      <c r="T184" s="38"/>
      <c r="W184" s="15" t="str">
        <f>IF(IFERROR(VLOOKUP($M184,'IMPORT GS-Tür OL FL 2S2 20'!$H$2:$H$847,1,0),"-")="-","","GS")</f>
        <v>GS</v>
      </c>
      <c r="Z184" s="59" t="str">
        <f>IF(OR($M184="",NOT($O184="{array}")),"",IFERROR(MATCH(PARAMETERS!$M184,DEFAULT!$B$5:$CG$5,0),""))</f>
        <v/>
      </c>
      <c r="AA184" s="56" t="str">
        <f>IF($M184="","",IFERROR(MATCH($M184,VALUESnames,0),""))</f>
        <v/>
      </c>
      <c r="AB184" s="63" t="str">
        <f>IF(AND(OR($A184="G",$A184="P"),NOT($O184="{array}")),IF(VLOOKUP($K184,base!$B$2:$D$20,3,0)="S",IF(OR($O184="",ISTEXT($O184)),"","STRING!"),IF(VLOOKUP($K184,base!$B$2:$D$20,3,0)="","",IF(ISTEXT($O184),"NUMERIC!",""))),"")</f>
        <v/>
      </c>
      <c r="AC184" s="17" t="str">
        <f>IF($AA184="","",IF($B184="I",VLOOKUP($AA184,#REF!,53,0),INDEX(VALUES!$B$1:$BR$1,1,$AA184)))</f>
        <v/>
      </c>
    </row>
    <row r="185" spans="1:29" hidden="1" outlineLevel="1" x14ac:dyDescent="0.3">
      <c r="A185" s="22" t="s">
        <v>84</v>
      </c>
      <c r="B185" s="41" t="str">
        <f t="shared" si="15"/>
        <v/>
      </c>
      <c r="C185" s="42">
        <f t="shared" si="12"/>
        <v>184</v>
      </c>
      <c r="D185" s="38"/>
      <c r="E185" s="38"/>
      <c r="F185" s="38"/>
      <c r="G185" s="38"/>
      <c r="H185" s="38"/>
      <c r="I185" s="38" t="s">
        <v>9</v>
      </c>
      <c r="J185" s="38"/>
      <c r="K185" s="14" t="s">
        <v>47</v>
      </c>
      <c r="L185" s="14" t="s">
        <v>27</v>
      </c>
      <c r="M185" s="20" t="s">
        <v>777</v>
      </c>
      <c r="N185" s="14" t="s">
        <v>778</v>
      </c>
      <c r="O185" s="43">
        <v>1</v>
      </c>
      <c r="Q185" s="38" t="s">
        <v>9</v>
      </c>
      <c r="R185" s="38" t="s">
        <v>104</v>
      </c>
      <c r="S185" s="38"/>
      <c r="T185" s="38"/>
      <c r="W185" s="15" t="str">
        <f>IF(IFERROR(VLOOKUP($M185,'IMPORT GS-Tür OL FL 2S2 20'!$H$2:$H$847,1,0),"-")="-","","GS")</f>
        <v>GS</v>
      </c>
      <c r="Z185" s="59" t="str">
        <f>IF(OR($M185="",NOT($O185="{array}")),"",IFERROR(MATCH(PARAMETERS!$M185,DEFAULT!$B$5:$CG$5,0),""))</f>
        <v/>
      </c>
      <c r="AA185" s="56" t="str">
        <f>IF($M185="","",IFERROR(MATCH($M185,VALUESnames,0),""))</f>
        <v/>
      </c>
      <c r="AB185" s="63" t="str">
        <f>IF(AND(OR($A185="G",$A185="P"),NOT($O185="{array}")),IF(VLOOKUP($K185,base!$B$2:$D$20,3,0)="S",IF(OR($O185="",ISTEXT($O185)),"","STRING!"),IF(VLOOKUP($K185,base!$B$2:$D$20,3,0)="","",IF(ISTEXT($O185),"NUMERIC!",""))),"")</f>
        <v/>
      </c>
      <c r="AC185" s="17" t="str">
        <f>IF($AA185="","",IF($B185="I",VLOOKUP($AA185,#REF!,53,0),INDEX(VALUES!$B$1:$BR$1,1,$AA185)))</f>
        <v/>
      </c>
    </row>
    <row r="186" spans="1:29" hidden="1" outlineLevel="1" x14ac:dyDescent="0.3">
      <c r="A186" s="22" t="s">
        <v>84</v>
      </c>
      <c r="B186" s="41" t="str">
        <f t="shared" si="15"/>
        <v/>
      </c>
      <c r="C186" s="42">
        <f t="shared" si="12"/>
        <v>185</v>
      </c>
      <c r="D186" s="38"/>
      <c r="E186" s="38"/>
      <c r="F186" s="38"/>
      <c r="G186" s="38"/>
      <c r="H186" s="38"/>
      <c r="I186" s="38" t="s">
        <v>9</v>
      </c>
      <c r="J186" s="38"/>
      <c r="K186" s="14" t="s">
        <v>24</v>
      </c>
      <c r="L186" s="14" t="s">
        <v>27</v>
      </c>
      <c r="M186" s="20" t="s">
        <v>779</v>
      </c>
      <c r="N186" s="14" t="s">
        <v>780</v>
      </c>
      <c r="O186" s="43">
        <v>1</v>
      </c>
      <c r="R186" s="38" t="s">
        <v>104</v>
      </c>
      <c r="S186" s="38"/>
      <c r="T186" s="38"/>
      <c r="W186" s="15" t="str">
        <f>IF(IFERROR(VLOOKUP($M186,'IMPORT GS-Tür OL FL 2S2 20'!$H$2:$H$847,1,0),"-")="-","","GS")</f>
        <v>GS</v>
      </c>
      <c r="Z186" s="59" t="str">
        <f>IF(OR($M186="",NOT($O186="{array}")),"",IFERROR(MATCH(PARAMETERS!$M186,DEFAULT!$B$5:$CG$5,0),""))</f>
        <v/>
      </c>
      <c r="AA186" s="56" t="str">
        <f>IF($M186="","",IFERROR(MATCH($M186,VALUESnames,0),""))</f>
        <v/>
      </c>
      <c r="AB186" s="63" t="str">
        <f>IF(AND(OR($A186="G",$A186="P"),NOT($O186="{array}")),IF(VLOOKUP($K186,base!$B$2:$D$20,3,0)="S",IF(OR($O186="",ISTEXT($O186)),"","STRING!"),IF(VLOOKUP($K186,base!$B$2:$D$20,3,0)="","",IF(ISTEXT($O186),"NUMERIC!",""))),"")</f>
        <v/>
      </c>
      <c r="AC186" s="17" t="str">
        <f>IF($AA186="","",IF($B186="I",VLOOKUP($AA186,#REF!,53,0),INDEX(VALUES!$B$1:$BR$1,1,$AA186)))</f>
        <v/>
      </c>
    </row>
    <row r="187" spans="1:29" hidden="1" outlineLevel="1" x14ac:dyDescent="0.3">
      <c r="A187" s="22" t="s">
        <v>84</v>
      </c>
      <c r="B187" s="41" t="str">
        <f t="shared" si="15"/>
        <v/>
      </c>
      <c r="C187" s="42">
        <f t="shared" si="12"/>
        <v>186</v>
      </c>
      <c r="D187" s="38"/>
      <c r="E187" s="38"/>
      <c r="F187" s="38"/>
      <c r="G187" s="38"/>
      <c r="H187" s="38"/>
      <c r="I187" s="38" t="s">
        <v>9</v>
      </c>
      <c r="J187" s="38"/>
      <c r="K187" s="160" t="s">
        <v>24</v>
      </c>
      <c r="L187" s="14" t="s">
        <v>27</v>
      </c>
      <c r="M187" s="176" t="s">
        <v>1952</v>
      </c>
      <c r="N187" s="160" t="s">
        <v>1953</v>
      </c>
      <c r="O187" s="160">
        <v>0.75</v>
      </c>
      <c r="P187" s="177"/>
      <c r="Q187" s="179" t="s">
        <v>9</v>
      </c>
      <c r="R187" s="179" t="s">
        <v>201</v>
      </c>
      <c r="S187" s="172"/>
      <c r="T187" s="167"/>
      <c r="U187" s="167"/>
      <c r="V187" s="167"/>
      <c r="W187" s="15"/>
      <c r="X187" s="161"/>
      <c r="Y187" s="167"/>
      <c r="Z187" s="59" t="str">
        <f>IF(OR($M187="",NOT($O187="{array}")),"",IFERROR(MATCH(PARAMETERS!$M187,DEFAULT!$B$5:$CG$5,0),""))</f>
        <v/>
      </c>
      <c r="AA187" s="56" t="str">
        <f t="shared" si="9"/>
        <v/>
      </c>
      <c r="AB187" s="63" t="str">
        <f>IF(AND(OR($A187="G",$A187="P"),NOT($O187="{array}")),IF(VLOOKUP($K187,base!$B$2:$D$20,3,0)="S",IF(OR($O187="",ISTEXT($O187)),"","STRING!"),IF(VLOOKUP($K187,base!$B$2:$D$20,3,0)="","",IF(ISTEXT($O187),"NUMERIC!",""))),"")</f>
        <v/>
      </c>
      <c r="AC187" s="17" t="str">
        <f>IF($AA187="","",IF($B187="I",VLOOKUP($AA187,#REF!,53,0),INDEX(VALUES!$B$1:$BR$1,1,$AA187)))</f>
        <v/>
      </c>
    </row>
    <row r="188" spans="1:29" hidden="1" outlineLevel="1" x14ac:dyDescent="0.3">
      <c r="A188" s="22" t="s">
        <v>84</v>
      </c>
      <c r="B188" s="41" t="str">
        <f t="shared" si="15"/>
        <v/>
      </c>
      <c r="C188" s="42">
        <f t="shared" si="12"/>
        <v>187</v>
      </c>
      <c r="D188" s="38"/>
      <c r="E188" s="38"/>
      <c r="F188" s="38"/>
      <c r="G188" s="38"/>
      <c r="H188" s="38"/>
      <c r="I188" s="38" t="s">
        <v>9</v>
      </c>
      <c r="J188" s="38"/>
      <c r="K188" s="160" t="s">
        <v>24</v>
      </c>
      <c r="L188" s="14" t="s">
        <v>27</v>
      </c>
      <c r="M188" s="176" t="s">
        <v>1954</v>
      </c>
      <c r="N188" s="160" t="s">
        <v>1955</v>
      </c>
      <c r="O188" s="160">
        <v>1.1499999999999999</v>
      </c>
      <c r="P188" s="177"/>
      <c r="Q188" s="179" t="s">
        <v>9</v>
      </c>
      <c r="R188" s="179" t="s">
        <v>201</v>
      </c>
      <c r="S188" s="172"/>
      <c r="T188" s="167"/>
      <c r="U188" s="167"/>
      <c r="V188" s="167"/>
      <c r="W188" s="15"/>
      <c r="X188" s="161"/>
      <c r="Y188" s="167"/>
      <c r="Z188" s="59" t="str">
        <f>IF(OR($M188="",NOT($O188="{array}")),"",IFERROR(MATCH(PARAMETERS!$M188,DEFAULT!$B$5:$CG$5,0),""))</f>
        <v/>
      </c>
      <c r="AA188" s="56" t="str">
        <f t="shared" si="9"/>
        <v/>
      </c>
      <c r="AB188" s="63" t="str">
        <f>IF(AND(OR($A188="G",$A188="P"),NOT($O188="{array}")),IF(VLOOKUP($K188,base!$B$2:$D$20,3,0)="S",IF(OR($O188="",ISTEXT($O188)),"","STRING!"),IF(VLOOKUP($K188,base!$B$2:$D$20,3,0)="","",IF(ISTEXT($O188),"NUMERIC!",""))),"")</f>
        <v/>
      </c>
      <c r="AC188" s="17" t="str">
        <f>IF($AA188="","",IF($B188="I",VLOOKUP($AA188,#REF!,53,0),INDEX(VALUES!$B$1:$BR$1,1,$AA188)))</f>
        <v/>
      </c>
    </row>
    <row r="189" spans="1:29" hidden="1" outlineLevel="1" x14ac:dyDescent="0.25">
      <c r="A189" s="22" t="s">
        <v>84</v>
      </c>
      <c r="B189" s="41" t="str">
        <f t="shared" ref="B189:B196" si="16">IF($A189="P",IF(NOT($Z189=""),"A",IF(NOT($AA189=""),"I","")),IF(NOT($AA189=""),IF($A189="G","V","X"),IF(NOT($Z189=""),"A","")))</f>
        <v/>
      </c>
      <c r="C189" s="42">
        <f t="shared" si="12"/>
        <v>188</v>
      </c>
      <c r="D189" s="38"/>
      <c r="E189" s="38"/>
      <c r="F189" s="38"/>
      <c r="G189" s="38"/>
      <c r="H189" s="38"/>
      <c r="I189" s="38" t="s">
        <v>9</v>
      </c>
      <c r="J189" s="38"/>
      <c r="K189" s="160" t="s">
        <v>44</v>
      </c>
      <c r="L189" s="53" t="s">
        <v>27</v>
      </c>
      <c r="M189" s="158" t="s">
        <v>1918</v>
      </c>
      <c r="N189" s="53" t="s">
        <v>1921</v>
      </c>
      <c r="O189" s="156">
        <v>1</v>
      </c>
      <c r="P189" s="53"/>
      <c r="Q189" s="209"/>
      <c r="R189" s="179" t="s">
        <v>103</v>
      </c>
      <c r="S189" s="172"/>
      <c r="T189" s="167"/>
      <c r="U189" s="167"/>
      <c r="V189" s="167"/>
      <c r="W189" s="15"/>
      <c r="X189" s="161"/>
      <c r="Y189" s="167"/>
      <c r="Z189" s="59" t="str">
        <f>IF(OR($M189="",NOT($O189="{array}")),"",IFERROR(MATCH(PARAMETERS!$M189,DEFAULT!$B$5:$CG$5,0),""))</f>
        <v/>
      </c>
      <c r="AA189" s="56" t="str">
        <f t="shared" ref="AA189:AA196" si="17">IF($M189="","",IFERROR(MATCH($M189,VALUESnames,0),""))</f>
        <v/>
      </c>
      <c r="AB189" s="63" t="str">
        <f>IF(AND(OR($A189="G",$A189="P"),NOT($O189="{array}")),IF(VLOOKUP($K189,base!$B$2:$D$20,3,0)="S",IF(OR($O189="",ISTEXT($O189)),"","STRING!"),IF(VLOOKUP($K189,base!$B$2:$D$20,3,0)="","",IF(ISTEXT($O189),"NUMERIC!",""))),"")</f>
        <v/>
      </c>
      <c r="AC189" s="17" t="str">
        <f>IF($AA189="","",IF($B189="I",VLOOKUP($AA189,#REF!,53,0),INDEX(VALUES!$B$1:$BR$1,1,$AA189)))</f>
        <v/>
      </c>
    </row>
    <row r="190" spans="1:29" hidden="1" outlineLevel="1" x14ac:dyDescent="0.25">
      <c r="A190" s="22" t="s">
        <v>84</v>
      </c>
      <c r="B190" s="41" t="str">
        <f t="shared" si="16"/>
        <v/>
      </c>
      <c r="C190" s="42">
        <f t="shared" si="12"/>
        <v>189</v>
      </c>
      <c r="D190" s="38"/>
      <c r="E190" s="38"/>
      <c r="F190" s="38"/>
      <c r="G190" s="38"/>
      <c r="H190" s="38"/>
      <c r="I190" s="38" t="s">
        <v>9</v>
      </c>
      <c r="J190" s="38"/>
      <c r="K190" s="160" t="s">
        <v>44</v>
      </c>
      <c r="L190" s="53" t="s">
        <v>27</v>
      </c>
      <c r="M190" s="158" t="s">
        <v>1928</v>
      </c>
      <c r="N190" s="53" t="s">
        <v>1929</v>
      </c>
      <c r="O190" s="156">
        <v>1</v>
      </c>
      <c r="P190" s="53"/>
      <c r="Q190" s="209"/>
      <c r="R190" s="179" t="s">
        <v>103</v>
      </c>
      <c r="S190" s="172"/>
      <c r="T190" s="167"/>
      <c r="U190" s="167"/>
      <c r="V190" s="167"/>
      <c r="W190" s="15"/>
      <c r="X190" s="161"/>
      <c r="Y190" s="167"/>
      <c r="Z190" s="59" t="str">
        <f>IF(OR($M190="",NOT($O190="{array}")),"",IFERROR(MATCH(PARAMETERS!$M190,DEFAULT!$B$5:$CG$5,0),""))</f>
        <v/>
      </c>
      <c r="AA190" s="56" t="str">
        <f t="shared" si="17"/>
        <v/>
      </c>
      <c r="AB190" s="63" t="str">
        <f>IF(AND(OR($A190="G",$A190="P"),NOT($O190="{array}")),IF(VLOOKUP($K190,base!$B$2:$D$20,3,0)="S",IF(OR($O190="",ISTEXT($O190)),"","STRING!"),IF(VLOOKUP($K190,base!$B$2:$D$20,3,0)="","",IF(ISTEXT($O190),"NUMERIC!",""))),"")</f>
        <v/>
      </c>
      <c r="AC190" s="17" t="str">
        <f>IF($AA190="","",IF($B190="I",VLOOKUP($AA190,#REF!,53,0),INDEX(VALUES!$B$1:$BR$1,1,$AA190)))</f>
        <v/>
      </c>
    </row>
    <row r="191" spans="1:29" hidden="1" outlineLevel="1" x14ac:dyDescent="0.25">
      <c r="A191" s="22" t="s">
        <v>84</v>
      </c>
      <c r="B191" s="41" t="str">
        <f t="shared" si="16"/>
        <v/>
      </c>
      <c r="C191" s="42">
        <f t="shared" si="12"/>
        <v>190</v>
      </c>
      <c r="D191" s="38"/>
      <c r="E191" s="38"/>
      <c r="F191" s="38"/>
      <c r="G191" s="38"/>
      <c r="H191" s="38"/>
      <c r="I191" s="38" t="s">
        <v>9</v>
      </c>
      <c r="J191" s="38"/>
      <c r="K191" s="160" t="s">
        <v>24</v>
      </c>
      <c r="L191" s="53" t="s">
        <v>27</v>
      </c>
      <c r="M191" s="230" t="s">
        <v>1991</v>
      </c>
      <c r="N191" s="53" t="s">
        <v>1992</v>
      </c>
      <c r="O191" s="156">
        <v>0</v>
      </c>
      <c r="P191" s="53"/>
      <c r="Q191" s="209"/>
      <c r="R191" s="179" t="s">
        <v>103</v>
      </c>
      <c r="S191" s="172"/>
      <c r="T191" s="167"/>
      <c r="U191" s="167"/>
      <c r="V191" s="167"/>
      <c r="W191" s="15"/>
      <c r="X191" s="161"/>
      <c r="Y191" s="167"/>
      <c r="Z191" s="59" t="str">
        <f>IF(OR($M191="",NOT($O191="{array}")),"",IFERROR(MATCH(PARAMETERS!$M191,DEFAULT!$B$5:$CG$5,0),""))</f>
        <v/>
      </c>
      <c r="AA191" s="56" t="str">
        <f t="shared" si="17"/>
        <v/>
      </c>
      <c r="AB191" s="63" t="str">
        <f>IF(AND(OR($A191="G",$A191="P"),NOT($O191="{array}")),IF(VLOOKUP($K191,base!$B$2:$D$20,3,0)="S",IF(OR($O191="",ISTEXT($O191)),"","STRING!"),IF(VLOOKUP($K191,base!$B$2:$D$20,3,0)="","",IF(ISTEXT($O191),"NUMERIC!",""))),"")</f>
        <v/>
      </c>
      <c r="AC191" s="17" t="str">
        <f>IF($AA191="","",IF($B191="I",VLOOKUP($AA191,#REF!,53,0),INDEX(VALUES!$B$1:$BR$1,1,$AA191)))</f>
        <v/>
      </c>
    </row>
    <row r="192" spans="1:29" hidden="1" outlineLevel="1" x14ac:dyDescent="0.25">
      <c r="A192" s="22" t="s">
        <v>84</v>
      </c>
      <c r="B192" s="41" t="str">
        <f t="shared" si="16"/>
        <v/>
      </c>
      <c r="C192" s="42">
        <f t="shared" si="12"/>
        <v>191</v>
      </c>
      <c r="D192" s="38"/>
      <c r="E192" s="38"/>
      <c r="F192" s="38"/>
      <c r="G192" s="38"/>
      <c r="H192" s="38"/>
      <c r="I192" s="38" t="s">
        <v>9</v>
      </c>
      <c r="J192" s="38"/>
      <c r="K192" s="160" t="s">
        <v>24</v>
      </c>
      <c r="L192" s="53" t="s">
        <v>27</v>
      </c>
      <c r="M192" s="230" t="s">
        <v>1919</v>
      </c>
      <c r="N192" s="53" t="s">
        <v>1920</v>
      </c>
      <c r="O192" s="156">
        <v>4.0000000000000001E-3</v>
      </c>
      <c r="P192" s="53"/>
      <c r="Q192" s="209"/>
      <c r="R192" s="179" t="s">
        <v>103</v>
      </c>
      <c r="S192" s="172"/>
      <c r="T192" s="167"/>
      <c r="U192" s="167"/>
      <c r="V192" s="167"/>
      <c r="W192" s="15"/>
      <c r="X192" s="161"/>
      <c r="Y192" s="167"/>
      <c r="Z192" s="59" t="str">
        <f>IF(OR($M192="",NOT($O192="{array}")),"",IFERROR(MATCH(PARAMETERS!$M192,DEFAULT!$B$5:$CG$5,0),""))</f>
        <v/>
      </c>
      <c r="AA192" s="56" t="str">
        <f t="shared" si="17"/>
        <v/>
      </c>
      <c r="AB192" s="63" t="str">
        <f>IF(AND(OR($A192="G",$A192="P"),NOT($O192="{array}")),IF(VLOOKUP($K192,base!$B$2:$D$20,3,0)="S",IF(OR($O192="",ISTEXT($O192)),"","STRING!"),IF(VLOOKUP($K192,base!$B$2:$D$20,3,0)="","",IF(ISTEXT($O192),"NUMERIC!",""))),"")</f>
        <v/>
      </c>
      <c r="AC192" s="17" t="str">
        <f>IF($AA192="","",IF($B192="I",VLOOKUP($AA192,#REF!,53,0),INDEX(VALUES!$B$1:$BR$1,1,$AA192)))</f>
        <v/>
      </c>
    </row>
    <row r="193" spans="1:29" hidden="1" outlineLevel="1" x14ac:dyDescent="0.25">
      <c r="A193" s="22" t="s">
        <v>84</v>
      </c>
      <c r="B193" s="41" t="str">
        <f t="shared" si="16"/>
        <v/>
      </c>
      <c r="C193" s="42">
        <f t="shared" si="12"/>
        <v>192</v>
      </c>
      <c r="D193" s="38"/>
      <c r="E193" s="38"/>
      <c r="F193" s="38"/>
      <c r="G193" s="38"/>
      <c r="H193" s="38"/>
      <c r="I193" s="38" t="s">
        <v>9</v>
      </c>
      <c r="J193" s="38"/>
      <c r="K193" s="160" t="s">
        <v>24</v>
      </c>
      <c r="L193" s="53" t="s">
        <v>27</v>
      </c>
      <c r="M193" s="230" t="s">
        <v>1922</v>
      </c>
      <c r="N193" s="53" t="s">
        <v>1923</v>
      </c>
      <c r="O193" s="156">
        <v>6.0000000000000001E-3</v>
      </c>
      <c r="P193" s="53"/>
      <c r="Q193" s="209"/>
      <c r="R193" s="179" t="s">
        <v>103</v>
      </c>
      <c r="S193" s="172"/>
      <c r="T193" s="167"/>
      <c r="U193" s="167"/>
      <c r="V193" s="167"/>
      <c r="W193" s="15"/>
      <c r="X193" s="161"/>
      <c r="Y193" s="167"/>
      <c r="Z193" s="59" t="str">
        <f>IF(OR($M193="",NOT($O193="{array}")),"",IFERROR(MATCH(PARAMETERS!$M193,DEFAULT!$B$5:$CG$5,0),""))</f>
        <v/>
      </c>
      <c r="AA193" s="56" t="str">
        <f t="shared" si="17"/>
        <v/>
      </c>
      <c r="AB193" s="63" t="str">
        <f>IF(AND(OR($A193="G",$A193="P"),NOT($O193="{array}")),IF(VLOOKUP($K193,base!$B$2:$D$20,3,0)="S",IF(OR($O193="",ISTEXT($O193)),"","STRING!"),IF(VLOOKUP($K193,base!$B$2:$D$20,3,0)="","",IF(ISTEXT($O193),"NUMERIC!",""))),"")</f>
        <v/>
      </c>
      <c r="AC193" s="17" t="str">
        <f>IF($AA193="","",IF($B193="I",VLOOKUP($AA193,#REF!,53,0),INDEX(VALUES!$B$1:$BR$1,1,$AA193)))</f>
        <v/>
      </c>
    </row>
    <row r="194" spans="1:29" hidden="1" outlineLevel="1" x14ac:dyDescent="0.25">
      <c r="A194" s="22" t="s">
        <v>84</v>
      </c>
      <c r="B194" s="41" t="str">
        <f t="shared" si="16"/>
        <v/>
      </c>
      <c r="C194" s="42">
        <f t="shared" si="12"/>
        <v>193</v>
      </c>
      <c r="D194" s="38"/>
      <c r="E194" s="38"/>
      <c r="F194" s="38"/>
      <c r="G194" s="38"/>
      <c r="H194" s="38"/>
      <c r="I194" s="38" t="s">
        <v>9</v>
      </c>
      <c r="J194" s="38"/>
      <c r="K194" s="160" t="s">
        <v>47</v>
      </c>
      <c r="L194" s="53" t="s">
        <v>27</v>
      </c>
      <c r="M194" s="230" t="s">
        <v>1993</v>
      </c>
      <c r="N194" s="53" t="s">
        <v>1994</v>
      </c>
      <c r="O194" s="156">
        <v>1</v>
      </c>
      <c r="P194" s="53"/>
      <c r="Q194" s="209"/>
      <c r="R194" s="179" t="s">
        <v>103</v>
      </c>
      <c r="S194" s="172"/>
      <c r="T194" s="167"/>
      <c r="U194" s="167"/>
      <c r="V194" s="167"/>
      <c r="W194" s="15"/>
      <c r="X194" s="161"/>
      <c r="Y194" s="167"/>
      <c r="Z194" s="59" t="str">
        <f>IF(OR($M194="",NOT($O194="{array}")),"",IFERROR(MATCH(PARAMETERS!$M194,DEFAULT!$B$5:$CG$5,0),""))</f>
        <v/>
      </c>
      <c r="AA194" s="56" t="str">
        <f t="shared" si="17"/>
        <v/>
      </c>
      <c r="AB194" s="63" t="str">
        <f>IF(AND(OR($A194="G",$A194="P"),NOT($O194="{array}")),IF(VLOOKUP($K194,base!$B$2:$D$20,3,0)="S",IF(OR($O194="",ISTEXT($O194)),"","STRING!"),IF(VLOOKUP($K194,base!$B$2:$D$20,3,0)="","",IF(ISTEXT($O194),"NUMERIC!",""))),"")</f>
        <v/>
      </c>
      <c r="AC194" s="17" t="str">
        <f>IF($AA194="","",IF($B194="I",VLOOKUP($AA194,#REF!,53,0),INDEX(VALUES!$B$1:$BR$1,1,$AA194)))</f>
        <v/>
      </c>
    </row>
    <row r="195" spans="1:29" hidden="1" outlineLevel="1" x14ac:dyDescent="0.25">
      <c r="A195" s="22" t="s">
        <v>84</v>
      </c>
      <c r="B195" s="41" t="str">
        <f t="shared" si="16"/>
        <v/>
      </c>
      <c r="C195" s="42">
        <f t="shared" si="12"/>
        <v>194</v>
      </c>
      <c r="D195" s="38"/>
      <c r="E195" s="38"/>
      <c r="F195" s="38"/>
      <c r="G195" s="38"/>
      <c r="H195" s="38"/>
      <c r="I195" s="38" t="s">
        <v>9</v>
      </c>
      <c r="J195" s="38"/>
      <c r="K195" s="160" t="s">
        <v>24</v>
      </c>
      <c r="L195" s="53" t="s">
        <v>27</v>
      </c>
      <c r="M195" s="230" t="s">
        <v>1996</v>
      </c>
      <c r="N195" s="53" t="s">
        <v>1998</v>
      </c>
      <c r="O195" s="156">
        <v>2E-3</v>
      </c>
      <c r="P195" s="53"/>
      <c r="Q195" s="209"/>
      <c r="R195" s="179" t="s">
        <v>103</v>
      </c>
      <c r="S195" s="172"/>
      <c r="T195" s="167"/>
      <c r="U195" s="167"/>
      <c r="V195" s="167"/>
      <c r="W195" s="15"/>
      <c r="X195" s="161"/>
      <c r="Y195" s="167"/>
      <c r="Z195" s="59" t="str">
        <f>IF(OR($M195="",NOT($O195="{array}")),"",IFERROR(MATCH(PARAMETERS!$M195,DEFAULT!$B$5:$CG$5,0),""))</f>
        <v/>
      </c>
      <c r="AA195" s="56" t="str">
        <f t="shared" si="17"/>
        <v/>
      </c>
      <c r="AB195" s="63" t="str">
        <f>IF(AND(OR($A195="G",$A195="P"),NOT($O195="{array}")),IF(VLOOKUP($K195,base!$B$2:$D$20,3,0)="S",IF(OR($O195="",ISTEXT($O195)),"","STRING!"),IF(VLOOKUP($K195,base!$B$2:$D$20,3,0)="","",IF(ISTEXT($O195),"NUMERIC!",""))),"")</f>
        <v/>
      </c>
      <c r="AC195" s="17" t="str">
        <f>IF($AA195="","",IF($B195="I",VLOOKUP($AA195,#REF!,53,0),INDEX(VALUES!$B$1:$BR$1,1,$AA195)))</f>
        <v/>
      </c>
    </row>
    <row r="196" spans="1:29" hidden="1" outlineLevel="1" x14ac:dyDescent="0.25">
      <c r="A196" s="22" t="s">
        <v>84</v>
      </c>
      <c r="B196" s="41" t="str">
        <f t="shared" si="16"/>
        <v/>
      </c>
      <c r="C196" s="42">
        <f t="shared" si="12"/>
        <v>195</v>
      </c>
      <c r="D196" s="38"/>
      <c r="E196" s="38"/>
      <c r="F196" s="38" t="s">
        <v>9</v>
      </c>
      <c r="G196" s="38"/>
      <c r="H196" s="38"/>
      <c r="I196" s="38" t="s">
        <v>9</v>
      </c>
      <c r="J196" s="38"/>
      <c r="K196" s="14" t="s">
        <v>24</v>
      </c>
      <c r="L196" s="14" t="s">
        <v>27</v>
      </c>
      <c r="M196" s="20" t="s">
        <v>787</v>
      </c>
      <c r="N196" s="14" t="s">
        <v>788</v>
      </c>
      <c r="O196" s="43">
        <v>5.0000000000000001E-3</v>
      </c>
      <c r="R196" s="38" t="s">
        <v>104</v>
      </c>
      <c r="S196" s="172" t="s">
        <v>112</v>
      </c>
      <c r="T196" s="167" t="s">
        <v>270</v>
      </c>
      <c r="U196" s="167" t="s">
        <v>270</v>
      </c>
      <c r="V196" s="167" t="s">
        <v>789</v>
      </c>
      <c r="W196" s="15" t="str">
        <f>IF(IFERROR(VLOOKUP($M196,'IMPORT GS-Tür OL FL 2S2 20'!$H$2:$H$847,1,0),"-")="-","","GS")</f>
        <v>GS</v>
      </c>
      <c r="X196" s="161">
        <v>62</v>
      </c>
      <c r="Y196" s="167" t="s">
        <v>790</v>
      </c>
      <c r="Z196" s="59" t="str">
        <f>IF(OR($M196="",NOT($O196="{array}")),"",IFERROR(MATCH(PARAMETERS!$M196,DEFAULT!$B$5:$CG$5,0),""))</f>
        <v/>
      </c>
      <c r="AA196" s="56" t="str">
        <f t="shared" si="17"/>
        <v/>
      </c>
      <c r="AB196" s="63" t="str">
        <f>IF(AND(OR($A196="G",$A196="P"),NOT($O196="{array}")),IF(VLOOKUP($K196,base!$B$2:$D$20,3,0)="S",IF(OR($O196="",ISTEXT($O196)),"","STRING!"),IF(VLOOKUP($K196,base!$B$2:$D$20,3,0)="","",IF(ISTEXT($O196),"NUMERIC!",""))),"")</f>
        <v/>
      </c>
      <c r="AC196" s="17" t="str">
        <f>IF($AA196="","",IF($B196="I",VLOOKUP($AA196,#REF!,53,0),INDEX(VALUES!$B$1:$BR$1,1,$AA196)))</f>
        <v/>
      </c>
    </row>
    <row r="197" spans="1:29" hidden="1" outlineLevel="1" x14ac:dyDescent="0.25">
      <c r="A197" s="22" t="s">
        <v>84</v>
      </c>
      <c r="B197" s="41" t="str">
        <f t="shared" si="15"/>
        <v/>
      </c>
      <c r="C197" s="42">
        <f t="shared" si="12"/>
        <v>196</v>
      </c>
      <c r="D197" s="38"/>
      <c r="E197" s="38"/>
      <c r="F197" s="38" t="s">
        <v>9</v>
      </c>
      <c r="G197" s="38"/>
      <c r="H197" s="38"/>
      <c r="I197" s="38" t="s">
        <v>9</v>
      </c>
      <c r="J197" s="38"/>
      <c r="K197" s="14" t="s">
        <v>24</v>
      </c>
      <c r="L197" s="14" t="s">
        <v>27</v>
      </c>
      <c r="M197" s="152" t="s">
        <v>781</v>
      </c>
      <c r="N197" s="14" t="s">
        <v>782</v>
      </c>
      <c r="O197" s="43">
        <v>0.04</v>
      </c>
      <c r="Q197" s="38" t="s">
        <v>9</v>
      </c>
      <c r="R197" s="38" t="s">
        <v>104</v>
      </c>
      <c r="S197" s="172" t="s">
        <v>112</v>
      </c>
      <c r="T197" s="167" t="s">
        <v>270</v>
      </c>
      <c r="U197" s="167" t="s">
        <v>270</v>
      </c>
      <c r="V197" s="167" t="s">
        <v>783</v>
      </c>
      <c r="W197" s="15" t="str">
        <f>IF(IFERROR(VLOOKUP($M197,'IMPORT GS-Tür OL FL 2S2 20'!$H$2:$H$847,1,0),"-")="-","","GS")</f>
        <v>GS</v>
      </c>
      <c r="X197" s="161">
        <v>59</v>
      </c>
      <c r="Y197" s="167" t="s">
        <v>784</v>
      </c>
      <c r="Z197" s="59" t="str">
        <f>IF(OR($M197="",NOT($O197="{array}")),"",IFERROR(MATCH(PARAMETERS!$M197,DEFAULT!$B$5:$CG$5,0),""))</f>
        <v/>
      </c>
      <c r="AA197" s="56" t="str">
        <f>IF($M197="","",IFERROR(MATCH($M197,VALUESnames,0),""))</f>
        <v/>
      </c>
      <c r="AB197" s="63" t="str">
        <f>IF(AND(OR($A197="G",$A197="P"),NOT($O197="{array}")),IF(VLOOKUP($K197,base!$B$2:$D$20,3,0)="S",IF(OR($O197="",ISTEXT($O197)),"","STRING!"),IF(VLOOKUP($K197,base!$B$2:$D$20,3,0)="","",IF(ISTEXT($O197),"NUMERIC!",""))),"")</f>
        <v/>
      </c>
      <c r="AC197" s="17" t="str">
        <f>IF($AA197="","",IF($B197="I",VLOOKUP($AA197,#REF!,53,0),INDEX(VALUES!$B$1:$BR$1,1,$AA197)))</f>
        <v/>
      </c>
    </row>
    <row r="198" spans="1:29" hidden="1" outlineLevel="1" x14ac:dyDescent="0.3">
      <c r="A198" s="22" t="s">
        <v>84</v>
      </c>
      <c r="B198" s="41" t="str">
        <f t="shared" si="15"/>
        <v>A</v>
      </c>
      <c r="C198" s="42">
        <f t="shared" si="12"/>
        <v>197</v>
      </c>
      <c r="D198" s="38"/>
      <c r="E198" s="38"/>
      <c r="F198" s="38"/>
      <c r="G198" s="38"/>
      <c r="H198" s="38"/>
      <c r="I198" s="38" t="s">
        <v>9</v>
      </c>
      <c r="J198" s="38"/>
      <c r="K198" s="160" t="s">
        <v>24</v>
      </c>
      <c r="L198" s="14" t="s">
        <v>27</v>
      </c>
      <c r="M198" s="176" t="s">
        <v>1924</v>
      </c>
      <c r="N198" s="160" t="s">
        <v>1930</v>
      </c>
      <c r="O198" s="160" t="s">
        <v>33</v>
      </c>
      <c r="P198" s="177"/>
      <c r="Q198" s="179" t="s">
        <v>9</v>
      </c>
      <c r="R198" s="179" t="s">
        <v>201</v>
      </c>
      <c r="S198" s="172"/>
      <c r="T198" s="167"/>
      <c r="U198" s="167"/>
      <c r="V198" s="167"/>
      <c r="W198" s="15"/>
      <c r="X198" s="161"/>
      <c r="Y198" s="167"/>
      <c r="Z198" s="59">
        <f>IF(OR($M198="",NOT($O198="{array}")),"",IFERROR(MATCH(PARAMETERS!$M198,DEFAULT!$B$5:$CG$5,0),""))</f>
        <v>69</v>
      </c>
      <c r="AA198" s="56" t="str">
        <f t="shared" si="9"/>
        <v/>
      </c>
      <c r="AB198" s="63" t="str">
        <f>IF(AND(OR($A198="G",$A198="P"),NOT($O198="{array}")),IF(VLOOKUP($K198,base!$B$2:$D$20,3,0)="S",IF(OR($O198="",ISTEXT($O198)),"","STRING!"),IF(VLOOKUP($K198,base!$B$2:$D$20,3,0)="","",IF(ISTEXT($O198),"NUMERIC!",""))),"")</f>
        <v/>
      </c>
      <c r="AC198" s="17" t="str">
        <f>IF($AA198="","",IF($B198="I",VLOOKUP($AA198,#REF!,53,0),INDEX(VALUES!$B$1:$BR$1,1,$AA198)))</f>
        <v/>
      </c>
    </row>
    <row r="199" spans="1:29" hidden="1" outlineLevel="1" x14ac:dyDescent="0.3">
      <c r="A199" s="22" t="s">
        <v>84</v>
      </c>
      <c r="B199" s="41" t="str">
        <f t="shared" si="15"/>
        <v/>
      </c>
      <c r="C199" s="42">
        <f t="shared" si="12"/>
        <v>198</v>
      </c>
      <c r="D199" s="38"/>
      <c r="E199" s="38"/>
      <c r="F199" s="38"/>
      <c r="G199" s="38"/>
      <c r="H199" s="38"/>
      <c r="I199" s="38" t="s">
        <v>9</v>
      </c>
      <c r="J199" s="38"/>
      <c r="K199" s="160" t="s">
        <v>24</v>
      </c>
      <c r="L199" s="14" t="s">
        <v>27</v>
      </c>
      <c r="M199" s="176" t="s">
        <v>785</v>
      </c>
      <c r="N199" s="160" t="s">
        <v>786</v>
      </c>
      <c r="O199" s="160">
        <v>0.02</v>
      </c>
      <c r="P199" s="177"/>
      <c r="Q199" s="179" t="s">
        <v>9</v>
      </c>
      <c r="R199" s="179" t="s">
        <v>103</v>
      </c>
      <c r="S199" s="172"/>
      <c r="T199" s="167"/>
      <c r="U199" s="167"/>
      <c r="V199" s="167"/>
      <c r="W199" s="15"/>
      <c r="X199" s="161"/>
      <c r="Y199" s="167"/>
      <c r="Z199" s="59" t="str">
        <f>IF(OR($M199="",NOT($O199="{array}")),"",IFERROR(MATCH(PARAMETERS!$M199,DEFAULT!$B$5:$CG$5,0),""))</f>
        <v/>
      </c>
      <c r="AA199" s="56" t="str">
        <f t="shared" ref="AA199:AA204" si="18">IF($M199="","",IFERROR(MATCH($M199,VALUESnames,0),""))</f>
        <v/>
      </c>
      <c r="AB199" s="63" t="str">
        <f>IF(AND(OR($A199="G",$A199="P"),NOT($O199="{array}")),IF(VLOOKUP($K199,base!$B$2:$D$20,3,0)="S",IF(OR($O199="",ISTEXT($O199)),"","STRING!"),IF(VLOOKUP($K199,base!$B$2:$D$20,3,0)="","",IF(ISTEXT($O199),"NUMERIC!",""))),"")</f>
        <v/>
      </c>
      <c r="AC199" s="17" t="str">
        <f>IF($AA199="","",IF($B199="I",VLOOKUP($AA199,#REF!,53,0),INDEX(VALUES!$B$1:$BR$1,1,$AA199)))</f>
        <v/>
      </c>
    </row>
    <row r="200" spans="1:29" hidden="1" outlineLevel="1" x14ac:dyDescent="0.3">
      <c r="A200" s="22" t="s">
        <v>84</v>
      </c>
      <c r="B200" s="41" t="str">
        <f t="shared" si="15"/>
        <v/>
      </c>
      <c r="C200" s="42">
        <f t="shared" ref="C200:C206" si="19">(ROW()-1)</f>
        <v>199</v>
      </c>
      <c r="D200" s="38"/>
      <c r="E200" s="38"/>
      <c r="F200" s="38"/>
      <c r="G200" s="38"/>
      <c r="H200" s="38"/>
      <c r="I200" s="38" t="s">
        <v>9</v>
      </c>
      <c r="J200" s="38"/>
      <c r="K200" s="160" t="s">
        <v>24</v>
      </c>
      <c r="L200" s="14" t="s">
        <v>27</v>
      </c>
      <c r="M200" s="176" t="s">
        <v>1914</v>
      </c>
      <c r="N200" s="160" t="s">
        <v>1915</v>
      </c>
      <c r="O200" s="160">
        <v>0.01</v>
      </c>
      <c r="P200" s="177"/>
      <c r="Q200" s="179" t="s">
        <v>9</v>
      </c>
      <c r="R200" s="179" t="s">
        <v>103</v>
      </c>
      <c r="S200" s="172"/>
      <c r="T200" s="167"/>
      <c r="U200" s="167"/>
      <c r="V200" s="167"/>
      <c r="W200" s="15"/>
      <c r="X200" s="161"/>
      <c r="Y200" s="167"/>
      <c r="Z200" s="59" t="str">
        <f>IF(OR($M200="",NOT($O200="{array}")),"",IFERROR(MATCH(PARAMETERS!$M200,DEFAULT!$B$5:$CG$5,0),""))</f>
        <v/>
      </c>
      <c r="AA200" s="56" t="str">
        <f t="shared" si="18"/>
        <v/>
      </c>
      <c r="AB200" s="63" t="str">
        <f>IF(AND(OR($A200="G",$A200="P"),NOT($O200="{array}")),IF(VLOOKUP($K200,base!$B$2:$D$20,3,0)="S",IF(OR($O200="",ISTEXT($O200)),"","STRING!"),IF(VLOOKUP($K200,base!$B$2:$D$20,3,0)="","",IF(ISTEXT($O200),"NUMERIC!",""))),"")</f>
        <v/>
      </c>
      <c r="AC200" s="17" t="str">
        <f>IF($AA200="","",IF($B200="I",VLOOKUP($AA200,#REF!,53,0),INDEX(VALUES!$B$1:$BR$1,1,$AA200)))</f>
        <v/>
      </c>
    </row>
    <row r="201" spans="1:29" hidden="1" outlineLevel="1" x14ac:dyDescent="0.3">
      <c r="A201" s="22" t="s">
        <v>84</v>
      </c>
      <c r="B201" s="41" t="str">
        <f t="shared" si="15"/>
        <v/>
      </c>
      <c r="C201" s="42">
        <f t="shared" si="19"/>
        <v>200</v>
      </c>
      <c r="D201" s="38"/>
      <c r="E201" s="38"/>
      <c r="F201" s="38"/>
      <c r="G201" s="38"/>
      <c r="H201" s="38"/>
      <c r="I201" s="38" t="s">
        <v>9</v>
      </c>
      <c r="J201" s="38"/>
      <c r="K201" s="53" t="s">
        <v>24</v>
      </c>
      <c r="L201" s="53" t="s">
        <v>27</v>
      </c>
      <c r="M201" s="204" t="s">
        <v>791</v>
      </c>
      <c r="N201" s="53" t="s">
        <v>792</v>
      </c>
      <c r="O201" s="156">
        <v>0</v>
      </c>
      <c r="P201" s="53"/>
      <c r="Q201" s="209"/>
      <c r="R201" s="38" t="s">
        <v>201</v>
      </c>
      <c r="S201" s="38"/>
      <c r="T201" s="38"/>
      <c r="W201" s="15" t="str">
        <f>IF(IFERROR(VLOOKUP($M201,'IMPORT GS-Tür OL FL 2S2 20'!$H$2:$H$847,1,0),"-")="-","","GS")</f>
        <v/>
      </c>
      <c r="Y201" s="53" t="s">
        <v>793</v>
      </c>
      <c r="Z201" s="59" t="str">
        <f>IF(OR($M201="",NOT($O201="{array}")),"",IFERROR(MATCH(PARAMETERS!$M201,DEFAULT!$B$5:$CG$5,0),""))</f>
        <v/>
      </c>
      <c r="AA201" s="56" t="str">
        <f t="shared" si="18"/>
        <v/>
      </c>
      <c r="AB201" s="63" t="str">
        <f>IF(AND(OR($A201="G",$A201="P"),NOT($O201="{array}")),IF(VLOOKUP($K201,base!$B$2:$D$20,3,0)="S",IF(OR($O201="",ISTEXT($O201)),"","STRING!"),IF(VLOOKUP($K201,base!$B$2:$D$20,3,0)="","",IF(ISTEXT($O201),"NUMERIC!",""))),"")</f>
        <v/>
      </c>
      <c r="AC201" s="17" t="str">
        <f>IF($AA201="","",IF($B201="I",VLOOKUP($AA201,#REF!,53,0),INDEX(VALUES!$B$1:$BR$1,1,$AA201)))</f>
        <v/>
      </c>
    </row>
    <row r="202" spans="1:29" hidden="1" outlineLevel="1" x14ac:dyDescent="0.3">
      <c r="A202" s="22" t="s">
        <v>84</v>
      </c>
      <c r="B202" s="41" t="str">
        <f t="shared" si="15"/>
        <v/>
      </c>
      <c r="C202" s="42">
        <f t="shared" si="19"/>
        <v>201</v>
      </c>
      <c r="D202" s="38"/>
      <c r="E202" s="38"/>
      <c r="F202" s="38"/>
      <c r="G202" s="38"/>
      <c r="H202" s="38"/>
      <c r="I202" s="38" t="s">
        <v>9</v>
      </c>
      <c r="J202" s="38"/>
      <c r="K202" s="53" t="s">
        <v>24</v>
      </c>
      <c r="L202" s="53" t="s">
        <v>27</v>
      </c>
      <c r="M202" s="204" t="s">
        <v>794</v>
      </c>
      <c r="N202" s="53" t="s">
        <v>795</v>
      </c>
      <c r="O202" s="156">
        <v>0</v>
      </c>
      <c r="P202" s="53"/>
      <c r="Q202" s="209"/>
      <c r="R202" s="38" t="s">
        <v>201</v>
      </c>
      <c r="S202" s="38"/>
      <c r="T202" s="38"/>
      <c r="W202" s="15" t="str">
        <f>IF(IFERROR(VLOOKUP($M202,'IMPORT GS-Tür OL FL 2S2 20'!$H$2:$H$847,1,0),"-")="-","","GS")</f>
        <v/>
      </c>
      <c r="Y202" s="53" t="s">
        <v>793</v>
      </c>
      <c r="Z202" s="59" t="str">
        <f>IF(OR($M202="",NOT($O202="{array}")),"",IFERROR(MATCH(PARAMETERS!$M202,DEFAULT!$B$5:$CG$5,0),""))</f>
        <v/>
      </c>
      <c r="AA202" s="56" t="str">
        <f t="shared" si="18"/>
        <v/>
      </c>
      <c r="AB202" s="63" t="str">
        <f>IF(AND(OR($A202="G",$A202="P"),NOT($O202="{array}")),IF(VLOOKUP($K202,base!$B$2:$D$20,3,0)="S",IF(OR($O202="",ISTEXT($O202)),"","STRING!"),IF(VLOOKUP($K202,base!$B$2:$D$20,3,0)="","",IF(ISTEXT($O202),"NUMERIC!",""))),"")</f>
        <v/>
      </c>
      <c r="AC202" s="17" t="str">
        <f>IF($AA202="","",IF($B202="I",VLOOKUP($AA202,#REF!,53,0),INDEX(VALUES!$B$1:$BR$1,1,$AA202)))</f>
        <v/>
      </c>
    </row>
    <row r="203" spans="1:29" hidden="1" outlineLevel="1" x14ac:dyDescent="0.3">
      <c r="A203" s="22" t="s">
        <v>84</v>
      </c>
      <c r="B203" s="41" t="str">
        <f>IF($A203="P",IF(NOT($Z203=""),"A",IF(NOT($AA203=""),"I","")),IF(NOT($AA203=""),IF($A203="G","V","X"),IF(NOT($Z203=""),"A","")))</f>
        <v/>
      </c>
      <c r="C203" s="42">
        <f t="shared" si="19"/>
        <v>202</v>
      </c>
      <c r="D203" s="38"/>
      <c r="E203" s="38"/>
      <c r="F203" s="38" t="s">
        <v>9</v>
      </c>
      <c r="G203" s="38"/>
      <c r="H203" s="38"/>
      <c r="I203" s="38" t="s">
        <v>9</v>
      </c>
      <c r="J203" s="38"/>
      <c r="K203" s="14" t="s">
        <v>24</v>
      </c>
      <c r="L203" s="14" t="s">
        <v>27</v>
      </c>
      <c r="M203" s="152" t="s">
        <v>803</v>
      </c>
      <c r="N203" s="14" t="s">
        <v>804</v>
      </c>
      <c r="O203" s="43">
        <v>0.1</v>
      </c>
      <c r="R203" s="38" t="s">
        <v>104</v>
      </c>
      <c r="S203" s="38"/>
      <c r="T203" s="38"/>
      <c r="W203" s="15" t="str">
        <f>IF(IFERROR(VLOOKUP($M203,'IMPORT GS-Tür OL FL 2S2 20'!$H$2:$H$847,1,0),"-")="-","","GS")</f>
        <v>GS</v>
      </c>
      <c r="Z203" s="59" t="str">
        <f>IF(OR($M203="",NOT($O203="{array}")),"",IFERROR(MATCH(PARAMETERS!$M203,DEFAULT!$B$5:$CG$5,0),""))</f>
        <v/>
      </c>
      <c r="AA203" s="56" t="str">
        <f t="shared" si="18"/>
        <v/>
      </c>
      <c r="AB203" s="63" t="str">
        <f>IF(AND(OR($A203="G",$A203="P"),NOT($O203="{array}")),IF(VLOOKUP($K203,base!$B$2:$D$20,3,0)="S",IF(OR($O203="",ISTEXT($O203)),"","STRING!"),IF(VLOOKUP($K203,base!$B$2:$D$20,3,0)="","",IF(ISTEXT($O203),"NUMERIC!",""))),"")</f>
        <v/>
      </c>
      <c r="AC203" s="17" t="str">
        <f>IF($AA203="","",IF($B203="I",VLOOKUP($AA203,#REF!,53,0),INDEX(VALUES!$B$1:$BR$1,1,$AA203)))</f>
        <v/>
      </c>
    </row>
    <row r="204" spans="1:29" hidden="1" outlineLevel="1" x14ac:dyDescent="0.3">
      <c r="A204" s="22" t="s">
        <v>84</v>
      </c>
      <c r="B204" s="41" t="str">
        <f>IF($A204="P",IF(NOT($Z204=""),"A",IF(NOT($AA204=""),"I","")),IF(NOT($AA204=""),IF($A204="G","V","X"),IF(NOT($Z204=""),"A","")))</f>
        <v/>
      </c>
      <c r="C204" s="42">
        <f t="shared" si="19"/>
        <v>203</v>
      </c>
      <c r="D204" s="38"/>
      <c r="E204" s="38"/>
      <c r="F204" s="38" t="s">
        <v>9</v>
      </c>
      <c r="G204" s="38"/>
      <c r="H204" s="38"/>
      <c r="I204" s="38" t="s">
        <v>9</v>
      </c>
      <c r="J204" s="38"/>
      <c r="K204" s="14" t="s">
        <v>24</v>
      </c>
      <c r="L204" s="14" t="s">
        <v>27</v>
      </c>
      <c r="M204" s="152" t="s">
        <v>807</v>
      </c>
      <c r="N204" s="14" t="s">
        <v>808</v>
      </c>
      <c r="O204" s="43">
        <v>0.1</v>
      </c>
      <c r="R204" s="38" t="s">
        <v>104</v>
      </c>
      <c r="S204" s="38"/>
      <c r="T204" s="38"/>
      <c r="W204" s="15" t="str">
        <f>IF(IFERROR(VLOOKUP($M204,'IMPORT GS-Tür OL FL 2S2 20'!$H$2:$H$847,1,0),"-")="-","","GS")</f>
        <v>GS</v>
      </c>
      <c r="Z204" s="59" t="str">
        <f>IF(OR($M204="",NOT($O204="{array}")),"",IFERROR(MATCH(PARAMETERS!$M204,DEFAULT!$B$5:$CG$5,0),""))</f>
        <v/>
      </c>
      <c r="AA204" s="56" t="str">
        <f t="shared" si="18"/>
        <v/>
      </c>
      <c r="AB204" s="63" t="str">
        <f>IF(AND(OR($A204="G",$A204="P"),NOT($O204="{array}")),IF(VLOOKUP($K204,base!$B$2:$D$20,3,0)="S",IF(OR($O204="",ISTEXT($O204)),"","STRING!"),IF(VLOOKUP($K204,base!$B$2:$D$20,3,0)="","",IF(ISTEXT($O204),"NUMERIC!",""))),"")</f>
        <v/>
      </c>
      <c r="AC204" s="17" t="str">
        <f>IF($AA204="","",IF($B204="I",VLOOKUP($AA204,#REF!,53,0),INDEX(VALUES!$B$1:$BR$1,1,$AA204)))</f>
        <v/>
      </c>
    </row>
    <row r="205" spans="1:29" hidden="1" outlineLevel="1" x14ac:dyDescent="0.3">
      <c r="A205" s="22" t="s">
        <v>84</v>
      </c>
      <c r="B205" s="41" t="str">
        <f>IF($A205="P",IF(NOT($Z205=""),"A",IF(NOT($AA205=""),"I","")),IF(NOT($AA205=""),IF($A205="G","V","X"),IF(NOT($Z205=""),"A","")))</f>
        <v/>
      </c>
      <c r="C205" s="42">
        <f t="shared" si="19"/>
        <v>204</v>
      </c>
      <c r="D205" s="38"/>
      <c r="E205" s="38"/>
      <c r="F205" s="38"/>
      <c r="G205" s="38"/>
      <c r="H205" s="38"/>
      <c r="I205" s="38" t="s">
        <v>9</v>
      </c>
      <c r="J205" s="38"/>
      <c r="K205" s="14" t="s">
        <v>24</v>
      </c>
      <c r="L205" s="14" t="s">
        <v>27</v>
      </c>
      <c r="M205" s="152" t="s">
        <v>805</v>
      </c>
      <c r="N205" s="14" t="s">
        <v>806</v>
      </c>
      <c r="O205" s="43">
        <v>0.1</v>
      </c>
      <c r="R205" s="38" t="s">
        <v>104</v>
      </c>
      <c r="S205" s="38"/>
      <c r="T205" s="38"/>
      <c r="W205" s="15" t="str">
        <f>IF(IFERROR(VLOOKUP($M205,'IMPORT GS-Tür OL FL 2S2 20'!$H$2:$H$847,1,0),"-")="-","","GS")</f>
        <v>GS</v>
      </c>
      <c r="Z205" s="59" t="str">
        <f>IF(OR($M205="",NOT($O205="{array}")),"",IFERROR(MATCH(PARAMETERS!$M205,DEFAULT!$B$5:$CG$5,0),""))</f>
        <v/>
      </c>
      <c r="AA205" s="56" t="str">
        <f t="shared" si="9"/>
        <v/>
      </c>
      <c r="AB205" s="63" t="str">
        <f>IF(AND(OR($A205="G",$A205="P"),NOT($O205="{array}")),IF(VLOOKUP($K205,base!$B$2:$D$20,3,0)="S",IF(OR($O205="",ISTEXT($O205)),"","STRING!"),IF(VLOOKUP($K205,base!$B$2:$D$20,3,0)="","",IF(ISTEXT($O205),"NUMERIC!",""))),"")</f>
        <v/>
      </c>
      <c r="AC205" s="17" t="str">
        <f>IF($AA205="","",IF($B205="I",VLOOKUP($AA205,#REF!,53,0),INDEX(VALUES!$B$1:$BR$1,1,$AA205)))</f>
        <v/>
      </c>
    </row>
    <row r="206" spans="1:29" hidden="1" outlineLevel="1" x14ac:dyDescent="0.3">
      <c r="A206" s="22" t="s">
        <v>84</v>
      </c>
      <c r="B206" s="41" t="str">
        <f>IF($A206="P",IF(NOT($Z206=""),"A",IF(NOT($AA206=""),"I","")),IF(NOT($AA206=""),IF($A206="G","V","X"),IF(NOT($Z206=""),"A","")))</f>
        <v/>
      </c>
      <c r="C206" s="42">
        <f t="shared" si="19"/>
        <v>205</v>
      </c>
      <c r="D206" s="38"/>
      <c r="E206" s="38"/>
      <c r="F206" s="38"/>
      <c r="G206" s="38"/>
      <c r="H206" s="38"/>
      <c r="I206" s="38" t="s">
        <v>9</v>
      </c>
      <c r="J206" s="38"/>
      <c r="K206" s="14" t="s">
        <v>24</v>
      </c>
      <c r="L206" s="14" t="s">
        <v>27</v>
      </c>
      <c r="M206" s="152" t="s">
        <v>809</v>
      </c>
      <c r="N206" s="14" t="s">
        <v>810</v>
      </c>
      <c r="O206" s="43">
        <v>0.1</v>
      </c>
      <c r="R206" s="38" t="s">
        <v>104</v>
      </c>
      <c r="S206" s="38"/>
      <c r="T206" s="38"/>
      <c r="W206" s="15" t="str">
        <f>IF(IFERROR(VLOOKUP($M206,'IMPORT GS-Tür OL FL 2S2 20'!$H$2:$H$847,1,0),"-")="-","","GS")</f>
        <v>GS</v>
      </c>
      <c r="Z206" s="59" t="str">
        <f>IF(OR($M206="",NOT($O206="{array}")),"",IFERROR(MATCH(PARAMETERS!$M206,DEFAULT!$B$5:$CG$5,0),""))</f>
        <v/>
      </c>
      <c r="AA206" s="56" t="str">
        <f t="shared" si="9"/>
        <v/>
      </c>
      <c r="AB206" s="63" t="str">
        <f>IF(AND(OR($A206="G",$A206="P"),NOT($O206="{array}")),IF(VLOOKUP($K206,base!$B$2:$D$20,3,0)="S",IF(OR($O206="",ISTEXT($O206)),"","STRING!"),IF(VLOOKUP($K206,base!$B$2:$D$20,3,0)="","",IF(ISTEXT($O206),"NUMERIC!",""))),"")</f>
        <v/>
      </c>
      <c r="AC206" s="17" t="str">
        <f>IF($AA206="","",IF($B206="I",VLOOKUP($AA206,#REF!,53,0),INDEX(VALUES!$B$1:$BR$1,1,$AA206)))</f>
        <v/>
      </c>
    </row>
    <row r="207" spans="1:29" collapsed="1" x14ac:dyDescent="0.3">
      <c r="A207" s="22" t="s">
        <v>84</v>
      </c>
      <c r="B207" s="41" t="str">
        <f t="shared" ref="B207:B284" si="20">IF($A207="P",IF(NOT($Z207=""),"A",IF(NOT($AA207=""),"I","")),IF(NOT($AA207=""),IF($A207="G","V","X"),IF(NOT($Z207=""),"A","")))</f>
        <v/>
      </c>
      <c r="C207" s="42">
        <f t="shared" ref="C207:C264" si="21">(ROW()-1)</f>
        <v>206</v>
      </c>
      <c r="D207" s="38"/>
      <c r="E207" s="38"/>
      <c r="F207" s="38"/>
      <c r="G207" s="38"/>
      <c r="H207" s="38"/>
      <c r="I207" s="38"/>
      <c r="J207" s="38"/>
      <c r="K207" s="14" t="s">
        <v>57</v>
      </c>
      <c r="L207" s="14" t="s">
        <v>38</v>
      </c>
      <c r="M207" s="48" t="s">
        <v>870</v>
      </c>
      <c r="N207" s="41" t="s">
        <v>871</v>
      </c>
      <c r="R207" s="38" t="s">
        <v>103</v>
      </c>
      <c r="S207" s="38"/>
      <c r="T207" s="38"/>
      <c r="W207" s="15" t="str">
        <f>IF(IFERROR(VLOOKUP($M207,'IMPORT GS-Tür OL FL 2S2 20'!$H$2:$H$847,1,0),"-")="-","","GS")</f>
        <v/>
      </c>
      <c r="Z207" s="59" t="str">
        <f>IF(OR($M207="",NOT($O207="{array}")),"",IFERROR(MATCH(PARAMETERS!$M207,DEFAULT!$B$5:$CG$5,0),""))</f>
        <v/>
      </c>
      <c r="AA207" s="56" t="str">
        <f t="shared" ref="AA207:AA294" si="22">IF($M207="","",IFERROR(MATCH($M207,VALUESnames,0),""))</f>
        <v/>
      </c>
      <c r="AB207" s="63" t="str">
        <f>IF(AND(OR($A207="G",$A207="P"),NOT($O207="{array}")),IF(VLOOKUP($K207,base!$B$2:$D$20,3,0)="S",IF(OR($O207="",ISTEXT($O207)),"","STRING!"),IF(VLOOKUP($K207,base!$B$2:$D$20,3,0)="","",IF(ISTEXT($O207),"NUMERIC!",""))),"")</f>
        <v/>
      </c>
      <c r="AC207" s="17" t="str">
        <f>IF($AA207="","",IF($B207="I",VLOOKUP($AA207,#REF!,53,0),INDEX(VALUES!$B$1:$BR$1,1,$AA207)))</f>
        <v/>
      </c>
    </row>
    <row r="208" spans="1:29" hidden="1" outlineLevel="1" x14ac:dyDescent="0.3">
      <c r="A208" s="22" t="s">
        <v>84</v>
      </c>
      <c r="B208" s="41" t="str">
        <f t="shared" si="20"/>
        <v>V</v>
      </c>
      <c r="C208" s="42">
        <f t="shared" si="21"/>
        <v>207</v>
      </c>
      <c r="D208" s="38"/>
      <c r="E208" s="38"/>
      <c r="F208" s="38"/>
      <c r="G208" s="38"/>
      <c r="H208" s="38"/>
      <c r="I208" s="38" t="s">
        <v>9</v>
      </c>
      <c r="J208" s="38"/>
      <c r="K208" s="160" t="s">
        <v>18</v>
      </c>
      <c r="L208" s="168" t="s">
        <v>21</v>
      </c>
      <c r="M208" s="254" t="s">
        <v>2042</v>
      </c>
      <c r="N208" s="167" t="s">
        <v>872</v>
      </c>
      <c r="O208" s="167" t="s">
        <v>34</v>
      </c>
      <c r="P208" s="161" t="s">
        <v>270</v>
      </c>
      <c r="Q208" s="172"/>
      <c r="R208" s="172" t="s">
        <v>103</v>
      </c>
      <c r="S208" s="172" t="s">
        <v>112</v>
      </c>
      <c r="T208" s="167" t="s">
        <v>270</v>
      </c>
      <c r="U208" s="167" t="s">
        <v>270</v>
      </c>
      <c r="V208" s="167" t="s">
        <v>872</v>
      </c>
      <c r="W208" s="15" t="str">
        <f>IF(IFERROR(VLOOKUP($M208,'IMPORT GS-Tür OL FL 2S2 20'!$H$2:$H$847,1,0),"-")="-","","GS")</f>
        <v/>
      </c>
      <c r="X208" s="161" t="s">
        <v>270</v>
      </c>
      <c r="Y208" s="167" t="s">
        <v>873</v>
      </c>
      <c r="Z208" s="59" t="str">
        <f>IF(OR($M208="",NOT($O208="{array}")),"",IFERROR(MATCH(PARAMETERS!$M208,DEFAULT!$B$5:$CG$5,0),""))</f>
        <v/>
      </c>
      <c r="AA208" s="56">
        <f t="shared" si="22"/>
        <v>1</v>
      </c>
      <c r="AB208" s="63" t="str">
        <f>IF(AND(OR($A208="G",$A208="P"),NOT($O208="{array}")),IF(VLOOKUP($K208,base!$B$2:$D$20,3,0)="S",IF(OR($O208="",ISTEXT($O208)),"","STRING!"),IF(VLOOKUP($K208,base!$B$2:$D$20,3,0)="","",IF(ISTEXT($O208),"NUMERIC!",""))),"")</f>
        <v/>
      </c>
      <c r="AC208" s="17" t="str">
        <f>IF($AA208="","",IF($B208="I",VLOOKUP($AA208,#REF!,53,0),INDEX(VALUES!$B$1:$BR$1,1,$AA208)))</f>
        <v>- | O2 | O3 | E2 | E3 | PA | FB | U2 | ...</v>
      </c>
    </row>
    <row r="209" spans="1:29" hidden="1" outlineLevel="1" x14ac:dyDescent="0.3">
      <c r="A209" s="22" t="s">
        <v>84</v>
      </c>
      <c r="B209" s="41" t="str">
        <f t="shared" si="20"/>
        <v/>
      </c>
      <c r="C209" s="42">
        <f t="shared" si="21"/>
        <v>208</v>
      </c>
      <c r="D209" s="38"/>
      <c r="E209" s="38"/>
      <c r="F209" s="38"/>
      <c r="G209" s="38"/>
      <c r="H209" s="38"/>
      <c r="I209" s="38" t="s">
        <v>9</v>
      </c>
      <c r="J209" s="38"/>
      <c r="K209" s="160" t="s">
        <v>18</v>
      </c>
      <c r="L209" s="168" t="s">
        <v>21</v>
      </c>
      <c r="M209" s="254" t="s">
        <v>2040</v>
      </c>
      <c r="N209" s="160" t="s">
        <v>2039</v>
      </c>
      <c r="O209" s="167" t="s">
        <v>270</v>
      </c>
      <c r="P209" s="161" t="s">
        <v>270</v>
      </c>
      <c r="Q209" s="179" t="s">
        <v>9</v>
      </c>
      <c r="R209" s="172" t="s">
        <v>103</v>
      </c>
      <c r="S209" s="172" t="s">
        <v>112</v>
      </c>
      <c r="T209" s="167" t="s">
        <v>270</v>
      </c>
      <c r="U209" s="167" t="s">
        <v>270</v>
      </c>
      <c r="V209" s="167"/>
      <c r="W209" s="15" t="str">
        <f>IF(IFERROR(VLOOKUP($M209,'IMPORT GS-Tür OL FL 2S2 20'!$H$2:$H$847,1,0),"-")="-","","GS")</f>
        <v/>
      </c>
      <c r="X209" s="161" t="s">
        <v>270</v>
      </c>
      <c r="Y209" s="167" t="s">
        <v>270</v>
      </c>
      <c r="Z209" s="59" t="str">
        <f>IF(OR($M209="",NOT($O209="{array}")),"",IFERROR(MATCH(PARAMETERS!$M209,DEFAULT!$B$5:$CG$5,0),""))</f>
        <v/>
      </c>
      <c r="AA209" s="56" t="str">
        <f t="shared" si="22"/>
        <v/>
      </c>
      <c r="AB209" s="63" t="str">
        <f>IF(AND(OR($A209="G",$A209="P"),NOT($O209="{array}")),IF(VLOOKUP($K209,base!$B$2:$D$20,3,0)="S",IF(OR($O209="",ISTEXT($O209)),"","STRING!"),IF(VLOOKUP($K209,base!$B$2:$D$20,3,0)="","",IF(ISTEXT($O209),"NUMERIC!",""))),"")</f>
        <v/>
      </c>
      <c r="AC209" s="17" t="str">
        <f>IF($AA209="","",IF($B209="I",VLOOKUP($AA209,#REF!,53,0),INDEX(VALUES!$B$1:$BR$1,1,$AA209)))</f>
        <v/>
      </c>
    </row>
    <row r="210" spans="1:29" hidden="1" outlineLevel="1" x14ac:dyDescent="0.3">
      <c r="A210" s="22" t="s">
        <v>84</v>
      </c>
      <c r="B210" s="41" t="str">
        <f t="shared" si="20"/>
        <v/>
      </c>
      <c r="C210" s="42">
        <f t="shared" si="21"/>
        <v>209</v>
      </c>
      <c r="D210" s="38"/>
      <c r="E210" s="38"/>
      <c r="F210" s="38"/>
      <c r="G210" s="38"/>
      <c r="H210" s="38"/>
      <c r="I210" s="38" t="s">
        <v>9</v>
      </c>
      <c r="J210" s="38"/>
      <c r="K210" s="160" t="s">
        <v>18</v>
      </c>
      <c r="L210" s="168" t="s">
        <v>21</v>
      </c>
      <c r="M210" s="254" t="s">
        <v>2041</v>
      </c>
      <c r="N210" s="167" t="s">
        <v>885</v>
      </c>
      <c r="O210" s="167" t="s">
        <v>270</v>
      </c>
      <c r="P210" s="161" t="s">
        <v>270</v>
      </c>
      <c r="Q210" s="179" t="s">
        <v>9</v>
      </c>
      <c r="R210" s="172" t="s">
        <v>103</v>
      </c>
      <c r="S210" s="172" t="s">
        <v>112</v>
      </c>
      <c r="T210" s="167" t="s">
        <v>270</v>
      </c>
      <c r="U210" s="167" t="s">
        <v>270</v>
      </c>
      <c r="V210" s="167" t="s">
        <v>885</v>
      </c>
      <c r="W210" s="15" t="str">
        <f>IF(IFERROR(VLOOKUP($M210,'IMPORT GS-Tür OL FL 2S2 20'!$H$2:$H$847,1,0),"-")="-","","GS")</f>
        <v/>
      </c>
      <c r="X210" s="161" t="s">
        <v>270</v>
      </c>
      <c r="Y210" s="167" t="s">
        <v>270</v>
      </c>
      <c r="Z210" s="59" t="str">
        <f>IF(OR($M210="",NOT($O210="{array}")),"",IFERROR(MATCH(PARAMETERS!$M210,DEFAULT!$B$5:$CG$5,0),""))</f>
        <v/>
      </c>
      <c r="AA210" s="56" t="str">
        <f t="shared" si="22"/>
        <v/>
      </c>
      <c r="AB210" s="63" t="str">
        <f>IF(AND(OR($A210="G",$A210="P"),NOT($O210="{array}")),IF(VLOOKUP($K210,base!$B$2:$D$20,3,0)="S",IF(OR($O210="",ISTEXT($O210)),"","STRING!"),IF(VLOOKUP($K210,base!$B$2:$D$20,3,0)="","",IF(ISTEXT($O210),"NUMERIC!",""))),"")</f>
        <v/>
      </c>
      <c r="AC210" s="17" t="str">
        <f>IF($AA210="","",IF($B210="I",VLOOKUP($AA210,#REF!,53,0),INDEX(VALUES!$B$1:$BR$1,1,$AA210)))</f>
        <v/>
      </c>
    </row>
    <row r="211" spans="1:29" hidden="1" outlineLevel="1" x14ac:dyDescent="0.3">
      <c r="A211" s="22" t="s">
        <v>84</v>
      </c>
      <c r="B211" s="41" t="str">
        <f t="shared" si="20"/>
        <v>V</v>
      </c>
      <c r="C211" s="42">
        <f t="shared" si="21"/>
        <v>210</v>
      </c>
      <c r="D211" s="38"/>
      <c r="E211" s="38"/>
      <c r="F211" s="38"/>
      <c r="G211" s="38"/>
      <c r="H211" s="38"/>
      <c r="I211" s="38" t="s">
        <v>9</v>
      </c>
      <c r="J211" s="38"/>
      <c r="K211" s="160" t="s">
        <v>18</v>
      </c>
      <c r="L211" s="168" t="s">
        <v>21</v>
      </c>
      <c r="M211" s="254" t="s">
        <v>2096</v>
      </c>
      <c r="N211" s="167" t="s">
        <v>2097</v>
      </c>
      <c r="O211" s="167" t="s">
        <v>270</v>
      </c>
      <c r="P211" s="161" t="s">
        <v>270</v>
      </c>
      <c r="Q211" s="179" t="s">
        <v>9</v>
      </c>
      <c r="R211" s="172" t="s">
        <v>103</v>
      </c>
      <c r="S211" s="172" t="s">
        <v>112</v>
      </c>
      <c r="T211" s="167" t="s">
        <v>270</v>
      </c>
      <c r="U211" s="167" t="s">
        <v>270</v>
      </c>
      <c r="V211" s="167"/>
      <c r="W211" s="15"/>
      <c r="X211" s="161"/>
      <c r="Y211" s="167"/>
      <c r="Z211" s="59" t="str">
        <f>IF(OR($M211="",NOT($O211="{array}")),"",IFERROR(MATCH(PARAMETERS!$M211,DEFAULT!$B$5:$CG$5,0),""))</f>
        <v/>
      </c>
      <c r="AA211" s="56">
        <f t="shared" si="22"/>
        <v>3</v>
      </c>
      <c r="AB211" s="63" t="str">
        <f>IF(AND(OR($A211="G",$A211="P"),NOT($O211="{array}")),IF(VLOOKUP($K211,base!$B$2:$D$20,3,0)="S",IF(OR($O211="",ISTEXT($O211)),"","STRING!"),IF(VLOOKUP($K211,base!$B$2:$D$20,3,0)="","",IF(ISTEXT($O211),"NUMERIC!",""))),"")</f>
        <v/>
      </c>
      <c r="AC211" s="17" t="str">
        <f>IF($AA211="","",IF($B211="I",VLOOKUP($AA211,#REF!,53,0),INDEX(VALUES!$B$1:$BR$1,1,$AA211)))</f>
        <v>- | BO | AG | GS | SW | BA | XX</v>
      </c>
    </row>
    <row r="212" spans="1:29" hidden="1" outlineLevel="1" x14ac:dyDescent="0.3">
      <c r="A212" s="22" t="s">
        <v>84</v>
      </c>
      <c r="B212" s="41" t="str">
        <f t="shared" si="20"/>
        <v>V</v>
      </c>
      <c r="C212" s="42">
        <f t="shared" si="21"/>
        <v>211</v>
      </c>
      <c r="D212" s="38"/>
      <c r="E212" s="38"/>
      <c r="F212" s="38"/>
      <c r="G212" s="38"/>
      <c r="H212" s="38"/>
      <c r="I212" s="38" t="s">
        <v>9</v>
      </c>
      <c r="J212" s="38"/>
      <c r="K212" s="160" t="s">
        <v>18</v>
      </c>
      <c r="L212" s="168" t="s">
        <v>21</v>
      </c>
      <c r="M212" s="254" t="s">
        <v>2044</v>
      </c>
      <c r="N212" s="167" t="s">
        <v>874</v>
      </c>
      <c r="O212" s="167" t="s">
        <v>2065</v>
      </c>
      <c r="P212" s="161" t="s">
        <v>270</v>
      </c>
      <c r="Q212" s="179" t="s">
        <v>9</v>
      </c>
      <c r="R212" s="172" t="s">
        <v>103</v>
      </c>
      <c r="S212" s="172" t="s">
        <v>112</v>
      </c>
      <c r="T212" s="167" t="s">
        <v>270</v>
      </c>
      <c r="U212" s="167" t="s">
        <v>270</v>
      </c>
      <c r="V212" s="167" t="s">
        <v>874</v>
      </c>
      <c r="W212" s="15" t="str">
        <f>IF(IFERROR(VLOOKUP($M212,'IMPORT GS-Tür OL FL 2S2 20'!$H$2:$H$847,1,0),"-")="-","","GS")</f>
        <v/>
      </c>
      <c r="X212" s="161" t="s">
        <v>270</v>
      </c>
      <c r="Y212" s="167" t="s">
        <v>875</v>
      </c>
      <c r="Z212" s="59" t="str">
        <f>IF(OR($M212="",NOT($O212="{array}")),"",IFERROR(MATCH(PARAMETERS!$M212,DEFAULT!$B$5:$CG$5,0),""))</f>
        <v/>
      </c>
      <c r="AA212" s="56">
        <f t="shared" si="22"/>
        <v>5</v>
      </c>
      <c r="AB212" s="63" t="str">
        <f>IF(AND(OR($A212="G",$A212="P"),NOT($O212="{array}")),IF(VLOOKUP($K212,base!$B$2:$D$20,3,0)="S",IF(OR($O212="",ISTEXT($O212)),"","STRING!"),IF(VLOOKUP($K212,base!$B$2:$D$20,3,0)="","",IF(ISTEXT($O212),"NUMERIC!",""))),"")</f>
        <v/>
      </c>
      <c r="AC212" s="17" t="str">
        <f>IF($AA212="","",IF($B212="I",VLOOKUP($AA212,#REF!,53,0),INDEX(VALUES!$B$1:$BR$1,1,$AA212)))</f>
        <v xml:space="preserve">  | ST | ES | AL | XX</v>
      </c>
    </row>
    <row r="213" spans="1:29" hidden="1" outlineLevel="1" x14ac:dyDescent="0.3">
      <c r="A213" s="22" t="s">
        <v>84</v>
      </c>
      <c r="B213" s="41" t="str">
        <f t="shared" si="20"/>
        <v>V</v>
      </c>
      <c r="C213" s="42">
        <f t="shared" si="21"/>
        <v>212</v>
      </c>
      <c r="D213" s="38"/>
      <c r="E213" s="38"/>
      <c r="F213" s="38"/>
      <c r="G213" s="38"/>
      <c r="H213" s="38"/>
      <c r="I213" s="38" t="s">
        <v>9</v>
      </c>
      <c r="J213" s="38"/>
      <c r="K213" s="160" t="s">
        <v>18</v>
      </c>
      <c r="L213" s="168" t="s">
        <v>21</v>
      </c>
      <c r="M213" s="254" t="s">
        <v>2048</v>
      </c>
      <c r="N213" s="160" t="s">
        <v>882</v>
      </c>
      <c r="O213" s="167" t="s">
        <v>48</v>
      </c>
      <c r="P213" s="161" t="s">
        <v>270</v>
      </c>
      <c r="Q213" s="179" t="s">
        <v>9</v>
      </c>
      <c r="R213" s="172" t="s">
        <v>103</v>
      </c>
      <c r="S213" s="172" t="s">
        <v>112</v>
      </c>
      <c r="T213" s="167" t="s">
        <v>270</v>
      </c>
      <c r="U213" s="167" t="s">
        <v>270</v>
      </c>
      <c r="V213" s="167"/>
      <c r="W213" s="15"/>
      <c r="X213" s="161"/>
      <c r="Y213" s="167"/>
      <c r="Z213" s="59" t="str">
        <f>IF(OR($M213="",NOT($O213="{array}")),"",IFERROR(MATCH(PARAMETERS!$M213,DEFAULT!$B$5:$CG$5,0),""))</f>
        <v/>
      </c>
      <c r="AA213" s="56">
        <f t="shared" si="22"/>
        <v>7</v>
      </c>
      <c r="AB213" s="63" t="str">
        <f>IF(AND(OR($A213="G",$A213="P"),NOT($O213="{array}")),IF(VLOOKUP($K213,base!$B$2:$D$20,3,0)="S",IF(OR($O213="",ISTEXT($O213)),"","STRING!"),IF(VLOOKUP($K213,base!$B$2:$D$20,3,0)="","",IF(ISTEXT($O213),"NUMERIC!",""))),"")</f>
        <v/>
      </c>
      <c r="AC213" s="17" t="str">
        <f>IF($AA213="","",IF($B213="I",VLOOKUP($AA213,#REF!,53,0),INDEX(VALUES!$B$1:$BR$1,1,$AA213)))</f>
        <v xml:space="preserve">  | - | B | S | T | P | N | L | ...</v>
      </c>
    </row>
    <row r="214" spans="1:29" hidden="1" outlineLevel="1" x14ac:dyDescent="0.3">
      <c r="A214" s="22" t="s">
        <v>84</v>
      </c>
      <c r="B214" s="41" t="str">
        <f t="shared" si="20"/>
        <v>V</v>
      </c>
      <c r="C214" s="42">
        <f t="shared" si="21"/>
        <v>213</v>
      </c>
      <c r="D214" s="38"/>
      <c r="E214" s="38"/>
      <c r="F214" s="38"/>
      <c r="G214" s="38"/>
      <c r="H214" s="38"/>
      <c r="I214" s="38" t="s">
        <v>9</v>
      </c>
      <c r="J214" s="38"/>
      <c r="K214" s="160" t="s">
        <v>18</v>
      </c>
      <c r="L214" s="168" t="s">
        <v>21</v>
      </c>
      <c r="M214" s="243" t="s">
        <v>2045</v>
      </c>
      <c r="N214" s="167" t="s">
        <v>876</v>
      </c>
      <c r="O214" s="167" t="s">
        <v>2080</v>
      </c>
      <c r="P214" s="161" t="s">
        <v>270</v>
      </c>
      <c r="Q214" s="179"/>
      <c r="R214" s="172" t="s">
        <v>103</v>
      </c>
      <c r="S214" s="172" t="s">
        <v>112</v>
      </c>
      <c r="T214" s="167" t="s">
        <v>270</v>
      </c>
      <c r="U214" s="167" t="s">
        <v>270</v>
      </c>
      <c r="V214" s="167" t="s">
        <v>876</v>
      </c>
      <c r="W214" s="15" t="str">
        <f>IF(IFERROR(VLOOKUP($M214,'IMPORT GS-Tür OL FL 2S2 20'!$H$2:$H$847,1,0),"-")="-","","GS")</f>
        <v/>
      </c>
      <c r="X214" s="161" t="s">
        <v>270</v>
      </c>
      <c r="Y214" s="167" t="s">
        <v>877</v>
      </c>
      <c r="Z214" s="59" t="str">
        <f>IF(OR($M214="",NOT($O214="{array}")),"",IFERROR(MATCH(PARAMETERS!$M214,DEFAULT!$B$5:$CG$5,0),""))</f>
        <v/>
      </c>
      <c r="AA214" s="56">
        <f t="shared" si="22"/>
        <v>9</v>
      </c>
      <c r="AB214" s="63" t="str">
        <f>IF(AND(OR($A214="G",$A214="P"),NOT($O214="{array}")),IF(VLOOKUP($K214,base!$B$2:$D$20,3,0)="S",IF(OR($O214="",ISTEXT($O214)),"","STRING!"),IF(VLOOKUP($K214,base!$B$2:$D$20,3,0)="","",IF(ISTEXT($O214),"NUMERIC!",""))),"")</f>
        <v/>
      </c>
      <c r="AC214" s="17" t="str">
        <f>IF($AA214="","",IF($B214="I",VLOOKUP($AA214,#REF!,53,0),INDEX(VALUES!$B$1:$BR$1,1,$AA214)))</f>
        <v>- | 2D | 3D</v>
      </c>
    </row>
    <row r="215" spans="1:29" hidden="1" outlineLevel="1" x14ac:dyDescent="0.3">
      <c r="A215" s="22" t="s">
        <v>84</v>
      </c>
      <c r="B215" s="41" t="str">
        <f t="shared" si="20"/>
        <v>V</v>
      </c>
      <c r="C215" s="42">
        <f t="shared" si="21"/>
        <v>214</v>
      </c>
      <c r="D215" s="38"/>
      <c r="E215" s="38"/>
      <c r="F215" s="38"/>
      <c r="G215" s="38"/>
      <c r="H215" s="38"/>
      <c r="I215" s="38" t="s">
        <v>9</v>
      </c>
      <c r="J215" s="38"/>
      <c r="K215" s="160" t="s">
        <v>44</v>
      </c>
      <c r="L215" s="53" t="s">
        <v>27</v>
      </c>
      <c r="M215" s="243" t="s">
        <v>2046</v>
      </c>
      <c r="N215" s="167" t="s">
        <v>878</v>
      </c>
      <c r="O215" s="167">
        <v>2</v>
      </c>
      <c r="P215" s="161" t="s">
        <v>270</v>
      </c>
      <c r="Q215" s="179"/>
      <c r="R215" s="172" t="s">
        <v>103</v>
      </c>
      <c r="S215" s="172" t="s">
        <v>112</v>
      </c>
      <c r="T215" s="167" t="s">
        <v>270</v>
      </c>
      <c r="U215" s="167" t="s">
        <v>270</v>
      </c>
      <c r="V215" s="167" t="s">
        <v>878</v>
      </c>
      <c r="W215" s="15" t="str">
        <f>IF(IFERROR(VLOOKUP($M215,'IMPORT GS-Tür OL FL 2S2 20'!$H$2:$H$847,1,0),"-")="-","","GS")</f>
        <v/>
      </c>
      <c r="X215" s="161" t="s">
        <v>270</v>
      </c>
      <c r="Y215" s="167" t="s">
        <v>879</v>
      </c>
      <c r="Z215" s="59" t="str">
        <f>IF(OR($M215="",NOT($O215="{array}")),"",IFERROR(MATCH(PARAMETERS!$M215,DEFAULT!$B$5:$CG$5,0),""))</f>
        <v/>
      </c>
      <c r="AA215" s="56">
        <f t="shared" si="22"/>
        <v>10</v>
      </c>
      <c r="AB215" s="63" t="str">
        <f>IF(AND(OR($A215="G",$A215="P"),NOT($O215="{array}")),IF(VLOOKUP($K215,base!$B$2:$D$20,3,0)="S",IF(OR($O215="",ISTEXT($O215)),"","STRING!"),IF(VLOOKUP($K215,base!$B$2:$D$20,3,0)="","",IF(ISTEXT($O215),"NUMERIC!",""))),"")</f>
        <v/>
      </c>
      <c r="AC215" s="17" t="str">
        <f>IF($AA215="","",IF($B215="I",VLOOKUP($AA215,#REF!,53,0),INDEX(VALUES!$B$1:$BR$1,1,$AA215)))</f>
        <v>2 | 3 | 4</v>
      </c>
    </row>
    <row r="216" spans="1:29" hidden="1" outlineLevel="1" x14ac:dyDescent="0.3">
      <c r="A216" s="22" t="s">
        <v>84</v>
      </c>
      <c r="B216" s="41" t="str">
        <f t="shared" si="20"/>
        <v>V</v>
      </c>
      <c r="C216" s="42">
        <f t="shared" si="21"/>
        <v>215</v>
      </c>
      <c r="D216" s="38"/>
      <c r="E216" s="38"/>
      <c r="F216" s="38"/>
      <c r="G216" s="38"/>
      <c r="H216" s="38"/>
      <c r="I216" s="38" t="s">
        <v>9</v>
      </c>
      <c r="J216" s="38"/>
      <c r="K216" s="160" t="s">
        <v>24</v>
      </c>
      <c r="L216" s="53" t="s">
        <v>27</v>
      </c>
      <c r="M216" s="243" t="s">
        <v>2047</v>
      </c>
      <c r="N216" s="167" t="s">
        <v>2043</v>
      </c>
      <c r="O216" s="167">
        <v>0.02</v>
      </c>
      <c r="P216" s="161" t="s">
        <v>270</v>
      </c>
      <c r="Q216" s="179" t="s">
        <v>9</v>
      </c>
      <c r="R216" s="172" t="s">
        <v>103</v>
      </c>
      <c r="S216" s="172" t="s">
        <v>112</v>
      </c>
      <c r="T216" s="167" t="s">
        <v>270</v>
      </c>
      <c r="U216" s="167" t="s">
        <v>270</v>
      </c>
      <c r="V216" s="167"/>
      <c r="W216" s="15"/>
      <c r="X216" s="161"/>
      <c r="Y216" s="167"/>
      <c r="Z216" s="59" t="str">
        <f>IF(OR($M216="",NOT($O216="{array}")),"",IFERROR(MATCH(PARAMETERS!$M216,DEFAULT!$B$5:$CG$5,0),""))</f>
        <v/>
      </c>
      <c r="AA216" s="56">
        <f t="shared" si="22"/>
        <v>11</v>
      </c>
      <c r="AB216" s="63" t="str">
        <f>IF(AND(OR($A216="G",$A216="P"),NOT($O216="{array}")),IF(VLOOKUP($K216,base!$B$2:$D$20,3,0)="S",IF(OR($O216="",ISTEXT($O216)),"","STRING!"),IF(VLOOKUP($K216,base!$B$2:$D$20,3,0)="","",IF(ISTEXT($O216),"NUMERIC!",""))),"")</f>
        <v/>
      </c>
      <c r="AC216" s="17" t="str">
        <f>IF($AA216="","",IF($B216="I",VLOOKUP($AA216,#REF!,53,0),INDEX(VALUES!$B$1:$BR$1,1,$AA216)))</f>
        <v>0,015 | 0,018 | 0,02 | 0,021 | 0,022</v>
      </c>
    </row>
    <row r="217" spans="1:29" hidden="1" outlineLevel="1" x14ac:dyDescent="0.3">
      <c r="A217" s="22" t="s">
        <v>84</v>
      </c>
      <c r="B217" s="41" t="str">
        <f t="shared" si="20"/>
        <v/>
      </c>
      <c r="C217" s="42">
        <f t="shared" si="21"/>
        <v>216</v>
      </c>
      <c r="D217" s="38"/>
      <c r="E217" s="38"/>
      <c r="F217" s="38"/>
      <c r="G217" s="38"/>
      <c r="H217" s="38"/>
      <c r="I217" s="38" t="s">
        <v>9</v>
      </c>
      <c r="J217" s="38"/>
      <c r="K217" s="160" t="s">
        <v>47</v>
      </c>
      <c r="L217" s="53" t="s">
        <v>27</v>
      </c>
      <c r="M217" s="254" t="s">
        <v>2225</v>
      </c>
      <c r="N217" s="160" t="s">
        <v>2226</v>
      </c>
      <c r="O217" s="167">
        <v>1</v>
      </c>
      <c r="P217" s="161" t="s">
        <v>270</v>
      </c>
      <c r="Q217" s="179"/>
      <c r="R217" s="172" t="s">
        <v>201</v>
      </c>
      <c r="S217" s="172" t="s">
        <v>112</v>
      </c>
      <c r="T217" s="167" t="s">
        <v>270</v>
      </c>
      <c r="U217" s="167" t="s">
        <v>270</v>
      </c>
      <c r="X217" s="14"/>
      <c r="Z217" s="59" t="str">
        <f>IF(OR($M217="",NOT($O217="{array}")),"",IFERROR(MATCH(PARAMETERS!$M217,DEFAULT!$B$5:$CG$5,0),""))</f>
        <v/>
      </c>
      <c r="AA217" s="56" t="str">
        <f t="shared" si="22"/>
        <v/>
      </c>
      <c r="AB217" s="63" t="str">
        <f>IF(AND(OR($A217="G",$A217="P"),NOT($O217="{array}")),IF(VLOOKUP($K217,base!$B$2:$D$20,3,0)="S",IF(OR($O217="",ISTEXT($O217)),"","STRING!"),IF(VLOOKUP($K217,base!$B$2:$D$20,3,0)="","",IF(ISTEXT($O217),"NUMERIC!",""))),"")</f>
        <v/>
      </c>
      <c r="AC217" s="17" t="str">
        <f>IF($AA217="","",IF($B217="I",VLOOKUP($AA217,#REF!,53,0),INDEX(VALUES!$B$1:$BR$1,1,$AA217)))</f>
        <v/>
      </c>
    </row>
    <row r="218" spans="1:29" hidden="1" outlineLevel="1" x14ac:dyDescent="0.3">
      <c r="A218" s="22" t="s">
        <v>84</v>
      </c>
      <c r="B218" s="41" t="str">
        <f t="shared" si="20"/>
        <v>V</v>
      </c>
      <c r="C218" s="42">
        <f t="shared" si="21"/>
        <v>217</v>
      </c>
      <c r="D218" s="38"/>
      <c r="E218" s="38"/>
      <c r="F218" s="38"/>
      <c r="G218" s="38"/>
      <c r="H218" s="38"/>
      <c r="I218" s="38" t="s">
        <v>9</v>
      </c>
      <c r="J218" s="38"/>
      <c r="K218" s="160" t="s">
        <v>24</v>
      </c>
      <c r="L218" s="53" t="s">
        <v>27</v>
      </c>
      <c r="M218" s="254" t="s">
        <v>2223</v>
      </c>
      <c r="N218" s="160" t="s">
        <v>2227</v>
      </c>
      <c r="O218" s="167">
        <v>0.23699999999999999</v>
      </c>
      <c r="P218" s="161" t="s">
        <v>270</v>
      </c>
      <c r="Q218" s="179" t="s">
        <v>9</v>
      </c>
      <c r="R218" s="172" t="s">
        <v>201</v>
      </c>
      <c r="S218" s="172" t="s">
        <v>112</v>
      </c>
      <c r="T218" s="167" t="s">
        <v>270</v>
      </c>
      <c r="U218" s="167" t="s">
        <v>270</v>
      </c>
      <c r="X218" s="14"/>
      <c r="Z218" s="59" t="str">
        <f>IF(OR($M218="",NOT($O218="{array}")),"",IFERROR(MATCH(PARAMETERS!$M218,DEFAULT!$B$5:$CG$5,0),""))</f>
        <v/>
      </c>
      <c r="AA218" s="56">
        <f t="shared" si="22"/>
        <v>17</v>
      </c>
      <c r="AB218" s="63" t="str">
        <f>IF(AND(OR($A218="G",$A218="P"),NOT($O218="{array}")),IF(VLOOKUP($K218,base!$B$2:$D$20,3,0)="S",IF(OR($O218="",ISTEXT($O218)),"","STRING!"),IF(VLOOKUP($K218,base!$B$2:$D$20,3,0)="","",IF(ISTEXT($O218),"NUMERIC!",""))),"")</f>
        <v/>
      </c>
      <c r="AC218" s="17" t="str">
        <f>IF($AA218="","",IF($B218="I",VLOOKUP($AA218,#REF!,53,0),INDEX(VALUES!$B$1:$BR$1,1,$AA218)))</f>
        <v>0,237</v>
      </c>
    </row>
    <row r="219" spans="1:29" hidden="1" outlineLevel="1" x14ac:dyDescent="0.3">
      <c r="A219" s="22" t="s">
        <v>84</v>
      </c>
      <c r="B219" s="41" t="str">
        <f t="shared" si="20"/>
        <v>V</v>
      </c>
      <c r="C219" s="42">
        <f t="shared" si="21"/>
        <v>218</v>
      </c>
      <c r="D219" s="38"/>
      <c r="E219" s="38"/>
      <c r="F219" s="38"/>
      <c r="G219" s="38"/>
      <c r="H219" s="38"/>
      <c r="I219" s="38" t="s">
        <v>9</v>
      </c>
      <c r="J219" s="38"/>
      <c r="K219" s="160" t="s">
        <v>24</v>
      </c>
      <c r="L219" s="53" t="s">
        <v>27</v>
      </c>
      <c r="M219" s="254" t="s">
        <v>2224</v>
      </c>
      <c r="N219" s="160" t="s">
        <v>2228</v>
      </c>
      <c r="O219" s="167">
        <v>1.4390000000000001</v>
      </c>
      <c r="P219" s="161" t="s">
        <v>270</v>
      </c>
      <c r="Q219" s="179" t="s">
        <v>9</v>
      </c>
      <c r="R219" s="172" t="s">
        <v>201</v>
      </c>
      <c r="S219" s="172" t="s">
        <v>112</v>
      </c>
      <c r="T219" s="167" t="s">
        <v>270</v>
      </c>
      <c r="U219" s="167" t="s">
        <v>270</v>
      </c>
      <c r="X219" s="14"/>
      <c r="Z219" s="59" t="str">
        <f>IF(OR($M219="",NOT($O219="{array}")),"",IFERROR(MATCH(PARAMETERS!$M219,DEFAULT!$B$5:$CG$5,0),""))</f>
        <v/>
      </c>
      <c r="AA219" s="56">
        <f t="shared" si="22"/>
        <v>18</v>
      </c>
      <c r="AB219" s="63" t="str">
        <f>IF(AND(OR($A219="G",$A219="P"),NOT($O219="{array}")),IF(VLOOKUP($K219,base!$B$2:$D$20,3,0)="S",IF(OR($O219="",ISTEXT($O219)),"","STRING!"),IF(VLOOKUP($K219,base!$B$2:$D$20,3,0)="","",IF(ISTEXT($O219),"NUMERIC!",""))),"")</f>
        <v/>
      </c>
      <c r="AC219" s="17" t="str">
        <f>IF($AA219="","",IF($B219="I",VLOOKUP($AA219,#REF!,53,0),INDEX(VALUES!$B$1:$BR$1,1,$AA219)))</f>
        <v>1,185 | 1,31 | 1,435 | 1,56 | 1,685 | 1,81 | 1,935 | 2,06 | ...</v>
      </c>
    </row>
    <row r="220" spans="1:29" hidden="1" outlineLevel="1" x14ac:dyDescent="0.3">
      <c r="A220" s="22" t="s">
        <v>84</v>
      </c>
      <c r="B220" s="41" t="str">
        <f t="shared" si="20"/>
        <v>V</v>
      </c>
      <c r="C220" s="42">
        <f t="shared" si="21"/>
        <v>219</v>
      </c>
      <c r="D220" s="38"/>
      <c r="E220" s="38"/>
      <c r="F220" s="38"/>
      <c r="G220" s="38"/>
      <c r="H220" s="38"/>
      <c r="I220" s="38" t="s">
        <v>9</v>
      </c>
      <c r="J220" s="38"/>
      <c r="K220" s="160" t="s">
        <v>24</v>
      </c>
      <c r="L220" s="53" t="s">
        <v>27</v>
      </c>
      <c r="M220" s="254" t="s">
        <v>2093</v>
      </c>
      <c r="N220" s="160" t="s">
        <v>2081</v>
      </c>
      <c r="O220" s="167">
        <v>0.35</v>
      </c>
      <c r="P220" s="161" t="s">
        <v>270</v>
      </c>
      <c r="Q220" s="179" t="s">
        <v>9</v>
      </c>
      <c r="R220" s="172" t="s">
        <v>103</v>
      </c>
      <c r="S220" s="172" t="s">
        <v>112</v>
      </c>
      <c r="T220" s="167" t="s">
        <v>270</v>
      </c>
      <c r="U220" s="167" t="s">
        <v>270</v>
      </c>
      <c r="X220" s="14"/>
      <c r="Z220" s="59" t="str">
        <f>IF(OR($M220="",NOT($O220="{array}")),"",IFERROR(MATCH(PARAMETERS!$M220,DEFAULT!$B$5:$CG$5,0),""))</f>
        <v/>
      </c>
      <c r="AA220" s="56">
        <f t="shared" si="22"/>
        <v>19</v>
      </c>
      <c r="AB220" s="63" t="str">
        <f>IF(AND(OR($A220="G",$A220="P"),NOT($O220="{array}")),IF(VLOOKUP($K220,base!$B$2:$D$20,3,0)="S",IF(OR($O220="",ISTEXT($O220)),"","STRING!"),IF(VLOOKUP($K220,base!$B$2:$D$20,3,0)="","",IF(ISTEXT($O220),"NUMERIC!",""))),"")</f>
        <v/>
      </c>
      <c r="AC220" s="17" t="str">
        <f>IF($AA220="","",IF($B220="I",VLOOKUP($AA220,#REF!,53,0),INDEX(VALUES!$B$1:$BR$1,1,$AA220)))</f>
        <v>0,35</v>
      </c>
    </row>
    <row r="221" spans="1:29" hidden="1" outlineLevel="1" x14ac:dyDescent="0.3">
      <c r="A221" s="22" t="s">
        <v>84</v>
      </c>
      <c r="B221" s="41" t="str">
        <f t="shared" si="20"/>
        <v>V</v>
      </c>
      <c r="C221" s="42">
        <f t="shared" si="21"/>
        <v>220</v>
      </c>
      <c r="D221" s="38"/>
      <c r="E221" s="38"/>
      <c r="F221" s="38"/>
      <c r="G221" s="38"/>
      <c r="H221" s="38"/>
      <c r="I221" s="38" t="s">
        <v>9</v>
      </c>
      <c r="J221" s="38"/>
      <c r="K221" s="160" t="s">
        <v>24</v>
      </c>
      <c r="L221" s="53" t="s">
        <v>27</v>
      </c>
      <c r="M221" s="254" t="s">
        <v>2094</v>
      </c>
      <c r="N221" s="160" t="s">
        <v>2095</v>
      </c>
      <c r="O221" s="167">
        <v>0.35</v>
      </c>
      <c r="P221" s="161" t="s">
        <v>270</v>
      </c>
      <c r="Q221" s="179" t="s">
        <v>9</v>
      </c>
      <c r="R221" s="172" t="s">
        <v>103</v>
      </c>
      <c r="S221" s="172" t="s">
        <v>112</v>
      </c>
      <c r="T221" s="167" t="s">
        <v>270</v>
      </c>
      <c r="U221" s="167" t="s">
        <v>270</v>
      </c>
      <c r="X221" s="14"/>
      <c r="Z221" s="59" t="str">
        <f>IF(OR($M221="",NOT($O221="{array}")),"",IFERROR(MATCH(PARAMETERS!$M221,DEFAULT!$B$5:$CG$5,0),""))</f>
        <v/>
      </c>
      <c r="AA221" s="56">
        <f t="shared" si="22"/>
        <v>20</v>
      </c>
      <c r="AB221" s="63" t="str">
        <f>IF(AND(OR($A221="G",$A221="P"),NOT($O221="{array}")),IF(VLOOKUP($K221,base!$B$2:$D$20,3,0)="S",IF(OR($O221="",ISTEXT($O221)),"","STRING!"),IF(VLOOKUP($K221,base!$B$2:$D$20,3,0)="","",IF(ISTEXT($O221),"NUMERIC!",""))),"")</f>
        <v/>
      </c>
      <c r="AC221" s="17" t="str">
        <f>IF($AA221="","",IF($B221="I",VLOOKUP($AA221,#REF!,53,0),INDEX(VALUES!$B$1:$BR$1,1,$AA221)))</f>
        <v>0,35</v>
      </c>
    </row>
    <row r="222" spans="1:29" hidden="1" outlineLevel="1" x14ac:dyDescent="0.3">
      <c r="A222" s="22" t="s">
        <v>84</v>
      </c>
      <c r="B222" s="41" t="str">
        <f t="shared" si="20"/>
        <v>V</v>
      </c>
      <c r="C222" s="42">
        <f t="shared" si="21"/>
        <v>221</v>
      </c>
      <c r="D222" s="38"/>
      <c r="E222" s="38"/>
      <c r="F222" s="38"/>
      <c r="G222" s="38"/>
      <c r="H222" s="38"/>
      <c r="I222" s="38" t="s">
        <v>9</v>
      </c>
      <c r="J222" s="38"/>
      <c r="K222" s="160" t="s">
        <v>24</v>
      </c>
      <c r="L222" s="53" t="s">
        <v>27</v>
      </c>
      <c r="M222" s="243" t="s">
        <v>2049</v>
      </c>
      <c r="N222" s="160" t="s">
        <v>2050</v>
      </c>
      <c r="O222" s="167">
        <v>0.12</v>
      </c>
      <c r="P222" s="161" t="s">
        <v>270</v>
      </c>
      <c r="Q222" s="179" t="s">
        <v>9</v>
      </c>
      <c r="R222" s="172" t="s">
        <v>103</v>
      </c>
      <c r="S222" s="172" t="s">
        <v>112</v>
      </c>
      <c r="T222" s="167" t="s">
        <v>270</v>
      </c>
      <c r="U222" s="167" t="s">
        <v>270</v>
      </c>
      <c r="V222" s="167"/>
      <c r="W222" s="15"/>
      <c r="X222" s="161"/>
      <c r="Y222" s="167"/>
      <c r="Z222" s="59" t="str">
        <f>IF(OR($M222="",NOT($O222="{array}")),"",IFERROR(MATCH(PARAMETERS!$M222,DEFAULT!$B$5:$CG$5,0),""))</f>
        <v/>
      </c>
      <c r="AA222" s="56">
        <f t="shared" si="22"/>
        <v>12</v>
      </c>
      <c r="AB222" s="63" t="str">
        <f>IF(AND(OR($A222="G",$A222="P"),NOT($O222="{array}")),IF(VLOOKUP($K222,base!$B$2:$D$20,3,0)="S",IF(OR($O222="",ISTEXT($O222)),"","STRING!"),IF(VLOOKUP($K222,base!$B$2:$D$20,3,0)="","",IF(ISTEXT($O222),"NUMERIC!",""))),"")</f>
        <v/>
      </c>
      <c r="AC222" s="17" t="str">
        <f>IF($AA222="","",IF($B222="I",VLOOKUP($AA222,#REF!,53,0),INDEX(VALUES!$B$1:$BR$1,1,$AA222)))</f>
        <v>0,095 | 0,103 | 0,12 | 0,148 | 0,16</v>
      </c>
    </row>
    <row r="223" spans="1:29" hidden="1" outlineLevel="1" x14ac:dyDescent="0.3">
      <c r="A223" s="22" t="s">
        <v>84</v>
      </c>
      <c r="B223" s="41" t="str">
        <f t="shared" si="20"/>
        <v/>
      </c>
      <c r="C223" s="42">
        <f t="shared" si="21"/>
        <v>222</v>
      </c>
      <c r="D223" s="38"/>
      <c r="E223" s="38"/>
      <c r="F223" s="38"/>
      <c r="G223" s="38"/>
      <c r="H223" s="38"/>
      <c r="I223" s="38" t="s">
        <v>9</v>
      </c>
      <c r="J223" s="38"/>
      <c r="K223" s="160" t="s">
        <v>44</v>
      </c>
      <c r="L223" s="53" t="s">
        <v>27</v>
      </c>
      <c r="M223" s="243" t="s">
        <v>2051</v>
      </c>
      <c r="N223" s="167" t="s">
        <v>883</v>
      </c>
      <c r="O223" s="167">
        <v>0</v>
      </c>
      <c r="P223" s="161" t="s">
        <v>270</v>
      </c>
      <c r="Q223" s="179" t="s">
        <v>9</v>
      </c>
      <c r="R223" s="172" t="s">
        <v>103</v>
      </c>
      <c r="S223" s="172" t="s">
        <v>112</v>
      </c>
      <c r="T223" s="167" t="s">
        <v>270</v>
      </c>
      <c r="U223" s="167" t="s">
        <v>270</v>
      </c>
      <c r="V223" s="167" t="s">
        <v>883</v>
      </c>
      <c r="W223" s="15" t="str">
        <f>IF(IFERROR(VLOOKUP($M224,'IMPORT GS-Tür OL FL 2S2 20'!$H$2:$H$847,1,0),"-")="-","","GS")</f>
        <v/>
      </c>
      <c r="X223" s="161" t="s">
        <v>270</v>
      </c>
      <c r="Y223" s="167" t="s">
        <v>884</v>
      </c>
      <c r="Z223" s="59" t="str">
        <f>IF(OR($M223="",NOT($O223="{array}")),"",IFERROR(MATCH(PARAMETERS!$M223,DEFAULT!$B$5:$CG$5,0),""))</f>
        <v/>
      </c>
      <c r="AA223" s="56" t="str">
        <f t="shared" si="22"/>
        <v/>
      </c>
      <c r="AB223" s="63" t="str">
        <f>IF(AND(OR($A223="G",$A223="P"),NOT($O223="{array}")),IF(VLOOKUP($K223,base!$B$2:$D$20,3,0)="S",IF(OR($O223="",ISTEXT($O223)),"","STRING!"),IF(VLOOKUP($K223,base!$B$2:$D$20,3,0)="","",IF(ISTEXT($O223),"NUMERIC!",""))),"")</f>
        <v/>
      </c>
      <c r="AC223" s="17" t="str">
        <f>IF($AA223="","",IF($B223="I",VLOOKUP($AA223,#REF!,53,0),INDEX(VALUES!$B$1:$BR$1,1,$AA223)))</f>
        <v/>
      </c>
    </row>
    <row r="224" spans="1:29" hidden="1" outlineLevel="1" x14ac:dyDescent="0.3">
      <c r="A224" s="22" t="s">
        <v>84</v>
      </c>
      <c r="B224" s="41" t="str">
        <f t="shared" si="20"/>
        <v>V</v>
      </c>
      <c r="C224" s="42">
        <f t="shared" si="21"/>
        <v>223</v>
      </c>
      <c r="D224" s="38"/>
      <c r="E224" s="38"/>
      <c r="F224" s="38"/>
      <c r="G224" s="38"/>
      <c r="H224" s="38"/>
      <c r="I224" s="38" t="s">
        <v>9</v>
      </c>
      <c r="J224" s="38"/>
      <c r="K224" s="160" t="s">
        <v>24</v>
      </c>
      <c r="L224" s="53" t="s">
        <v>27</v>
      </c>
      <c r="M224" s="243" t="s">
        <v>2053</v>
      </c>
      <c r="N224" s="160" t="s">
        <v>2052</v>
      </c>
      <c r="O224" s="167">
        <v>0.05</v>
      </c>
      <c r="P224" s="161" t="s">
        <v>270</v>
      </c>
      <c r="Q224" s="179" t="s">
        <v>9</v>
      </c>
      <c r="R224" s="172" t="s">
        <v>103</v>
      </c>
      <c r="S224" s="172" t="s">
        <v>112</v>
      </c>
      <c r="T224" s="167" t="s">
        <v>270</v>
      </c>
      <c r="U224" s="167" t="s">
        <v>270</v>
      </c>
      <c r="V224" s="14" t="s">
        <v>2082</v>
      </c>
      <c r="X224" s="14"/>
      <c r="Z224" s="59" t="str">
        <f>IF(OR($M224="",NOT($O224="{array}")),"",IFERROR(MATCH(PARAMETERS!$M224,DEFAULT!$B$5:$CG$5,0),""))</f>
        <v/>
      </c>
      <c r="AA224" s="56">
        <f t="shared" si="22"/>
        <v>13</v>
      </c>
      <c r="AB224" s="63" t="str">
        <f>IF(AND(OR($A224="G",$A224="P"),NOT($O224="{array}")),IF(VLOOKUP($K224,base!$B$2:$D$20,3,0)="S",IF(OR($O224="",ISTEXT($O224)),"","STRING!"),IF(VLOOKUP($K224,base!$B$2:$D$20,3,0)="","",IF(ISTEXT($O224),"NUMERIC!",""))),"")</f>
        <v/>
      </c>
      <c r="AC224" s="17" t="str">
        <f>IF($AA224="","",IF($B224="I",VLOOKUP($AA224,#REF!,53,0),INDEX(VALUES!$B$1:$BR$1,1,$AA224)))</f>
        <v>0,04 | 0,06</v>
      </c>
    </row>
    <row r="225" spans="1:29" hidden="1" outlineLevel="1" x14ac:dyDescent="0.3">
      <c r="A225" s="22" t="s">
        <v>84</v>
      </c>
      <c r="B225" s="41" t="str">
        <f t="shared" si="20"/>
        <v>V</v>
      </c>
      <c r="C225" s="42">
        <f t="shared" si="21"/>
        <v>224</v>
      </c>
      <c r="D225" s="38"/>
      <c r="E225" s="38"/>
      <c r="F225" s="38"/>
      <c r="G225" s="38"/>
      <c r="H225" s="38"/>
      <c r="I225" s="38" t="s">
        <v>9</v>
      </c>
      <c r="J225" s="38"/>
      <c r="K225" s="160" t="s">
        <v>24</v>
      </c>
      <c r="L225" s="53" t="s">
        <v>27</v>
      </c>
      <c r="M225" s="243" t="s">
        <v>2055</v>
      </c>
      <c r="N225" s="160" t="s">
        <v>2054</v>
      </c>
      <c r="O225" s="167">
        <v>0.03</v>
      </c>
      <c r="P225" s="161" t="s">
        <v>270</v>
      </c>
      <c r="Q225" s="179" t="s">
        <v>9</v>
      </c>
      <c r="R225" s="172" t="s">
        <v>103</v>
      </c>
      <c r="S225" s="172" t="s">
        <v>112</v>
      </c>
      <c r="T225" s="167" t="s">
        <v>270</v>
      </c>
      <c r="U225" s="167" t="s">
        <v>270</v>
      </c>
      <c r="V225" s="14" t="s">
        <v>2082</v>
      </c>
      <c r="W225" s="15" t="str">
        <f>IF(IFERROR(VLOOKUP($M225,'IMPORT GS-Tür OL FL 2S2 20'!$H$2:$H$847,1,0),"-")="-","","GS")</f>
        <v/>
      </c>
      <c r="X225" s="161" t="s">
        <v>270</v>
      </c>
      <c r="Y225" s="167" t="s">
        <v>270</v>
      </c>
      <c r="Z225" s="59" t="str">
        <f>IF(OR($M225="",NOT($O225="{array}")),"",IFERROR(MATCH(PARAMETERS!$M225,DEFAULT!$B$5:$CG$5,0),""))</f>
        <v/>
      </c>
      <c r="AA225" s="56">
        <f t="shared" si="22"/>
        <v>14</v>
      </c>
      <c r="AB225" s="63" t="str">
        <f>IF(AND(OR($A225="G",$A225="P"),NOT($O225="{array}")),IF(VLOOKUP($K225,base!$B$2:$D$20,3,0)="S",IF(OR($O225="",ISTEXT($O225)),"","STRING!"),IF(VLOOKUP($K225,base!$B$2:$D$20,3,0)="","",IF(ISTEXT($O225),"NUMERIC!",""))),"")</f>
        <v/>
      </c>
      <c r="AC225" s="17" t="str">
        <f>IF($AA225="","",IF($B225="I",VLOOKUP($AA225,#REF!,53,0),INDEX(VALUES!$B$1:$BR$1,1,$AA225)))</f>
        <v>0,04 | 0,05</v>
      </c>
    </row>
    <row r="226" spans="1:29" hidden="1" outlineLevel="1" x14ac:dyDescent="0.25">
      <c r="A226" s="22" t="s">
        <v>84</v>
      </c>
      <c r="B226" s="41" t="str">
        <f t="shared" si="20"/>
        <v>V</v>
      </c>
      <c r="C226" s="42">
        <f t="shared" si="21"/>
        <v>225</v>
      </c>
      <c r="D226" s="38"/>
      <c r="E226" s="38"/>
      <c r="F226" s="38"/>
      <c r="G226" s="38"/>
      <c r="H226" s="38"/>
      <c r="I226" s="38" t="s">
        <v>9</v>
      </c>
      <c r="J226" s="38"/>
      <c r="K226" s="53" t="s">
        <v>24</v>
      </c>
      <c r="L226" s="53" t="s">
        <v>27</v>
      </c>
      <c r="M226" s="255" t="s">
        <v>886</v>
      </c>
      <c r="N226" s="53" t="s">
        <v>887</v>
      </c>
      <c r="O226" s="156">
        <v>0</v>
      </c>
      <c r="P226" s="53"/>
      <c r="Q226" s="172" t="s">
        <v>9</v>
      </c>
      <c r="R226" s="38" t="s">
        <v>201</v>
      </c>
      <c r="S226" s="38"/>
      <c r="T226" s="38"/>
      <c r="V226" s="167" t="s">
        <v>880</v>
      </c>
      <c r="W226" s="15" t="str">
        <f>IF(IFERROR(VLOOKUP($M220,'IMPORT GS-Tür OL FL 2S2 20'!$H$2:$H$847,1,0),"-")="-","","GS")</f>
        <v/>
      </c>
      <c r="X226" s="161" t="s">
        <v>270</v>
      </c>
      <c r="Y226" s="167" t="s">
        <v>881</v>
      </c>
      <c r="Z226" s="59" t="str">
        <f>IF(OR($M226="",NOT($O226="{array}")),"",IFERROR(MATCH(PARAMETERS!$M226,DEFAULT!$B$5:$CG$5,0),""))</f>
        <v/>
      </c>
      <c r="AA226" s="56">
        <f t="shared" si="22"/>
        <v>15</v>
      </c>
      <c r="AB226" s="63" t="str">
        <f>IF(AND(OR($A226="G",$A226="P"),NOT($O226="{array}")),IF(VLOOKUP($K226,base!$B$2:$D$20,3,0)="S",IF(OR($O226="",ISTEXT($O226)),"","STRING!"),IF(VLOOKUP($K226,base!$B$2:$D$20,3,0)="","",IF(ISTEXT($O226),"NUMERIC!",""))),"")</f>
        <v/>
      </c>
      <c r="AC226" s="17" t="str">
        <f>IF($AA226="","",IF($B226="I",VLOOKUP($AA226,#REF!,53,0),INDEX(VALUES!$B$1:$BR$1,1,$AA226)))</f>
        <v>0,0205 | 0,0285</v>
      </c>
    </row>
    <row r="227" spans="1:29" hidden="1" outlineLevel="1" x14ac:dyDescent="0.25">
      <c r="A227" s="22" t="s">
        <v>84</v>
      </c>
      <c r="B227" s="41" t="str">
        <f t="shared" si="20"/>
        <v>V</v>
      </c>
      <c r="C227" s="42">
        <f t="shared" si="21"/>
        <v>226</v>
      </c>
      <c r="D227" s="38"/>
      <c r="E227" s="38"/>
      <c r="F227" s="38"/>
      <c r="G227" s="38"/>
      <c r="H227" s="38"/>
      <c r="I227" s="38" t="s">
        <v>9</v>
      </c>
      <c r="J227" s="38"/>
      <c r="K227" s="53" t="s">
        <v>24</v>
      </c>
      <c r="L227" s="53" t="s">
        <v>27</v>
      </c>
      <c r="M227" s="255" t="s">
        <v>888</v>
      </c>
      <c r="N227" s="53" t="s">
        <v>889</v>
      </c>
      <c r="O227" s="156">
        <v>1.7999999999999999E-2</v>
      </c>
      <c r="P227" s="53"/>
      <c r="Q227" s="172" t="s">
        <v>9</v>
      </c>
      <c r="R227" s="38" t="s">
        <v>201</v>
      </c>
      <c r="S227" s="38"/>
      <c r="T227" s="38"/>
      <c r="V227" s="167" t="s">
        <v>880</v>
      </c>
      <c r="W227" s="15" t="str">
        <f>IF(IFERROR(VLOOKUP($M222,'IMPORT GS-Tür OL FL 2S2 20'!$H$2:$H$847,1,0),"-")="-","","GS")</f>
        <v/>
      </c>
      <c r="X227" s="161" t="s">
        <v>270</v>
      </c>
      <c r="Y227" s="167" t="s">
        <v>881</v>
      </c>
      <c r="Z227" s="59" t="str">
        <f>IF(OR($M227="",NOT($O227="{array}")),"",IFERROR(MATCH(PARAMETERS!$M227,DEFAULT!$B$5:$CG$5,0),""))</f>
        <v/>
      </c>
      <c r="AA227" s="56">
        <f t="shared" si="22"/>
        <v>16</v>
      </c>
      <c r="AB227" s="63" t="str">
        <f>IF(AND(OR($A227="G",$A227="P"),NOT($O227="{array}")),IF(VLOOKUP($K227,base!$B$2:$D$20,3,0)="S",IF(OR($O227="",ISTEXT($O227)),"","STRING!"),IF(VLOOKUP($K227,base!$B$2:$D$20,3,0)="","",IF(ISTEXT($O227),"NUMERIC!",""))),"")</f>
        <v/>
      </c>
      <c r="AC227" s="17" t="str">
        <f>IF($AA227="","",IF($B227="I",VLOOKUP($AA227,#REF!,53,0),INDEX(VALUES!$B$1:$BR$1,1,$AA227)))</f>
        <v>0,012 | 0,013</v>
      </c>
    </row>
    <row r="228" spans="1:29" hidden="1" outlineLevel="1" x14ac:dyDescent="0.25">
      <c r="A228" s="22"/>
      <c r="B228" s="41" t="str">
        <f t="shared" si="20"/>
        <v>A</v>
      </c>
      <c r="C228" s="252">
        <f t="shared" si="21"/>
        <v>227</v>
      </c>
      <c r="D228" s="244"/>
      <c r="E228" s="244"/>
      <c r="F228" s="244"/>
      <c r="G228" s="244"/>
      <c r="H228" s="244"/>
      <c r="I228" s="244" t="s">
        <v>9</v>
      </c>
      <c r="J228" s="244"/>
      <c r="K228" s="245" t="s">
        <v>24</v>
      </c>
      <c r="L228" s="245" t="s">
        <v>27</v>
      </c>
      <c r="M228" s="253" t="s">
        <v>2089</v>
      </c>
      <c r="N228" s="245" t="s">
        <v>2090</v>
      </c>
      <c r="O228" s="246" t="s">
        <v>33</v>
      </c>
      <c r="P228" s="245"/>
      <c r="Q228" s="247"/>
      <c r="R228" s="244" t="s">
        <v>201</v>
      </c>
      <c r="S228" s="244"/>
      <c r="T228" s="244"/>
      <c r="U228" s="248"/>
      <c r="V228" s="249"/>
      <c r="W228" s="250" t="str">
        <f>IF(IFERROR(VLOOKUP($M223,'IMPORT GS-Tür OL FL 2S2 20'!$H$2:$H$847,1,0),"-")="-","","GS")</f>
        <v/>
      </c>
      <c r="X228" s="251" t="s">
        <v>270</v>
      </c>
      <c r="Y228" s="249"/>
      <c r="Z228" s="59">
        <f>IF(OR($M228="",NOT($O228="{array}")),"",IFERROR(MATCH(PARAMETERS!$M228,DEFAULT!$B$5:$CG$5,0),""))</f>
        <v>5</v>
      </c>
      <c r="AA228" s="56" t="str">
        <f t="shared" si="22"/>
        <v/>
      </c>
      <c r="AB228" s="63" t="str">
        <f>IF(AND(OR($A228="G",$A228="P"),NOT($O228="{array}")),IF(VLOOKUP($K228,base!$B$2:$D$20,3,0)="S",IF(OR($O228="",ISTEXT($O228)),"","STRING!"),IF(VLOOKUP($K228,base!$B$2:$D$20,3,0)="","",IF(ISTEXT($O228),"NUMERIC!",""))),"")</f>
        <v/>
      </c>
      <c r="AC228" s="17" t="str">
        <f>IF($AA228="","",IF($B228="I",VLOOKUP($AA228,#REF!,53,0),INDEX(VALUES!$B$1:$BR$1,1,$AA228)))</f>
        <v/>
      </c>
    </row>
    <row r="229" spans="1:29" collapsed="1" x14ac:dyDescent="0.3">
      <c r="A229" s="22" t="s">
        <v>84</v>
      </c>
      <c r="B229" s="41" t="str">
        <f t="shared" si="20"/>
        <v/>
      </c>
      <c r="C229" s="42">
        <f t="shared" si="21"/>
        <v>228</v>
      </c>
      <c r="D229" s="38"/>
      <c r="E229" s="38"/>
      <c r="F229" s="38"/>
      <c r="G229" s="38"/>
      <c r="H229" s="38"/>
      <c r="I229" s="38"/>
      <c r="J229" s="38"/>
      <c r="K229" s="14" t="s">
        <v>57</v>
      </c>
      <c r="L229" s="14" t="s">
        <v>38</v>
      </c>
      <c r="M229" s="48" t="s">
        <v>890</v>
      </c>
      <c r="N229" s="41" t="s">
        <v>891</v>
      </c>
      <c r="R229" s="38" t="s">
        <v>201</v>
      </c>
      <c r="S229" s="38"/>
      <c r="T229" s="38"/>
      <c r="W229" s="15" t="str">
        <f>IF(IFERROR(VLOOKUP($M229,'IMPORT GS-Tür OL FL 2S2 20'!$H$2:$H$847,1,0),"-")="-","","GS")</f>
        <v/>
      </c>
      <c r="Y229" s="53"/>
      <c r="Z229" s="59" t="str">
        <f>IF(OR($M229="",NOT($O229="{array}")),"",IFERROR(MATCH(PARAMETERS!$M229,DEFAULT!$B$5:$CG$5,0),""))</f>
        <v/>
      </c>
      <c r="AA229" s="56" t="str">
        <f t="shared" si="22"/>
        <v/>
      </c>
      <c r="AB229" s="63" t="str">
        <f>IF(AND(OR($A229="G",$A229="P"),NOT($O229="{array}")),IF(VLOOKUP($K229,base!$B$2:$D$20,3,0)="S",IF(OR($O229="",ISTEXT($O229)),"","STRING!"),IF(VLOOKUP($K229,base!$B$2:$D$20,3,0)="","",IF(ISTEXT($O229),"NUMERIC!",""))),"")</f>
        <v/>
      </c>
      <c r="AC229" s="17" t="str">
        <f>IF($AA229="","",IF($B229="I",VLOOKUP($AA229,#REF!,53,0),INDEX(VALUES!$B$1:$BR$1,1,$AA229)))</f>
        <v/>
      </c>
    </row>
    <row r="230" spans="1:29" x14ac:dyDescent="0.3">
      <c r="A230" s="22" t="s">
        <v>84</v>
      </c>
      <c r="B230" s="41" t="str">
        <f t="shared" si="20"/>
        <v/>
      </c>
      <c r="C230" s="42">
        <f t="shared" si="21"/>
        <v>229</v>
      </c>
      <c r="D230" s="38"/>
      <c r="E230" s="38"/>
      <c r="F230" s="38"/>
      <c r="G230" s="38"/>
      <c r="H230" s="38"/>
      <c r="I230" s="38"/>
      <c r="J230" s="38"/>
      <c r="K230" s="14" t="s">
        <v>57</v>
      </c>
      <c r="L230" s="14" t="s">
        <v>38</v>
      </c>
      <c r="M230" s="48" t="s">
        <v>2160</v>
      </c>
      <c r="N230" s="41" t="s">
        <v>2161</v>
      </c>
      <c r="R230" s="38" t="s">
        <v>103</v>
      </c>
      <c r="S230" s="38"/>
      <c r="T230" s="38"/>
      <c r="Z230" s="59" t="str">
        <f>IF(OR($M230="",NOT($O230="{array}")),"",IFERROR(MATCH(PARAMETERS!$M230,DEFAULT!$B$5:$CG$5,0),""))</f>
        <v/>
      </c>
      <c r="AA230" s="56" t="str">
        <f t="shared" si="22"/>
        <v/>
      </c>
      <c r="AB230" s="63" t="str">
        <f>IF(AND(OR($A230="G",$A230="P"),NOT($O230="{array}")),IF(VLOOKUP($K230,base!$B$2:$D$20,3,0)="S",IF(OR($O230="",ISTEXT($O230)),"","STRING!"),IF(VLOOKUP($K230,base!$B$2:$D$20,3,0)="","",IF(ISTEXT($O230),"NUMERIC!",""))),"")</f>
        <v/>
      </c>
      <c r="AC230" s="17" t="str">
        <f>IF($AA230="","",IF($B230="I",VLOOKUP($AA230,#REF!,53,0),INDEX(VALUES!$B$1:$BR$1,1,$AA230)))</f>
        <v/>
      </c>
    </row>
    <row r="231" spans="1:29" x14ac:dyDescent="0.3">
      <c r="A231" s="22" t="s">
        <v>84</v>
      </c>
      <c r="B231" s="41" t="str">
        <f t="shared" si="20"/>
        <v/>
      </c>
      <c r="C231" s="42">
        <f t="shared" si="21"/>
        <v>230</v>
      </c>
      <c r="D231" s="38"/>
      <c r="E231" s="38"/>
      <c r="F231" s="38"/>
      <c r="G231" s="38"/>
      <c r="H231" s="38"/>
      <c r="I231" s="38" t="s">
        <v>9</v>
      </c>
      <c r="J231" s="38"/>
      <c r="K231" s="53" t="s">
        <v>18</v>
      </c>
      <c r="L231" s="53" t="s">
        <v>32</v>
      </c>
      <c r="M231" s="254" t="s">
        <v>2162</v>
      </c>
      <c r="N231" s="53" t="s">
        <v>2163</v>
      </c>
      <c r="O231" s="17" t="s">
        <v>2164</v>
      </c>
      <c r="R231" s="172" t="s">
        <v>103</v>
      </c>
      <c r="S231" s="172" t="s">
        <v>112</v>
      </c>
      <c r="T231" s="38"/>
      <c r="Z231" s="59" t="str">
        <f>IF(OR($M231="",NOT($O231="{array}")),"",IFERROR(MATCH(PARAMETERS!$M231,DEFAULT!$B$5:$CG$5,0),""))</f>
        <v/>
      </c>
      <c r="AA231" s="56" t="str">
        <f t="shared" si="22"/>
        <v/>
      </c>
      <c r="AB231" s="63" t="str">
        <f>IF(AND(OR($A231="G",$A231="P"),NOT($O231="{array}")),IF(VLOOKUP($K231,base!$B$2:$D$20,3,0)="S",IF(OR($O231="",ISTEXT($O231)),"","STRING!"),IF(VLOOKUP($K231,base!$B$2:$D$20,3,0)="","",IF(ISTEXT($O231),"NUMERIC!",""))),"")</f>
        <v/>
      </c>
      <c r="AC231" s="17" t="str">
        <f>IF($AA231="","",IF($B231="I",VLOOKUP($AA231,#REF!,53,0),INDEX(VALUES!$B$1:$BR$1,1,$AA231)))</f>
        <v/>
      </c>
    </row>
    <row r="232" spans="1:29" x14ac:dyDescent="0.3">
      <c r="A232" s="22" t="s">
        <v>84</v>
      </c>
      <c r="B232" s="41" t="str">
        <f t="shared" si="20"/>
        <v/>
      </c>
      <c r="C232" s="42">
        <f t="shared" si="21"/>
        <v>231</v>
      </c>
      <c r="D232" s="38"/>
      <c r="E232" s="38"/>
      <c r="F232" s="38"/>
      <c r="G232" s="38"/>
      <c r="H232" s="38"/>
      <c r="I232" s="38" t="s">
        <v>9</v>
      </c>
      <c r="J232" s="38"/>
      <c r="K232" s="53" t="s">
        <v>18</v>
      </c>
      <c r="L232" s="53" t="s">
        <v>32</v>
      </c>
      <c r="M232" s="254" t="s">
        <v>2165</v>
      </c>
      <c r="N232" s="53" t="s">
        <v>2166</v>
      </c>
      <c r="O232" s="17" t="s">
        <v>84</v>
      </c>
      <c r="R232" s="172" t="s">
        <v>103</v>
      </c>
      <c r="S232" s="172" t="s">
        <v>112</v>
      </c>
      <c r="T232" s="38"/>
      <c r="Z232" s="59" t="str">
        <f>IF(OR($M232="",NOT($O232="{array}")),"",IFERROR(MATCH(PARAMETERS!$M232,DEFAULT!$B$5:$CG$5,0),""))</f>
        <v/>
      </c>
      <c r="AA232" s="56" t="str">
        <f t="shared" si="22"/>
        <v/>
      </c>
      <c r="AB232" s="63" t="str">
        <f>IF(AND(OR($A232="G",$A232="P"),NOT($O232="{array}")),IF(VLOOKUP($K232,base!$B$2:$D$20,3,0)="S",IF(OR($O232="",ISTEXT($O232)),"","STRING!"),IF(VLOOKUP($K232,base!$B$2:$D$20,3,0)="","",IF(ISTEXT($O232),"NUMERIC!",""))),"")</f>
        <v/>
      </c>
      <c r="AC232" s="17" t="str">
        <f>IF($AA232="","",IF($B232="I",VLOOKUP($AA232,#REF!,53,0),INDEX(VALUES!$B$1:$BR$1,1,$AA232)))</f>
        <v/>
      </c>
    </row>
    <row r="233" spans="1:29" x14ac:dyDescent="0.3">
      <c r="A233" s="22"/>
      <c r="B233" s="41" t="str">
        <f t="shared" si="20"/>
        <v/>
      </c>
      <c r="C233" s="42">
        <f t="shared" si="21"/>
        <v>232</v>
      </c>
      <c r="D233" s="38"/>
      <c r="E233" s="38"/>
      <c r="F233" s="38"/>
      <c r="G233" s="38"/>
      <c r="H233" s="38"/>
      <c r="I233" s="38" t="s">
        <v>9</v>
      </c>
      <c r="J233" s="38"/>
      <c r="K233" s="160" t="s">
        <v>18</v>
      </c>
      <c r="L233" s="168" t="s">
        <v>21</v>
      </c>
      <c r="M233" s="254" t="s">
        <v>2167</v>
      </c>
      <c r="N233" s="160" t="s">
        <v>2168</v>
      </c>
      <c r="O233" s="167" t="s">
        <v>2169</v>
      </c>
      <c r="P233" s="161" t="s">
        <v>270</v>
      </c>
      <c r="Q233" s="179"/>
      <c r="R233" s="172" t="s">
        <v>103</v>
      </c>
      <c r="S233" s="172" t="s">
        <v>112</v>
      </c>
      <c r="T233" s="38"/>
      <c r="Z233" s="59" t="str">
        <f>IF(OR($M233="",NOT($O233="{array}")),"",IFERROR(MATCH(PARAMETERS!$M233,DEFAULT!$B$5:$CG$5,0),""))</f>
        <v/>
      </c>
      <c r="AA233" s="56" t="str">
        <f t="shared" si="22"/>
        <v/>
      </c>
      <c r="AB233" s="63" t="str">
        <f>IF(AND(OR($A233="G",$A233="P"),NOT($O233="{array}")),IF(VLOOKUP($K233,base!$B$2:$D$20,3,0)="S",IF(OR($O233="",ISTEXT($O233)),"","STRING!"),IF(VLOOKUP($K233,base!$B$2:$D$20,3,0)="","",IF(ISTEXT($O233),"NUMERIC!",""))),"")</f>
        <v/>
      </c>
      <c r="AC233" s="17" t="str">
        <f>IF($AA233="","",IF($B233="I",VLOOKUP($AA233,#REF!,53,0),INDEX(VALUES!$B$1:$BR$1,1,$AA233)))</f>
        <v/>
      </c>
    </row>
    <row r="234" spans="1:29" x14ac:dyDescent="0.3">
      <c r="A234" s="22" t="s">
        <v>84</v>
      </c>
      <c r="B234" s="41" t="str">
        <f t="shared" si="20"/>
        <v/>
      </c>
      <c r="C234" s="42">
        <f t="shared" si="21"/>
        <v>233</v>
      </c>
      <c r="D234" s="38"/>
      <c r="E234" s="38"/>
      <c r="F234" s="38"/>
      <c r="G234" s="38"/>
      <c r="H234" s="38"/>
      <c r="I234" s="38" t="s">
        <v>9</v>
      </c>
      <c r="J234" s="38"/>
      <c r="K234" s="160" t="s">
        <v>44</v>
      </c>
      <c r="L234" s="168" t="s">
        <v>21</v>
      </c>
      <c r="M234" s="254" t="s">
        <v>2170</v>
      </c>
      <c r="N234" s="167" t="s">
        <v>2171</v>
      </c>
      <c r="O234" s="167">
        <v>1</v>
      </c>
      <c r="P234" s="161" t="s">
        <v>270</v>
      </c>
      <c r="Q234" s="179"/>
      <c r="R234" s="172" t="s">
        <v>201</v>
      </c>
      <c r="S234" s="172" t="s">
        <v>112</v>
      </c>
      <c r="T234" s="38"/>
      <c r="Z234" s="59" t="str">
        <f>IF(OR($M234="",NOT($O234="{array}")),"",IFERROR(MATCH(PARAMETERS!$M234,DEFAULT!$B$5:$CG$5,0),""))</f>
        <v/>
      </c>
      <c r="AA234" s="56" t="str">
        <f t="shared" si="22"/>
        <v/>
      </c>
      <c r="AB234" s="63" t="str">
        <f>IF(AND(OR($A234="G",$A234="P"),NOT($O234="{array}")),IF(VLOOKUP($K234,base!$B$2:$D$20,3,0)="S",IF(OR($O234="",ISTEXT($O234)),"","STRING!"),IF(VLOOKUP($K234,base!$B$2:$D$20,3,0)="","",IF(ISTEXT($O234),"NUMERIC!",""))),"")</f>
        <v/>
      </c>
      <c r="AC234" s="17" t="str">
        <f>IF($AA234="","",IF($B234="I",VLOOKUP($AA234,#REF!,53,0),INDEX(VALUES!$B$1:$BR$1,1,$AA234)))</f>
        <v/>
      </c>
    </row>
    <row r="235" spans="1:29" x14ac:dyDescent="0.3">
      <c r="A235" s="22" t="s">
        <v>84</v>
      </c>
      <c r="B235" s="41" t="str">
        <f t="shared" si="20"/>
        <v/>
      </c>
      <c r="C235" s="42">
        <f t="shared" si="21"/>
        <v>234</v>
      </c>
      <c r="D235" s="38"/>
      <c r="E235" s="38"/>
      <c r="F235" s="38"/>
      <c r="G235" s="38"/>
      <c r="H235" s="38"/>
      <c r="I235" s="38" t="s">
        <v>9</v>
      </c>
      <c r="J235" s="38"/>
      <c r="K235" s="160" t="s">
        <v>18</v>
      </c>
      <c r="L235" s="168" t="s">
        <v>21</v>
      </c>
      <c r="M235" s="254" t="s">
        <v>2172</v>
      </c>
      <c r="N235" s="167" t="s">
        <v>2173</v>
      </c>
      <c r="O235" s="167" t="s">
        <v>2174</v>
      </c>
      <c r="P235" s="161" t="s">
        <v>270</v>
      </c>
      <c r="Q235" s="179" t="s">
        <v>9</v>
      </c>
      <c r="R235" s="172" t="s">
        <v>103</v>
      </c>
      <c r="S235" s="172" t="s">
        <v>112</v>
      </c>
      <c r="T235" s="38"/>
      <c r="Z235" s="59" t="str">
        <f>IF(OR($M235="",NOT($O235="{array}")),"",IFERROR(MATCH(PARAMETERS!$M235,DEFAULT!$B$5:$CG$5,0),""))</f>
        <v/>
      </c>
      <c r="AA235" s="56" t="str">
        <f t="shared" si="22"/>
        <v/>
      </c>
      <c r="AB235" s="63" t="str">
        <f>IF(AND(OR($A235="G",$A235="P"),NOT($O235="{array}")),IF(VLOOKUP($K235,base!$B$2:$D$20,3,0)="S",IF(OR($O235="",ISTEXT($O235)),"","STRING!"),IF(VLOOKUP($K235,base!$B$2:$D$20,3,0)="","",IF(ISTEXT($O235),"NUMERIC!",""))),"")</f>
        <v/>
      </c>
      <c r="AC235" s="17" t="str">
        <f>IF($AA235="","",IF($B235="I",VLOOKUP($AA235,#REF!,53,0),INDEX(VALUES!$B$1:$BR$1,1,$AA235)))</f>
        <v/>
      </c>
    </row>
    <row r="236" spans="1:29" x14ac:dyDescent="0.3">
      <c r="A236" s="22" t="s">
        <v>84</v>
      </c>
      <c r="B236" s="41" t="str">
        <f t="shared" si="20"/>
        <v/>
      </c>
      <c r="C236" s="42">
        <f t="shared" si="21"/>
        <v>235</v>
      </c>
      <c r="D236" s="38"/>
      <c r="E236" s="38"/>
      <c r="F236" s="38"/>
      <c r="G236" s="38"/>
      <c r="H236" s="38"/>
      <c r="I236" s="38" t="s">
        <v>9</v>
      </c>
      <c r="J236" s="38"/>
      <c r="K236" s="160" t="s">
        <v>18</v>
      </c>
      <c r="L236" s="168" t="s">
        <v>21</v>
      </c>
      <c r="M236" s="243" t="s">
        <v>2175</v>
      </c>
      <c r="N236" s="167" t="s">
        <v>2176</v>
      </c>
      <c r="O236" s="167" t="s">
        <v>2174</v>
      </c>
      <c r="P236" s="161" t="s">
        <v>270</v>
      </c>
      <c r="Q236" s="179" t="s">
        <v>9</v>
      </c>
      <c r="R236" s="172" t="s">
        <v>103</v>
      </c>
      <c r="S236" s="172" t="s">
        <v>112</v>
      </c>
      <c r="T236" s="38"/>
      <c r="Z236" s="59" t="str">
        <f>IF(OR($M236="",NOT($O236="{array}")),"",IFERROR(MATCH(PARAMETERS!$M236,DEFAULT!$B$5:$CG$5,0),""))</f>
        <v/>
      </c>
      <c r="AA236" s="56" t="str">
        <f t="shared" si="22"/>
        <v/>
      </c>
      <c r="AB236" s="63" t="str">
        <f>IF(AND(OR($A236="G",$A236="P"),NOT($O236="{array}")),IF(VLOOKUP($K236,base!$B$2:$D$20,3,0)="S",IF(OR($O236="",ISTEXT($O236)),"","STRING!"),IF(VLOOKUP($K236,base!$B$2:$D$20,3,0)="","",IF(ISTEXT($O236),"NUMERIC!",""))),"")</f>
        <v/>
      </c>
      <c r="AC236" s="17" t="str">
        <f>IF($AA236="","",IF($B236="I",VLOOKUP($AA236,#REF!,53,0),INDEX(VALUES!$B$1:$BR$1,1,$AA236)))</f>
        <v/>
      </c>
    </row>
    <row r="237" spans="1:29" x14ac:dyDescent="0.3">
      <c r="A237" s="22"/>
      <c r="B237" s="41" t="str">
        <f t="shared" si="20"/>
        <v/>
      </c>
      <c r="C237" s="42">
        <f t="shared" si="21"/>
        <v>236</v>
      </c>
      <c r="D237" s="38"/>
      <c r="E237" s="38"/>
      <c r="F237" s="38"/>
      <c r="G237" s="38"/>
      <c r="H237" s="38"/>
      <c r="I237" s="38" t="s">
        <v>9</v>
      </c>
      <c r="J237" s="38"/>
      <c r="K237" s="160" t="s">
        <v>18</v>
      </c>
      <c r="L237" s="168" t="s">
        <v>21</v>
      </c>
      <c r="M237" s="254" t="s">
        <v>2177</v>
      </c>
      <c r="N237" s="167" t="s">
        <v>2178</v>
      </c>
      <c r="O237" s="167" t="s">
        <v>2079</v>
      </c>
      <c r="P237" s="161" t="s">
        <v>270</v>
      </c>
      <c r="Q237" s="179" t="s">
        <v>9</v>
      </c>
      <c r="R237" s="172" t="s">
        <v>103</v>
      </c>
      <c r="S237" s="172" t="s">
        <v>112</v>
      </c>
      <c r="T237" s="38"/>
      <c r="Z237" s="59" t="str">
        <f>IF(OR($M237="",NOT($O237="{array}")),"",IFERROR(MATCH(PARAMETERS!$M237,DEFAULT!$B$5:$CG$5,0),""))</f>
        <v/>
      </c>
      <c r="AA237" s="56" t="str">
        <f t="shared" si="22"/>
        <v/>
      </c>
      <c r="AB237" s="63" t="str">
        <f>IF(AND(OR($A237="G",$A237="P"),NOT($O237="{array}")),IF(VLOOKUP($K237,base!$B$2:$D$20,3,0)="S",IF(OR($O237="",ISTEXT($O237)),"","STRING!"),IF(VLOOKUP($K237,base!$B$2:$D$20,3,0)="","",IF(ISTEXT($O237),"NUMERIC!",""))),"")</f>
        <v/>
      </c>
      <c r="AC237" s="17" t="str">
        <f>IF($AA237="","",IF($B237="I",VLOOKUP($AA237,#REF!,53,0),INDEX(VALUES!$B$1:$BR$1,1,$AA237)))</f>
        <v/>
      </c>
    </row>
    <row r="238" spans="1:29" x14ac:dyDescent="0.3">
      <c r="A238" s="22"/>
      <c r="B238" s="41" t="str">
        <f t="shared" si="20"/>
        <v/>
      </c>
      <c r="C238" s="42">
        <f t="shared" si="21"/>
        <v>237</v>
      </c>
      <c r="D238" s="38"/>
      <c r="E238" s="38"/>
      <c r="F238" s="38"/>
      <c r="G238" s="38"/>
      <c r="H238" s="38"/>
      <c r="I238" s="38" t="s">
        <v>9</v>
      </c>
      <c r="J238" s="38"/>
      <c r="K238" s="160" t="s">
        <v>18</v>
      </c>
      <c r="L238" s="168" t="s">
        <v>21</v>
      </c>
      <c r="M238" s="254" t="s">
        <v>2179</v>
      </c>
      <c r="N238" s="167" t="s">
        <v>2180</v>
      </c>
      <c r="O238" s="167" t="s">
        <v>270</v>
      </c>
      <c r="P238" s="161" t="s">
        <v>270</v>
      </c>
      <c r="Q238" s="179" t="s">
        <v>9</v>
      </c>
      <c r="R238" s="172" t="s">
        <v>103</v>
      </c>
      <c r="S238" s="172" t="s">
        <v>112</v>
      </c>
      <c r="T238" s="38"/>
      <c r="Z238" s="59" t="str">
        <f>IF(OR($M238="",NOT($O238="{array}")),"",IFERROR(MATCH(PARAMETERS!$M238,DEFAULT!$B$5:$CG$5,0),""))</f>
        <v/>
      </c>
      <c r="AA238" s="56" t="str">
        <f t="shared" si="22"/>
        <v/>
      </c>
      <c r="AB238" s="63" t="str">
        <f>IF(AND(OR($A238="G",$A238="P"),NOT($O238="{array}")),IF(VLOOKUP($K238,base!$B$2:$D$20,3,0)="S",IF(OR($O238="",ISTEXT($O238)),"","STRING!"),IF(VLOOKUP($K238,base!$B$2:$D$20,3,0)="","",IF(ISTEXT($O238),"NUMERIC!",""))),"")</f>
        <v/>
      </c>
      <c r="AC238" s="17" t="str">
        <f>IF($AA238="","",IF($B238="I",VLOOKUP($AA238,#REF!,53,0),INDEX(VALUES!$B$1:$BR$1,1,$AA238)))</f>
        <v/>
      </c>
    </row>
    <row r="239" spans="1:29" x14ac:dyDescent="0.3">
      <c r="A239" s="22"/>
      <c r="B239" s="41" t="str">
        <f t="shared" si="20"/>
        <v/>
      </c>
      <c r="C239" s="42">
        <f t="shared" si="21"/>
        <v>238</v>
      </c>
      <c r="D239" s="38"/>
      <c r="E239" s="38"/>
      <c r="F239" s="38"/>
      <c r="G239" s="38"/>
      <c r="H239" s="38"/>
      <c r="I239" s="38" t="s">
        <v>9</v>
      </c>
      <c r="J239" s="38"/>
      <c r="K239" s="167" t="s">
        <v>18</v>
      </c>
      <c r="L239" s="53" t="s">
        <v>32</v>
      </c>
      <c r="M239" s="254" t="s">
        <v>2181</v>
      </c>
      <c r="N239" s="160" t="s">
        <v>2182</v>
      </c>
      <c r="O239" s="167" t="s">
        <v>103</v>
      </c>
      <c r="P239" s="161" t="s">
        <v>270</v>
      </c>
      <c r="Q239" s="172"/>
      <c r="R239" s="172" t="s">
        <v>103</v>
      </c>
      <c r="S239" s="172" t="s">
        <v>112</v>
      </c>
      <c r="T239" s="38"/>
      <c r="Z239" s="59" t="str">
        <f>IF(OR($M239="",NOT($O239="{array}")),"",IFERROR(MATCH(PARAMETERS!$M239,DEFAULT!$B$5:$CG$5,0),""))</f>
        <v/>
      </c>
      <c r="AA239" s="56" t="str">
        <f t="shared" si="22"/>
        <v/>
      </c>
      <c r="AB239" s="63" t="str">
        <f>IF(AND(OR($A239="G",$A239="P"),NOT($O239="{array}")),IF(VLOOKUP($K239,base!$B$2:$D$20,3,0)="S",IF(OR($O239="",ISTEXT($O239)),"","STRING!"),IF(VLOOKUP($K239,base!$B$2:$D$20,3,0)="","",IF(ISTEXT($O239),"NUMERIC!",""))),"")</f>
        <v/>
      </c>
      <c r="AC239" s="17" t="str">
        <f>IF($AA239="","",IF($B239="I",VLOOKUP($AA239,#REF!,53,0),INDEX(VALUES!$B$1:$BR$1,1,$AA239)))</f>
        <v/>
      </c>
    </row>
    <row r="240" spans="1:29" x14ac:dyDescent="0.3">
      <c r="A240" s="22"/>
      <c r="B240" s="41" t="str">
        <f t="shared" si="20"/>
        <v/>
      </c>
      <c r="C240" s="42">
        <f t="shared" si="21"/>
        <v>239</v>
      </c>
      <c r="D240" s="38"/>
      <c r="E240" s="38"/>
      <c r="F240" s="38"/>
      <c r="G240" s="38"/>
      <c r="H240" s="38"/>
      <c r="I240" s="38" t="s">
        <v>9</v>
      </c>
      <c r="J240" s="38"/>
      <c r="K240" s="167" t="s">
        <v>18</v>
      </c>
      <c r="L240" s="53" t="s">
        <v>32</v>
      </c>
      <c r="M240" s="243" t="s">
        <v>2183</v>
      </c>
      <c r="N240" s="160" t="s">
        <v>2184</v>
      </c>
      <c r="O240" s="167" t="s">
        <v>103</v>
      </c>
      <c r="P240" s="161" t="s">
        <v>270</v>
      </c>
      <c r="Q240" s="172"/>
      <c r="R240" s="172" t="s">
        <v>103</v>
      </c>
      <c r="S240" s="172" t="s">
        <v>112</v>
      </c>
      <c r="T240" s="38"/>
      <c r="Z240" s="59" t="str">
        <f>IF(OR($M240="",NOT($O240="{array}")),"",IFERROR(MATCH(PARAMETERS!$M240,DEFAULT!$B$5:$CG$5,0),""))</f>
        <v/>
      </c>
      <c r="AA240" s="56" t="str">
        <f t="shared" si="22"/>
        <v/>
      </c>
      <c r="AB240" s="63" t="str">
        <f>IF(AND(OR($A240="G",$A240="P"),NOT($O240="{array}")),IF(VLOOKUP($K240,base!$B$2:$D$20,3,0)="S",IF(OR($O240="",ISTEXT($O240)),"","STRING!"),IF(VLOOKUP($K240,base!$B$2:$D$20,3,0)="","",IF(ISTEXT($O240),"NUMERIC!",""))),"")</f>
        <v/>
      </c>
      <c r="AC240" s="17" t="str">
        <f>IF($AA240="","",IF($B240="I",VLOOKUP($AA240,#REF!,53,0),INDEX(VALUES!$B$1:$BR$1,1,$AA240)))</f>
        <v/>
      </c>
    </row>
    <row r="241" spans="1:29" x14ac:dyDescent="0.3">
      <c r="A241" s="22"/>
      <c r="B241" s="41" t="str">
        <f t="shared" si="20"/>
        <v/>
      </c>
      <c r="C241" s="42">
        <f t="shared" si="21"/>
        <v>240</v>
      </c>
      <c r="D241" s="38"/>
      <c r="E241" s="38"/>
      <c r="F241" s="38"/>
      <c r="G241" s="38"/>
      <c r="H241" s="38"/>
      <c r="I241" s="38" t="s">
        <v>9</v>
      </c>
      <c r="J241" s="38"/>
      <c r="K241" s="167" t="s">
        <v>18</v>
      </c>
      <c r="L241" s="53" t="s">
        <v>32</v>
      </c>
      <c r="M241" s="254" t="s">
        <v>2185</v>
      </c>
      <c r="N241" s="160" t="s">
        <v>2186</v>
      </c>
      <c r="O241" s="167" t="s">
        <v>19</v>
      </c>
      <c r="P241" s="161" t="s">
        <v>270</v>
      </c>
      <c r="Q241" s="172"/>
      <c r="R241" s="172" t="s">
        <v>103</v>
      </c>
      <c r="S241" s="172" t="s">
        <v>112</v>
      </c>
      <c r="T241" s="38"/>
      <c r="Z241" s="59" t="str">
        <f>IF(OR($M241="",NOT($O241="{array}")),"",IFERROR(MATCH(PARAMETERS!$M241,DEFAULT!$B$5:$CG$5,0),""))</f>
        <v/>
      </c>
      <c r="AA241" s="56" t="str">
        <f t="shared" si="22"/>
        <v/>
      </c>
      <c r="AB241" s="63" t="str">
        <f>IF(AND(OR($A241="G",$A241="P"),NOT($O241="{array}")),IF(VLOOKUP($K241,base!$B$2:$D$20,3,0)="S",IF(OR($O241="",ISTEXT($O241)),"","STRING!"),IF(VLOOKUP($K241,base!$B$2:$D$20,3,0)="","",IF(ISTEXT($O241),"NUMERIC!",""))),"")</f>
        <v/>
      </c>
      <c r="AC241" s="17" t="str">
        <f>IF($AA241="","",IF($B241="I",VLOOKUP($AA241,#REF!,53,0),INDEX(VALUES!$B$1:$BR$1,1,$AA241)))</f>
        <v/>
      </c>
    </row>
    <row r="242" spans="1:29" x14ac:dyDescent="0.3">
      <c r="A242" s="22"/>
      <c r="B242" s="41" t="str">
        <f t="shared" si="20"/>
        <v/>
      </c>
      <c r="C242" s="42">
        <f t="shared" si="21"/>
        <v>241</v>
      </c>
      <c r="D242" s="38"/>
      <c r="E242" s="38"/>
      <c r="F242" s="38"/>
      <c r="G242" s="38"/>
      <c r="H242" s="38"/>
      <c r="I242" s="38" t="s">
        <v>9</v>
      </c>
      <c r="J242" s="38"/>
      <c r="K242" s="167" t="s">
        <v>18</v>
      </c>
      <c r="L242" s="53" t="s">
        <v>32</v>
      </c>
      <c r="M242" s="243" t="s">
        <v>2187</v>
      </c>
      <c r="N242" s="160" t="s">
        <v>2188</v>
      </c>
      <c r="O242" s="167" t="s">
        <v>19</v>
      </c>
      <c r="P242" s="161" t="s">
        <v>270</v>
      </c>
      <c r="Q242" s="172"/>
      <c r="R242" s="172" t="s">
        <v>103</v>
      </c>
      <c r="S242" s="172" t="s">
        <v>112</v>
      </c>
      <c r="T242" s="38"/>
      <c r="Z242" s="59" t="str">
        <f>IF(OR($M242="",NOT($O242="{array}")),"",IFERROR(MATCH(PARAMETERS!$M242,DEFAULT!$B$5:$CG$5,0),""))</f>
        <v/>
      </c>
      <c r="AA242" s="56" t="str">
        <f t="shared" si="22"/>
        <v/>
      </c>
      <c r="AB242" s="63" t="str">
        <f>IF(AND(OR($A242="G",$A242="P"),NOT($O242="{array}")),IF(VLOOKUP($K242,base!$B$2:$D$20,3,0)="S",IF(OR($O242="",ISTEXT($O242)),"","STRING!"),IF(VLOOKUP($K242,base!$B$2:$D$20,3,0)="","",IF(ISTEXT($O242),"NUMERIC!",""))),"")</f>
        <v/>
      </c>
      <c r="AC242" s="17" t="str">
        <f>IF($AA242="","",IF($B242="I",VLOOKUP($AA242,#REF!,53,0),INDEX(VALUES!$B$1:$BR$1,1,$AA242)))</f>
        <v/>
      </c>
    </row>
    <row r="243" spans="1:29" x14ac:dyDescent="0.3">
      <c r="A243" s="22"/>
      <c r="B243" s="41" t="str">
        <f t="shared" si="20"/>
        <v/>
      </c>
      <c r="C243" s="42">
        <f t="shared" si="21"/>
        <v>242</v>
      </c>
      <c r="D243" s="38"/>
      <c r="E243" s="38"/>
      <c r="F243" s="38"/>
      <c r="G243" s="38"/>
      <c r="H243" s="38"/>
      <c r="I243" s="38" t="s">
        <v>9</v>
      </c>
      <c r="J243" s="38"/>
      <c r="K243" s="167" t="s">
        <v>44</v>
      </c>
      <c r="L243" s="53" t="s">
        <v>32</v>
      </c>
      <c r="M243" s="254" t="s">
        <v>2189</v>
      </c>
      <c r="N243" s="167" t="s">
        <v>2190</v>
      </c>
      <c r="O243" s="167">
        <v>4</v>
      </c>
      <c r="P243" s="161" t="s">
        <v>270</v>
      </c>
      <c r="Q243" s="172"/>
      <c r="R243" s="172" t="s">
        <v>103</v>
      </c>
      <c r="S243" s="172" t="s">
        <v>112</v>
      </c>
      <c r="T243" s="38"/>
      <c r="Z243" s="59" t="str">
        <f>IF(OR($M243="",NOT($O243="{array}")),"",IFERROR(MATCH(PARAMETERS!$M243,DEFAULT!$B$5:$CG$5,0),""))</f>
        <v/>
      </c>
      <c r="AA243" s="56" t="str">
        <f t="shared" si="22"/>
        <v/>
      </c>
      <c r="AB243" s="63" t="str">
        <f>IF(AND(OR($A243="G",$A243="P"),NOT($O243="{array}")),IF(VLOOKUP($K243,base!$B$2:$D$20,3,0)="S",IF(OR($O243="",ISTEXT($O243)),"","STRING!"),IF(VLOOKUP($K243,base!$B$2:$D$20,3,0)="","",IF(ISTEXT($O243),"NUMERIC!",""))),"")</f>
        <v/>
      </c>
      <c r="AC243" s="17" t="str">
        <f>IF($AA243="","",IF($B243="I",VLOOKUP($AA243,#REF!,53,0),INDEX(VALUES!$B$1:$BR$1,1,$AA243)))</f>
        <v/>
      </c>
    </row>
    <row r="244" spans="1:29" x14ac:dyDescent="0.3">
      <c r="A244" s="22"/>
      <c r="B244" s="41" t="str">
        <f t="shared" si="20"/>
        <v/>
      </c>
      <c r="C244" s="42">
        <f t="shared" si="21"/>
        <v>243</v>
      </c>
      <c r="D244" s="38"/>
      <c r="E244" s="38"/>
      <c r="F244" s="38"/>
      <c r="G244" s="38"/>
      <c r="H244" s="38"/>
      <c r="I244" s="38" t="s">
        <v>9</v>
      </c>
      <c r="J244" s="38"/>
      <c r="K244" s="167" t="s">
        <v>44</v>
      </c>
      <c r="L244" s="53" t="s">
        <v>32</v>
      </c>
      <c r="M244" s="243" t="s">
        <v>2191</v>
      </c>
      <c r="N244" s="167" t="s">
        <v>2192</v>
      </c>
      <c r="O244" s="167">
        <v>4</v>
      </c>
      <c r="P244" s="161" t="s">
        <v>270</v>
      </c>
      <c r="Q244" s="172"/>
      <c r="R244" s="172" t="s">
        <v>103</v>
      </c>
      <c r="S244" s="172" t="s">
        <v>112</v>
      </c>
      <c r="T244" s="38"/>
      <c r="Z244" s="59" t="str">
        <f>IF(OR($M244="",NOT($O244="{array}")),"",IFERROR(MATCH(PARAMETERS!$M244,DEFAULT!$B$5:$CG$5,0),""))</f>
        <v/>
      </c>
      <c r="AA244" s="56" t="str">
        <f t="shared" si="22"/>
        <v/>
      </c>
      <c r="AB244" s="63" t="str">
        <f>IF(AND(OR($A244="G",$A244="P"),NOT($O244="{array}")),IF(VLOOKUP($K244,base!$B$2:$D$20,3,0)="S",IF(OR($O244="",ISTEXT($O244)),"","STRING!"),IF(VLOOKUP($K244,base!$B$2:$D$20,3,0)="","",IF(ISTEXT($O244),"NUMERIC!",""))),"")</f>
        <v/>
      </c>
      <c r="AC244" s="17" t="str">
        <f>IF($AA244="","",IF($B244="I",VLOOKUP($AA244,#REF!,53,0),INDEX(VALUES!$B$1:$BR$1,1,$AA244)))</f>
        <v/>
      </c>
    </row>
    <row r="245" spans="1:29" x14ac:dyDescent="0.3">
      <c r="A245" s="22"/>
      <c r="B245" s="41" t="str">
        <f t="shared" si="20"/>
        <v/>
      </c>
      <c r="C245" s="42">
        <f t="shared" si="21"/>
        <v>244</v>
      </c>
      <c r="D245" s="38"/>
      <c r="E245" s="38"/>
      <c r="F245" s="38"/>
      <c r="G245" s="38"/>
      <c r="H245" s="38"/>
      <c r="I245" s="38" t="s">
        <v>9</v>
      </c>
      <c r="J245" s="38"/>
      <c r="K245" s="167" t="s">
        <v>18</v>
      </c>
      <c r="L245" s="53" t="s">
        <v>32</v>
      </c>
      <c r="M245" s="254" t="s">
        <v>2193</v>
      </c>
      <c r="N245" s="167" t="s">
        <v>2194</v>
      </c>
      <c r="O245" s="167" t="s">
        <v>2067</v>
      </c>
      <c r="P245" s="161" t="s">
        <v>270</v>
      </c>
      <c r="Q245" s="172"/>
      <c r="R245" s="172" t="s">
        <v>103</v>
      </c>
      <c r="S245" s="172" t="s">
        <v>112</v>
      </c>
      <c r="T245" s="38"/>
      <c r="Z245" s="59" t="str">
        <f>IF(OR($M245="",NOT($O245="{array}")),"",IFERROR(MATCH(PARAMETERS!$M245,DEFAULT!$B$5:$CG$5,0),""))</f>
        <v/>
      </c>
      <c r="AA245" s="56" t="str">
        <f t="shared" si="22"/>
        <v/>
      </c>
      <c r="AB245" s="63" t="str">
        <f>IF(AND(OR($A245="G",$A245="P"),NOT($O245="{array}")),IF(VLOOKUP($K245,base!$B$2:$D$20,3,0)="S",IF(OR($O245="",ISTEXT($O245)),"","STRING!"),IF(VLOOKUP($K245,base!$B$2:$D$20,3,0)="","",IF(ISTEXT($O245),"NUMERIC!",""))),"")</f>
        <v/>
      </c>
      <c r="AC245" s="17" t="str">
        <f>IF($AA245="","",IF($B245="I",VLOOKUP($AA245,#REF!,53,0),INDEX(VALUES!$B$1:$BR$1,1,$AA245)))</f>
        <v/>
      </c>
    </row>
    <row r="246" spans="1:29" x14ac:dyDescent="0.3">
      <c r="A246" s="22"/>
      <c r="B246" s="41" t="str">
        <f t="shared" si="20"/>
        <v/>
      </c>
      <c r="C246" s="42">
        <f t="shared" si="21"/>
        <v>245</v>
      </c>
      <c r="D246" s="38"/>
      <c r="E246" s="38"/>
      <c r="F246" s="38"/>
      <c r="G246" s="38"/>
      <c r="H246" s="38"/>
      <c r="I246" s="38" t="s">
        <v>9</v>
      </c>
      <c r="J246" s="38"/>
      <c r="K246" s="167" t="s">
        <v>47</v>
      </c>
      <c r="L246" s="168" t="s">
        <v>21</v>
      </c>
      <c r="M246" s="243"/>
      <c r="N246" s="167" t="s">
        <v>270</v>
      </c>
      <c r="O246" s="167" t="s">
        <v>270</v>
      </c>
      <c r="P246" s="161" t="s">
        <v>270</v>
      </c>
      <c r="Q246" s="172"/>
      <c r="R246" s="172" t="s">
        <v>103</v>
      </c>
      <c r="S246" s="172" t="s">
        <v>112</v>
      </c>
      <c r="T246" s="38"/>
      <c r="Z246" s="59" t="str">
        <f>IF(OR($M246="",NOT($O246="{array}")),"",IFERROR(MATCH(PARAMETERS!$M246,DEFAULT!$B$5:$CG$5,0),""))</f>
        <v/>
      </c>
      <c r="AA246" s="56" t="str">
        <f t="shared" si="22"/>
        <v/>
      </c>
      <c r="AB246" s="63" t="str">
        <f>IF(AND(OR($A246="G",$A246="P"),NOT($O246="{array}")),IF(VLOOKUP($K246,base!$B$2:$D$20,3,0)="S",IF(OR($O246="",ISTEXT($O246)),"","STRING!"),IF(VLOOKUP($K246,base!$B$2:$D$20,3,0)="","",IF(ISTEXT($O246),"NUMERIC!",""))),"")</f>
        <v/>
      </c>
      <c r="AC246" s="17" t="str">
        <f>IF($AA246="","",IF($B246="I",VLOOKUP($AA246,#REF!,53,0),INDEX(VALUES!$B$1:$BR$1,1,$AA246)))</f>
        <v/>
      </c>
    </row>
    <row r="247" spans="1:29" x14ac:dyDescent="0.3">
      <c r="A247" s="22"/>
      <c r="B247" s="41" t="str">
        <f t="shared" si="20"/>
        <v/>
      </c>
      <c r="C247" s="42">
        <f t="shared" si="21"/>
        <v>246</v>
      </c>
      <c r="D247" s="38"/>
      <c r="E247" s="38"/>
      <c r="F247" s="38"/>
      <c r="G247" s="38"/>
      <c r="H247" s="38"/>
      <c r="I247" s="38" t="s">
        <v>9</v>
      </c>
      <c r="J247" s="38"/>
      <c r="K247" s="167" t="s">
        <v>47</v>
      </c>
      <c r="L247" s="53" t="s">
        <v>32</v>
      </c>
      <c r="M247" s="243" t="s">
        <v>2195</v>
      </c>
      <c r="N247" s="167" t="s">
        <v>2196</v>
      </c>
      <c r="O247" s="161">
        <v>0</v>
      </c>
      <c r="Q247" s="172"/>
      <c r="R247" s="172" t="s">
        <v>103</v>
      </c>
      <c r="S247" s="172" t="s">
        <v>112</v>
      </c>
      <c r="T247" s="38"/>
      <c r="Z247" s="59" t="str">
        <f>IF(OR($M247="",NOT($O247="{array}")),"",IFERROR(MATCH(PARAMETERS!$M247,DEFAULT!$B$5:$CG$5,0),""))</f>
        <v/>
      </c>
      <c r="AA247" s="56" t="str">
        <f t="shared" si="22"/>
        <v/>
      </c>
      <c r="AB247" s="63" t="str">
        <f>IF(AND(OR($A247="G",$A247="P"),NOT($O247="{array}")),IF(VLOOKUP($K247,base!$B$2:$D$20,3,0)="S",IF(OR($O247="",ISTEXT($O247)),"","STRING!"),IF(VLOOKUP($K247,base!$B$2:$D$20,3,0)="","",IF(ISTEXT($O247),"NUMERIC!",""))),"")</f>
        <v/>
      </c>
      <c r="AC247" s="17" t="str">
        <f>IF($AA247="","",IF($B247="I",VLOOKUP($AA247,#REF!,53,0),INDEX(VALUES!$B$1:$BR$1,1,$AA247)))</f>
        <v/>
      </c>
    </row>
    <row r="248" spans="1:29" x14ac:dyDescent="0.3">
      <c r="A248" s="22"/>
      <c r="B248" s="41" t="str">
        <f t="shared" si="20"/>
        <v/>
      </c>
      <c r="C248" s="42">
        <f t="shared" si="21"/>
        <v>247</v>
      </c>
      <c r="D248" s="38"/>
      <c r="E248" s="38"/>
      <c r="F248" s="38"/>
      <c r="G248" s="38"/>
      <c r="H248" s="38"/>
      <c r="I248" s="38" t="s">
        <v>9</v>
      </c>
      <c r="J248" s="38"/>
      <c r="K248" s="167" t="s">
        <v>47</v>
      </c>
      <c r="L248" s="53" t="s">
        <v>32</v>
      </c>
      <c r="M248" s="254" t="s">
        <v>2197</v>
      </c>
      <c r="N248" s="167" t="s">
        <v>2198</v>
      </c>
      <c r="O248" s="161">
        <v>0</v>
      </c>
      <c r="Q248" s="172"/>
      <c r="R248" s="172" t="s">
        <v>103</v>
      </c>
      <c r="S248" s="172" t="s">
        <v>112</v>
      </c>
      <c r="T248" s="38"/>
      <c r="Z248" s="59" t="str">
        <f>IF(OR($M248="",NOT($O248="{array}")),"",IFERROR(MATCH(PARAMETERS!$M248,DEFAULT!$B$5:$CG$5,0),""))</f>
        <v/>
      </c>
      <c r="AA248" s="56" t="str">
        <f t="shared" si="22"/>
        <v/>
      </c>
      <c r="AB248" s="63" t="str">
        <f>IF(AND(OR($A248="G",$A248="P"),NOT($O248="{array}")),IF(VLOOKUP($K248,base!$B$2:$D$20,3,0)="S",IF(OR($O248="",ISTEXT($O248)),"","STRING!"),IF(VLOOKUP($K248,base!$B$2:$D$20,3,0)="","",IF(ISTEXT($O248),"NUMERIC!",""))),"")</f>
        <v/>
      </c>
      <c r="AC248" s="17" t="str">
        <f>IF($AA248="","",IF($B248="I",VLOOKUP($AA248,#REF!,53,0),INDEX(VALUES!$B$1:$BR$1,1,$AA248)))</f>
        <v/>
      </c>
    </row>
    <row r="249" spans="1:29" x14ac:dyDescent="0.3">
      <c r="A249" s="22"/>
      <c r="B249" s="41" t="str">
        <f t="shared" si="20"/>
        <v/>
      </c>
      <c r="C249" s="42">
        <f t="shared" si="21"/>
        <v>248</v>
      </c>
      <c r="D249" s="38"/>
      <c r="E249" s="38"/>
      <c r="F249" s="38"/>
      <c r="G249" s="38"/>
      <c r="H249" s="38"/>
      <c r="I249" s="38" t="s">
        <v>9</v>
      </c>
      <c r="J249" s="38"/>
      <c r="K249" s="167" t="s">
        <v>47</v>
      </c>
      <c r="L249" s="53" t="s">
        <v>32</v>
      </c>
      <c r="M249" s="243" t="s">
        <v>2199</v>
      </c>
      <c r="N249" s="167" t="s">
        <v>2200</v>
      </c>
      <c r="O249" s="161">
        <v>0</v>
      </c>
      <c r="Q249" s="172"/>
      <c r="R249" s="172" t="s">
        <v>103</v>
      </c>
      <c r="S249" s="172" t="s">
        <v>112</v>
      </c>
      <c r="T249" s="38"/>
      <c r="Z249" s="59" t="str">
        <f>IF(OR($M249="",NOT($O249="{array}")),"",IFERROR(MATCH(PARAMETERS!$M249,DEFAULT!$B$5:$CG$5,0),""))</f>
        <v/>
      </c>
      <c r="AA249" s="56" t="str">
        <f t="shared" si="22"/>
        <v/>
      </c>
      <c r="AB249" s="63" t="str">
        <f>IF(AND(OR($A249="G",$A249="P"),NOT($O249="{array}")),IF(VLOOKUP($K249,base!$B$2:$D$20,3,0)="S",IF(OR($O249="",ISTEXT($O249)),"","STRING!"),IF(VLOOKUP($K249,base!$B$2:$D$20,3,0)="","",IF(ISTEXT($O249),"NUMERIC!",""))),"")</f>
        <v/>
      </c>
      <c r="AC249" s="17" t="str">
        <f>IF($AA249="","",IF($B249="I",VLOOKUP($AA249,#REF!,53,0),INDEX(VALUES!$B$1:$BR$1,1,$AA249)))</f>
        <v/>
      </c>
    </row>
    <row r="250" spans="1:29" x14ac:dyDescent="0.3">
      <c r="A250" s="22"/>
      <c r="B250" s="41" t="str">
        <f t="shared" si="20"/>
        <v/>
      </c>
      <c r="C250" s="42">
        <f t="shared" si="21"/>
        <v>249</v>
      </c>
      <c r="D250" s="38"/>
      <c r="E250" s="38"/>
      <c r="F250" s="38"/>
      <c r="G250" s="38"/>
      <c r="H250" s="38"/>
      <c r="I250" s="38" t="s">
        <v>9</v>
      </c>
      <c r="J250" s="38"/>
      <c r="K250" s="167" t="s">
        <v>47</v>
      </c>
      <c r="L250" s="53" t="s">
        <v>32</v>
      </c>
      <c r="M250" s="243" t="s">
        <v>2201</v>
      </c>
      <c r="N250" s="167" t="s">
        <v>2202</v>
      </c>
      <c r="O250" s="161">
        <v>1</v>
      </c>
      <c r="Q250" s="172"/>
      <c r="R250" s="172" t="s">
        <v>103</v>
      </c>
      <c r="S250" s="172" t="s">
        <v>112</v>
      </c>
      <c r="T250" s="38"/>
      <c r="Z250" s="59" t="str">
        <f>IF(OR($M250="",NOT($O250="{array}")),"",IFERROR(MATCH(PARAMETERS!$M250,DEFAULT!$B$5:$CG$5,0),""))</f>
        <v/>
      </c>
      <c r="AA250" s="56" t="str">
        <f t="shared" si="22"/>
        <v/>
      </c>
      <c r="AB250" s="63" t="str">
        <f>IF(AND(OR($A250="G",$A250="P"),NOT($O250="{array}")),IF(VLOOKUP($K250,base!$B$2:$D$20,3,0)="S",IF(OR($O250="",ISTEXT($O250)),"","STRING!"),IF(VLOOKUP($K250,base!$B$2:$D$20,3,0)="","",IF(ISTEXT($O250),"NUMERIC!",""))),"")</f>
        <v/>
      </c>
      <c r="AC250" s="17" t="str">
        <f>IF($AA250="","",IF($B250="I",VLOOKUP($AA250,#REF!,53,0),INDEX(VALUES!$B$1:$BR$1,1,$AA250)))</f>
        <v/>
      </c>
    </row>
    <row r="251" spans="1:29" x14ac:dyDescent="0.3">
      <c r="A251" s="22"/>
      <c r="B251" s="41" t="str">
        <f t="shared" si="20"/>
        <v/>
      </c>
      <c r="C251" s="42">
        <f t="shared" si="21"/>
        <v>250</v>
      </c>
      <c r="D251" s="38"/>
      <c r="E251" s="38"/>
      <c r="F251" s="38"/>
      <c r="G251" s="38"/>
      <c r="H251" s="38"/>
      <c r="I251" s="38" t="s">
        <v>9</v>
      </c>
      <c r="J251" s="38"/>
      <c r="K251" s="167" t="s">
        <v>47</v>
      </c>
      <c r="L251" s="53" t="s">
        <v>32</v>
      </c>
      <c r="M251" s="243" t="s">
        <v>2203</v>
      </c>
      <c r="N251" s="167" t="s">
        <v>2204</v>
      </c>
      <c r="O251" s="161">
        <v>1</v>
      </c>
      <c r="Q251" s="172"/>
      <c r="R251" s="172" t="s">
        <v>103</v>
      </c>
      <c r="S251" s="172" t="s">
        <v>112</v>
      </c>
      <c r="T251" s="38"/>
      <c r="Z251" s="59" t="str">
        <f>IF(OR($M251="",NOT($O251="{array}")),"",IFERROR(MATCH(PARAMETERS!$M251,DEFAULT!$B$5:$CG$5,0),""))</f>
        <v/>
      </c>
      <c r="AA251" s="56" t="str">
        <f t="shared" si="22"/>
        <v/>
      </c>
      <c r="AB251" s="63" t="str">
        <f>IF(AND(OR($A251="G",$A251="P"),NOT($O251="{array}")),IF(VLOOKUP($K251,base!$B$2:$D$20,3,0)="S",IF(OR($O251="",ISTEXT($O251)),"","STRING!"),IF(VLOOKUP($K251,base!$B$2:$D$20,3,0)="","",IF(ISTEXT($O251),"NUMERIC!",""))),"")</f>
        <v/>
      </c>
      <c r="AC251" s="17" t="str">
        <f>IF($AA251="","",IF($B251="I",VLOOKUP($AA251,#REF!,53,0),INDEX(VALUES!$B$1:$BR$1,1,$AA251)))</f>
        <v/>
      </c>
    </row>
    <row r="252" spans="1:29" x14ac:dyDescent="0.3">
      <c r="A252" s="22"/>
      <c r="B252" s="41" t="str">
        <f t="shared" si="20"/>
        <v/>
      </c>
      <c r="C252" s="42">
        <f t="shared" si="21"/>
        <v>251</v>
      </c>
      <c r="D252" s="38"/>
      <c r="E252" s="38"/>
      <c r="F252" s="38"/>
      <c r="G252" s="38"/>
      <c r="H252" s="38"/>
      <c r="I252" s="38"/>
      <c r="J252" s="38"/>
      <c r="K252" s="167"/>
      <c r="L252" s="53"/>
      <c r="M252" s="243"/>
      <c r="N252" s="167"/>
      <c r="O252" s="161"/>
      <c r="Q252" s="172"/>
      <c r="R252" s="172"/>
      <c r="S252" s="172"/>
      <c r="T252" s="38"/>
      <c r="Z252" s="59" t="str">
        <f>IF(OR($M252="",NOT($O252="{array}")),"",IFERROR(MATCH(PARAMETERS!$M252,DEFAULT!$B$5:$CG$5,0),""))</f>
        <v/>
      </c>
      <c r="AA252" s="56" t="str">
        <f t="shared" si="22"/>
        <v/>
      </c>
      <c r="AB252" s="63" t="str">
        <f>IF(AND(OR($A252="G",$A252="P"),NOT($O252="{array}")),IF(VLOOKUP($K252,base!$B$2:$D$20,3,0)="S",IF(OR($O252="",ISTEXT($O252)),"","STRING!"),IF(VLOOKUP($K252,base!$B$2:$D$20,3,0)="","",IF(ISTEXT($O252),"NUMERIC!",""))),"")</f>
        <v/>
      </c>
      <c r="AC252" s="17" t="str">
        <f>IF($AA252="","",IF($B252="I",VLOOKUP($AA252,#REF!,53,0),INDEX(VALUES!$B$1:$BR$1,1,$AA252)))</f>
        <v/>
      </c>
    </row>
    <row r="253" spans="1:29" x14ac:dyDescent="0.3">
      <c r="A253" s="22"/>
      <c r="B253" s="41" t="str">
        <f t="shared" si="20"/>
        <v/>
      </c>
      <c r="C253" s="42">
        <f t="shared" si="21"/>
        <v>252</v>
      </c>
      <c r="D253" s="38"/>
      <c r="E253" s="38"/>
      <c r="F253" s="38"/>
      <c r="G253" s="38"/>
      <c r="H253" s="38"/>
      <c r="I253" s="38" t="s">
        <v>9</v>
      </c>
      <c r="J253" s="38"/>
      <c r="K253" s="167" t="s">
        <v>47</v>
      </c>
      <c r="L253" s="53" t="s">
        <v>32</v>
      </c>
      <c r="M253" s="243" t="s">
        <v>2205</v>
      </c>
      <c r="N253" s="167" t="s">
        <v>2206</v>
      </c>
      <c r="O253" s="161">
        <v>0</v>
      </c>
      <c r="Q253" s="172"/>
      <c r="R253" s="172" t="s">
        <v>103</v>
      </c>
      <c r="S253" s="172" t="s">
        <v>112</v>
      </c>
      <c r="T253" s="38"/>
      <c r="Z253" s="59" t="str">
        <f>IF(OR($M253="",NOT($O253="{array}")),"",IFERROR(MATCH(PARAMETERS!$M253,DEFAULT!$B$5:$CG$5,0),""))</f>
        <v/>
      </c>
      <c r="AA253" s="56" t="str">
        <f t="shared" si="22"/>
        <v/>
      </c>
      <c r="AB253" s="63" t="str">
        <f>IF(AND(OR($A253="G",$A253="P"),NOT($O253="{array}")),IF(VLOOKUP($K253,base!$B$2:$D$20,3,0)="S",IF(OR($O253="",ISTEXT($O253)),"","STRING!"),IF(VLOOKUP($K253,base!$B$2:$D$20,3,0)="","",IF(ISTEXT($O253),"NUMERIC!",""))),"")</f>
        <v/>
      </c>
      <c r="AC253" s="17" t="str">
        <f>IF($AA253="","",IF($B253="I",VLOOKUP($AA253,#REF!,53,0),INDEX(VALUES!$B$1:$BR$1,1,$AA253)))</f>
        <v/>
      </c>
    </row>
    <row r="254" spans="1:29" x14ac:dyDescent="0.3">
      <c r="A254" s="22"/>
      <c r="B254" s="41" t="str">
        <f t="shared" si="20"/>
        <v/>
      </c>
      <c r="C254" s="42">
        <f t="shared" si="21"/>
        <v>253</v>
      </c>
      <c r="D254" s="38"/>
      <c r="E254" s="38"/>
      <c r="F254" s="38"/>
      <c r="G254" s="38"/>
      <c r="H254" s="38"/>
      <c r="I254" s="38" t="s">
        <v>9</v>
      </c>
      <c r="J254" s="38"/>
      <c r="K254" s="167" t="s">
        <v>18</v>
      </c>
      <c r="L254" s="168" t="s">
        <v>21</v>
      </c>
      <c r="M254" s="243" t="s">
        <v>2207</v>
      </c>
      <c r="N254" s="167" t="s">
        <v>2208</v>
      </c>
      <c r="O254" s="167" t="s">
        <v>270</v>
      </c>
      <c r="P254" s="161" t="s">
        <v>270</v>
      </c>
      <c r="Q254" s="172"/>
      <c r="R254" s="172" t="s">
        <v>103</v>
      </c>
      <c r="S254" s="172" t="s">
        <v>112</v>
      </c>
      <c r="T254" s="38"/>
      <c r="Z254" s="59" t="str">
        <f>IF(OR($M254="",NOT($O254="{array}")),"",IFERROR(MATCH(PARAMETERS!$M254,DEFAULT!$B$5:$CG$5,0),""))</f>
        <v/>
      </c>
      <c r="AA254" s="56" t="str">
        <f t="shared" si="22"/>
        <v/>
      </c>
      <c r="AB254" s="63" t="str">
        <f>IF(AND(OR($A254="G",$A254="P"),NOT($O254="{array}")),IF(VLOOKUP($K254,base!$B$2:$D$20,3,0)="S",IF(OR($O254="",ISTEXT($O254)),"","STRING!"),IF(VLOOKUP($K254,base!$B$2:$D$20,3,0)="","",IF(ISTEXT($O254),"NUMERIC!",""))),"")</f>
        <v/>
      </c>
      <c r="AC254" s="17" t="str">
        <f>IF($AA254="","",IF($B254="I",VLOOKUP($AA254,#REF!,53,0),INDEX(VALUES!$B$1:$BR$1,1,$AA254)))</f>
        <v/>
      </c>
    </row>
    <row r="255" spans="1:29" x14ac:dyDescent="0.3">
      <c r="A255" s="22"/>
      <c r="B255" s="41" t="str">
        <f t="shared" si="20"/>
        <v/>
      </c>
      <c r="C255" s="42">
        <f t="shared" si="21"/>
        <v>254</v>
      </c>
      <c r="D255" s="38"/>
      <c r="E255" s="38"/>
      <c r="F255" s="38"/>
      <c r="G255" s="38"/>
      <c r="H255" s="38"/>
      <c r="I255" s="38" t="s">
        <v>9</v>
      </c>
      <c r="J255" s="38"/>
      <c r="K255" s="167" t="s">
        <v>18</v>
      </c>
      <c r="L255" s="53" t="s">
        <v>32</v>
      </c>
      <c r="M255" s="243" t="s">
        <v>2209</v>
      </c>
      <c r="N255" s="167" t="s">
        <v>2210</v>
      </c>
      <c r="O255" s="167" t="s">
        <v>2067</v>
      </c>
      <c r="P255" s="161" t="s">
        <v>270</v>
      </c>
      <c r="Q255" s="172"/>
      <c r="R255" s="172" t="s">
        <v>103</v>
      </c>
      <c r="S255" s="172" t="s">
        <v>112</v>
      </c>
      <c r="T255" s="38"/>
      <c r="Z255" s="59" t="str">
        <f>IF(OR($M255="",NOT($O255="{array}")),"",IFERROR(MATCH(PARAMETERS!$M255,DEFAULT!$B$5:$CG$5,0),""))</f>
        <v/>
      </c>
      <c r="AA255" s="56" t="str">
        <f t="shared" si="22"/>
        <v/>
      </c>
      <c r="AB255" s="63" t="str">
        <f>IF(AND(OR($A255="G",$A255="P"),NOT($O255="{array}")),IF(VLOOKUP($K255,base!$B$2:$D$20,3,0)="S",IF(OR($O255="",ISTEXT($O255)),"","STRING!"),IF(VLOOKUP($K255,base!$B$2:$D$20,3,0)="","",IF(ISTEXT($O255),"NUMERIC!",""))),"")</f>
        <v/>
      </c>
      <c r="AC255" s="17" t="str">
        <f>IF($AA255="","",IF($B255="I",VLOOKUP($AA255,#REF!,53,0),INDEX(VALUES!$B$1:$BR$1,1,$AA255)))</f>
        <v/>
      </c>
    </row>
    <row r="256" spans="1:29" x14ac:dyDescent="0.3">
      <c r="A256" s="22"/>
      <c r="B256" s="41" t="str">
        <f t="shared" si="20"/>
        <v/>
      </c>
      <c r="C256" s="42">
        <f t="shared" si="21"/>
        <v>255</v>
      </c>
      <c r="D256" s="38"/>
      <c r="E256" s="38"/>
      <c r="F256" s="38"/>
      <c r="G256" s="38"/>
      <c r="H256" s="38"/>
      <c r="I256" s="38" t="s">
        <v>9</v>
      </c>
      <c r="J256" s="38"/>
      <c r="K256" s="167" t="s">
        <v>18</v>
      </c>
      <c r="L256" s="53" t="s">
        <v>32</v>
      </c>
      <c r="M256" s="243" t="s">
        <v>2211</v>
      </c>
      <c r="N256" s="167" t="s">
        <v>2212</v>
      </c>
      <c r="O256" s="167" t="s">
        <v>2067</v>
      </c>
      <c r="P256" s="161" t="s">
        <v>270</v>
      </c>
      <c r="Q256" s="172"/>
      <c r="R256" s="172" t="s">
        <v>103</v>
      </c>
      <c r="S256" s="172" t="s">
        <v>112</v>
      </c>
      <c r="T256" s="38"/>
      <c r="Z256" s="59" t="str">
        <f>IF(OR($M256="",NOT($O256="{array}")),"",IFERROR(MATCH(PARAMETERS!$M256,DEFAULT!$B$5:$CG$5,0),""))</f>
        <v/>
      </c>
      <c r="AA256" s="56" t="str">
        <f t="shared" si="22"/>
        <v/>
      </c>
      <c r="AB256" s="63" t="str">
        <f>IF(AND(OR($A256="G",$A256="P"),NOT($O256="{array}")),IF(VLOOKUP($K256,base!$B$2:$D$20,3,0)="S",IF(OR($O256="",ISTEXT($O256)),"","STRING!"),IF(VLOOKUP($K256,base!$B$2:$D$20,3,0)="","",IF(ISTEXT($O256),"NUMERIC!",""))),"")</f>
        <v/>
      </c>
      <c r="AC256" s="17" t="str">
        <f>IF($AA256="","",IF($B256="I",VLOOKUP($AA256,#REF!,53,0),INDEX(VALUES!$B$1:$BR$1,1,$AA256)))</f>
        <v/>
      </c>
    </row>
    <row r="257" spans="1:29" x14ac:dyDescent="0.3">
      <c r="A257" s="22"/>
      <c r="B257" s="41" t="str">
        <f t="shared" si="20"/>
        <v/>
      </c>
      <c r="C257" s="42">
        <f t="shared" si="21"/>
        <v>256</v>
      </c>
      <c r="D257" s="38"/>
      <c r="E257" s="38"/>
      <c r="F257" s="38"/>
      <c r="G257" s="38"/>
      <c r="H257" s="38"/>
      <c r="I257" s="38" t="s">
        <v>9</v>
      </c>
      <c r="J257" s="38"/>
      <c r="K257" s="167" t="s">
        <v>18</v>
      </c>
      <c r="L257" s="168" t="s">
        <v>21</v>
      </c>
      <c r="M257" s="243"/>
      <c r="N257" s="167" t="s">
        <v>270</v>
      </c>
      <c r="O257" s="167" t="s">
        <v>270</v>
      </c>
      <c r="P257" s="161" t="s">
        <v>270</v>
      </c>
      <c r="Q257" s="172"/>
      <c r="R257" s="172" t="s">
        <v>103</v>
      </c>
      <c r="S257" s="172" t="s">
        <v>112</v>
      </c>
      <c r="T257" s="38"/>
      <c r="Z257" s="59" t="str">
        <f>IF(OR($M257="",NOT($O257="{array}")),"",IFERROR(MATCH(PARAMETERS!$M257,DEFAULT!$B$5:$CG$5,0),""))</f>
        <v/>
      </c>
      <c r="AA257" s="56" t="str">
        <f t="shared" si="22"/>
        <v/>
      </c>
      <c r="AB257" s="63" t="str">
        <f>IF(AND(OR($A257="G",$A257="P"),NOT($O257="{array}")),IF(VLOOKUP($K257,base!$B$2:$D$20,3,0)="S",IF(OR($O257="",ISTEXT($O257)),"","STRING!"),IF(VLOOKUP($K257,base!$B$2:$D$20,3,0)="","",IF(ISTEXT($O257),"NUMERIC!",""))),"")</f>
        <v/>
      </c>
      <c r="AC257" s="17" t="str">
        <f>IF($AA257="","",IF($B257="I",VLOOKUP($AA257,#REF!,53,0),INDEX(VALUES!$B$1:$BR$1,1,$AA257)))</f>
        <v/>
      </c>
    </row>
    <row r="258" spans="1:29" x14ac:dyDescent="0.3">
      <c r="A258" s="22"/>
      <c r="B258" s="41" t="str">
        <f t="shared" si="20"/>
        <v/>
      </c>
      <c r="C258" s="42">
        <f t="shared" si="21"/>
        <v>257</v>
      </c>
      <c r="D258" s="38"/>
      <c r="E258" s="38"/>
      <c r="F258" s="38"/>
      <c r="G258" s="38"/>
      <c r="H258" s="38"/>
      <c r="I258" s="38" t="s">
        <v>9</v>
      </c>
      <c r="J258" s="38"/>
      <c r="K258" s="167" t="s">
        <v>18</v>
      </c>
      <c r="L258" s="168" t="s">
        <v>21</v>
      </c>
      <c r="M258" s="243"/>
      <c r="N258" s="167" t="s">
        <v>270</v>
      </c>
      <c r="O258" s="167" t="s">
        <v>270</v>
      </c>
      <c r="P258" s="161" t="s">
        <v>270</v>
      </c>
      <c r="Q258" s="172"/>
      <c r="R258" s="172" t="s">
        <v>103</v>
      </c>
      <c r="S258" s="172" t="s">
        <v>112</v>
      </c>
      <c r="T258" s="38"/>
      <c r="Z258" s="59" t="str">
        <f>IF(OR($M258="",NOT($O258="{array}")),"",IFERROR(MATCH(PARAMETERS!$M258,DEFAULT!$B$5:$CG$5,0),""))</f>
        <v/>
      </c>
      <c r="AA258" s="56" t="str">
        <f t="shared" si="22"/>
        <v/>
      </c>
      <c r="AB258" s="63" t="str">
        <f>IF(AND(OR($A258="G",$A258="P"),NOT($O258="{array}")),IF(VLOOKUP($K258,base!$B$2:$D$20,3,0)="S",IF(OR($O258="",ISTEXT($O258)),"","STRING!"),IF(VLOOKUP($K258,base!$B$2:$D$20,3,0)="","",IF(ISTEXT($O258),"NUMERIC!",""))),"")</f>
        <v/>
      </c>
      <c r="AC258" s="17" t="str">
        <f>IF($AA258="","",IF($B258="I",VLOOKUP($AA258,#REF!,53,0),INDEX(VALUES!$B$1:$BR$1,1,$AA258)))</f>
        <v/>
      </c>
    </row>
    <row r="259" spans="1:29" x14ac:dyDescent="0.3">
      <c r="A259" s="22"/>
      <c r="B259" s="41" t="str">
        <f t="shared" si="20"/>
        <v/>
      </c>
      <c r="C259" s="42">
        <f t="shared" si="21"/>
        <v>258</v>
      </c>
      <c r="D259" s="38"/>
      <c r="E259" s="38"/>
      <c r="F259" s="38"/>
      <c r="G259" s="38"/>
      <c r="H259" s="38"/>
      <c r="I259" s="38" t="s">
        <v>9</v>
      </c>
      <c r="J259" s="38"/>
      <c r="K259" s="167" t="s">
        <v>18</v>
      </c>
      <c r="L259" s="168" t="s">
        <v>21</v>
      </c>
      <c r="M259" s="243"/>
      <c r="N259" s="167" t="s">
        <v>270</v>
      </c>
      <c r="O259" s="167" t="s">
        <v>270</v>
      </c>
      <c r="P259" s="161" t="s">
        <v>270</v>
      </c>
      <c r="Q259" s="172"/>
      <c r="R259" s="172" t="s">
        <v>103</v>
      </c>
      <c r="S259" s="172" t="s">
        <v>112</v>
      </c>
      <c r="T259" s="38"/>
      <c r="Z259" s="59" t="str">
        <f>IF(OR($M259="",NOT($O259="{array}")),"",IFERROR(MATCH(PARAMETERS!$M259,DEFAULT!$B$5:$CG$5,0),""))</f>
        <v/>
      </c>
      <c r="AA259" s="56" t="str">
        <f t="shared" si="22"/>
        <v/>
      </c>
      <c r="AB259" s="63" t="str">
        <f>IF(AND(OR($A259="G",$A259="P"),NOT($O259="{array}")),IF(VLOOKUP($K259,base!$B$2:$D$20,3,0)="S",IF(OR($O259="",ISTEXT($O259)),"","STRING!"),IF(VLOOKUP($K259,base!$B$2:$D$20,3,0)="","",IF(ISTEXT($O259),"NUMERIC!",""))),"")</f>
        <v/>
      </c>
      <c r="AC259" s="17" t="str">
        <f>IF($AA259="","",IF($B259="I",VLOOKUP($AA259,#REF!,53,0),INDEX(VALUES!$B$1:$BR$1,1,$AA259)))</f>
        <v/>
      </c>
    </row>
    <row r="260" spans="1:29" x14ac:dyDescent="0.3">
      <c r="A260" s="22"/>
      <c r="B260" s="41" t="str">
        <f t="shared" si="20"/>
        <v/>
      </c>
      <c r="C260" s="42">
        <f t="shared" si="21"/>
        <v>259</v>
      </c>
      <c r="D260" s="38"/>
      <c r="E260" s="38"/>
      <c r="F260" s="38"/>
      <c r="G260" s="38"/>
      <c r="H260" s="38"/>
      <c r="I260" s="38" t="s">
        <v>9</v>
      </c>
      <c r="J260" s="38"/>
      <c r="K260" s="160" t="s">
        <v>18</v>
      </c>
      <c r="L260" s="168" t="s">
        <v>21</v>
      </c>
      <c r="M260" s="254" t="s">
        <v>2213</v>
      </c>
      <c r="N260" s="167" t="s">
        <v>2214</v>
      </c>
      <c r="O260" s="167" t="s">
        <v>2065</v>
      </c>
      <c r="P260" s="161" t="s">
        <v>270</v>
      </c>
      <c r="Q260" s="179" t="s">
        <v>9</v>
      </c>
      <c r="R260" s="172" t="s">
        <v>103</v>
      </c>
      <c r="S260" s="172" t="s">
        <v>112</v>
      </c>
      <c r="T260" s="38"/>
      <c r="Z260" s="59" t="str">
        <f>IF(OR($M260="",NOT($O260="{array}")),"",IFERROR(MATCH(PARAMETERS!$M260,DEFAULT!$B$5:$CG$5,0),""))</f>
        <v/>
      </c>
      <c r="AA260" s="56" t="str">
        <f t="shared" si="22"/>
        <v/>
      </c>
      <c r="AB260" s="63" t="str">
        <f>IF(AND(OR($A260="G",$A260="P"),NOT($O260="{array}")),IF(VLOOKUP($K260,base!$B$2:$D$20,3,0)="S",IF(OR($O260="",ISTEXT($O260)),"","STRING!"),IF(VLOOKUP($K260,base!$B$2:$D$20,3,0)="","",IF(ISTEXT($O260),"NUMERIC!",""))),"")</f>
        <v/>
      </c>
      <c r="AC260" s="17" t="str">
        <f>IF($AA260="","",IF($B260="I",VLOOKUP($AA260,#REF!,53,0),INDEX(VALUES!$B$1:$BR$1,1,$AA260)))</f>
        <v/>
      </c>
    </row>
    <row r="261" spans="1:29" x14ac:dyDescent="0.3">
      <c r="A261" s="22"/>
      <c r="B261" s="41" t="str">
        <f t="shared" si="20"/>
        <v/>
      </c>
      <c r="C261" s="42">
        <f t="shared" si="21"/>
        <v>260</v>
      </c>
      <c r="D261" s="38"/>
      <c r="E261" s="38"/>
      <c r="F261" s="38"/>
      <c r="G261" s="38"/>
      <c r="H261" s="38"/>
      <c r="I261" s="38" t="s">
        <v>9</v>
      </c>
      <c r="J261" s="38"/>
      <c r="K261" s="160" t="s">
        <v>18</v>
      </c>
      <c r="L261" s="168" t="s">
        <v>21</v>
      </c>
      <c r="M261" s="243" t="s">
        <v>2215</v>
      </c>
      <c r="N261" s="167" t="s">
        <v>2216</v>
      </c>
      <c r="O261" s="167" t="s">
        <v>2065</v>
      </c>
      <c r="P261" s="161" t="s">
        <v>270</v>
      </c>
      <c r="Q261" s="179" t="s">
        <v>9</v>
      </c>
      <c r="R261" s="172" t="s">
        <v>103</v>
      </c>
      <c r="S261" s="172" t="s">
        <v>112</v>
      </c>
      <c r="T261" s="38"/>
      <c r="Z261" s="59" t="str">
        <f>IF(OR($M261="",NOT($O261="{array}")),"",IFERROR(MATCH(PARAMETERS!$M261,DEFAULT!$B$5:$CG$5,0),""))</f>
        <v/>
      </c>
      <c r="AA261" s="56" t="str">
        <f t="shared" si="22"/>
        <v/>
      </c>
      <c r="AB261" s="63" t="str">
        <f>IF(AND(OR($A261="G",$A261="P"),NOT($O261="{array}")),IF(VLOOKUP($K261,base!$B$2:$D$20,3,0)="S",IF(OR($O261="",ISTEXT($O261)),"","STRING!"),IF(VLOOKUP($K261,base!$B$2:$D$20,3,0)="","",IF(ISTEXT($O261),"NUMERIC!",""))),"")</f>
        <v/>
      </c>
      <c r="AC261" s="17" t="str">
        <f>IF($AA261="","",IF($B261="I",VLOOKUP($AA261,#REF!,53,0),INDEX(VALUES!$B$1:$BR$1,1,$AA261)))</f>
        <v/>
      </c>
    </row>
    <row r="262" spans="1:29" x14ac:dyDescent="0.3">
      <c r="A262" s="22"/>
      <c r="B262" s="41" t="str">
        <f t="shared" si="20"/>
        <v/>
      </c>
      <c r="C262" s="42">
        <f t="shared" si="21"/>
        <v>261</v>
      </c>
      <c r="D262" s="38"/>
      <c r="E262" s="38"/>
      <c r="F262" s="38"/>
      <c r="G262" s="38"/>
      <c r="H262" s="38"/>
      <c r="I262" s="38" t="s">
        <v>9</v>
      </c>
      <c r="J262" s="38"/>
      <c r="K262" s="160" t="s">
        <v>18</v>
      </c>
      <c r="L262" s="168" t="s">
        <v>21</v>
      </c>
      <c r="M262" s="254" t="s">
        <v>2217</v>
      </c>
      <c r="N262" s="160" t="s">
        <v>2218</v>
      </c>
      <c r="O262" s="167" t="s">
        <v>2079</v>
      </c>
      <c r="P262" s="161" t="s">
        <v>270</v>
      </c>
      <c r="Q262" s="179" t="s">
        <v>9</v>
      </c>
      <c r="R262" s="172" t="s">
        <v>103</v>
      </c>
      <c r="S262" s="172" t="s">
        <v>112</v>
      </c>
      <c r="T262" s="38"/>
      <c r="Z262" s="59" t="str">
        <f>IF(OR($M262="",NOT($O262="{array}")),"",IFERROR(MATCH(PARAMETERS!$M262,DEFAULT!$B$5:$CG$5,0),""))</f>
        <v/>
      </c>
      <c r="AA262" s="56" t="str">
        <f t="shared" si="22"/>
        <v/>
      </c>
      <c r="AB262" s="63" t="str">
        <f>IF(AND(OR($A262="G",$A262="P"),NOT($O262="{array}")),IF(VLOOKUP($K262,base!$B$2:$D$20,3,0)="S",IF(OR($O262="",ISTEXT($O262)),"","STRING!"),IF(VLOOKUP($K262,base!$B$2:$D$20,3,0)="","",IF(ISTEXT($O262),"NUMERIC!",""))),"")</f>
        <v/>
      </c>
      <c r="AC262" s="17" t="str">
        <f>IF($AA262="","",IF($B262="I",VLOOKUP($AA262,#REF!,53,0),INDEX(VALUES!$B$1:$BR$1,1,$AA262)))</f>
        <v/>
      </c>
    </row>
    <row r="263" spans="1:29" x14ac:dyDescent="0.3">
      <c r="A263" s="22"/>
      <c r="B263" s="41" t="str">
        <f t="shared" si="20"/>
        <v/>
      </c>
      <c r="C263" s="42">
        <f t="shared" si="21"/>
        <v>262</v>
      </c>
      <c r="D263" s="38"/>
      <c r="E263" s="38"/>
      <c r="F263" s="38"/>
      <c r="G263" s="38"/>
      <c r="H263" s="38"/>
      <c r="I263" s="38" t="s">
        <v>9</v>
      </c>
      <c r="J263" s="38"/>
      <c r="K263" s="167" t="s">
        <v>18</v>
      </c>
      <c r="L263" s="168" t="s">
        <v>21</v>
      </c>
      <c r="M263" s="243" t="s">
        <v>2219</v>
      </c>
      <c r="N263" s="160" t="s">
        <v>2220</v>
      </c>
      <c r="O263" s="167" t="s">
        <v>2079</v>
      </c>
      <c r="P263" s="161" t="s">
        <v>270</v>
      </c>
      <c r="Q263" s="172" t="s">
        <v>9</v>
      </c>
      <c r="R263" s="172" t="s">
        <v>103</v>
      </c>
      <c r="S263" s="172" t="s">
        <v>112</v>
      </c>
      <c r="T263" s="38"/>
      <c r="Z263" s="59" t="str">
        <f>IF(OR($M263="",NOT($O263="{array}")),"",IFERROR(MATCH(PARAMETERS!$M263,DEFAULT!$B$5:$CG$5,0),""))</f>
        <v/>
      </c>
      <c r="AA263" s="56" t="str">
        <f t="shared" si="22"/>
        <v/>
      </c>
      <c r="AB263" s="63" t="str">
        <f>IF(AND(OR($A263="G",$A263="P"),NOT($O263="{array}")),IF(VLOOKUP($K263,base!$B$2:$D$20,3,0)="S",IF(OR($O263="",ISTEXT($O263)),"","STRING!"),IF(VLOOKUP($K263,base!$B$2:$D$20,3,0)="","",IF(ISTEXT($O263),"NUMERIC!",""))),"")</f>
        <v/>
      </c>
      <c r="AC263" s="17" t="str">
        <f>IF($AA263="","",IF($B263="I",VLOOKUP($AA263,#REF!,53,0),INDEX(VALUES!$B$1:$BR$1,1,$AA263)))</f>
        <v/>
      </c>
    </row>
    <row r="264" spans="1:29" x14ac:dyDescent="0.3">
      <c r="A264" s="22"/>
      <c r="B264" s="41" t="str">
        <f t="shared" si="20"/>
        <v/>
      </c>
      <c r="C264" s="42">
        <f t="shared" si="21"/>
        <v>263</v>
      </c>
      <c r="D264" s="38"/>
      <c r="E264" s="38"/>
      <c r="F264" s="38"/>
      <c r="G264" s="38"/>
      <c r="H264" s="38"/>
      <c r="I264" s="38"/>
      <c r="J264" s="38"/>
      <c r="R264" s="38"/>
      <c r="S264" s="38"/>
      <c r="T264" s="38"/>
      <c r="Z264" s="59" t="str">
        <f>IF(OR($M264="",NOT($O264="{array}")),"",IFERROR(MATCH(PARAMETERS!$M264,DEFAULT!$B$5:$CG$5,0),""))</f>
        <v/>
      </c>
      <c r="AA264" s="56" t="str">
        <f t="shared" si="22"/>
        <v/>
      </c>
      <c r="AB264" s="63" t="str">
        <f>IF(AND(OR($A264="G",$A264="P"),NOT($O264="{array}")),IF(VLOOKUP($K264,base!$B$2:$D$20,3,0)="S",IF(OR($O264="",ISTEXT($O264)),"","STRING!"),IF(VLOOKUP($K264,base!$B$2:$D$20,3,0)="","",IF(ISTEXT($O264),"NUMERIC!",""))),"")</f>
        <v/>
      </c>
      <c r="AC264" s="17" t="str">
        <f>IF($AA264="","",IF($B264="I",VLOOKUP($AA264,#REF!,53,0),INDEX(VALUES!$B$1:$BR$1,1,$AA264)))</f>
        <v/>
      </c>
    </row>
    <row r="265" spans="1:29" x14ac:dyDescent="0.3">
      <c r="A265" s="22" t="s">
        <v>84</v>
      </c>
      <c r="B265" s="41" t="str">
        <f t="shared" si="20"/>
        <v/>
      </c>
      <c r="C265" s="42">
        <f t="shared" ref="C265:C294" si="23">(ROW()-1)</f>
        <v>264</v>
      </c>
      <c r="D265" s="38"/>
      <c r="E265" s="38"/>
      <c r="F265" s="38"/>
      <c r="G265" s="38"/>
      <c r="H265" s="38"/>
      <c r="I265" s="38"/>
      <c r="J265" s="38"/>
      <c r="K265" s="14" t="s">
        <v>57</v>
      </c>
      <c r="L265" s="14" t="s">
        <v>38</v>
      </c>
      <c r="M265" s="48" t="s">
        <v>892</v>
      </c>
      <c r="N265" s="41" t="s">
        <v>893</v>
      </c>
      <c r="R265" s="38" t="s">
        <v>103</v>
      </c>
      <c r="S265" s="38"/>
      <c r="T265" s="38"/>
      <c r="W265" s="15" t="str">
        <f>IF(IFERROR(VLOOKUP($M265,'IMPORT GS-Tür OL FL 2S2 20'!$H$2:$H$847,1,0),"-")="-","","GS")</f>
        <v/>
      </c>
      <c r="Z265" s="59" t="str">
        <f>IF(OR($M265="",NOT($O265="{array}")),"",IFERROR(MATCH(PARAMETERS!$M265,DEFAULT!$B$5:$CG$5,0),""))</f>
        <v/>
      </c>
      <c r="AA265" s="56" t="str">
        <f t="shared" si="22"/>
        <v/>
      </c>
      <c r="AB265" s="63" t="str">
        <f>IF(AND(OR($A265="G",$A265="P"),NOT($O265="{array}")),IF(VLOOKUP($K265,base!$B$2:$D$20,3,0)="S",IF(OR($O265="",ISTEXT($O265)),"","STRING!"),IF(VLOOKUP($K265,base!$B$2:$D$20,3,0)="","",IF(ISTEXT($O265),"NUMERIC!",""))),"")</f>
        <v/>
      </c>
      <c r="AC265" s="17" t="str">
        <f>IF($AA265="","",IF($B265="I",VLOOKUP($AA265,#REF!,53,0),INDEX(VALUES!$B$1:$BR$1,1,$AA265)))</f>
        <v/>
      </c>
    </row>
    <row r="266" spans="1:29" hidden="1" outlineLevel="1" x14ac:dyDescent="0.25">
      <c r="A266" s="22" t="s">
        <v>84</v>
      </c>
      <c r="B266" s="41" t="str">
        <f t="shared" si="20"/>
        <v/>
      </c>
      <c r="C266" s="42">
        <f t="shared" si="23"/>
        <v>265</v>
      </c>
      <c r="D266" s="38"/>
      <c r="E266" s="38"/>
      <c r="F266" s="38"/>
      <c r="G266" s="38"/>
      <c r="H266" s="38"/>
      <c r="I266" s="38" t="s">
        <v>9</v>
      </c>
      <c r="J266" s="38"/>
      <c r="K266" s="53" t="s">
        <v>18</v>
      </c>
      <c r="L266" s="53" t="s">
        <v>32</v>
      </c>
      <c r="M266" s="53" t="s">
        <v>894</v>
      </c>
      <c r="N266" s="53" t="s">
        <v>895</v>
      </c>
      <c r="O266" s="156" t="s">
        <v>464</v>
      </c>
      <c r="Q266" s="172"/>
      <c r="R266" s="172" t="s">
        <v>103</v>
      </c>
      <c r="S266" s="172" t="s">
        <v>112</v>
      </c>
      <c r="T266" s="167" t="s">
        <v>270</v>
      </c>
      <c r="U266" s="167" t="s">
        <v>270</v>
      </c>
      <c r="V266" s="167" t="s">
        <v>896</v>
      </c>
      <c r="W266" s="15"/>
      <c r="Z266" s="59" t="str">
        <f>IF(OR($M266="",NOT($O266="{array}")),"",IFERROR(MATCH(PARAMETERS!$M266,DEFAULT!$B$5:$CG$5,0),""))</f>
        <v/>
      </c>
      <c r="AA266" s="56" t="str">
        <f t="shared" si="22"/>
        <v/>
      </c>
      <c r="AB266" s="63" t="str">
        <f>IF(AND(OR($A266="G",$A266="P"),NOT($O266="{array}")),IF(VLOOKUP($K266,base!$B$2:$D$20,3,0)="S",IF(OR($O266="",ISTEXT($O266)),"","STRING!"),IF(VLOOKUP($K266,base!$B$2:$D$20,3,0)="","",IF(ISTEXT($O266),"NUMERIC!",""))),"")</f>
        <v/>
      </c>
      <c r="AC266" s="17" t="str">
        <f>IF($AA266="","",IF($B266="I",VLOOKUP($AA266,#REF!,53,0),INDEX(VALUES!$B$1:$BR$1,1,$AA266)))</f>
        <v/>
      </c>
    </row>
    <row r="267" spans="1:29" hidden="1" outlineLevel="1" x14ac:dyDescent="0.25">
      <c r="A267" s="22"/>
      <c r="B267" s="41" t="str">
        <f t="shared" si="20"/>
        <v/>
      </c>
      <c r="C267" s="42">
        <f t="shared" si="23"/>
        <v>266</v>
      </c>
      <c r="D267" s="38"/>
      <c r="E267" s="38"/>
      <c r="F267" s="38"/>
      <c r="G267" s="38"/>
      <c r="H267" s="38"/>
      <c r="I267" s="38" t="s">
        <v>9</v>
      </c>
      <c r="J267" s="38"/>
      <c r="K267" s="167" t="s">
        <v>18</v>
      </c>
      <c r="L267" s="168" t="s">
        <v>21</v>
      </c>
      <c r="M267" s="167" t="s">
        <v>897</v>
      </c>
      <c r="N267" s="167" t="s">
        <v>270</v>
      </c>
      <c r="O267" s="167" t="s">
        <v>270</v>
      </c>
      <c r="P267" s="161" t="s">
        <v>270</v>
      </c>
      <c r="Q267" s="172" t="s">
        <v>9</v>
      </c>
      <c r="R267" s="172" t="s">
        <v>103</v>
      </c>
      <c r="S267" s="172" t="s">
        <v>112</v>
      </c>
      <c r="T267" s="167" t="s">
        <v>270</v>
      </c>
      <c r="U267" s="167" t="s">
        <v>270</v>
      </c>
      <c r="V267" s="167" t="s">
        <v>897</v>
      </c>
      <c r="W267" s="15" t="str">
        <f>IF(IFERROR(VLOOKUP($M267,'IMPORT GS-Tür OL FL 2S2 20'!$H$2:$H$847,1,0),"-")="-","","GS")</f>
        <v/>
      </c>
      <c r="X267" s="161" t="s">
        <v>270</v>
      </c>
      <c r="Y267" s="167" t="s">
        <v>898</v>
      </c>
      <c r="Z267" s="59" t="str">
        <f>IF(OR($M267="",NOT($O267="{array}")),"",IFERROR(MATCH(PARAMETERS!$M267,DEFAULT!$B$5:$CG$5,0),""))</f>
        <v/>
      </c>
      <c r="AA267" s="56" t="str">
        <f t="shared" si="22"/>
        <v/>
      </c>
      <c r="AB267" s="63" t="str">
        <f>IF(AND(OR($A267="G",$A267="P"),NOT($O267="{array}")),IF(VLOOKUP($K267,base!$B$2:$D$20,3,0)="S",IF(OR($O267="",ISTEXT($O267)),"","STRING!"),IF(VLOOKUP($K267,base!$B$2:$D$20,3,0)="","",IF(ISTEXT($O267),"NUMERIC!",""))),"")</f>
        <v/>
      </c>
      <c r="AC267" s="17" t="str">
        <f>IF($AA267="","",IF($B267="I",VLOOKUP($AA267,#REF!,53,0),INDEX(VALUES!$B$1:$BR$1,1,$AA267)))</f>
        <v/>
      </c>
    </row>
    <row r="268" spans="1:29" hidden="1" outlineLevel="1" x14ac:dyDescent="0.25">
      <c r="A268" s="22"/>
      <c r="B268" s="41" t="str">
        <f t="shared" si="20"/>
        <v/>
      </c>
      <c r="C268" s="42">
        <f t="shared" si="23"/>
        <v>267</v>
      </c>
      <c r="D268" s="38"/>
      <c r="E268" s="38"/>
      <c r="F268" s="38"/>
      <c r="G268" s="38"/>
      <c r="H268" s="38"/>
      <c r="I268" s="38" t="s">
        <v>9</v>
      </c>
      <c r="J268" s="38"/>
      <c r="K268" s="167" t="s">
        <v>18</v>
      </c>
      <c r="L268" s="168" t="s">
        <v>21</v>
      </c>
      <c r="M268" s="167" t="s">
        <v>899</v>
      </c>
      <c r="N268" s="167" t="s">
        <v>270</v>
      </c>
      <c r="O268" s="167" t="s">
        <v>270</v>
      </c>
      <c r="P268" s="161" t="s">
        <v>270</v>
      </c>
      <c r="Q268" s="172" t="s">
        <v>9</v>
      </c>
      <c r="R268" s="172" t="s">
        <v>103</v>
      </c>
      <c r="S268" s="172" t="s">
        <v>112</v>
      </c>
      <c r="T268" s="167" t="s">
        <v>270</v>
      </c>
      <c r="U268" s="167" t="s">
        <v>270</v>
      </c>
      <c r="V268" s="167" t="s">
        <v>899</v>
      </c>
      <c r="W268" s="15" t="str">
        <f>IF(IFERROR(VLOOKUP($M268,'IMPORT GS-Tür OL FL 2S2 20'!$H$2:$H$847,1,0),"-")="-","","GS")</f>
        <v/>
      </c>
      <c r="X268" s="161" t="s">
        <v>270</v>
      </c>
      <c r="Y268" s="167" t="s">
        <v>900</v>
      </c>
      <c r="Z268" s="59" t="str">
        <f>IF(OR($M268="",NOT($O268="{array}")),"",IFERROR(MATCH(PARAMETERS!$M268,DEFAULT!$B$5:$CG$5,0),""))</f>
        <v/>
      </c>
      <c r="AA268" s="56" t="str">
        <f t="shared" si="22"/>
        <v/>
      </c>
      <c r="AB268" s="63" t="str">
        <f>IF(AND(OR($A268="G",$A268="P"),NOT($O268="{array}")),IF(VLOOKUP($K268,base!$B$2:$D$20,3,0)="S",IF(OR($O268="",ISTEXT($O268)),"","STRING!"),IF(VLOOKUP($K268,base!$B$2:$D$20,3,0)="","",IF(ISTEXT($O268),"NUMERIC!",""))),"")</f>
        <v/>
      </c>
      <c r="AC268" s="17" t="str">
        <f>IF($AA268="","",IF($B268="I",VLOOKUP($AA268,#REF!,53,0),INDEX(VALUES!$B$1:$BR$1,1,$AA268)))</f>
        <v/>
      </c>
    </row>
    <row r="269" spans="1:29" hidden="1" outlineLevel="1" x14ac:dyDescent="0.25">
      <c r="A269" s="22"/>
      <c r="B269" s="41" t="str">
        <f t="shared" si="20"/>
        <v/>
      </c>
      <c r="C269" s="42">
        <f t="shared" si="23"/>
        <v>268</v>
      </c>
      <c r="D269" s="38"/>
      <c r="E269" s="38"/>
      <c r="F269" s="38"/>
      <c r="G269" s="38"/>
      <c r="H269" s="38"/>
      <c r="I269" s="38" t="s">
        <v>9</v>
      </c>
      <c r="J269" s="38"/>
      <c r="K269" s="167" t="s">
        <v>18</v>
      </c>
      <c r="L269" s="168" t="s">
        <v>21</v>
      </c>
      <c r="M269" s="167" t="s">
        <v>901</v>
      </c>
      <c r="N269" s="167" t="s">
        <v>270</v>
      </c>
      <c r="O269" s="167" t="s">
        <v>270</v>
      </c>
      <c r="P269" s="161" t="s">
        <v>270</v>
      </c>
      <c r="Q269" s="172" t="s">
        <v>9</v>
      </c>
      <c r="R269" s="172" t="s">
        <v>103</v>
      </c>
      <c r="S269" s="172" t="s">
        <v>112</v>
      </c>
      <c r="T269" s="167" t="s">
        <v>270</v>
      </c>
      <c r="U269" s="167" t="s">
        <v>270</v>
      </c>
      <c r="V269" s="167" t="s">
        <v>901</v>
      </c>
      <c r="W269" s="15" t="str">
        <f>IF(IFERROR(VLOOKUP($M269,'IMPORT GS-Tür OL FL 2S2 20'!$H$2:$H$847,1,0),"-")="-","","GS")</f>
        <v/>
      </c>
      <c r="X269" s="161" t="s">
        <v>270</v>
      </c>
      <c r="Y269" s="167" t="s">
        <v>902</v>
      </c>
      <c r="Z269" s="59" t="str">
        <f>IF(OR($M269="",NOT($O269="{array}")),"",IFERROR(MATCH(PARAMETERS!$M269,DEFAULT!$B$5:$CG$5,0),""))</f>
        <v/>
      </c>
      <c r="AA269" s="56" t="str">
        <f t="shared" si="22"/>
        <v/>
      </c>
      <c r="AB269" s="63" t="str">
        <f>IF(AND(OR($A269="G",$A269="P"),NOT($O269="{array}")),IF(VLOOKUP($K269,base!$B$2:$D$20,3,0)="S",IF(OR($O269="",ISTEXT($O269)),"","STRING!"),IF(VLOOKUP($K269,base!$B$2:$D$20,3,0)="","",IF(ISTEXT($O269),"NUMERIC!",""))),"")</f>
        <v/>
      </c>
      <c r="AC269" s="17" t="str">
        <f>IF($AA269="","",IF($B269="I",VLOOKUP($AA269,#REF!,53,0),INDEX(VALUES!$B$1:$BR$1,1,$AA269)))</f>
        <v/>
      </c>
    </row>
    <row r="270" spans="1:29" hidden="1" outlineLevel="1" x14ac:dyDescent="0.25">
      <c r="A270" s="22"/>
      <c r="B270" s="41" t="str">
        <f t="shared" si="20"/>
        <v/>
      </c>
      <c r="C270" s="42">
        <f t="shared" si="23"/>
        <v>269</v>
      </c>
      <c r="D270" s="38"/>
      <c r="E270" s="38"/>
      <c r="F270" s="38"/>
      <c r="G270" s="38"/>
      <c r="H270" s="38"/>
      <c r="I270" s="38" t="s">
        <v>9</v>
      </c>
      <c r="J270" s="38"/>
      <c r="K270" s="167" t="s">
        <v>18</v>
      </c>
      <c r="L270" s="168" t="s">
        <v>21</v>
      </c>
      <c r="M270" s="167" t="s">
        <v>903</v>
      </c>
      <c r="N270" s="167" t="s">
        <v>270</v>
      </c>
      <c r="O270" s="167" t="s">
        <v>270</v>
      </c>
      <c r="P270" s="161" t="s">
        <v>270</v>
      </c>
      <c r="Q270" s="172" t="s">
        <v>9</v>
      </c>
      <c r="R270" s="172" t="s">
        <v>103</v>
      </c>
      <c r="S270" s="172" t="s">
        <v>112</v>
      </c>
      <c r="T270" s="167" t="s">
        <v>270</v>
      </c>
      <c r="U270" s="167" t="s">
        <v>270</v>
      </c>
      <c r="V270" s="167" t="s">
        <v>903</v>
      </c>
      <c r="W270" s="15" t="str">
        <f>IF(IFERROR(VLOOKUP($M270,'IMPORT GS-Tür OL FL 2S2 20'!$H$2:$H$847,1,0),"-")="-","","GS")</f>
        <v/>
      </c>
      <c r="X270" s="161" t="s">
        <v>270</v>
      </c>
      <c r="Y270" s="167" t="s">
        <v>904</v>
      </c>
      <c r="Z270" s="59" t="str">
        <f>IF(OR($M270="",NOT($O270="{array}")),"",IFERROR(MATCH(PARAMETERS!$M270,DEFAULT!$B$5:$CG$5,0),""))</f>
        <v/>
      </c>
      <c r="AA270" s="56" t="str">
        <f t="shared" si="22"/>
        <v/>
      </c>
      <c r="AB270" s="63" t="str">
        <f>IF(AND(OR($A270="G",$A270="P"),NOT($O270="{array}")),IF(VLOOKUP($K270,base!$B$2:$D$20,3,0)="S",IF(OR($O270="",ISTEXT($O270)),"","STRING!"),IF(VLOOKUP($K270,base!$B$2:$D$20,3,0)="","",IF(ISTEXT($O270),"NUMERIC!",""))),"")</f>
        <v/>
      </c>
      <c r="AC270" s="17" t="str">
        <f>IF($AA270="","",IF($B270="I",VLOOKUP($AA270,#REF!,53,0),INDEX(VALUES!$B$1:$BR$1,1,$AA270)))</f>
        <v/>
      </c>
    </row>
    <row r="271" spans="1:29" hidden="1" outlineLevel="1" x14ac:dyDescent="0.25">
      <c r="A271" s="22"/>
      <c r="B271" s="41" t="str">
        <f t="shared" si="20"/>
        <v/>
      </c>
      <c r="C271" s="42">
        <f t="shared" si="23"/>
        <v>270</v>
      </c>
      <c r="D271" s="38"/>
      <c r="E271" s="38"/>
      <c r="F271" s="38"/>
      <c r="G271" s="38"/>
      <c r="H271" s="38"/>
      <c r="I271" s="38" t="s">
        <v>9</v>
      </c>
      <c r="J271" s="38"/>
      <c r="K271" s="167" t="s">
        <v>36</v>
      </c>
      <c r="L271" s="168" t="s">
        <v>21</v>
      </c>
      <c r="M271" s="167" t="s">
        <v>905</v>
      </c>
      <c r="N271" s="167" t="s">
        <v>270</v>
      </c>
      <c r="O271" s="167" t="s">
        <v>270</v>
      </c>
      <c r="P271" s="161" t="s">
        <v>126</v>
      </c>
      <c r="Q271" s="172" t="s">
        <v>9</v>
      </c>
      <c r="R271" s="172" t="s">
        <v>103</v>
      </c>
      <c r="S271" s="172" t="s">
        <v>112</v>
      </c>
      <c r="T271" s="167" t="s">
        <v>270</v>
      </c>
      <c r="U271" s="167" t="s">
        <v>270</v>
      </c>
      <c r="V271" s="167" t="s">
        <v>905</v>
      </c>
      <c r="W271" s="15" t="str">
        <f>IF(IFERROR(VLOOKUP($M271,'IMPORT GS-Tür OL FL 2S2 20'!$H$2:$H$847,1,0),"-")="-","","GS")</f>
        <v/>
      </c>
      <c r="X271" s="161" t="s">
        <v>270</v>
      </c>
      <c r="Y271" s="167" t="s">
        <v>906</v>
      </c>
      <c r="Z271" s="59" t="str">
        <f>IF(OR($M271="",NOT($O271="{array}")),"",IFERROR(MATCH(PARAMETERS!$M271,DEFAULT!$B$5:$CG$5,0),""))</f>
        <v/>
      </c>
      <c r="AA271" s="56" t="str">
        <f t="shared" si="22"/>
        <v/>
      </c>
      <c r="AB271" s="63" t="str">
        <f>IF(AND(OR($A271="G",$A271="P"),NOT($O271="{array}")),IF(VLOOKUP($K271,base!$B$2:$D$20,3,0)="S",IF(OR($O271="",ISTEXT($O271)),"","STRING!"),IF(VLOOKUP($K271,base!$B$2:$D$20,3,0)="","",IF(ISTEXT($O271),"NUMERIC!",""))),"")</f>
        <v/>
      </c>
      <c r="AC271" s="17" t="str">
        <f>IF($AA271="","",IF($B271="I",VLOOKUP($AA271,#REF!,53,0),INDEX(VALUES!$B$1:$BR$1,1,$AA271)))</f>
        <v/>
      </c>
    </row>
    <row r="272" spans="1:29" hidden="1" outlineLevel="1" x14ac:dyDescent="0.25">
      <c r="A272" s="22"/>
      <c r="B272" s="41" t="str">
        <f t="shared" si="20"/>
        <v/>
      </c>
      <c r="C272" s="42">
        <f t="shared" si="23"/>
        <v>271</v>
      </c>
      <c r="D272" s="38"/>
      <c r="E272" s="38"/>
      <c r="F272" s="38"/>
      <c r="G272" s="38"/>
      <c r="H272" s="38"/>
      <c r="I272" s="38" t="s">
        <v>9</v>
      </c>
      <c r="J272" s="38"/>
      <c r="K272" s="167" t="s">
        <v>36</v>
      </c>
      <c r="L272" s="168" t="s">
        <v>21</v>
      </c>
      <c r="M272" s="167" t="s">
        <v>907</v>
      </c>
      <c r="N272" s="167" t="s">
        <v>270</v>
      </c>
      <c r="O272" s="167" t="s">
        <v>270</v>
      </c>
      <c r="P272" s="161" t="s">
        <v>126</v>
      </c>
      <c r="Q272" s="172" t="s">
        <v>9</v>
      </c>
      <c r="R272" s="172" t="s">
        <v>103</v>
      </c>
      <c r="S272" s="172" t="s">
        <v>112</v>
      </c>
      <c r="T272" s="167" t="s">
        <v>270</v>
      </c>
      <c r="U272" s="167" t="s">
        <v>270</v>
      </c>
      <c r="V272" s="167" t="s">
        <v>907</v>
      </c>
      <c r="W272" s="15" t="str">
        <f>IF(IFERROR(VLOOKUP($M272,'IMPORT GS-Tür OL FL 2S2 20'!$H$2:$H$847,1,0),"-")="-","","GS")</f>
        <v/>
      </c>
      <c r="X272" s="161" t="s">
        <v>270</v>
      </c>
      <c r="Y272" s="167" t="s">
        <v>908</v>
      </c>
      <c r="Z272" s="59" t="str">
        <f>IF(OR($M272="",NOT($O272="{array}")),"",IFERROR(MATCH(PARAMETERS!$M272,DEFAULT!$B$5:$CG$5,0),""))</f>
        <v/>
      </c>
      <c r="AA272" s="56" t="str">
        <f t="shared" si="22"/>
        <v/>
      </c>
      <c r="AB272" s="63" t="str">
        <f>IF(AND(OR($A272="G",$A272="P"),NOT($O272="{array}")),IF(VLOOKUP($K272,base!$B$2:$D$20,3,0)="S",IF(OR($O272="",ISTEXT($O272)),"","STRING!"),IF(VLOOKUP($K272,base!$B$2:$D$20,3,0)="","",IF(ISTEXT($O272),"NUMERIC!",""))),"")</f>
        <v/>
      </c>
      <c r="AC272" s="17" t="str">
        <f>IF($AA272="","",IF($B272="I",VLOOKUP($AA272,#REF!,53,0),INDEX(VALUES!$B$1:$BR$1,1,$AA272)))</f>
        <v/>
      </c>
    </row>
    <row r="273" spans="1:29" hidden="1" outlineLevel="1" x14ac:dyDescent="0.25">
      <c r="A273" s="22"/>
      <c r="B273" s="41" t="str">
        <f t="shared" si="20"/>
        <v/>
      </c>
      <c r="C273" s="42">
        <f t="shared" si="23"/>
        <v>272</v>
      </c>
      <c r="D273" s="38"/>
      <c r="E273" s="38"/>
      <c r="F273" s="38"/>
      <c r="G273" s="38"/>
      <c r="H273" s="38"/>
      <c r="I273" s="38" t="s">
        <v>9</v>
      </c>
      <c r="J273" s="38"/>
      <c r="K273" s="167" t="s">
        <v>47</v>
      </c>
      <c r="L273" s="168" t="s">
        <v>21</v>
      </c>
      <c r="M273" s="167" t="s">
        <v>909</v>
      </c>
      <c r="N273" s="167" t="s">
        <v>270</v>
      </c>
      <c r="O273" s="167" t="s">
        <v>270</v>
      </c>
      <c r="P273" s="161" t="s">
        <v>270</v>
      </c>
      <c r="Q273" s="172" t="s">
        <v>9</v>
      </c>
      <c r="R273" s="172" t="s">
        <v>103</v>
      </c>
      <c r="S273" s="172" t="s">
        <v>112</v>
      </c>
      <c r="T273" s="167" t="s">
        <v>270</v>
      </c>
      <c r="U273" s="167" t="s">
        <v>270</v>
      </c>
      <c r="V273" s="167" t="s">
        <v>909</v>
      </c>
      <c r="W273" s="15" t="str">
        <f>IF(IFERROR(VLOOKUP($M273,'IMPORT GS-Tür OL FL 2S2 20'!$H$2:$H$847,1,0),"-")="-","","GS")</f>
        <v/>
      </c>
      <c r="X273" s="161" t="s">
        <v>270</v>
      </c>
      <c r="Y273" s="167" t="s">
        <v>910</v>
      </c>
      <c r="Z273" s="59" t="str">
        <f>IF(OR($M273="",NOT($O273="{array}")),"",IFERROR(MATCH(PARAMETERS!$M273,DEFAULT!$B$5:$CG$5,0),""))</f>
        <v/>
      </c>
      <c r="AA273" s="56" t="str">
        <f t="shared" si="22"/>
        <v/>
      </c>
      <c r="AB273" s="63" t="str">
        <f>IF(AND(OR($A273="G",$A273="P"),NOT($O273="{array}")),IF(VLOOKUP($K273,base!$B$2:$D$20,3,0)="S",IF(OR($O273="",ISTEXT($O273)),"","STRING!"),IF(VLOOKUP($K273,base!$B$2:$D$20,3,0)="","",IF(ISTEXT($O273),"NUMERIC!",""))),"")</f>
        <v/>
      </c>
      <c r="AC273" s="17" t="str">
        <f>IF($AA273="","",IF($B273="I",VLOOKUP($AA273,#REF!,53,0),INDEX(VALUES!$B$1:$BR$1,1,$AA273)))</f>
        <v/>
      </c>
    </row>
    <row r="274" spans="1:29" hidden="1" outlineLevel="1" x14ac:dyDescent="0.25">
      <c r="A274" s="22"/>
      <c r="B274" s="41" t="str">
        <f t="shared" si="20"/>
        <v/>
      </c>
      <c r="C274" s="42">
        <f t="shared" si="23"/>
        <v>273</v>
      </c>
      <c r="D274" s="38"/>
      <c r="E274" s="38"/>
      <c r="F274" s="38"/>
      <c r="G274" s="38"/>
      <c r="H274" s="38"/>
      <c r="I274" s="38" t="s">
        <v>9</v>
      </c>
      <c r="J274" s="38"/>
      <c r="K274" s="167" t="s">
        <v>18</v>
      </c>
      <c r="L274" s="168" t="s">
        <v>21</v>
      </c>
      <c r="M274" s="167" t="s">
        <v>911</v>
      </c>
      <c r="N274" s="167" t="s">
        <v>270</v>
      </c>
      <c r="O274" s="167" t="s">
        <v>270</v>
      </c>
      <c r="P274" s="161" t="s">
        <v>270</v>
      </c>
      <c r="Q274" s="172" t="s">
        <v>9</v>
      </c>
      <c r="R274" s="172" t="s">
        <v>103</v>
      </c>
      <c r="S274" s="172" t="s">
        <v>112</v>
      </c>
      <c r="T274" s="167" t="s">
        <v>270</v>
      </c>
      <c r="U274" s="167" t="s">
        <v>270</v>
      </c>
      <c r="V274" s="167" t="s">
        <v>911</v>
      </c>
      <c r="W274" s="15" t="str">
        <f>IF(IFERROR(VLOOKUP($M274,'IMPORT GS-Tür OL FL 2S2 20'!$H$2:$H$847,1,0),"-")="-","","GS")</f>
        <v/>
      </c>
      <c r="X274" s="161" t="s">
        <v>270</v>
      </c>
      <c r="Y274" s="167" t="s">
        <v>912</v>
      </c>
      <c r="Z274" s="59" t="str">
        <f>IF(OR($M274="",NOT($O274="{array}")),"",IFERROR(MATCH(PARAMETERS!$M274,DEFAULT!$B$5:$CG$5,0),""))</f>
        <v/>
      </c>
      <c r="AA274" s="56" t="str">
        <f t="shared" si="22"/>
        <v/>
      </c>
      <c r="AB274" s="63" t="str">
        <f>IF(AND(OR($A274="G",$A274="P"),NOT($O274="{array}")),IF(VLOOKUP($K274,base!$B$2:$D$20,3,0)="S",IF(OR($O274="",ISTEXT($O274)),"","STRING!"),IF(VLOOKUP($K274,base!$B$2:$D$20,3,0)="","",IF(ISTEXT($O274),"NUMERIC!",""))),"")</f>
        <v/>
      </c>
      <c r="AC274" s="17" t="str">
        <f>IF($AA274="","",IF($B274="I",VLOOKUP($AA274,#REF!,53,0),INDEX(VALUES!$B$1:$BR$1,1,$AA274)))</f>
        <v/>
      </c>
    </row>
    <row r="275" spans="1:29" hidden="1" outlineLevel="1" x14ac:dyDescent="0.25">
      <c r="A275" s="22"/>
      <c r="B275" s="41" t="str">
        <f t="shared" si="20"/>
        <v/>
      </c>
      <c r="C275" s="42">
        <f t="shared" si="23"/>
        <v>274</v>
      </c>
      <c r="D275" s="38"/>
      <c r="E275" s="38"/>
      <c r="F275" s="38"/>
      <c r="G275" s="38"/>
      <c r="H275" s="38"/>
      <c r="I275" s="38" t="s">
        <v>9</v>
      </c>
      <c r="J275" s="38"/>
      <c r="K275" s="167" t="s">
        <v>18</v>
      </c>
      <c r="L275" s="168" t="s">
        <v>21</v>
      </c>
      <c r="M275" s="167" t="s">
        <v>913</v>
      </c>
      <c r="N275" s="167" t="s">
        <v>270</v>
      </c>
      <c r="O275" s="167" t="s">
        <v>270</v>
      </c>
      <c r="P275" s="161" t="s">
        <v>270</v>
      </c>
      <c r="Q275" s="172" t="s">
        <v>9</v>
      </c>
      <c r="R275" s="172" t="s">
        <v>103</v>
      </c>
      <c r="S275" s="172" t="s">
        <v>112</v>
      </c>
      <c r="T275" s="167" t="s">
        <v>270</v>
      </c>
      <c r="U275" s="167" t="s">
        <v>270</v>
      </c>
      <c r="V275" s="167" t="s">
        <v>913</v>
      </c>
      <c r="W275" s="15" t="str">
        <f>IF(IFERROR(VLOOKUP($M275,'IMPORT GS-Tür OL FL 2S2 20'!$H$2:$H$847,1,0),"-")="-","","GS")</f>
        <v/>
      </c>
      <c r="X275" s="161" t="s">
        <v>270</v>
      </c>
      <c r="Y275" s="167" t="s">
        <v>914</v>
      </c>
      <c r="Z275" s="59" t="str">
        <f>IF(OR($M275="",NOT($O275="{array}")),"",IFERROR(MATCH(PARAMETERS!$M275,DEFAULT!$B$5:$CG$5,0),""))</f>
        <v/>
      </c>
      <c r="AA275" s="56" t="str">
        <f t="shared" si="22"/>
        <v/>
      </c>
      <c r="AB275" s="63" t="str">
        <f>IF(AND(OR($A275="G",$A275="P"),NOT($O275="{array}")),IF(VLOOKUP($K275,base!$B$2:$D$20,3,0)="S",IF(OR($O275="",ISTEXT($O275)),"","STRING!"),IF(VLOOKUP($K275,base!$B$2:$D$20,3,0)="","",IF(ISTEXT($O275),"NUMERIC!",""))),"")</f>
        <v/>
      </c>
      <c r="AC275" s="17" t="str">
        <f>IF($AA275="","",IF($B275="I",VLOOKUP($AA275,#REF!,53,0),INDEX(VALUES!$B$1:$BR$1,1,$AA275)))</f>
        <v/>
      </c>
    </row>
    <row r="276" spans="1:29" hidden="1" outlineLevel="1" x14ac:dyDescent="0.25">
      <c r="A276" s="22"/>
      <c r="B276" s="41" t="str">
        <f t="shared" si="20"/>
        <v/>
      </c>
      <c r="C276" s="42">
        <f t="shared" si="23"/>
        <v>275</v>
      </c>
      <c r="D276" s="38"/>
      <c r="E276" s="38"/>
      <c r="F276" s="38"/>
      <c r="G276" s="38"/>
      <c r="H276" s="38"/>
      <c r="I276" s="38" t="s">
        <v>9</v>
      </c>
      <c r="J276" s="38"/>
      <c r="K276" s="167" t="s">
        <v>18</v>
      </c>
      <c r="L276" s="168" t="s">
        <v>21</v>
      </c>
      <c r="M276" s="167" t="s">
        <v>915</v>
      </c>
      <c r="N276" s="167" t="s">
        <v>270</v>
      </c>
      <c r="O276" s="167" t="s">
        <v>270</v>
      </c>
      <c r="P276" s="161" t="s">
        <v>270</v>
      </c>
      <c r="Q276" s="172" t="s">
        <v>9</v>
      </c>
      <c r="R276" s="172" t="s">
        <v>103</v>
      </c>
      <c r="S276" s="172" t="s">
        <v>112</v>
      </c>
      <c r="T276" s="167" t="s">
        <v>270</v>
      </c>
      <c r="U276" s="167" t="s">
        <v>270</v>
      </c>
      <c r="V276" s="167" t="s">
        <v>915</v>
      </c>
      <c r="W276" s="15" t="str">
        <f>IF(IFERROR(VLOOKUP($M276,'IMPORT GS-Tür OL FL 2S2 20'!$H$2:$H$847,1,0),"-")="-","","GS")</f>
        <v/>
      </c>
      <c r="X276" s="161" t="s">
        <v>270</v>
      </c>
      <c r="Y276" s="167" t="s">
        <v>916</v>
      </c>
      <c r="Z276" s="59" t="str">
        <f>IF(OR($M276="",NOT($O276="{array}")),"",IFERROR(MATCH(PARAMETERS!$M276,DEFAULT!$B$5:$CG$5,0),""))</f>
        <v/>
      </c>
      <c r="AA276" s="56" t="str">
        <f t="shared" si="22"/>
        <v/>
      </c>
      <c r="AB276" s="63" t="str">
        <f>IF(AND(OR($A276="G",$A276="P"),NOT($O276="{array}")),IF(VLOOKUP($K276,base!$B$2:$D$20,3,0)="S",IF(OR($O276="",ISTEXT($O276)),"","STRING!"),IF(VLOOKUP($K276,base!$B$2:$D$20,3,0)="","",IF(ISTEXT($O276),"NUMERIC!",""))),"")</f>
        <v/>
      </c>
      <c r="AC276" s="17" t="str">
        <f>IF($AA276="","",IF($B276="I",VLOOKUP($AA276,#REF!,53,0),INDEX(VALUES!$B$1:$BR$1,1,$AA276)))</f>
        <v/>
      </c>
    </row>
    <row r="277" spans="1:29" hidden="1" outlineLevel="1" x14ac:dyDescent="0.25">
      <c r="A277" s="22"/>
      <c r="B277" s="41" t="str">
        <f t="shared" si="20"/>
        <v/>
      </c>
      <c r="C277" s="42">
        <f t="shared" si="23"/>
        <v>276</v>
      </c>
      <c r="D277" s="38"/>
      <c r="E277" s="38"/>
      <c r="F277" s="38"/>
      <c r="G277" s="38"/>
      <c r="H277" s="38"/>
      <c r="I277" s="38" t="s">
        <v>9</v>
      </c>
      <c r="J277" s="38"/>
      <c r="K277" s="167" t="s">
        <v>18</v>
      </c>
      <c r="L277" s="168" t="s">
        <v>21</v>
      </c>
      <c r="M277" s="167" t="s">
        <v>917</v>
      </c>
      <c r="N277" s="167" t="s">
        <v>270</v>
      </c>
      <c r="O277" s="167" t="s">
        <v>270</v>
      </c>
      <c r="P277" s="161" t="s">
        <v>270</v>
      </c>
      <c r="Q277" s="172" t="s">
        <v>9</v>
      </c>
      <c r="R277" s="172" t="s">
        <v>103</v>
      </c>
      <c r="S277" s="172" t="s">
        <v>112</v>
      </c>
      <c r="T277" s="167" t="s">
        <v>270</v>
      </c>
      <c r="U277" s="167" t="s">
        <v>270</v>
      </c>
      <c r="V277" s="167" t="s">
        <v>917</v>
      </c>
      <c r="W277" s="15" t="str">
        <f>IF(IFERROR(VLOOKUP($M277,'IMPORT GS-Tür OL FL 2S2 20'!$H$2:$H$847,1,0),"-")="-","","GS")</f>
        <v/>
      </c>
      <c r="X277" s="161" t="s">
        <v>270</v>
      </c>
      <c r="Y277" s="167" t="s">
        <v>918</v>
      </c>
      <c r="Z277" s="59" t="str">
        <f>IF(OR($M277="",NOT($O277="{array}")),"",IFERROR(MATCH(PARAMETERS!$M277,DEFAULT!$B$5:$CG$5,0),""))</f>
        <v/>
      </c>
      <c r="AA277" s="56" t="str">
        <f t="shared" si="22"/>
        <v/>
      </c>
      <c r="AB277" s="63" t="str">
        <f>IF(AND(OR($A277="G",$A277="P"),NOT($O277="{array}")),IF(VLOOKUP($K277,base!$B$2:$D$20,3,0)="S",IF(OR($O277="",ISTEXT($O277)),"","STRING!"),IF(VLOOKUP($K277,base!$B$2:$D$20,3,0)="","",IF(ISTEXT($O277),"NUMERIC!",""))),"")</f>
        <v/>
      </c>
      <c r="AC277" s="17" t="str">
        <f>IF($AA277="","",IF($B277="I",VLOOKUP($AA277,#REF!,53,0),INDEX(VALUES!$B$1:$BR$1,1,$AA277)))</f>
        <v/>
      </c>
    </row>
    <row r="278" spans="1:29" hidden="1" outlineLevel="1" x14ac:dyDescent="0.25">
      <c r="A278" s="22"/>
      <c r="B278" s="41" t="str">
        <f t="shared" si="20"/>
        <v/>
      </c>
      <c r="C278" s="42">
        <f t="shared" si="23"/>
        <v>277</v>
      </c>
      <c r="D278" s="38"/>
      <c r="E278" s="38"/>
      <c r="F278" s="38"/>
      <c r="G278" s="38"/>
      <c r="H278" s="38"/>
      <c r="I278" s="38" t="s">
        <v>9</v>
      </c>
      <c r="J278" s="38"/>
      <c r="K278" s="167" t="s">
        <v>18</v>
      </c>
      <c r="L278" s="168" t="s">
        <v>21</v>
      </c>
      <c r="M278" s="167" t="s">
        <v>919</v>
      </c>
      <c r="N278" s="167" t="s">
        <v>270</v>
      </c>
      <c r="O278" s="167" t="s">
        <v>270</v>
      </c>
      <c r="P278" s="161" t="s">
        <v>270</v>
      </c>
      <c r="Q278" s="172" t="s">
        <v>9</v>
      </c>
      <c r="R278" s="172" t="s">
        <v>103</v>
      </c>
      <c r="S278" s="172" t="s">
        <v>112</v>
      </c>
      <c r="T278" s="167" t="s">
        <v>270</v>
      </c>
      <c r="U278" s="167" t="s">
        <v>270</v>
      </c>
      <c r="V278" s="167" t="s">
        <v>919</v>
      </c>
      <c r="W278" s="15" t="str">
        <f>IF(IFERROR(VLOOKUP($M278,'IMPORT GS-Tür OL FL 2S2 20'!$H$2:$H$847,1,0),"-")="-","","GS")</f>
        <v/>
      </c>
      <c r="X278" s="161" t="s">
        <v>270</v>
      </c>
      <c r="Y278" s="167" t="s">
        <v>920</v>
      </c>
      <c r="Z278" s="59" t="str">
        <f>IF(OR($M278="",NOT($O278="{array}")),"",IFERROR(MATCH(PARAMETERS!$M278,DEFAULT!$B$5:$CG$5,0),""))</f>
        <v/>
      </c>
      <c r="AA278" s="56" t="str">
        <f t="shared" si="22"/>
        <v/>
      </c>
      <c r="AB278" s="63" t="str">
        <f>IF(AND(OR($A278="G",$A278="P"),NOT($O278="{array}")),IF(VLOOKUP($K278,base!$B$2:$D$20,3,0)="S",IF(OR($O278="",ISTEXT($O278)),"","STRING!"),IF(VLOOKUP($K278,base!$B$2:$D$20,3,0)="","",IF(ISTEXT($O278),"NUMERIC!",""))),"")</f>
        <v/>
      </c>
      <c r="AC278" s="17" t="str">
        <f>IF($AA278="","",IF($B278="I",VLOOKUP($AA278,#REF!,53,0),INDEX(VALUES!$B$1:$BR$1,1,$AA278)))</f>
        <v/>
      </c>
    </row>
    <row r="279" spans="1:29" hidden="1" outlineLevel="1" x14ac:dyDescent="0.25">
      <c r="A279" s="22"/>
      <c r="B279" s="41" t="str">
        <f t="shared" si="20"/>
        <v/>
      </c>
      <c r="C279" s="42">
        <f t="shared" si="23"/>
        <v>278</v>
      </c>
      <c r="D279" s="38"/>
      <c r="E279" s="38"/>
      <c r="F279" s="38"/>
      <c r="G279" s="38"/>
      <c r="H279" s="38"/>
      <c r="I279" s="38" t="s">
        <v>9</v>
      </c>
      <c r="J279" s="38"/>
      <c r="K279" s="167" t="s">
        <v>18</v>
      </c>
      <c r="L279" s="168" t="s">
        <v>21</v>
      </c>
      <c r="M279" s="167" t="s">
        <v>921</v>
      </c>
      <c r="N279" s="167" t="s">
        <v>270</v>
      </c>
      <c r="O279" s="167" t="s">
        <v>270</v>
      </c>
      <c r="P279" s="161" t="s">
        <v>270</v>
      </c>
      <c r="Q279" s="172" t="s">
        <v>9</v>
      </c>
      <c r="R279" s="172" t="s">
        <v>103</v>
      </c>
      <c r="S279" s="172" t="s">
        <v>112</v>
      </c>
      <c r="T279" s="167" t="s">
        <v>270</v>
      </c>
      <c r="U279" s="167" t="s">
        <v>270</v>
      </c>
      <c r="V279" s="167" t="s">
        <v>921</v>
      </c>
      <c r="W279" s="15" t="str">
        <f>IF(IFERROR(VLOOKUP($M279,'IMPORT GS-Tür OL FL 2S2 20'!$H$2:$H$847,1,0),"-")="-","","GS")</f>
        <v/>
      </c>
      <c r="X279" s="161" t="s">
        <v>270</v>
      </c>
      <c r="Y279" s="167" t="s">
        <v>922</v>
      </c>
      <c r="Z279" s="59" t="str">
        <f>IF(OR($M279="",NOT($O279="{array}")),"",IFERROR(MATCH(PARAMETERS!$M279,DEFAULT!$B$5:$CG$5,0),""))</f>
        <v/>
      </c>
      <c r="AA279" s="56" t="str">
        <f t="shared" si="22"/>
        <v/>
      </c>
      <c r="AB279" s="63" t="str">
        <f>IF(AND(OR($A279="G",$A279="P"),NOT($O279="{array}")),IF(VLOOKUP($K279,base!$B$2:$D$20,3,0)="S",IF(OR($O279="",ISTEXT($O279)),"","STRING!"),IF(VLOOKUP($K279,base!$B$2:$D$20,3,0)="","",IF(ISTEXT($O279),"NUMERIC!",""))),"")</f>
        <v/>
      </c>
      <c r="AC279" s="17" t="str">
        <f>IF($AA279="","",IF($B279="I",VLOOKUP($AA279,#REF!,53,0),INDEX(VALUES!$B$1:$BR$1,1,$AA279)))</f>
        <v/>
      </c>
    </row>
    <row r="280" spans="1:29" hidden="1" outlineLevel="1" x14ac:dyDescent="0.25">
      <c r="A280" s="22"/>
      <c r="B280" s="41" t="str">
        <f t="shared" si="20"/>
        <v/>
      </c>
      <c r="C280" s="42">
        <f t="shared" si="23"/>
        <v>279</v>
      </c>
      <c r="D280" s="38"/>
      <c r="E280" s="38"/>
      <c r="F280" s="38"/>
      <c r="G280" s="38"/>
      <c r="H280" s="38"/>
      <c r="I280" s="38" t="s">
        <v>9</v>
      </c>
      <c r="J280" s="38"/>
      <c r="K280" s="167" t="s">
        <v>18</v>
      </c>
      <c r="L280" s="168" t="s">
        <v>21</v>
      </c>
      <c r="M280" s="167" t="s">
        <v>923</v>
      </c>
      <c r="N280" s="167" t="s">
        <v>270</v>
      </c>
      <c r="O280" s="167" t="s">
        <v>270</v>
      </c>
      <c r="P280" s="161" t="s">
        <v>270</v>
      </c>
      <c r="Q280" s="172" t="s">
        <v>9</v>
      </c>
      <c r="R280" s="172" t="s">
        <v>103</v>
      </c>
      <c r="S280" s="172" t="s">
        <v>112</v>
      </c>
      <c r="T280" s="167" t="s">
        <v>270</v>
      </c>
      <c r="U280" s="167" t="s">
        <v>270</v>
      </c>
      <c r="V280" s="167" t="s">
        <v>923</v>
      </c>
      <c r="W280" s="15" t="str">
        <f>IF(IFERROR(VLOOKUP($M280,'IMPORT GS-Tür OL FL 2S2 20'!$H$2:$H$847,1,0),"-")="-","","GS")</f>
        <v/>
      </c>
      <c r="X280" s="161" t="s">
        <v>270</v>
      </c>
      <c r="Y280" s="167" t="s">
        <v>924</v>
      </c>
      <c r="Z280" s="59" t="str">
        <f>IF(OR($M280="",NOT($O280="{array}")),"",IFERROR(MATCH(PARAMETERS!$M280,DEFAULT!$B$5:$CG$5,0),""))</f>
        <v/>
      </c>
      <c r="AA280" s="56" t="str">
        <f t="shared" si="22"/>
        <v/>
      </c>
      <c r="AB280" s="63" t="str">
        <f>IF(AND(OR($A280="G",$A280="P"),NOT($O280="{array}")),IF(VLOOKUP($K280,base!$B$2:$D$20,3,0)="S",IF(OR($O280="",ISTEXT($O280)),"","STRING!"),IF(VLOOKUP($K280,base!$B$2:$D$20,3,0)="","",IF(ISTEXT($O280),"NUMERIC!",""))),"")</f>
        <v/>
      </c>
      <c r="AC280" s="17" t="str">
        <f>IF($AA280="","",IF($B280="I",VLOOKUP($AA280,#REF!,53,0),INDEX(VALUES!$B$1:$BR$1,1,$AA280)))</f>
        <v/>
      </c>
    </row>
    <row r="281" spans="1:29" hidden="1" outlineLevel="1" x14ac:dyDescent="0.25">
      <c r="A281" s="22"/>
      <c r="B281" s="41" t="str">
        <f t="shared" si="20"/>
        <v/>
      </c>
      <c r="C281" s="42">
        <f t="shared" si="23"/>
        <v>280</v>
      </c>
      <c r="D281" s="38"/>
      <c r="E281" s="38"/>
      <c r="F281" s="38"/>
      <c r="G281" s="38"/>
      <c r="H281" s="38"/>
      <c r="I281" s="38" t="s">
        <v>9</v>
      </c>
      <c r="J281" s="38"/>
      <c r="K281" s="167" t="s">
        <v>18</v>
      </c>
      <c r="L281" s="168" t="s">
        <v>21</v>
      </c>
      <c r="M281" s="167" t="s">
        <v>925</v>
      </c>
      <c r="N281" s="167" t="s">
        <v>270</v>
      </c>
      <c r="O281" s="167" t="s">
        <v>270</v>
      </c>
      <c r="P281" s="161" t="s">
        <v>270</v>
      </c>
      <c r="Q281" s="172" t="s">
        <v>9</v>
      </c>
      <c r="R281" s="172" t="s">
        <v>103</v>
      </c>
      <c r="S281" s="172" t="s">
        <v>112</v>
      </c>
      <c r="T281" s="167" t="s">
        <v>270</v>
      </c>
      <c r="U281" s="167" t="s">
        <v>270</v>
      </c>
      <c r="V281" s="167" t="s">
        <v>925</v>
      </c>
      <c r="W281" s="15" t="str">
        <f>IF(IFERROR(VLOOKUP($M281,'IMPORT GS-Tür OL FL 2S2 20'!$H$2:$H$847,1,0),"-")="-","","GS")</f>
        <v/>
      </c>
      <c r="X281" s="161" t="s">
        <v>270</v>
      </c>
      <c r="Y281" s="167" t="s">
        <v>926</v>
      </c>
      <c r="Z281" s="59" t="str">
        <f>IF(OR($M281="",NOT($O281="{array}")),"",IFERROR(MATCH(PARAMETERS!$M281,DEFAULT!$B$5:$CG$5,0),""))</f>
        <v/>
      </c>
      <c r="AA281" s="56" t="str">
        <f t="shared" si="22"/>
        <v/>
      </c>
      <c r="AB281" s="63" t="str">
        <f>IF(AND(OR($A281="G",$A281="P"),NOT($O281="{array}")),IF(VLOOKUP($K281,base!$B$2:$D$20,3,0)="S",IF(OR($O281="",ISTEXT($O281)),"","STRING!"),IF(VLOOKUP($K281,base!$B$2:$D$20,3,0)="","",IF(ISTEXT($O281),"NUMERIC!",""))),"")</f>
        <v/>
      </c>
      <c r="AC281" s="17" t="str">
        <f>IF($AA281="","",IF($B281="I",VLOOKUP($AA281,#REF!,53,0),INDEX(VALUES!$B$1:$BR$1,1,$AA281)))</f>
        <v/>
      </c>
    </row>
    <row r="282" spans="1:29" hidden="1" outlineLevel="1" x14ac:dyDescent="0.25">
      <c r="A282" s="22"/>
      <c r="B282" s="41" t="str">
        <f t="shared" si="20"/>
        <v/>
      </c>
      <c r="C282" s="42">
        <f t="shared" si="23"/>
        <v>281</v>
      </c>
      <c r="D282" s="38"/>
      <c r="E282" s="38"/>
      <c r="F282" s="38"/>
      <c r="G282" s="38"/>
      <c r="H282" s="38"/>
      <c r="I282" s="38" t="s">
        <v>9</v>
      </c>
      <c r="J282" s="38"/>
      <c r="K282" s="167" t="s">
        <v>18</v>
      </c>
      <c r="L282" s="168" t="s">
        <v>21</v>
      </c>
      <c r="M282" s="167" t="s">
        <v>927</v>
      </c>
      <c r="N282" s="167" t="s">
        <v>270</v>
      </c>
      <c r="O282" s="167" t="s">
        <v>270</v>
      </c>
      <c r="P282" s="161" t="s">
        <v>270</v>
      </c>
      <c r="Q282" s="172" t="s">
        <v>9</v>
      </c>
      <c r="R282" s="172" t="s">
        <v>103</v>
      </c>
      <c r="S282" s="172" t="s">
        <v>112</v>
      </c>
      <c r="T282" s="167" t="s">
        <v>270</v>
      </c>
      <c r="U282" s="167" t="s">
        <v>270</v>
      </c>
      <c r="V282" s="167" t="s">
        <v>927</v>
      </c>
      <c r="W282" s="15" t="str">
        <f>IF(IFERROR(VLOOKUP($M282,'IMPORT GS-Tür OL FL 2S2 20'!$H$2:$H$847,1,0),"-")="-","","GS")</f>
        <v/>
      </c>
      <c r="X282" s="161" t="s">
        <v>270</v>
      </c>
      <c r="Y282" s="167" t="s">
        <v>928</v>
      </c>
      <c r="Z282" s="59" t="str">
        <f>IF(OR($M282="",NOT($O282="{array}")),"",IFERROR(MATCH(PARAMETERS!$M282,DEFAULT!$B$5:$CG$5,0),""))</f>
        <v/>
      </c>
      <c r="AA282" s="56" t="str">
        <f t="shared" si="22"/>
        <v/>
      </c>
      <c r="AB282" s="63" t="str">
        <f>IF(AND(OR($A282="G",$A282="P"),NOT($O282="{array}")),IF(VLOOKUP($K282,base!$B$2:$D$20,3,0)="S",IF(OR($O282="",ISTEXT($O282)),"","STRING!"),IF(VLOOKUP($K282,base!$B$2:$D$20,3,0)="","",IF(ISTEXT($O282),"NUMERIC!",""))),"")</f>
        <v/>
      </c>
      <c r="AC282" s="17" t="str">
        <f>IF($AA282="","",IF($B282="I",VLOOKUP($AA282,#REF!,53,0),INDEX(VALUES!$B$1:$BR$1,1,$AA282)))</f>
        <v/>
      </c>
    </row>
    <row r="283" spans="1:29" hidden="1" outlineLevel="1" x14ac:dyDescent="0.25">
      <c r="A283" s="22"/>
      <c r="B283" s="41" t="str">
        <f t="shared" si="20"/>
        <v/>
      </c>
      <c r="C283" s="42">
        <f t="shared" si="23"/>
        <v>282</v>
      </c>
      <c r="D283" s="38"/>
      <c r="E283" s="38"/>
      <c r="F283" s="38"/>
      <c r="G283" s="38"/>
      <c r="H283" s="38"/>
      <c r="I283" s="38" t="s">
        <v>9</v>
      </c>
      <c r="J283" s="38"/>
      <c r="K283" s="167" t="s">
        <v>18</v>
      </c>
      <c r="L283" s="168" t="s">
        <v>21</v>
      </c>
      <c r="M283" s="167" t="s">
        <v>929</v>
      </c>
      <c r="N283" s="167" t="s">
        <v>270</v>
      </c>
      <c r="O283" s="167" t="s">
        <v>270</v>
      </c>
      <c r="P283" s="161" t="s">
        <v>270</v>
      </c>
      <c r="Q283" s="172" t="s">
        <v>9</v>
      </c>
      <c r="R283" s="172" t="s">
        <v>103</v>
      </c>
      <c r="S283" s="172" t="s">
        <v>112</v>
      </c>
      <c r="T283" s="167" t="s">
        <v>270</v>
      </c>
      <c r="U283" s="167" t="s">
        <v>270</v>
      </c>
      <c r="V283" s="167" t="s">
        <v>929</v>
      </c>
      <c r="W283" s="15" t="str">
        <f>IF(IFERROR(VLOOKUP($M283,'IMPORT GS-Tür OL FL 2S2 20'!$H$2:$H$847,1,0),"-")="-","","GS")</f>
        <v/>
      </c>
      <c r="X283" s="161" t="s">
        <v>270</v>
      </c>
      <c r="Y283" s="167" t="s">
        <v>270</v>
      </c>
      <c r="Z283" s="59" t="str">
        <f>IF(OR($M283="",NOT($O283="{array}")),"",IFERROR(MATCH(PARAMETERS!$M283,DEFAULT!$B$5:$CG$5,0),""))</f>
        <v/>
      </c>
      <c r="AA283" s="56" t="str">
        <f t="shared" si="22"/>
        <v/>
      </c>
      <c r="AB283" s="63" t="str">
        <f>IF(AND(OR($A283="G",$A283="P"),NOT($O283="{array}")),IF(VLOOKUP($K283,base!$B$2:$D$20,3,0)="S",IF(OR($O283="",ISTEXT($O283)),"","STRING!"),IF(VLOOKUP($K283,base!$B$2:$D$20,3,0)="","",IF(ISTEXT($O283),"NUMERIC!",""))),"")</f>
        <v/>
      </c>
      <c r="AC283" s="17" t="str">
        <f>IF($AA283="","",IF($B283="I",VLOOKUP($AA283,#REF!,53,0),INDEX(VALUES!$B$1:$BR$1,1,$AA283)))</f>
        <v/>
      </c>
    </row>
    <row r="284" spans="1:29" hidden="1" outlineLevel="1" x14ac:dyDescent="0.25">
      <c r="A284" s="22"/>
      <c r="B284" s="41" t="str">
        <f t="shared" si="20"/>
        <v/>
      </c>
      <c r="C284" s="42">
        <f t="shared" si="23"/>
        <v>283</v>
      </c>
      <c r="D284" s="38"/>
      <c r="E284" s="38"/>
      <c r="F284" s="38"/>
      <c r="G284" s="38"/>
      <c r="H284" s="38"/>
      <c r="I284" s="38" t="s">
        <v>9</v>
      </c>
      <c r="J284" s="38"/>
      <c r="K284" s="167" t="s">
        <v>18</v>
      </c>
      <c r="L284" s="168" t="s">
        <v>21</v>
      </c>
      <c r="M284" s="167" t="s">
        <v>930</v>
      </c>
      <c r="N284" s="167" t="s">
        <v>270</v>
      </c>
      <c r="O284" s="167" t="s">
        <v>270</v>
      </c>
      <c r="P284" s="161" t="s">
        <v>270</v>
      </c>
      <c r="Q284" s="172" t="s">
        <v>9</v>
      </c>
      <c r="R284" s="172" t="s">
        <v>103</v>
      </c>
      <c r="S284" s="172" t="s">
        <v>112</v>
      </c>
      <c r="T284" s="167" t="s">
        <v>270</v>
      </c>
      <c r="U284" s="167" t="s">
        <v>270</v>
      </c>
      <c r="V284" s="167" t="s">
        <v>930</v>
      </c>
      <c r="W284" s="15" t="str">
        <f>IF(IFERROR(VLOOKUP($M284,'IMPORT GS-Tür OL FL 2S2 20'!$H$2:$H$847,1,0),"-")="-","","GS")</f>
        <v/>
      </c>
      <c r="X284" s="161" t="s">
        <v>270</v>
      </c>
      <c r="Y284" s="167" t="s">
        <v>270</v>
      </c>
      <c r="Z284" s="59" t="str">
        <f>IF(OR($M284="",NOT($O284="{array}")),"",IFERROR(MATCH(PARAMETERS!$M284,DEFAULT!$B$5:$CG$5,0),""))</f>
        <v/>
      </c>
      <c r="AA284" s="56" t="str">
        <f t="shared" si="22"/>
        <v/>
      </c>
      <c r="AB284" s="63" t="str">
        <f>IF(AND(OR($A284="G",$A284="P"),NOT($O284="{array}")),IF(VLOOKUP($K284,base!$B$2:$D$20,3,0)="S",IF(OR($O284="",ISTEXT($O284)),"","STRING!"),IF(VLOOKUP($K284,base!$B$2:$D$20,3,0)="","",IF(ISTEXT($O284),"NUMERIC!",""))),"")</f>
        <v/>
      </c>
      <c r="AC284" s="17" t="str">
        <f>IF($AA284="","",IF($B284="I",VLOOKUP($AA284,#REF!,53,0),INDEX(VALUES!$B$1:$BR$1,1,$AA284)))</f>
        <v/>
      </c>
    </row>
    <row r="285" spans="1:29" collapsed="1" x14ac:dyDescent="0.3">
      <c r="A285" s="22" t="s">
        <v>84</v>
      </c>
      <c r="B285" s="41" t="str">
        <f t="shared" ref="B285:B294" si="24">IF($A285="P",IF(NOT($Z285=""),"A",IF(NOT($AA285=""),"I","")),IF(NOT($AA285=""),IF($A285="G","V","X"),IF(NOT($Z285=""),"A","")))</f>
        <v/>
      </c>
      <c r="C285" s="42">
        <f t="shared" si="23"/>
        <v>284</v>
      </c>
      <c r="D285" s="38"/>
      <c r="E285" s="38"/>
      <c r="F285" s="38"/>
      <c r="G285" s="38"/>
      <c r="H285" s="38"/>
      <c r="I285" s="38"/>
      <c r="J285" s="38"/>
      <c r="K285" s="14" t="s">
        <v>57</v>
      </c>
      <c r="L285" s="14" t="s">
        <v>38</v>
      </c>
      <c r="M285" s="48" t="s">
        <v>931</v>
      </c>
      <c r="N285" s="41" t="s">
        <v>932</v>
      </c>
      <c r="R285" s="38" t="s">
        <v>103</v>
      </c>
      <c r="S285" s="38"/>
      <c r="T285" s="38"/>
      <c r="W285" s="15" t="str">
        <f>IF(IFERROR(VLOOKUP($M285,'IMPORT GS-Tür OL FL 2S2 20'!$H$2:$H$847,1,0),"-")="-","","GS")</f>
        <v/>
      </c>
      <c r="Y285" s="53"/>
      <c r="Z285" s="59" t="str">
        <f>IF(OR($M285="",NOT($O285="{array}")),"",IFERROR(MATCH(PARAMETERS!$M285,DEFAULT!$B$5:$CG$5,0),""))</f>
        <v/>
      </c>
      <c r="AA285" s="56" t="str">
        <f t="shared" si="22"/>
        <v/>
      </c>
      <c r="AB285" s="63" t="str">
        <f>IF(AND(OR($A285="G",$A285="P"),NOT($O285="{array}")),IF(VLOOKUP($K285,base!$B$2:$D$20,3,0)="S",IF(OR($O285="",ISTEXT($O285)),"","STRING!"),IF(VLOOKUP($K285,base!$B$2:$D$20,3,0)="","",IF(ISTEXT($O285),"NUMERIC!",""))),"")</f>
        <v/>
      </c>
      <c r="AC285" s="17" t="str">
        <f>IF($AA285="","",IF($B285="I",VLOOKUP($AA285,#REF!,53,0),INDEX(VALUES!$B$1:$BR$1,1,$AA285)))</f>
        <v/>
      </c>
    </row>
    <row r="286" spans="1:29" hidden="1" outlineLevel="1" x14ac:dyDescent="0.3">
      <c r="A286" s="22" t="s">
        <v>84</v>
      </c>
      <c r="B286" s="41" t="str">
        <f t="shared" si="24"/>
        <v/>
      </c>
      <c r="C286" s="42">
        <f t="shared" si="23"/>
        <v>285</v>
      </c>
      <c r="D286" s="38"/>
      <c r="E286" s="38"/>
      <c r="F286" s="38" t="s">
        <v>9</v>
      </c>
      <c r="G286" s="38"/>
      <c r="H286" s="38"/>
      <c r="I286" s="38" t="s">
        <v>9</v>
      </c>
      <c r="J286" s="38"/>
      <c r="K286" s="14" t="s">
        <v>18</v>
      </c>
      <c r="L286" s="14" t="s">
        <v>21</v>
      </c>
      <c r="M286" s="20" t="s">
        <v>1299</v>
      </c>
      <c r="N286" s="14" t="s">
        <v>1300</v>
      </c>
      <c r="Q286" s="38" t="s">
        <v>9</v>
      </c>
      <c r="R286" s="38" t="s">
        <v>104</v>
      </c>
      <c r="S286" s="38"/>
      <c r="T286" s="38"/>
      <c r="W286" s="15" t="str">
        <f>IF(IFERROR(VLOOKUP($M286,'IMPORT GS-Tür OL FL 2S2 20'!$H$2:$H$847,1,0),"-")="-","","GS")</f>
        <v>GS</v>
      </c>
      <c r="Z286" s="59" t="str">
        <f>IF(OR($M286="",NOT($O286="{array}")),"",IFERROR(MATCH(PARAMETERS!$M286,DEFAULT!$B$5:$CG$5,0),""))</f>
        <v/>
      </c>
      <c r="AA286" s="56" t="str">
        <f t="shared" si="22"/>
        <v/>
      </c>
      <c r="AB286" s="63" t="str">
        <f>IF(AND(OR($A286="G",$A286="P"),NOT($O286="{array}")),IF(VLOOKUP($K286,base!$B$2:$D$20,3,0)="S",IF(OR($O286="",ISTEXT($O286)),"","STRING!"),IF(VLOOKUP($K286,base!$B$2:$D$20,3,0)="","",IF(ISTEXT($O286),"NUMERIC!",""))),"")</f>
        <v/>
      </c>
      <c r="AC286" s="17" t="str">
        <f>IF($AA286="","",IF($B286="I",VLOOKUP($AA286,#REF!,53,0),INDEX(VALUES!$B$1:$BR$1,1,$AA286)))</f>
        <v/>
      </c>
    </row>
    <row r="287" spans="1:29" hidden="1" outlineLevel="1" x14ac:dyDescent="0.25">
      <c r="A287" s="22"/>
      <c r="B287" s="41" t="str">
        <f t="shared" si="24"/>
        <v/>
      </c>
      <c r="C287" s="42">
        <f t="shared" si="23"/>
        <v>286</v>
      </c>
      <c r="D287" s="38"/>
      <c r="E287" s="38"/>
      <c r="F287" s="38"/>
      <c r="G287" s="38"/>
      <c r="H287" s="38"/>
      <c r="I287" s="38" t="s">
        <v>9</v>
      </c>
      <c r="J287" s="38"/>
      <c r="K287" s="167" t="s">
        <v>18</v>
      </c>
      <c r="L287" s="168" t="s">
        <v>21</v>
      </c>
      <c r="M287" s="167" t="s">
        <v>1301</v>
      </c>
      <c r="N287" s="167" t="s">
        <v>270</v>
      </c>
      <c r="O287" s="167" t="s">
        <v>270</v>
      </c>
      <c r="P287" s="161" t="s">
        <v>270</v>
      </c>
      <c r="Q287" s="161" t="s">
        <v>9</v>
      </c>
      <c r="R287" s="161" t="s">
        <v>103</v>
      </c>
      <c r="S287" s="161" t="s">
        <v>112</v>
      </c>
      <c r="T287" s="167" t="s">
        <v>270</v>
      </c>
      <c r="U287" s="167" t="s">
        <v>270</v>
      </c>
      <c r="V287" s="167" t="s">
        <v>1301</v>
      </c>
      <c r="W287" s="15" t="str">
        <f>IF(IFERROR(VLOOKUP($M287,'IMPORT GS-Tür OL FL 2S2 20'!$H$2:$H$847,1,0),"-")="-","","GS")</f>
        <v/>
      </c>
      <c r="X287" s="161" t="s">
        <v>270</v>
      </c>
      <c r="Y287" s="167" t="s">
        <v>1302</v>
      </c>
      <c r="Z287" s="59" t="str">
        <f>IF(OR($M287="",NOT($O287="{array}")),"",IFERROR(MATCH(PARAMETERS!$M287,DEFAULT!$B$5:$CG$5,0),""))</f>
        <v/>
      </c>
      <c r="AA287" s="56" t="str">
        <f t="shared" si="22"/>
        <v/>
      </c>
      <c r="AB287" s="63" t="str">
        <f>IF(AND(OR($A287="G",$A287="P"),NOT($O287="{array}")),IF(VLOOKUP($K287,base!$B$2:$D$20,3,0)="S",IF(OR($O287="",ISTEXT($O287)),"","STRING!"),IF(VLOOKUP($K287,base!$B$2:$D$20,3,0)="","",IF(ISTEXT($O287),"NUMERIC!",""))),"")</f>
        <v/>
      </c>
      <c r="AC287" s="17" t="str">
        <f>IF($AA287="","",IF($B287="I",VLOOKUP($AA287,#REF!,53,0),INDEX(VALUES!$B$1:$BR$1,1,$AA287)))</f>
        <v/>
      </c>
    </row>
    <row r="288" spans="1:29" hidden="1" outlineLevel="1" x14ac:dyDescent="0.25">
      <c r="A288" s="22"/>
      <c r="B288" s="41" t="str">
        <f t="shared" si="24"/>
        <v/>
      </c>
      <c r="C288" s="42">
        <f t="shared" si="23"/>
        <v>287</v>
      </c>
      <c r="D288" s="38"/>
      <c r="E288" s="38"/>
      <c r="F288" s="38"/>
      <c r="G288" s="38"/>
      <c r="H288" s="38"/>
      <c r="I288" s="38" t="s">
        <v>9</v>
      </c>
      <c r="J288" s="38"/>
      <c r="K288" s="167" t="s">
        <v>100</v>
      </c>
      <c r="L288" s="168" t="s">
        <v>21</v>
      </c>
      <c r="M288" s="167" t="s">
        <v>1303</v>
      </c>
      <c r="N288" s="167" t="s">
        <v>270</v>
      </c>
      <c r="O288" s="167" t="s">
        <v>1304</v>
      </c>
      <c r="P288" s="161" t="s">
        <v>270</v>
      </c>
      <c r="Q288" s="161" t="s">
        <v>9</v>
      </c>
      <c r="R288" s="161" t="s">
        <v>103</v>
      </c>
      <c r="S288" s="161" t="s">
        <v>112</v>
      </c>
      <c r="T288" s="167" t="s">
        <v>270</v>
      </c>
      <c r="U288" s="167" t="s">
        <v>270</v>
      </c>
      <c r="V288" s="167" t="s">
        <v>1303</v>
      </c>
      <c r="W288" s="15" t="str">
        <f>IF(IFERROR(VLOOKUP($M288,'IMPORT GS-Tür OL FL 2S2 20'!$H$2:$H$847,1,0),"-")="-","","GS")</f>
        <v/>
      </c>
      <c r="X288" s="161" t="s">
        <v>270</v>
      </c>
      <c r="Y288" s="167" t="s">
        <v>1305</v>
      </c>
      <c r="Z288" s="59" t="str">
        <f>IF(OR($M288="",NOT($O288="{array}")),"",IFERROR(MATCH(PARAMETERS!$M288,DEFAULT!$B$5:$CG$5,0),""))</f>
        <v/>
      </c>
      <c r="AA288" s="56" t="str">
        <f t="shared" si="22"/>
        <v/>
      </c>
      <c r="AB288" s="63" t="str">
        <f>IF(AND(OR($A288="G",$A288="P"),NOT($O288="{array}")),IF(VLOOKUP($K288,base!$B$2:$D$20,3,0)="S",IF(OR($O288="",ISTEXT($O288)),"","STRING!"),IF(VLOOKUP($K288,base!$B$2:$D$20,3,0)="","",IF(ISTEXT($O288),"NUMERIC!",""))),"")</f>
        <v/>
      </c>
      <c r="AC288" s="17" t="str">
        <f>IF($AA288="","",IF($B288="I",VLOOKUP($AA288,#REF!,53,0),INDEX(VALUES!$B$1:$BR$1,1,$AA288)))</f>
        <v/>
      </c>
    </row>
    <row r="289" spans="1:29" hidden="1" outlineLevel="1" x14ac:dyDescent="0.25">
      <c r="A289" s="22"/>
      <c r="B289" s="41" t="str">
        <f t="shared" si="24"/>
        <v/>
      </c>
      <c r="C289" s="42">
        <f t="shared" si="23"/>
        <v>288</v>
      </c>
      <c r="D289" s="38"/>
      <c r="E289" s="38"/>
      <c r="F289" s="38"/>
      <c r="G289" s="38"/>
      <c r="H289" s="38"/>
      <c r="I289" s="38" t="s">
        <v>9</v>
      </c>
      <c r="J289" s="38"/>
      <c r="K289" s="167" t="s">
        <v>100</v>
      </c>
      <c r="L289" s="168" t="s">
        <v>21</v>
      </c>
      <c r="M289" s="167" t="s">
        <v>1306</v>
      </c>
      <c r="N289" s="167" t="s">
        <v>270</v>
      </c>
      <c r="O289" s="167" t="s">
        <v>1307</v>
      </c>
      <c r="P289" s="161" t="s">
        <v>270</v>
      </c>
      <c r="Q289" s="161" t="s">
        <v>9</v>
      </c>
      <c r="R289" s="161" t="s">
        <v>103</v>
      </c>
      <c r="S289" s="161" t="s">
        <v>112</v>
      </c>
      <c r="T289" s="167" t="s">
        <v>270</v>
      </c>
      <c r="U289" s="167" t="s">
        <v>270</v>
      </c>
      <c r="V289" s="167" t="s">
        <v>1306</v>
      </c>
      <c r="W289" s="15" t="str">
        <f>IF(IFERROR(VLOOKUP($M289,'IMPORT GS-Tür OL FL 2S2 20'!$H$2:$H$847,1,0),"-")="-","","GS")</f>
        <v/>
      </c>
      <c r="X289" s="161" t="s">
        <v>270</v>
      </c>
      <c r="Y289" s="167" t="s">
        <v>1305</v>
      </c>
      <c r="Z289" s="59" t="str">
        <f>IF(OR($M289="",NOT($O289="{array}")),"",IFERROR(MATCH(PARAMETERS!$M289,DEFAULT!$B$5:$CG$5,0),""))</f>
        <v/>
      </c>
      <c r="AA289" s="56" t="str">
        <f t="shared" si="22"/>
        <v/>
      </c>
      <c r="AB289" s="63" t="str">
        <f>IF(AND(OR($A289="G",$A289="P"),NOT($O289="{array}")),IF(VLOOKUP($K289,base!$B$2:$D$20,3,0)="S",IF(OR($O289="",ISTEXT($O289)),"","STRING!"),IF(VLOOKUP($K289,base!$B$2:$D$20,3,0)="","",IF(ISTEXT($O289),"NUMERIC!",""))),"")</f>
        <v/>
      </c>
      <c r="AC289" s="17" t="str">
        <f>IF($AA289="","",IF($B289="I",VLOOKUP($AA289,#REF!,53,0),INDEX(VALUES!$B$1:$BR$1,1,$AA289)))</f>
        <v/>
      </c>
    </row>
    <row r="290" spans="1:29" hidden="1" outlineLevel="1" x14ac:dyDescent="0.25">
      <c r="A290" s="22"/>
      <c r="B290" s="41" t="str">
        <f t="shared" si="24"/>
        <v/>
      </c>
      <c r="C290" s="42">
        <f t="shared" si="23"/>
        <v>289</v>
      </c>
      <c r="D290" s="38"/>
      <c r="E290" s="38"/>
      <c r="F290" s="38"/>
      <c r="G290" s="38"/>
      <c r="H290" s="38"/>
      <c r="I290" s="38" t="s">
        <v>9</v>
      </c>
      <c r="J290" s="38"/>
      <c r="K290" s="167" t="s">
        <v>47</v>
      </c>
      <c r="L290" s="168" t="s">
        <v>21</v>
      </c>
      <c r="M290" s="167" t="s">
        <v>1308</v>
      </c>
      <c r="N290" s="167" t="s">
        <v>270</v>
      </c>
      <c r="O290" s="167" t="s">
        <v>270</v>
      </c>
      <c r="P290" s="161" t="s">
        <v>270</v>
      </c>
      <c r="Q290" s="161" t="s">
        <v>9</v>
      </c>
      <c r="R290" s="161" t="s">
        <v>103</v>
      </c>
      <c r="S290" s="161" t="s">
        <v>112</v>
      </c>
      <c r="T290" s="167" t="s">
        <v>270</v>
      </c>
      <c r="U290" s="167" t="s">
        <v>270</v>
      </c>
      <c r="V290" s="167" t="s">
        <v>1308</v>
      </c>
      <c r="W290" s="15" t="str">
        <f>IF(IFERROR(VLOOKUP($M290,'IMPORT GS-Tür OL FL 2S2 20'!$H$2:$H$847,1,0),"-")="-","","GS")</f>
        <v/>
      </c>
      <c r="X290" s="161" t="s">
        <v>270</v>
      </c>
      <c r="Y290" s="167" t="s">
        <v>1309</v>
      </c>
      <c r="Z290" s="59" t="str">
        <f>IF(OR($M290="",NOT($O290="{array}")),"",IFERROR(MATCH(PARAMETERS!$M290,DEFAULT!$B$5:$CG$5,0),""))</f>
        <v/>
      </c>
      <c r="AA290" s="56" t="str">
        <f t="shared" si="22"/>
        <v/>
      </c>
      <c r="AB290" s="63" t="str">
        <f>IF(AND(OR($A290="G",$A290="P"),NOT($O290="{array}")),IF(VLOOKUP($K290,base!$B$2:$D$20,3,0)="S",IF(OR($O290="",ISTEXT($O290)),"","STRING!"),IF(VLOOKUP($K290,base!$B$2:$D$20,3,0)="","",IF(ISTEXT($O290),"NUMERIC!",""))),"")</f>
        <v/>
      </c>
      <c r="AC290" s="17" t="str">
        <f>IF($AA290="","",IF($B290="I",VLOOKUP($AA290,#REF!,53,0),INDEX(VALUES!$B$1:$BR$1,1,$AA290)))</f>
        <v/>
      </c>
    </row>
    <row r="291" spans="1:29" hidden="1" outlineLevel="1" x14ac:dyDescent="0.25">
      <c r="A291" s="22"/>
      <c r="B291" s="41" t="str">
        <f t="shared" si="24"/>
        <v/>
      </c>
      <c r="C291" s="42">
        <f t="shared" si="23"/>
        <v>290</v>
      </c>
      <c r="D291" s="38"/>
      <c r="E291" s="38"/>
      <c r="F291" s="38"/>
      <c r="G291" s="38"/>
      <c r="H291" s="38"/>
      <c r="I291" s="38" t="s">
        <v>9</v>
      </c>
      <c r="J291" s="38"/>
      <c r="K291" s="167" t="s">
        <v>47</v>
      </c>
      <c r="L291" s="168" t="s">
        <v>21</v>
      </c>
      <c r="M291" s="167" t="s">
        <v>1310</v>
      </c>
      <c r="N291" s="167" t="s">
        <v>270</v>
      </c>
      <c r="O291" s="167" t="s">
        <v>270</v>
      </c>
      <c r="P291" s="161" t="s">
        <v>270</v>
      </c>
      <c r="Q291" s="161" t="s">
        <v>9</v>
      </c>
      <c r="R291" s="161" t="s">
        <v>103</v>
      </c>
      <c r="S291" s="161" t="s">
        <v>112</v>
      </c>
      <c r="T291" s="167" t="s">
        <v>270</v>
      </c>
      <c r="U291" s="167" t="s">
        <v>270</v>
      </c>
      <c r="V291" s="167" t="s">
        <v>1310</v>
      </c>
      <c r="W291" s="15" t="str">
        <f>IF(IFERROR(VLOOKUP($M291,'IMPORT GS-Tür OL FL 2S2 20'!$H$2:$H$847,1,0),"-")="-","","GS")</f>
        <v/>
      </c>
      <c r="X291" s="161" t="s">
        <v>270</v>
      </c>
      <c r="Y291" s="167" t="s">
        <v>1311</v>
      </c>
      <c r="Z291" s="59" t="str">
        <f>IF(OR($M291="",NOT($O291="{array}")),"",IFERROR(MATCH(PARAMETERS!$M291,DEFAULT!$B$5:$CG$5,0),""))</f>
        <v/>
      </c>
      <c r="AA291" s="56" t="str">
        <f t="shared" si="22"/>
        <v/>
      </c>
      <c r="AB291" s="63" t="str">
        <f>IF(AND(OR($A291="G",$A291="P"),NOT($O291="{array}")),IF(VLOOKUP($K291,base!$B$2:$D$20,3,0)="S",IF(OR($O291="",ISTEXT($O291)),"","STRING!"),IF(VLOOKUP($K291,base!$B$2:$D$20,3,0)="","",IF(ISTEXT($O291),"NUMERIC!",""))),"")</f>
        <v/>
      </c>
      <c r="AC291" s="17" t="str">
        <f>IF($AA291="","",IF($B291="I",VLOOKUP($AA291,#REF!,53,0),INDEX(VALUES!$B$1:$BR$1,1,$AA291)))</f>
        <v/>
      </c>
    </row>
    <row r="292" spans="1:29" hidden="1" outlineLevel="1" x14ac:dyDescent="0.25">
      <c r="A292" s="22"/>
      <c r="B292" s="41" t="str">
        <f t="shared" si="24"/>
        <v/>
      </c>
      <c r="C292" s="42">
        <f t="shared" si="23"/>
        <v>291</v>
      </c>
      <c r="D292" s="38"/>
      <c r="E292" s="38"/>
      <c r="F292" s="38"/>
      <c r="G292" s="38"/>
      <c r="H292" s="38"/>
      <c r="I292" s="38" t="s">
        <v>9</v>
      </c>
      <c r="J292" s="38"/>
      <c r="K292" s="167" t="s">
        <v>100</v>
      </c>
      <c r="L292" s="168" t="s">
        <v>21</v>
      </c>
      <c r="M292" s="167" t="s">
        <v>1312</v>
      </c>
      <c r="N292" s="167" t="s">
        <v>270</v>
      </c>
      <c r="O292" s="167" t="s">
        <v>1313</v>
      </c>
      <c r="P292" s="161" t="s">
        <v>270</v>
      </c>
      <c r="Q292" s="161" t="s">
        <v>9</v>
      </c>
      <c r="R292" s="161" t="s">
        <v>103</v>
      </c>
      <c r="S292" s="161" t="s">
        <v>112</v>
      </c>
      <c r="T292" s="167" t="s">
        <v>270</v>
      </c>
      <c r="U292" s="167" t="s">
        <v>270</v>
      </c>
      <c r="V292" s="167" t="s">
        <v>1312</v>
      </c>
      <c r="W292" s="15" t="str">
        <f>IF(IFERROR(VLOOKUP($M292,'IMPORT GS-Tür OL FL 2S2 20'!$H$2:$H$847,1,0),"-")="-","","GS")</f>
        <v/>
      </c>
      <c r="X292" s="161" t="s">
        <v>270</v>
      </c>
      <c r="Y292" s="167" t="s">
        <v>1314</v>
      </c>
      <c r="Z292" s="59" t="str">
        <f>IF(OR($M292="",NOT($O292="{array}")),"",IFERROR(MATCH(PARAMETERS!$M292,DEFAULT!$B$5:$CG$5,0),""))</f>
        <v/>
      </c>
      <c r="AA292" s="56" t="str">
        <f t="shared" si="22"/>
        <v/>
      </c>
      <c r="AB292" s="63" t="str">
        <f>IF(AND(OR($A292="G",$A292="P"),NOT($O292="{array}")),IF(VLOOKUP($K292,base!$B$2:$D$20,3,0)="S",IF(OR($O292="",ISTEXT($O292)),"","STRING!"),IF(VLOOKUP($K292,base!$B$2:$D$20,3,0)="","",IF(ISTEXT($O292),"NUMERIC!",""))),"")</f>
        <v/>
      </c>
      <c r="AC292" s="17" t="str">
        <f>IF($AA292="","",IF($B292="I",VLOOKUP($AA292,#REF!,53,0),INDEX(VALUES!$B$1:$BR$1,1,$AA292)))</f>
        <v/>
      </c>
    </row>
    <row r="293" spans="1:29" hidden="1" outlineLevel="1" x14ac:dyDescent="0.25">
      <c r="A293" s="22"/>
      <c r="B293" s="41" t="str">
        <f t="shared" si="24"/>
        <v/>
      </c>
      <c r="C293" s="42">
        <f t="shared" si="23"/>
        <v>292</v>
      </c>
      <c r="D293" s="38"/>
      <c r="E293" s="38"/>
      <c r="F293" s="38"/>
      <c r="G293" s="38"/>
      <c r="H293" s="38"/>
      <c r="I293" s="38" t="s">
        <v>9</v>
      </c>
      <c r="J293" s="38"/>
      <c r="K293" s="167" t="s">
        <v>47</v>
      </c>
      <c r="L293" s="168" t="s">
        <v>21</v>
      </c>
      <c r="M293" s="167" t="s">
        <v>1315</v>
      </c>
      <c r="N293" s="167" t="s">
        <v>270</v>
      </c>
      <c r="O293" s="167" t="s">
        <v>270</v>
      </c>
      <c r="P293" s="161" t="s">
        <v>270</v>
      </c>
      <c r="Q293" s="161" t="s">
        <v>9</v>
      </c>
      <c r="R293" s="161" t="s">
        <v>103</v>
      </c>
      <c r="S293" s="161" t="s">
        <v>112</v>
      </c>
      <c r="T293" s="167" t="s">
        <v>270</v>
      </c>
      <c r="U293" s="167" t="s">
        <v>270</v>
      </c>
      <c r="V293" s="167" t="s">
        <v>1315</v>
      </c>
      <c r="W293" s="15" t="str">
        <f>IF(IFERROR(VLOOKUP($M293,'IMPORT GS-Tür OL FL 2S2 20'!$H$2:$H$847,1,0),"-")="-","","GS")</f>
        <v/>
      </c>
      <c r="X293" s="161" t="s">
        <v>270</v>
      </c>
      <c r="Y293" s="167" t="s">
        <v>270</v>
      </c>
      <c r="Z293" s="59" t="str">
        <f>IF(OR($M293="",NOT($O293="{array}")),"",IFERROR(MATCH(PARAMETERS!$M293,DEFAULT!$B$5:$CG$5,0),""))</f>
        <v/>
      </c>
      <c r="AA293" s="56" t="str">
        <f t="shared" si="22"/>
        <v/>
      </c>
      <c r="AB293" s="63" t="str">
        <f>IF(AND(OR($A293="G",$A293="P"),NOT($O293="{array}")),IF(VLOOKUP($K293,base!$B$2:$D$20,3,0)="S",IF(OR($O293="",ISTEXT($O293)),"","STRING!"),IF(VLOOKUP($K293,base!$B$2:$D$20,3,0)="","",IF(ISTEXT($O293),"NUMERIC!",""))),"")</f>
        <v/>
      </c>
      <c r="AC293" s="17" t="str">
        <f>IF($AA293="","",IF($B293="I",VLOOKUP($AA293,#REF!,53,0),INDEX(VALUES!$B$1:$BR$1,1,$AA293)))</f>
        <v/>
      </c>
    </row>
    <row r="294" spans="1:29" hidden="1" outlineLevel="1" x14ac:dyDescent="0.3">
      <c r="A294" s="22" t="s">
        <v>84</v>
      </c>
      <c r="B294" s="41" t="str">
        <f t="shared" si="24"/>
        <v/>
      </c>
      <c r="C294" s="42">
        <f t="shared" si="23"/>
        <v>293</v>
      </c>
      <c r="D294" s="38"/>
      <c r="E294" s="38"/>
      <c r="F294" s="38" t="s">
        <v>9</v>
      </c>
      <c r="G294" s="38"/>
      <c r="H294" s="38"/>
      <c r="I294" s="38" t="s">
        <v>9</v>
      </c>
      <c r="J294" s="38"/>
      <c r="K294" s="14" t="s">
        <v>18</v>
      </c>
      <c r="L294" s="14" t="s">
        <v>21</v>
      </c>
      <c r="M294" s="20" t="s">
        <v>1316</v>
      </c>
      <c r="N294" s="14" t="s">
        <v>1317</v>
      </c>
      <c r="Q294" s="38" t="s">
        <v>9</v>
      </c>
      <c r="R294" s="38" t="s">
        <v>104</v>
      </c>
      <c r="S294" s="38"/>
      <c r="T294" s="38"/>
      <c r="W294" s="15" t="str">
        <f>IF(IFERROR(VLOOKUP($M294,'IMPORT GS-Tür OL FL 2S2 20'!$H$2:$H$847,1,0),"-")="-","","GS")</f>
        <v>GS</v>
      </c>
      <c r="Z294" s="59" t="str">
        <f>IF(OR($M294="",NOT($O294="{array}")),"",IFERROR(MATCH(PARAMETERS!$M294,DEFAULT!$B$5:$CG$5,0),""))</f>
        <v/>
      </c>
      <c r="AA294" s="56" t="str">
        <f t="shared" si="22"/>
        <v/>
      </c>
      <c r="AB294" s="63" t="str">
        <f>IF(AND(OR($A294="G",$A294="P"),NOT($O294="{array}")),IF(VLOOKUP($K294,base!$B$2:$D$20,3,0)="S",IF(OR($O294="",ISTEXT($O294)),"","STRING!"),IF(VLOOKUP($K294,base!$B$2:$D$20,3,0)="","",IF(ISTEXT($O294),"NUMERIC!",""))),"")</f>
        <v/>
      </c>
      <c r="AC294" s="17" t="str">
        <f>IF($AA294="","",IF($B294="I",VLOOKUP($AA294,#REF!,53,0),INDEX(VALUES!$B$1:$BR$1,1,$AA294)))</f>
        <v/>
      </c>
    </row>
    <row r="295" spans="1:29" collapsed="1" x14ac:dyDescent="0.3">
      <c r="A295" s="22" t="s">
        <v>194</v>
      </c>
      <c r="B295" s="41"/>
      <c r="C295" s="42"/>
      <c r="D295" s="38"/>
      <c r="E295" s="38"/>
      <c r="F295" s="38"/>
      <c r="G295" s="38"/>
      <c r="H295" s="38"/>
      <c r="I295" s="38"/>
      <c r="J295" s="38"/>
      <c r="R295" s="38"/>
      <c r="S295" s="38"/>
      <c r="T295" s="38"/>
      <c r="W295" s="15" t="str">
        <f>IF(IFERROR(VLOOKUP($M295,'IMPORT GS-Tür OL FL 2S2 20'!$H$2:$H$847,1,0),"-")="-","","GS")</f>
        <v/>
      </c>
      <c r="Z295" s="59" t="str">
        <f>IF(OR($M295="",NOT($O295="{array}")),"",IFERROR(MATCH(PARAMETERS!$M295,DEFAULT!$B$5:$CG$5,0),""))</f>
        <v/>
      </c>
      <c r="AA295" s="56" t="str">
        <f t="shared" ref="AA295:AA326" si="25">IF($M295="","",IFERROR(MATCH($M295,VALUESnames,0),""))</f>
        <v/>
      </c>
      <c r="AB295" s="63" t="str">
        <f>IF(AND(OR($A295="G",$A295="P"),NOT($O295="{array}")),IF(VLOOKUP($K295,base!$B$2:$D$20,3,0)="S",IF(OR($O295="",ISTEXT($O295)),"","STRING!"),IF(VLOOKUP($K295,base!$B$2:$D$20,3,0)="","",IF(ISTEXT($O295),"NUMERIC!",""))),"")</f>
        <v/>
      </c>
      <c r="AC295" s="17" t="str">
        <f>IF($AA295="","",IF($B295="I",VLOOKUP($AA295,#REF!,53,0),INDEX(VALUES!$B$1:$BR$1,1,$AA295)))</f>
        <v/>
      </c>
    </row>
    <row r="296" spans="1:29" x14ac:dyDescent="0.3">
      <c r="A296" s="22" t="s">
        <v>84</v>
      </c>
      <c r="B296" s="41" t="str">
        <f t="shared" ref="B296:B345" si="26">IF($A296="P",IF(NOT($Z296=""),"A",IF(NOT($AA296=""),"I","")),IF(NOT($AA296=""),IF($A296="G","V","X"),IF(NOT($Z296=""),"A","")))</f>
        <v/>
      </c>
      <c r="C296" s="42">
        <f t="shared" ref="C296:C327" si="27">(ROW()-1)</f>
        <v>295</v>
      </c>
      <c r="D296" s="38"/>
      <c r="E296" s="38"/>
      <c r="F296" s="38" t="s">
        <v>9</v>
      </c>
      <c r="G296" s="38" t="s">
        <v>9</v>
      </c>
      <c r="H296" s="38"/>
      <c r="I296" s="38"/>
      <c r="J296" s="38"/>
      <c r="K296" s="14" t="s">
        <v>57</v>
      </c>
      <c r="L296" s="14" t="s">
        <v>38</v>
      </c>
      <c r="M296" s="48" t="s">
        <v>195</v>
      </c>
      <c r="N296" s="41" t="s">
        <v>196</v>
      </c>
      <c r="R296" s="38" t="s">
        <v>104</v>
      </c>
      <c r="S296" s="38"/>
      <c r="T296" s="38"/>
      <c r="W296" s="15" t="str">
        <f>IF(IFERROR(VLOOKUP($M296,'IMPORT GS-Tür OL FL 2S2 20'!$H$2:$H$847,1,0),"-")="-","","GS")</f>
        <v>GS</v>
      </c>
      <c r="Z296" s="59" t="str">
        <f>IF(OR($M296="",NOT($O296="{array}")),"",IFERROR(MATCH(PARAMETERS!$M296,DEFAULT!$B$5:$CG$5,0),""))</f>
        <v/>
      </c>
      <c r="AA296" s="56" t="str">
        <f t="shared" si="25"/>
        <v/>
      </c>
      <c r="AB296" s="63" t="str">
        <f>IF(AND(OR($A296="G",$A296="P"),NOT($O296="{array}")),IF(VLOOKUP($K296,base!$B$2:$D$20,3,0)="S",IF(OR($O296="",ISTEXT($O296)),"","STRING!"),IF(VLOOKUP($K296,base!$B$2:$D$20,3,0)="","",IF(ISTEXT($O296),"NUMERIC!",""))),"")</f>
        <v/>
      </c>
      <c r="AC296" s="17" t="str">
        <f>IF($AA296="","",IF($B296="I",VLOOKUP($AA296,#REF!,53,0),INDEX(VALUES!$B$1:$BR$1,1,$AA296)))</f>
        <v/>
      </c>
    </row>
    <row r="297" spans="1:29" x14ac:dyDescent="0.3">
      <c r="A297" s="22" t="s">
        <v>84</v>
      </c>
      <c r="B297" s="41" t="str">
        <f t="shared" si="26"/>
        <v/>
      </c>
      <c r="C297" s="42">
        <f t="shared" si="27"/>
        <v>296</v>
      </c>
      <c r="D297" s="38"/>
      <c r="E297" s="38"/>
      <c r="F297" s="38" t="s">
        <v>9</v>
      </c>
      <c r="G297" s="38"/>
      <c r="H297" s="38"/>
      <c r="I297" s="38"/>
      <c r="J297" s="38"/>
      <c r="K297" s="14" t="s">
        <v>57</v>
      </c>
      <c r="L297" s="14" t="s">
        <v>38</v>
      </c>
      <c r="M297" s="48" t="s">
        <v>197</v>
      </c>
      <c r="N297" s="41" t="s">
        <v>198</v>
      </c>
      <c r="R297" s="38" t="s">
        <v>104</v>
      </c>
      <c r="S297" s="38"/>
      <c r="T297" s="38"/>
      <c r="W297" s="15" t="str">
        <f>IF(IFERROR(VLOOKUP($M297,'IMPORT GS-Tür OL FL 2S2 20'!$H$2:$H$847,1,0),"-")="-","","GS")</f>
        <v/>
      </c>
      <c r="Z297" s="59" t="str">
        <f>IF(OR($M297="",NOT($O297="{array}")),"",IFERROR(MATCH(PARAMETERS!$M297,DEFAULT!$B$5:$CG$5,0),""))</f>
        <v/>
      </c>
      <c r="AA297" s="56" t="str">
        <f t="shared" si="25"/>
        <v/>
      </c>
      <c r="AB297" s="63" t="str">
        <f>IF(AND(OR($A297="G",$A297="P"),NOT($O297="{array}")),IF(VLOOKUP($K297,base!$B$2:$D$20,3,0)="S",IF(OR($O297="",ISTEXT($O297)),"","STRING!"),IF(VLOOKUP($K297,base!$B$2:$D$20,3,0)="","",IF(ISTEXT($O297),"NUMERIC!",""))),"")</f>
        <v/>
      </c>
      <c r="AC297" s="17" t="str">
        <f>IF($AA297="","",IF($B297="I",VLOOKUP($AA297,#REF!,53,0),INDEX(VALUES!$B$1:$BR$1,1,$AA297)))</f>
        <v/>
      </c>
    </row>
    <row r="298" spans="1:29" hidden="1" outlineLevel="1" x14ac:dyDescent="0.3">
      <c r="A298" s="22" t="s">
        <v>84</v>
      </c>
      <c r="B298" s="41" t="str">
        <f t="shared" si="26"/>
        <v>A</v>
      </c>
      <c r="C298" s="42">
        <f t="shared" si="27"/>
        <v>297</v>
      </c>
      <c r="D298" s="38"/>
      <c r="E298" s="38"/>
      <c r="F298" s="38"/>
      <c r="G298" s="38"/>
      <c r="H298" s="38"/>
      <c r="I298" s="38" t="s">
        <v>9</v>
      </c>
      <c r="J298" s="38"/>
      <c r="K298" s="14" t="s">
        <v>52</v>
      </c>
      <c r="L298" s="14" t="s">
        <v>27</v>
      </c>
      <c r="M298" s="152" t="s">
        <v>199</v>
      </c>
      <c r="N298" s="14" t="s">
        <v>200</v>
      </c>
      <c r="O298" s="43" t="s">
        <v>33</v>
      </c>
      <c r="R298" s="38" t="s">
        <v>201</v>
      </c>
      <c r="S298" s="38"/>
      <c r="T298" s="38"/>
      <c r="W298" s="15" t="str">
        <f>IF(IFERROR(VLOOKUP($M298,'IMPORT GS-Tür OL FL 2S2 20'!$H$2:$H$847,1,0),"-")="-","","GS")</f>
        <v/>
      </c>
      <c r="Z298" s="59">
        <f>IF(OR($M298="",NOT($O298="{array}")),"",IFERROR(MATCH(PARAMETERS!$M298,DEFAULT!$B$5:$CG$5,0),""))</f>
        <v>81</v>
      </c>
      <c r="AA298" s="56" t="str">
        <f t="shared" si="25"/>
        <v/>
      </c>
      <c r="AB298" s="63" t="str">
        <f>IF(AND(OR($A298="G",$A298="P"),NOT($O298="{array}")),IF(VLOOKUP($K298,base!$B$2:$D$20,3,0)="S",IF(OR($O298="",ISTEXT($O298)),"","STRING!"),IF(VLOOKUP($K298,base!$B$2:$D$20,3,0)="","",IF(ISTEXT($O298),"NUMERIC!",""))),"")</f>
        <v/>
      </c>
      <c r="AC298" s="17" t="str">
        <f>IF($AA298="","",IF($B298="I",VLOOKUP($AA298,#REF!,53,0),INDEX(VALUES!$B$1:$BR$1,1,$AA298)))</f>
        <v/>
      </c>
    </row>
    <row r="299" spans="1:29" collapsed="1" x14ac:dyDescent="0.3">
      <c r="A299" s="22" t="s">
        <v>84</v>
      </c>
      <c r="B299" s="41" t="str">
        <f t="shared" si="26"/>
        <v/>
      </c>
      <c r="C299" s="42">
        <f t="shared" si="27"/>
        <v>298</v>
      </c>
      <c r="D299" s="38"/>
      <c r="E299" s="38"/>
      <c r="F299" s="38" t="s">
        <v>9</v>
      </c>
      <c r="G299" s="38"/>
      <c r="H299" s="38"/>
      <c r="I299" s="38"/>
      <c r="J299" s="38"/>
      <c r="K299" s="14" t="s">
        <v>57</v>
      </c>
      <c r="L299" s="14" t="s">
        <v>38</v>
      </c>
      <c r="M299" s="48" t="s">
        <v>202</v>
      </c>
      <c r="N299" s="41" t="s">
        <v>203</v>
      </c>
      <c r="R299" s="38" t="s">
        <v>104</v>
      </c>
      <c r="S299" s="38"/>
      <c r="T299" s="38"/>
      <c r="W299" s="15" t="str">
        <f>IF(IFERROR(VLOOKUP($M299,'IMPORT GS-Tür OL FL 2S2 20'!$H$2:$H$847,1,0),"-")="-","","GS")</f>
        <v>GS</v>
      </c>
      <c r="Z299" s="59" t="str">
        <f>IF(OR($M299="",NOT($O299="{array}")),"",IFERROR(MATCH(PARAMETERS!$M299,DEFAULT!$B$5:$CG$5,0),""))</f>
        <v/>
      </c>
      <c r="AA299" s="56" t="str">
        <f t="shared" si="25"/>
        <v/>
      </c>
      <c r="AB299" s="63" t="str">
        <f>IF(AND(OR($A299="G",$A299="P"),NOT($O299="{array}")),IF(VLOOKUP($K299,base!$B$2:$D$20,3,0)="S",IF(OR($O299="",ISTEXT($O299)),"","STRING!"),IF(VLOOKUP($K299,base!$B$2:$D$20,3,0)="","",IF(ISTEXT($O299),"NUMERIC!",""))),"")</f>
        <v/>
      </c>
      <c r="AC299" s="17" t="str">
        <f>IF($AA299="","",IF($B299="I",VLOOKUP($AA299,#REF!,53,0),INDEX(VALUES!$B$1:$BR$1,1,$AA299)))</f>
        <v/>
      </c>
    </row>
    <row r="300" spans="1:29" hidden="1" outlineLevel="1" x14ac:dyDescent="0.3">
      <c r="A300" s="22" t="s">
        <v>84</v>
      </c>
      <c r="B300" s="41" t="str">
        <f t="shared" si="26"/>
        <v>A</v>
      </c>
      <c r="C300" s="42">
        <f t="shared" si="27"/>
        <v>299</v>
      </c>
      <c r="D300" s="38"/>
      <c r="E300" s="38"/>
      <c r="F300" s="38"/>
      <c r="G300" s="38"/>
      <c r="H300" s="38"/>
      <c r="I300" s="38" t="s">
        <v>9</v>
      </c>
      <c r="J300" s="38"/>
      <c r="K300" s="14" t="s">
        <v>53</v>
      </c>
      <c r="L300" s="14" t="s">
        <v>27</v>
      </c>
      <c r="M300" s="152" t="s">
        <v>204</v>
      </c>
      <c r="N300" s="14" t="s">
        <v>205</v>
      </c>
      <c r="O300" s="43" t="s">
        <v>33</v>
      </c>
      <c r="R300" s="38" t="s">
        <v>201</v>
      </c>
      <c r="S300" s="38"/>
      <c r="T300" s="38"/>
      <c r="W300" s="15" t="str">
        <f>IF(IFERROR(VLOOKUP($M300,'IMPORT GS-Tür OL FL 2S2 20'!$H$2:$H$847,1,0),"-")="-","","GS")</f>
        <v/>
      </c>
      <c r="Z300" s="59">
        <f>IF(OR($M300="",NOT($O300="{array}")),"",IFERROR(MATCH(PARAMETERS!$M300,DEFAULT!$B$5:$CG$5,0),""))</f>
        <v>75</v>
      </c>
      <c r="AA300" s="56" t="str">
        <f t="shared" si="25"/>
        <v/>
      </c>
      <c r="AB300" s="63" t="str">
        <f>IF(AND(OR($A300="G",$A300="P"),NOT($O300="{array}")),IF(VLOOKUP($K300,base!$B$2:$D$20,3,0)="S",IF(OR($O300="",ISTEXT($O300)),"","STRING!"),IF(VLOOKUP($K300,base!$B$2:$D$20,3,0)="","",IF(ISTEXT($O300),"NUMERIC!",""))),"")</f>
        <v/>
      </c>
      <c r="AC300" s="17" t="str">
        <f>IF($AA300="","",IF($B300="I",VLOOKUP($AA300,#REF!,53,0),INDEX(VALUES!$B$1:$BR$1,1,$AA300)))</f>
        <v/>
      </c>
    </row>
    <row r="301" spans="1:29" hidden="1" outlineLevel="1" x14ac:dyDescent="0.3">
      <c r="A301" s="22" t="s">
        <v>84</v>
      </c>
      <c r="B301" s="41" t="str">
        <f t="shared" si="26"/>
        <v>A</v>
      </c>
      <c r="C301" s="42">
        <f t="shared" si="27"/>
        <v>300</v>
      </c>
      <c r="D301" s="38"/>
      <c r="E301" s="38"/>
      <c r="F301" s="38"/>
      <c r="G301" s="38"/>
      <c r="H301" s="38"/>
      <c r="I301" s="38" t="s">
        <v>9</v>
      </c>
      <c r="J301" s="38"/>
      <c r="K301" s="14" t="s">
        <v>53</v>
      </c>
      <c r="L301" s="14" t="s">
        <v>27</v>
      </c>
      <c r="M301" s="152" t="s">
        <v>206</v>
      </c>
      <c r="N301" s="14" t="s">
        <v>207</v>
      </c>
      <c r="O301" s="43" t="s">
        <v>33</v>
      </c>
      <c r="R301" s="38" t="s">
        <v>201</v>
      </c>
      <c r="S301" s="38"/>
      <c r="T301" s="38"/>
      <c r="W301" s="15" t="str">
        <f>IF(IFERROR(VLOOKUP($M301,'IMPORT GS-Tür OL FL 2S2 20'!$H$2:$H$847,1,0),"-")="-","","GS")</f>
        <v/>
      </c>
      <c r="Z301" s="59">
        <f>IF(OR($M301="",NOT($O301="{array}")),"",IFERROR(MATCH(PARAMETERS!$M301,DEFAULT!$B$5:$CG$5,0),""))</f>
        <v>77</v>
      </c>
      <c r="AA301" s="56" t="str">
        <f t="shared" si="25"/>
        <v/>
      </c>
      <c r="AB301" s="63" t="str">
        <f>IF(AND(OR($A301="G",$A301="P"),NOT($O301="{array}")),IF(VLOOKUP($K301,base!$B$2:$D$20,3,0)="S",IF(OR($O301="",ISTEXT($O301)),"","STRING!"),IF(VLOOKUP($K301,base!$B$2:$D$20,3,0)="","",IF(ISTEXT($O301),"NUMERIC!",""))),"")</f>
        <v/>
      </c>
      <c r="AC301" s="17" t="str">
        <f>IF($AA301="","",IF($B301="I",VLOOKUP($AA301,#REF!,53,0),INDEX(VALUES!$B$1:$BR$1,1,$AA301)))</f>
        <v/>
      </c>
    </row>
    <row r="302" spans="1:29" hidden="1" outlineLevel="1" x14ac:dyDescent="0.3">
      <c r="A302" s="22" t="s">
        <v>84</v>
      </c>
      <c r="B302" s="41" t="str">
        <f t="shared" si="26"/>
        <v>A</v>
      </c>
      <c r="C302" s="42">
        <f t="shared" si="27"/>
        <v>301</v>
      </c>
      <c r="D302" s="38"/>
      <c r="E302" s="38"/>
      <c r="F302" s="38"/>
      <c r="G302" s="38"/>
      <c r="H302" s="38"/>
      <c r="I302" s="38" t="s">
        <v>9</v>
      </c>
      <c r="J302" s="38"/>
      <c r="K302" s="14" t="s">
        <v>53</v>
      </c>
      <c r="L302" s="14" t="s">
        <v>27</v>
      </c>
      <c r="M302" s="152" t="s">
        <v>208</v>
      </c>
      <c r="N302" s="14" t="s">
        <v>209</v>
      </c>
      <c r="O302" s="43" t="s">
        <v>33</v>
      </c>
      <c r="R302" s="38" t="s">
        <v>201</v>
      </c>
      <c r="S302" s="38"/>
      <c r="T302" s="38"/>
      <c r="W302" s="15" t="str">
        <f>IF(IFERROR(VLOOKUP($M302,'IMPORT GS-Tür OL FL 2S2 20'!$H$2:$H$847,1,0),"-")="-","","GS")</f>
        <v/>
      </c>
      <c r="Z302" s="59">
        <f>IF(OR($M302="",NOT($O302="{array}")),"",IFERROR(MATCH(PARAMETERS!$M302,DEFAULT!$B$5:$CG$5,0),""))</f>
        <v>79</v>
      </c>
      <c r="AA302" s="56" t="str">
        <f t="shared" si="25"/>
        <v/>
      </c>
      <c r="AB302" s="63" t="str">
        <f>IF(AND(OR($A302="G",$A302="P"),NOT($O302="{array}")),IF(VLOOKUP($K302,base!$B$2:$D$20,3,0)="S",IF(OR($O302="",ISTEXT($O302)),"","STRING!"),IF(VLOOKUP($K302,base!$B$2:$D$20,3,0)="","",IF(ISTEXT($O302),"NUMERIC!",""))),"")</f>
        <v/>
      </c>
      <c r="AC302" s="17" t="str">
        <f>IF($AA302="","",IF($B302="I",VLOOKUP($AA302,#REF!,53,0),INDEX(VALUES!$B$1:$BR$1,1,$AA302)))</f>
        <v/>
      </c>
    </row>
    <row r="303" spans="1:29" hidden="1" outlineLevel="1" x14ac:dyDescent="0.3">
      <c r="A303" s="22" t="s">
        <v>84</v>
      </c>
      <c r="B303" s="41" t="str">
        <f t="shared" si="26"/>
        <v/>
      </c>
      <c r="C303" s="42">
        <f t="shared" si="27"/>
        <v>302</v>
      </c>
      <c r="D303" s="38"/>
      <c r="E303" s="38"/>
      <c r="F303" s="38" t="s">
        <v>9</v>
      </c>
      <c r="G303" s="38"/>
      <c r="H303" s="38"/>
      <c r="I303" s="38" t="s">
        <v>9</v>
      </c>
      <c r="J303" s="38"/>
      <c r="K303" s="14" t="s">
        <v>53</v>
      </c>
      <c r="L303" s="14" t="s">
        <v>27</v>
      </c>
      <c r="M303" s="20" t="s">
        <v>1319</v>
      </c>
      <c r="N303" s="14" t="s">
        <v>1320</v>
      </c>
      <c r="O303" s="43">
        <v>2</v>
      </c>
      <c r="R303" s="38" t="s">
        <v>104</v>
      </c>
      <c r="S303" s="38"/>
      <c r="T303" s="38"/>
      <c r="W303" s="15" t="str">
        <f>IF(IFERROR(VLOOKUP($M303,'IMPORT GS-Tür OL FL 2S2 20'!$H$2:$H$847,1,0),"-")="-","","GS")</f>
        <v>GS</v>
      </c>
      <c r="Z303" s="59" t="str">
        <f>IF(OR($M303="",NOT($O303="{array}")),"",IFERROR(MATCH(PARAMETERS!$M303,DEFAULT!$B$5:$CG$5,0),""))</f>
        <v/>
      </c>
      <c r="AA303" s="56" t="str">
        <f t="shared" si="25"/>
        <v/>
      </c>
      <c r="AB303" s="63" t="str">
        <f>IF(AND(OR($A303="G",$A303="P"),NOT($O303="{array}")),IF(VLOOKUP($K303,base!$B$2:$D$20,3,0)="S",IF(OR($O303="",ISTEXT($O303)),"","STRING!"),IF(VLOOKUP($K303,base!$B$2:$D$20,3,0)="","",IF(ISTEXT($O303),"NUMERIC!",""))),"")</f>
        <v/>
      </c>
      <c r="AC303" s="17" t="str">
        <f>IF($AA303="","",IF($B303="I",VLOOKUP($AA303,#REF!,53,0),INDEX(VALUES!$B$1:$BR$1,1,$AA303)))</f>
        <v/>
      </c>
    </row>
    <row r="304" spans="1:29" hidden="1" outlineLevel="1" x14ac:dyDescent="0.3">
      <c r="A304" s="22" t="s">
        <v>84</v>
      </c>
      <c r="B304" s="41" t="str">
        <f t="shared" si="26"/>
        <v/>
      </c>
      <c r="C304" s="42">
        <f t="shared" si="27"/>
        <v>303</v>
      </c>
      <c r="D304" s="38"/>
      <c r="E304" s="38"/>
      <c r="F304" s="38" t="s">
        <v>9</v>
      </c>
      <c r="G304" s="38"/>
      <c r="H304" s="38"/>
      <c r="I304" s="38" t="s">
        <v>9</v>
      </c>
      <c r="J304" s="38"/>
      <c r="K304" s="14" t="s">
        <v>53</v>
      </c>
      <c r="L304" s="14" t="s">
        <v>27</v>
      </c>
      <c r="M304" s="20" t="s">
        <v>1321</v>
      </c>
      <c r="N304" s="14" t="s">
        <v>1322</v>
      </c>
      <c r="O304" s="43">
        <v>2</v>
      </c>
      <c r="R304" s="38" t="s">
        <v>104</v>
      </c>
      <c r="S304" s="38"/>
      <c r="T304" s="38"/>
      <c r="W304" s="15" t="str">
        <f>IF(IFERROR(VLOOKUP($M304,'IMPORT GS-Tür OL FL 2S2 20'!$H$2:$H$847,1,0),"-")="-","","GS")</f>
        <v>GS</v>
      </c>
      <c r="Z304" s="59" t="str">
        <f>IF(OR($M304="",NOT($O304="{array}")),"",IFERROR(MATCH(PARAMETERS!$M304,DEFAULT!$B$5:$CG$5,0),""))</f>
        <v/>
      </c>
      <c r="AA304" s="56" t="str">
        <f t="shared" si="25"/>
        <v/>
      </c>
      <c r="AB304" s="63" t="str">
        <f>IF(AND(OR($A304="G",$A304="P"),NOT($O304="{array}")),IF(VLOOKUP($K304,base!$B$2:$D$20,3,0)="S",IF(OR($O304="",ISTEXT($O304)),"","STRING!"),IF(VLOOKUP($K304,base!$B$2:$D$20,3,0)="","",IF(ISTEXT($O304),"NUMERIC!",""))),"")</f>
        <v/>
      </c>
      <c r="AC304" s="17" t="str">
        <f>IF($AA304="","",IF($B304="I",VLOOKUP($AA304,#REF!,53,0),INDEX(VALUES!$B$1:$BR$1,1,$AA304)))</f>
        <v/>
      </c>
    </row>
    <row r="305" spans="1:29" hidden="1" outlineLevel="1" x14ac:dyDescent="0.3">
      <c r="A305" s="22" t="s">
        <v>84</v>
      </c>
      <c r="B305" s="41" t="str">
        <f t="shared" si="26"/>
        <v/>
      </c>
      <c r="C305" s="42">
        <f t="shared" si="27"/>
        <v>304</v>
      </c>
      <c r="D305" s="38"/>
      <c r="E305" s="38"/>
      <c r="F305" s="38"/>
      <c r="G305" s="38"/>
      <c r="H305" s="38"/>
      <c r="I305" s="38" t="s">
        <v>9</v>
      </c>
      <c r="J305" s="38"/>
      <c r="K305" s="14" t="s">
        <v>52</v>
      </c>
      <c r="L305" s="14" t="s">
        <v>27</v>
      </c>
      <c r="M305" s="20" t="s">
        <v>1323</v>
      </c>
      <c r="N305" s="14" t="s">
        <v>1324</v>
      </c>
      <c r="O305" s="43">
        <v>65</v>
      </c>
      <c r="R305" s="38" t="s">
        <v>104</v>
      </c>
      <c r="S305" s="38"/>
      <c r="T305" s="38"/>
      <c r="W305" s="15" t="str">
        <f>IF(IFERROR(VLOOKUP($M305,'IMPORT GS-Tür OL FL 2S2 20'!$H$2:$H$847,1,0),"-")="-","","GS")</f>
        <v>GS</v>
      </c>
      <c r="Z305" s="59" t="str">
        <f>IF(OR($M305="",NOT($O305="{array}")),"",IFERROR(MATCH(PARAMETERS!$M305,DEFAULT!$B$5:$CG$5,0),""))</f>
        <v/>
      </c>
      <c r="AA305" s="56" t="str">
        <f t="shared" si="25"/>
        <v/>
      </c>
      <c r="AB305" s="63" t="str">
        <f>IF(AND(OR($A305="G",$A305="P"),NOT($O305="{array}")),IF(VLOOKUP($K305,base!$B$2:$D$20,3,0)="S",IF(OR($O305="",ISTEXT($O305)),"","STRING!"),IF(VLOOKUP($K305,base!$B$2:$D$20,3,0)="","",IF(ISTEXT($O305),"NUMERIC!",""))),"")</f>
        <v/>
      </c>
      <c r="AC305" s="17" t="str">
        <f>IF($AA305="","",IF($B305="I",VLOOKUP($AA305,#REF!,53,0),INDEX(VALUES!$B$1:$BR$1,1,$AA305)))</f>
        <v/>
      </c>
    </row>
    <row r="306" spans="1:29" hidden="1" outlineLevel="1" x14ac:dyDescent="0.3">
      <c r="A306" s="22" t="s">
        <v>84</v>
      </c>
      <c r="B306" s="41" t="str">
        <f t="shared" si="26"/>
        <v/>
      </c>
      <c r="C306" s="42">
        <f t="shared" si="27"/>
        <v>305</v>
      </c>
      <c r="D306" s="38"/>
      <c r="E306" s="38"/>
      <c r="F306" s="38"/>
      <c r="G306" s="38"/>
      <c r="H306" s="38"/>
      <c r="I306" s="38" t="s">
        <v>9</v>
      </c>
      <c r="J306" s="38"/>
      <c r="K306" s="14" t="s">
        <v>53</v>
      </c>
      <c r="L306" s="14" t="s">
        <v>27</v>
      </c>
      <c r="M306" s="20" t="s">
        <v>1325</v>
      </c>
      <c r="N306" s="14" t="s">
        <v>1326</v>
      </c>
      <c r="O306" s="43">
        <v>19</v>
      </c>
      <c r="R306" s="38" t="s">
        <v>104</v>
      </c>
      <c r="S306" s="38"/>
      <c r="T306" s="38"/>
      <c r="W306" s="15" t="str">
        <f>IF(IFERROR(VLOOKUP($M306,'IMPORT GS-Tür OL FL 2S2 20'!$H$2:$H$847,1,0),"-")="-","","GS")</f>
        <v>GS</v>
      </c>
      <c r="Z306" s="59" t="str">
        <f>IF(OR($M306="",NOT($O306="{array}")),"",IFERROR(MATCH(PARAMETERS!$M306,DEFAULT!$B$5:$CG$5,0),""))</f>
        <v/>
      </c>
      <c r="AA306" s="56" t="str">
        <f t="shared" si="25"/>
        <v/>
      </c>
      <c r="AB306" s="63" t="str">
        <f>IF(AND(OR($A306="G",$A306="P"),NOT($O306="{array}")),IF(VLOOKUP($K306,base!$B$2:$D$20,3,0)="S",IF(OR($O306="",ISTEXT($O306)),"","STRING!"),IF(VLOOKUP($K306,base!$B$2:$D$20,3,0)="","",IF(ISTEXT($O306),"NUMERIC!",""))),"")</f>
        <v/>
      </c>
      <c r="AC306" s="17" t="str">
        <f>IF($AA306="","",IF($B306="I",VLOOKUP($AA306,#REF!,53,0),INDEX(VALUES!$B$1:$BR$1,1,$AA306)))</f>
        <v/>
      </c>
    </row>
    <row r="307" spans="1:29" hidden="1" outlineLevel="1" x14ac:dyDescent="0.3">
      <c r="A307" s="22" t="s">
        <v>84</v>
      </c>
      <c r="B307" s="41" t="str">
        <f t="shared" si="26"/>
        <v/>
      </c>
      <c r="C307" s="42">
        <f t="shared" si="27"/>
        <v>306</v>
      </c>
      <c r="D307" s="38"/>
      <c r="E307" s="38"/>
      <c r="F307" s="38"/>
      <c r="G307" s="38"/>
      <c r="H307" s="38"/>
      <c r="I307" s="38" t="s">
        <v>9</v>
      </c>
      <c r="J307" s="38"/>
      <c r="K307" s="14" t="s">
        <v>53</v>
      </c>
      <c r="L307" s="14" t="s">
        <v>27</v>
      </c>
      <c r="M307" s="20" t="s">
        <v>1327</v>
      </c>
      <c r="N307" s="14" t="s">
        <v>1328</v>
      </c>
      <c r="O307" s="43">
        <v>19</v>
      </c>
      <c r="R307" s="38" t="s">
        <v>104</v>
      </c>
      <c r="S307" s="38"/>
      <c r="T307" s="38"/>
      <c r="W307" s="15" t="str">
        <f>IF(IFERROR(VLOOKUP($M307,'IMPORT GS-Tür OL FL 2S2 20'!$H$2:$H$847,1,0),"-")="-","","GS")</f>
        <v>GS</v>
      </c>
      <c r="Z307" s="59" t="str">
        <f>IF(OR($M307="",NOT($O307="{array}")),"",IFERROR(MATCH(PARAMETERS!$M307,DEFAULT!$B$5:$CG$5,0),""))</f>
        <v/>
      </c>
      <c r="AA307" s="56" t="str">
        <f t="shared" si="25"/>
        <v/>
      </c>
      <c r="AB307" s="63" t="str">
        <f>IF(AND(OR($A307="G",$A307="P"),NOT($O307="{array}")),IF(VLOOKUP($K307,base!$B$2:$D$20,3,0)="S",IF(OR($O307="",ISTEXT($O307)),"","STRING!"),IF(VLOOKUP($K307,base!$B$2:$D$20,3,0)="","",IF(ISTEXT($O307),"NUMERIC!",""))),"")</f>
        <v/>
      </c>
      <c r="AC307" s="17" t="str">
        <f>IF($AA307="","",IF($B307="I",VLOOKUP($AA307,#REF!,53,0),INDEX(VALUES!$B$1:$BR$1,1,$AA307)))</f>
        <v/>
      </c>
    </row>
    <row r="308" spans="1:29" hidden="1" outlineLevel="1" x14ac:dyDescent="0.3">
      <c r="A308" s="22" t="s">
        <v>84</v>
      </c>
      <c r="B308" s="41" t="str">
        <f t="shared" si="26"/>
        <v/>
      </c>
      <c r="C308" s="42">
        <f t="shared" si="27"/>
        <v>307</v>
      </c>
      <c r="D308" s="38"/>
      <c r="E308" s="38"/>
      <c r="F308" s="38" t="s">
        <v>9</v>
      </c>
      <c r="G308" s="38"/>
      <c r="H308" s="38"/>
      <c r="I308" s="38" t="s">
        <v>9</v>
      </c>
      <c r="J308" s="38"/>
      <c r="K308" s="14" t="s">
        <v>53</v>
      </c>
      <c r="L308" s="14" t="s">
        <v>27</v>
      </c>
      <c r="M308" s="20" t="s">
        <v>1329</v>
      </c>
      <c r="N308" s="14" t="s">
        <v>1330</v>
      </c>
      <c r="O308" s="43">
        <v>2</v>
      </c>
      <c r="R308" s="38" t="s">
        <v>104</v>
      </c>
      <c r="S308" s="38"/>
      <c r="T308" s="38"/>
      <c r="W308" s="15" t="str">
        <f>IF(IFERROR(VLOOKUP($M308,'IMPORT GS-Tür OL FL 2S2 20'!$H$2:$H$847,1,0),"-")="-","","GS")</f>
        <v>GS</v>
      </c>
      <c r="Z308" s="59" t="str">
        <f>IF(OR($M308="",NOT($O308="{array}")),"",IFERROR(MATCH(PARAMETERS!$M308,DEFAULT!$B$5:$CG$5,0),""))</f>
        <v/>
      </c>
      <c r="AA308" s="56" t="str">
        <f t="shared" si="25"/>
        <v/>
      </c>
      <c r="AB308" s="63" t="str">
        <f>IF(AND(OR($A308="G",$A308="P"),NOT($O308="{array}")),IF(VLOOKUP($K308,base!$B$2:$D$20,3,0)="S",IF(OR($O308="",ISTEXT($O308)),"","STRING!"),IF(VLOOKUP($K308,base!$B$2:$D$20,3,0)="","",IF(ISTEXT($O308),"NUMERIC!",""))),"")</f>
        <v/>
      </c>
      <c r="AC308" s="17" t="str">
        <f>IF($AA308="","",IF($B308="I",VLOOKUP($AA308,#REF!,53,0),INDEX(VALUES!$B$1:$BR$1,1,$AA308)))</f>
        <v/>
      </c>
    </row>
    <row r="309" spans="1:29" hidden="1" outlineLevel="1" x14ac:dyDescent="0.3">
      <c r="A309" s="22" t="s">
        <v>84</v>
      </c>
      <c r="B309" s="41" t="str">
        <f t="shared" si="26"/>
        <v/>
      </c>
      <c r="C309" s="42">
        <f t="shared" si="27"/>
        <v>308</v>
      </c>
      <c r="D309" s="38"/>
      <c r="E309" s="38"/>
      <c r="F309" s="38"/>
      <c r="G309" s="38"/>
      <c r="H309" s="38"/>
      <c r="I309" s="38" t="s">
        <v>9</v>
      </c>
      <c r="J309" s="38"/>
      <c r="K309" s="14" t="s">
        <v>52</v>
      </c>
      <c r="L309" s="14" t="s">
        <v>27</v>
      </c>
      <c r="M309" s="20" t="s">
        <v>1331</v>
      </c>
      <c r="N309" s="14" t="s">
        <v>1332</v>
      </c>
      <c r="O309" s="43">
        <v>16</v>
      </c>
      <c r="R309" s="38" t="s">
        <v>104</v>
      </c>
      <c r="S309" s="38"/>
      <c r="T309" s="38"/>
      <c r="W309" s="15" t="str">
        <f>IF(IFERROR(VLOOKUP($M309,'IMPORT GS-Tür OL FL 2S2 20'!$H$2:$H$847,1,0),"-")="-","","GS")</f>
        <v>GS</v>
      </c>
      <c r="Z309" s="59" t="str">
        <f>IF(OR($M309="",NOT($O309="{array}")),"",IFERROR(MATCH(PARAMETERS!$M309,DEFAULT!$B$5:$CG$5,0),""))</f>
        <v/>
      </c>
      <c r="AA309" s="56" t="str">
        <f t="shared" si="25"/>
        <v/>
      </c>
      <c r="AB309" s="63" t="str">
        <f>IF(AND(OR($A309="G",$A309="P"),NOT($O309="{array}")),IF(VLOOKUP($K309,base!$B$2:$D$20,3,0)="S",IF(OR($O309="",ISTEXT($O309)),"","STRING!"),IF(VLOOKUP($K309,base!$B$2:$D$20,3,0)="","",IF(ISTEXT($O309),"NUMERIC!",""))),"")</f>
        <v/>
      </c>
      <c r="AC309" s="17" t="str">
        <f>IF($AA309="","",IF($B309="I",VLOOKUP($AA309,#REF!,53,0),INDEX(VALUES!$B$1:$BR$1,1,$AA309)))</f>
        <v/>
      </c>
    </row>
    <row r="310" spans="1:29" hidden="1" outlineLevel="1" x14ac:dyDescent="0.3">
      <c r="A310" s="22" t="s">
        <v>84</v>
      </c>
      <c r="B310" s="41" t="str">
        <f t="shared" si="26"/>
        <v/>
      </c>
      <c r="C310" s="42">
        <f t="shared" si="27"/>
        <v>309</v>
      </c>
      <c r="D310" s="38"/>
      <c r="E310" s="38"/>
      <c r="F310" s="38"/>
      <c r="G310" s="38"/>
      <c r="H310" s="38"/>
      <c r="I310" s="38" t="s">
        <v>9</v>
      </c>
      <c r="J310" s="38"/>
      <c r="K310" s="14" t="s">
        <v>53</v>
      </c>
      <c r="L310" s="14" t="s">
        <v>27</v>
      </c>
      <c r="M310" s="20" t="s">
        <v>1333</v>
      </c>
      <c r="N310" s="14" t="s">
        <v>1334</v>
      </c>
      <c r="O310" s="43">
        <v>19</v>
      </c>
      <c r="R310" s="38" t="s">
        <v>104</v>
      </c>
      <c r="S310" s="38"/>
      <c r="T310" s="38"/>
      <c r="W310" s="15" t="str">
        <f>IF(IFERROR(VLOOKUP($M310,'IMPORT GS-Tür OL FL 2S2 20'!$H$2:$H$847,1,0),"-")="-","","GS")</f>
        <v>GS</v>
      </c>
      <c r="Z310" s="59" t="str">
        <f>IF(OR($M310="",NOT($O310="{array}")),"",IFERROR(MATCH(PARAMETERS!$M310,DEFAULT!$B$5:$CG$5,0),""))</f>
        <v/>
      </c>
      <c r="AA310" s="56" t="str">
        <f t="shared" si="25"/>
        <v/>
      </c>
      <c r="AB310" s="63" t="str">
        <f>IF(AND(OR($A310="G",$A310="P"),NOT($O310="{array}")),IF(VLOOKUP($K310,base!$B$2:$D$20,3,0)="S",IF(OR($O310="",ISTEXT($O310)),"","STRING!"),IF(VLOOKUP($K310,base!$B$2:$D$20,3,0)="","",IF(ISTEXT($O310),"NUMERIC!",""))),"")</f>
        <v/>
      </c>
      <c r="AC310" s="17" t="str">
        <f>IF($AA310="","",IF($B310="I",VLOOKUP($AA310,#REF!,53,0),INDEX(VALUES!$B$1:$BR$1,1,$AA310)))</f>
        <v/>
      </c>
    </row>
    <row r="311" spans="1:29" hidden="1" outlineLevel="1" x14ac:dyDescent="0.3">
      <c r="A311" s="22" t="s">
        <v>84</v>
      </c>
      <c r="B311" s="41" t="str">
        <f t="shared" si="26"/>
        <v/>
      </c>
      <c r="C311" s="42">
        <f t="shared" si="27"/>
        <v>310</v>
      </c>
      <c r="D311" s="38"/>
      <c r="E311" s="38"/>
      <c r="F311" s="38"/>
      <c r="G311" s="38"/>
      <c r="H311" s="38"/>
      <c r="I311" s="38" t="s">
        <v>9</v>
      </c>
      <c r="J311" s="38"/>
      <c r="K311" s="14" t="s">
        <v>53</v>
      </c>
      <c r="L311" s="14" t="s">
        <v>27</v>
      </c>
      <c r="M311" s="20" t="s">
        <v>1335</v>
      </c>
      <c r="N311" s="14" t="s">
        <v>1336</v>
      </c>
      <c r="O311" s="43">
        <v>19</v>
      </c>
      <c r="R311" s="38" t="s">
        <v>104</v>
      </c>
      <c r="S311" s="38"/>
      <c r="T311" s="38"/>
      <c r="W311" s="15" t="str">
        <f>IF(IFERROR(VLOOKUP($M311,'IMPORT GS-Tür OL FL 2S2 20'!$H$2:$H$847,1,0),"-")="-","","GS")</f>
        <v>GS</v>
      </c>
      <c r="Z311" s="59" t="str">
        <f>IF(OR($M311="",NOT($O311="{array}")),"",IFERROR(MATCH(PARAMETERS!$M311,DEFAULT!$B$5:$CG$5,0),""))</f>
        <v/>
      </c>
      <c r="AA311" s="56" t="str">
        <f t="shared" si="25"/>
        <v/>
      </c>
      <c r="AB311" s="63" t="str">
        <f>IF(AND(OR($A311="G",$A311="P"),NOT($O311="{array}")),IF(VLOOKUP($K311,base!$B$2:$D$20,3,0)="S",IF(OR($O311="",ISTEXT($O311)),"","STRING!"),IF(VLOOKUP($K311,base!$B$2:$D$20,3,0)="","",IF(ISTEXT($O311),"NUMERIC!",""))),"")</f>
        <v/>
      </c>
      <c r="AC311" s="17" t="str">
        <f>IF($AA311="","",IF($B311="I",VLOOKUP($AA311,#REF!,53,0),INDEX(VALUES!$B$1:$BR$1,1,$AA311)))</f>
        <v/>
      </c>
    </row>
    <row r="312" spans="1:29" hidden="1" outlineLevel="1" x14ac:dyDescent="0.3">
      <c r="A312" s="22" t="s">
        <v>84</v>
      </c>
      <c r="B312" s="41" t="str">
        <f t="shared" si="26"/>
        <v/>
      </c>
      <c r="C312" s="42">
        <f t="shared" si="27"/>
        <v>311</v>
      </c>
      <c r="D312" s="38"/>
      <c r="E312" s="38"/>
      <c r="F312" s="38"/>
      <c r="G312" s="38"/>
      <c r="H312" s="38"/>
      <c r="I312" s="38" t="s">
        <v>9</v>
      </c>
      <c r="J312" s="38"/>
      <c r="K312" s="14" t="s">
        <v>53</v>
      </c>
      <c r="L312" s="14" t="s">
        <v>27</v>
      </c>
      <c r="M312" s="20" t="s">
        <v>1337</v>
      </c>
      <c r="N312" s="14" t="s">
        <v>1338</v>
      </c>
      <c r="O312" s="43">
        <v>2</v>
      </c>
      <c r="R312" s="38" t="s">
        <v>104</v>
      </c>
      <c r="S312" s="38"/>
      <c r="T312" s="38"/>
      <c r="W312" s="15" t="str">
        <f>IF(IFERROR(VLOOKUP($M312,'IMPORT GS-Tür OL FL 2S2 20'!$H$2:$H$847,1,0),"-")="-","","GS")</f>
        <v>GS</v>
      </c>
      <c r="Z312" s="59" t="str">
        <f>IF(OR($M312="",NOT($O312="{array}")),"",IFERROR(MATCH(PARAMETERS!$M312,DEFAULT!$B$5:$CG$5,0),""))</f>
        <v/>
      </c>
      <c r="AA312" s="56" t="str">
        <f t="shared" si="25"/>
        <v/>
      </c>
      <c r="AB312" s="63" t="str">
        <f>IF(AND(OR($A312="G",$A312="P"),NOT($O312="{array}")),IF(VLOOKUP($K312,base!$B$2:$D$20,3,0)="S",IF(OR($O312="",ISTEXT($O312)),"","STRING!"),IF(VLOOKUP($K312,base!$B$2:$D$20,3,0)="","",IF(ISTEXT($O312),"NUMERIC!",""))),"")</f>
        <v/>
      </c>
      <c r="AC312" s="17" t="str">
        <f>IF($AA312="","",IF($B312="I",VLOOKUP($AA312,#REF!,53,0),INDEX(VALUES!$B$1:$BR$1,1,$AA312)))</f>
        <v/>
      </c>
    </row>
    <row r="313" spans="1:29" hidden="1" outlineLevel="1" x14ac:dyDescent="0.3">
      <c r="A313" s="22" t="s">
        <v>84</v>
      </c>
      <c r="B313" s="41" t="str">
        <f t="shared" si="26"/>
        <v/>
      </c>
      <c r="C313" s="42">
        <f t="shared" si="27"/>
        <v>312</v>
      </c>
      <c r="D313" s="38"/>
      <c r="E313" s="38"/>
      <c r="F313" s="38"/>
      <c r="G313" s="38" t="s">
        <v>9</v>
      </c>
      <c r="H313" s="38"/>
      <c r="I313" s="38" t="s">
        <v>9</v>
      </c>
      <c r="J313" s="38"/>
      <c r="K313" s="14" t="s">
        <v>52</v>
      </c>
      <c r="L313" s="14" t="s">
        <v>27</v>
      </c>
      <c r="M313" s="20" t="s">
        <v>1339</v>
      </c>
      <c r="N313" s="14" t="s">
        <v>1340</v>
      </c>
      <c r="O313" s="43">
        <v>65</v>
      </c>
      <c r="R313" s="38" t="s">
        <v>104</v>
      </c>
      <c r="S313" s="38"/>
      <c r="T313" s="38"/>
      <c r="W313" s="15" t="str">
        <f>IF(IFERROR(VLOOKUP($M313,'IMPORT GS-Tür OL FL 2S2 20'!$H$2:$H$847,1,0),"-")="-","","GS")</f>
        <v>GS</v>
      </c>
      <c r="Z313" s="59" t="str">
        <f>IF(OR($M313="",NOT($O313="{array}")),"",IFERROR(MATCH(PARAMETERS!$M313,DEFAULT!$B$5:$CG$5,0),""))</f>
        <v/>
      </c>
      <c r="AA313" s="56" t="str">
        <f t="shared" si="25"/>
        <v/>
      </c>
      <c r="AB313" s="63" t="str">
        <f>IF(AND(OR($A313="G",$A313="P"),NOT($O313="{array}")),IF(VLOOKUP($K313,base!$B$2:$D$20,3,0)="S",IF(OR($O313="",ISTEXT($O313)),"","STRING!"),IF(VLOOKUP($K313,base!$B$2:$D$20,3,0)="","",IF(ISTEXT($O313),"NUMERIC!",""))),"")</f>
        <v/>
      </c>
      <c r="AC313" s="17" t="str">
        <f>IF($AA313="","",IF($B313="I",VLOOKUP($AA313,#REF!,53,0),INDEX(VALUES!$B$1:$BR$1,1,$AA313)))</f>
        <v/>
      </c>
    </row>
    <row r="314" spans="1:29" hidden="1" outlineLevel="1" x14ac:dyDescent="0.3">
      <c r="A314" s="22" t="s">
        <v>84</v>
      </c>
      <c r="B314" s="41" t="str">
        <f t="shared" si="26"/>
        <v/>
      </c>
      <c r="C314" s="42">
        <f t="shared" si="27"/>
        <v>313</v>
      </c>
      <c r="D314" s="38"/>
      <c r="E314" s="38"/>
      <c r="F314" s="38"/>
      <c r="G314" s="38" t="s">
        <v>9</v>
      </c>
      <c r="H314" s="38"/>
      <c r="I314" s="38" t="s">
        <v>9</v>
      </c>
      <c r="J314" s="38"/>
      <c r="K314" s="14" t="s">
        <v>53</v>
      </c>
      <c r="L314" s="14" t="s">
        <v>27</v>
      </c>
      <c r="M314" s="20" t="s">
        <v>1341</v>
      </c>
      <c r="N314" s="14" t="s">
        <v>1342</v>
      </c>
      <c r="O314" s="43">
        <v>19</v>
      </c>
      <c r="R314" s="38" t="s">
        <v>104</v>
      </c>
      <c r="S314" s="38"/>
      <c r="T314" s="38"/>
      <c r="W314" s="15" t="str">
        <f>IF(IFERROR(VLOOKUP($M314,'IMPORT GS-Tür OL FL 2S2 20'!$H$2:$H$847,1,0),"-")="-","","GS")</f>
        <v>GS</v>
      </c>
      <c r="Z314" s="59" t="str">
        <f>IF(OR($M314="",NOT($O314="{array}")),"",IFERROR(MATCH(PARAMETERS!$M314,DEFAULT!$B$5:$CG$5,0),""))</f>
        <v/>
      </c>
      <c r="AA314" s="56" t="str">
        <f t="shared" si="25"/>
        <v/>
      </c>
      <c r="AB314" s="63" t="str">
        <f>IF(AND(OR($A314="G",$A314="P"),NOT($O314="{array}")),IF(VLOOKUP($K314,base!$B$2:$D$20,3,0)="S",IF(OR($O314="",ISTEXT($O314)),"","STRING!"),IF(VLOOKUP($K314,base!$B$2:$D$20,3,0)="","",IF(ISTEXT($O314),"NUMERIC!",""))),"")</f>
        <v/>
      </c>
      <c r="AC314" s="17" t="str">
        <f>IF($AA314="","",IF($B314="I",VLOOKUP($AA314,#REF!,53,0),INDEX(VALUES!$B$1:$BR$1,1,$AA314)))</f>
        <v/>
      </c>
    </row>
    <row r="315" spans="1:29" hidden="1" outlineLevel="1" x14ac:dyDescent="0.3">
      <c r="A315" s="22" t="s">
        <v>84</v>
      </c>
      <c r="B315" s="41" t="str">
        <f t="shared" si="26"/>
        <v/>
      </c>
      <c r="C315" s="42">
        <f t="shared" si="27"/>
        <v>314</v>
      </c>
      <c r="D315" s="38"/>
      <c r="E315" s="38"/>
      <c r="F315" s="38"/>
      <c r="G315" s="38" t="s">
        <v>9</v>
      </c>
      <c r="H315" s="38"/>
      <c r="I315" s="38" t="s">
        <v>9</v>
      </c>
      <c r="J315" s="38"/>
      <c r="K315" s="14" t="s">
        <v>53</v>
      </c>
      <c r="L315" s="14" t="s">
        <v>27</v>
      </c>
      <c r="M315" s="20" t="s">
        <v>1343</v>
      </c>
      <c r="N315" s="14" t="s">
        <v>1344</v>
      </c>
      <c r="O315" s="43">
        <v>19</v>
      </c>
      <c r="R315" s="38" t="s">
        <v>104</v>
      </c>
      <c r="S315" s="38"/>
      <c r="T315" s="38"/>
      <c r="W315" s="15" t="str">
        <f>IF(IFERROR(VLOOKUP($M315,'IMPORT GS-Tür OL FL 2S2 20'!$H$2:$H$847,1,0),"-")="-","","GS")</f>
        <v>GS</v>
      </c>
      <c r="Z315" s="59" t="str">
        <f>IF(OR($M315="",NOT($O315="{array}")),"",IFERROR(MATCH(PARAMETERS!$M315,DEFAULT!$B$5:$CG$5,0),""))</f>
        <v/>
      </c>
      <c r="AA315" s="56" t="str">
        <f t="shared" si="25"/>
        <v/>
      </c>
      <c r="AB315" s="63" t="str">
        <f>IF(AND(OR($A315="G",$A315="P"),NOT($O315="{array}")),IF(VLOOKUP($K315,base!$B$2:$D$20,3,0)="S",IF(OR($O315="",ISTEXT($O315)),"","STRING!"),IF(VLOOKUP($K315,base!$B$2:$D$20,3,0)="","",IF(ISTEXT($O315),"NUMERIC!",""))),"")</f>
        <v/>
      </c>
      <c r="AC315" s="17" t="str">
        <f>IF($AA315="","",IF($B315="I",VLOOKUP($AA315,#REF!,53,0),INDEX(VALUES!$B$1:$BR$1,1,$AA315)))</f>
        <v/>
      </c>
    </row>
    <row r="316" spans="1:29" hidden="1" outlineLevel="1" x14ac:dyDescent="0.3">
      <c r="A316" s="22" t="s">
        <v>84</v>
      </c>
      <c r="B316" s="41" t="str">
        <f t="shared" si="26"/>
        <v/>
      </c>
      <c r="C316" s="42">
        <f t="shared" si="27"/>
        <v>315</v>
      </c>
      <c r="D316" s="38"/>
      <c r="E316" s="38"/>
      <c r="F316" s="38"/>
      <c r="G316" s="38"/>
      <c r="H316" s="38"/>
      <c r="I316" s="38" t="s">
        <v>9</v>
      </c>
      <c r="J316" s="38"/>
      <c r="K316" s="14" t="s">
        <v>53</v>
      </c>
      <c r="L316" s="14" t="s">
        <v>27</v>
      </c>
      <c r="M316" s="20" t="s">
        <v>1345</v>
      </c>
      <c r="N316" s="14" t="s">
        <v>1346</v>
      </c>
      <c r="O316" s="43">
        <v>2</v>
      </c>
      <c r="R316" s="38" t="s">
        <v>104</v>
      </c>
      <c r="S316" s="38"/>
      <c r="T316" s="38"/>
      <c r="W316" s="15" t="str">
        <f>IF(IFERROR(VLOOKUP($M316,'IMPORT GS-Tür OL FL 2S2 20'!$H$2:$H$847,1,0),"-")="-","","GS")</f>
        <v>GS</v>
      </c>
      <c r="Z316" s="59" t="str">
        <f>IF(OR($M316="",NOT($O316="{array}")),"",IFERROR(MATCH(PARAMETERS!$M316,DEFAULT!$B$5:$CG$5,0),""))</f>
        <v/>
      </c>
      <c r="AA316" s="56" t="str">
        <f t="shared" si="25"/>
        <v/>
      </c>
      <c r="AB316" s="63" t="str">
        <f>IF(AND(OR($A316="G",$A316="P"),NOT($O316="{array}")),IF(VLOOKUP($K316,base!$B$2:$D$20,3,0)="S",IF(OR($O316="",ISTEXT($O316)),"","STRING!"),IF(VLOOKUP($K316,base!$B$2:$D$20,3,0)="","",IF(ISTEXT($O316),"NUMERIC!",""))),"")</f>
        <v/>
      </c>
      <c r="AC316" s="17" t="str">
        <f>IF($AA316="","",IF($B316="I",VLOOKUP($AA316,#REF!,53,0),INDEX(VALUES!$B$1:$BR$1,1,$AA316)))</f>
        <v/>
      </c>
    </row>
    <row r="317" spans="1:29" hidden="1" outlineLevel="1" x14ac:dyDescent="0.3">
      <c r="A317" s="22" t="s">
        <v>84</v>
      </c>
      <c r="B317" s="41" t="str">
        <f t="shared" si="26"/>
        <v/>
      </c>
      <c r="C317" s="42">
        <f t="shared" si="27"/>
        <v>316</v>
      </c>
      <c r="D317" s="38"/>
      <c r="E317" s="38"/>
      <c r="F317" s="38"/>
      <c r="G317" s="38"/>
      <c r="H317" s="38"/>
      <c r="I317" s="38" t="s">
        <v>9</v>
      </c>
      <c r="J317" s="38"/>
      <c r="K317" s="14" t="s">
        <v>52</v>
      </c>
      <c r="L317" s="14" t="s">
        <v>27</v>
      </c>
      <c r="M317" s="20" t="s">
        <v>1347</v>
      </c>
      <c r="N317" s="14" t="s">
        <v>1348</v>
      </c>
      <c r="O317" s="43">
        <v>65</v>
      </c>
      <c r="R317" s="38" t="s">
        <v>104</v>
      </c>
      <c r="S317" s="38"/>
      <c r="T317" s="38"/>
      <c r="W317" s="15" t="str">
        <f>IF(IFERROR(VLOOKUP($M317,'IMPORT GS-Tür OL FL 2S2 20'!$H$2:$H$847,1,0),"-")="-","","GS")</f>
        <v>GS</v>
      </c>
      <c r="Z317" s="59" t="str">
        <f>IF(OR($M317="",NOT($O317="{array}")),"",IFERROR(MATCH(PARAMETERS!$M317,DEFAULT!$B$5:$CG$5,0),""))</f>
        <v/>
      </c>
      <c r="AA317" s="56" t="str">
        <f t="shared" si="25"/>
        <v/>
      </c>
      <c r="AB317" s="63" t="str">
        <f>IF(AND(OR($A317="G",$A317="P"),NOT($O317="{array}")),IF(VLOOKUP($K317,base!$B$2:$D$20,3,0)="S",IF(OR($O317="",ISTEXT($O317)),"","STRING!"),IF(VLOOKUP($K317,base!$B$2:$D$20,3,0)="","",IF(ISTEXT($O317),"NUMERIC!",""))),"")</f>
        <v/>
      </c>
      <c r="AC317" s="17" t="str">
        <f>IF($AA317="","",IF($B317="I",VLOOKUP($AA317,#REF!,53,0),INDEX(VALUES!$B$1:$BR$1,1,$AA317)))</f>
        <v/>
      </c>
    </row>
    <row r="318" spans="1:29" hidden="1" outlineLevel="1" x14ac:dyDescent="0.3">
      <c r="A318" s="22" t="s">
        <v>84</v>
      </c>
      <c r="B318" s="41" t="str">
        <f t="shared" si="26"/>
        <v/>
      </c>
      <c r="C318" s="42">
        <f t="shared" si="27"/>
        <v>317</v>
      </c>
      <c r="D318" s="38"/>
      <c r="E318" s="38"/>
      <c r="F318" s="38"/>
      <c r="G318" s="38"/>
      <c r="H318" s="38"/>
      <c r="I318" s="38" t="s">
        <v>9</v>
      </c>
      <c r="J318" s="38"/>
      <c r="K318" s="14" t="s">
        <v>53</v>
      </c>
      <c r="L318" s="14" t="s">
        <v>27</v>
      </c>
      <c r="M318" s="20" t="s">
        <v>1349</v>
      </c>
      <c r="N318" s="14" t="s">
        <v>1350</v>
      </c>
      <c r="O318" s="43">
        <v>19</v>
      </c>
      <c r="R318" s="38" t="s">
        <v>104</v>
      </c>
      <c r="S318" s="38"/>
      <c r="T318" s="38"/>
      <c r="W318" s="15" t="str">
        <f>IF(IFERROR(VLOOKUP($M318,'IMPORT GS-Tür OL FL 2S2 20'!$H$2:$H$847,1,0),"-")="-","","GS")</f>
        <v>GS</v>
      </c>
      <c r="Z318" s="59" t="str">
        <f>IF(OR($M318="",NOT($O318="{array}")),"",IFERROR(MATCH(PARAMETERS!$M318,DEFAULT!$B$5:$CG$5,0),""))</f>
        <v/>
      </c>
      <c r="AA318" s="56" t="str">
        <f t="shared" si="25"/>
        <v/>
      </c>
      <c r="AB318" s="63" t="str">
        <f>IF(AND(OR($A318="G",$A318="P"),NOT($O318="{array}")),IF(VLOOKUP($K318,base!$B$2:$D$20,3,0)="S",IF(OR($O318="",ISTEXT($O318)),"","STRING!"),IF(VLOOKUP($K318,base!$B$2:$D$20,3,0)="","",IF(ISTEXT($O318),"NUMERIC!",""))),"")</f>
        <v/>
      </c>
      <c r="AC318" s="17" t="str">
        <f>IF($AA318="","",IF($B318="I",VLOOKUP($AA318,#REF!,53,0),INDEX(VALUES!$B$1:$BR$1,1,$AA318)))</f>
        <v/>
      </c>
    </row>
    <row r="319" spans="1:29" collapsed="1" x14ac:dyDescent="0.3">
      <c r="A319" s="22" t="s">
        <v>84</v>
      </c>
      <c r="B319" s="41" t="str">
        <f t="shared" si="26"/>
        <v/>
      </c>
      <c r="C319" s="42">
        <f t="shared" si="27"/>
        <v>318</v>
      </c>
      <c r="D319" s="38"/>
      <c r="E319" s="38"/>
      <c r="F319" s="38"/>
      <c r="G319" s="38"/>
      <c r="H319" s="38"/>
      <c r="I319" s="38"/>
      <c r="J319" s="38"/>
      <c r="K319" s="14" t="s">
        <v>57</v>
      </c>
      <c r="L319" s="14" t="s">
        <v>38</v>
      </c>
      <c r="M319" s="48" t="s">
        <v>1351</v>
      </c>
      <c r="N319" s="41" t="s">
        <v>1352</v>
      </c>
      <c r="R319" s="38" t="s">
        <v>104</v>
      </c>
      <c r="S319" s="38"/>
      <c r="T319" s="38"/>
      <c r="W319" s="15" t="str">
        <f>IF(IFERROR(VLOOKUP($M319,'IMPORT GS-Tür OL FL 2S2 20'!$H$2:$H$847,1,0),"-")="-","","GS")</f>
        <v/>
      </c>
      <c r="Z319" s="59" t="str">
        <f>IF(OR($M319="",NOT($O319="{array}")),"",IFERROR(MATCH(PARAMETERS!$M319,DEFAULT!$B$5:$CG$5,0),""))</f>
        <v/>
      </c>
      <c r="AA319" s="56" t="str">
        <f t="shared" si="25"/>
        <v/>
      </c>
      <c r="AB319" s="63" t="str">
        <f>IF(AND(OR($A319="G",$A319="P"),NOT($O319="{array}")),IF(VLOOKUP($K319,base!$B$2:$D$20,3,0)="S",IF(OR($O319="",ISTEXT($O319)),"","STRING!"),IF(VLOOKUP($K319,base!$B$2:$D$20,3,0)="","",IF(ISTEXT($O319),"NUMERIC!",""))),"")</f>
        <v/>
      </c>
      <c r="AC319" s="17" t="str">
        <f>IF($AA319="","",IF($B319="I",VLOOKUP($AA319,#REF!,53,0),INDEX(VALUES!$B$1:$BR$1,1,$AA319)))</f>
        <v/>
      </c>
    </row>
    <row r="320" spans="1:29" hidden="1" outlineLevel="1" x14ac:dyDescent="0.3">
      <c r="A320" s="22" t="s">
        <v>84</v>
      </c>
      <c r="B320" s="41" t="str">
        <f t="shared" si="26"/>
        <v/>
      </c>
      <c r="C320" s="42">
        <f t="shared" si="27"/>
        <v>319</v>
      </c>
      <c r="D320" s="38"/>
      <c r="E320" s="38"/>
      <c r="F320" s="38" t="s">
        <v>9</v>
      </c>
      <c r="G320" s="38"/>
      <c r="H320" s="38"/>
      <c r="I320" s="38" t="s">
        <v>9</v>
      </c>
      <c r="J320" s="38"/>
      <c r="K320" s="14" t="s">
        <v>53</v>
      </c>
      <c r="L320" s="14" t="s">
        <v>27</v>
      </c>
      <c r="M320" s="20" t="s">
        <v>1353</v>
      </c>
      <c r="N320" s="14" t="s">
        <v>1354</v>
      </c>
      <c r="O320" s="43">
        <v>1</v>
      </c>
      <c r="R320" s="38" t="s">
        <v>104</v>
      </c>
      <c r="S320" s="38"/>
      <c r="T320" s="38"/>
      <c r="W320" s="15" t="str">
        <f>IF(IFERROR(VLOOKUP($M320,'IMPORT GS-Tür OL FL 2S2 20'!$H$2:$H$847,1,0),"-")="-","","GS")</f>
        <v>GS</v>
      </c>
      <c r="Z320" s="59" t="str">
        <f>IF(OR($M320="",NOT($O320="{array}")),"",IFERROR(MATCH(PARAMETERS!$M320,DEFAULT!$B$5:$CG$5,0),""))</f>
        <v/>
      </c>
      <c r="AA320" s="56" t="str">
        <f t="shared" si="25"/>
        <v/>
      </c>
      <c r="AB320" s="63" t="str">
        <f>IF(AND(OR($A320="G",$A320="P"),NOT($O320="{array}")),IF(VLOOKUP($K320,base!$B$2:$D$20,3,0)="S",IF(OR($O320="",ISTEXT($O320)),"","STRING!"),IF(VLOOKUP($K320,base!$B$2:$D$20,3,0)="","",IF(ISTEXT($O320),"NUMERIC!",""))),"")</f>
        <v/>
      </c>
      <c r="AC320" s="17" t="str">
        <f>IF($AA320="","",IF($B320="I",VLOOKUP($AA320,#REF!,53,0),INDEX(VALUES!$B$1:$BR$1,1,$AA320)))</f>
        <v/>
      </c>
    </row>
    <row r="321" spans="1:29" hidden="1" outlineLevel="1" x14ac:dyDescent="0.3">
      <c r="A321" s="22" t="s">
        <v>84</v>
      </c>
      <c r="B321" s="41" t="str">
        <f t="shared" si="26"/>
        <v/>
      </c>
      <c r="C321" s="42">
        <f t="shared" si="27"/>
        <v>320</v>
      </c>
      <c r="D321" s="38"/>
      <c r="E321" s="38"/>
      <c r="F321" s="38" t="s">
        <v>9</v>
      </c>
      <c r="G321" s="38"/>
      <c r="H321" s="38"/>
      <c r="I321" s="38" t="s">
        <v>9</v>
      </c>
      <c r="J321" s="38"/>
      <c r="K321" s="14" t="s">
        <v>53</v>
      </c>
      <c r="L321" s="14" t="s">
        <v>27</v>
      </c>
      <c r="M321" s="20" t="s">
        <v>1355</v>
      </c>
      <c r="N321" s="14" t="s">
        <v>1356</v>
      </c>
      <c r="O321" s="43">
        <v>1</v>
      </c>
      <c r="R321" s="38" t="s">
        <v>104</v>
      </c>
      <c r="S321" s="38"/>
      <c r="T321" s="38"/>
      <c r="W321" s="15" t="str">
        <f>IF(IFERROR(VLOOKUP($M321,'IMPORT GS-Tür OL FL 2S2 20'!$H$2:$H$847,1,0),"-")="-","","GS")</f>
        <v>GS</v>
      </c>
      <c r="Z321" s="59" t="str">
        <f>IF(OR($M321="",NOT($O321="{array}")),"",IFERROR(MATCH(PARAMETERS!$M321,DEFAULT!$B$5:$CG$5,0),""))</f>
        <v/>
      </c>
      <c r="AA321" s="56" t="str">
        <f t="shared" si="25"/>
        <v/>
      </c>
      <c r="AB321" s="63" t="str">
        <f>IF(AND(OR($A321="G",$A321="P"),NOT($O321="{array}")),IF(VLOOKUP($K321,base!$B$2:$D$20,3,0)="S",IF(OR($O321="",ISTEXT($O321)),"","STRING!"),IF(VLOOKUP($K321,base!$B$2:$D$20,3,0)="","",IF(ISTEXT($O321),"NUMERIC!",""))),"")</f>
        <v/>
      </c>
      <c r="AC321" s="17" t="str">
        <f>IF($AA321="","",IF($B321="I",VLOOKUP($AA321,#REF!,53,0),INDEX(VALUES!$B$1:$BR$1,1,$AA321)))</f>
        <v/>
      </c>
    </row>
    <row r="322" spans="1:29" hidden="1" outlineLevel="1" x14ac:dyDescent="0.3">
      <c r="A322" s="22" t="s">
        <v>84</v>
      </c>
      <c r="B322" s="41" t="str">
        <f t="shared" si="26"/>
        <v/>
      </c>
      <c r="C322" s="42">
        <f t="shared" si="27"/>
        <v>321</v>
      </c>
      <c r="D322" s="38"/>
      <c r="E322" s="38"/>
      <c r="F322" s="38" t="s">
        <v>9</v>
      </c>
      <c r="G322" s="38"/>
      <c r="H322" s="38"/>
      <c r="I322" s="38" t="s">
        <v>9</v>
      </c>
      <c r="J322" s="38"/>
      <c r="K322" s="14" t="s">
        <v>18</v>
      </c>
      <c r="L322" s="14" t="s">
        <v>27</v>
      </c>
      <c r="M322" s="20" t="s">
        <v>1357</v>
      </c>
      <c r="N322" s="14" t="s">
        <v>1358</v>
      </c>
      <c r="O322" s="43" t="s">
        <v>1359</v>
      </c>
      <c r="R322" s="38" t="s">
        <v>104</v>
      </c>
      <c r="S322" s="38"/>
      <c r="T322" s="38"/>
      <c r="W322" s="15" t="str">
        <f>IF(IFERROR(VLOOKUP($M322,'IMPORT GS-Tür OL FL 2S2 20'!$H$2:$H$847,1,0),"-")="-","","GS")</f>
        <v>GS</v>
      </c>
      <c r="Z322" s="59" t="str">
        <f>IF(OR($M322="",NOT($O322="{array}")),"",IFERROR(MATCH(PARAMETERS!$M322,DEFAULT!$B$5:$CG$5,0),""))</f>
        <v/>
      </c>
      <c r="AA322" s="56" t="str">
        <f t="shared" si="25"/>
        <v/>
      </c>
      <c r="AB322" s="63" t="str">
        <f>IF(AND(OR($A322="G",$A322="P"),NOT($O322="{array}")),IF(VLOOKUP($K322,base!$B$2:$D$20,3,0)="S",IF(OR($O322="",ISTEXT($O322)),"","STRING!"),IF(VLOOKUP($K322,base!$B$2:$D$20,3,0)="","",IF(ISTEXT($O322),"NUMERIC!",""))),"")</f>
        <v/>
      </c>
      <c r="AC322" s="17" t="str">
        <f>IF($AA322="","",IF($B322="I",VLOOKUP($AA322,#REF!,53,0),INDEX(VALUES!$B$1:$BR$1,1,$AA322)))</f>
        <v/>
      </c>
    </row>
    <row r="323" spans="1:29" hidden="1" outlineLevel="1" x14ac:dyDescent="0.3">
      <c r="A323" s="22" t="s">
        <v>84</v>
      </c>
      <c r="B323" s="41" t="str">
        <f t="shared" si="26"/>
        <v/>
      </c>
      <c r="C323" s="42">
        <f t="shared" si="27"/>
        <v>322</v>
      </c>
      <c r="D323" s="38"/>
      <c r="E323" s="38"/>
      <c r="F323" s="38" t="s">
        <v>9</v>
      </c>
      <c r="G323" s="38"/>
      <c r="H323" s="38"/>
      <c r="I323" s="38" t="s">
        <v>9</v>
      </c>
      <c r="J323" s="38"/>
      <c r="K323" s="14" t="s">
        <v>36</v>
      </c>
      <c r="L323" s="14" t="s">
        <v>27</v>
      </c>
      <c r="M323" s="20" t="s">
        <v>1360</v>
      </c>
      <c r="N323" s="14" t="s">
        <v>1361</v>
      </c>
      <c r="O323" s="43">
        <v>1</v>
      </c>
      <c r="R323" s="38" t="s">
        <v>104</v>
      </c>
      <c r="S323" s="38"/>
      <c r="T323" s="38"/>
      <c r="W323" s="15" t="str">
        <f>IF(IFERROR(VLOOKUP($M323,'IMPORT GS-Tür OL FL 2S2 20'!$H$2:$H$847,1,0),"-")="-","","GS")</f>
        <v>GS</v>
      </c>
      <c r="Z323" s="59" t="str">
        <f>IF(OR($M323="",NOT($O323="{array}")),"",IFERROR(MATCH(PARAMETERS!$M323,DEFAULT!$B$5:$CG$5,0),""))</f>
        <v/>
      </c>
      <c r="AA323" s="56" t="str">
        <f t="shared" si="25"/>
        <v/>
      </c>
      <c r="AB323" s="63" t="str">
        <f>IF(AND(OR($A323="G",$A323="P"),NOT($O323="{array}")),IF(VLOOKUP($K323,base!$B$2:$D$20,3,0)="S",IF(OR($O323="",ISTEXT($O323)),"","STRING!"),IF(VLOOKUP($K323,base!$B$2:$D$20,3,0)="","",IF(ISTEXT($O323),"NUMERIC!",""))),"")</f>
        <v/>
      </c>
      <c r="AC323" s="17" t="str">
        <f>IF($AA323="","",IF($B323="I",VLOOKUP($AA323,#REF!,53,0),INDEX(VALUES!$B$1:$BR$1,1,$AA323)))</f>
        <v/>
      </c>
    </row>
    <row r="324" spans="1:29" hidden="1" outlineLevel="1" x14ac:dyDescent="0.3">
      <c r="A324" s="22" t="s">
        <v>84</v>
      </c>
      <c r="B324" s="41" t="str">
        <f t="shared" si="26"/>
        <v/>
      </c>
      <c r="C324" s="42">
        <f t="shared" si="27"/>
        <v>323</v>
      </c>
      <c r="D324" s="38"/>
      <c r="E324" s="38"/>
      <c r="F324" s="38" t="s">
        <v>9</v>
      </c>
      <c r="G324" s="38"/>
      <c r="H324" s="38" t="s">
        <v>9</v>
      </c>
      <c r="I324" s="38"/>
      <c r="J324" s="38"/>
      <c r="K324" s="14" t="s">
        <v>47</v>
      </c>
      <c r="L324" s="14" t="s">
        <v>27</v>
      </c>
      <c r="M324" s="20" t="s">
        <v>1362</v>
      </c>
      <c r="N324" s="14" t="s">
        <v>1363</v>
      </c>
      <c r="O324" s="43">
        <v>0</v>
      </c>
      <c r="R324" s="38" t="s">
        <v>104</v>
      </c>
      <c r="S324" s="38"/>
      <c r="T324" s="38"/>
      <c r="W324" s="15" t="str">
        <f>IF(IFERROR(VLOOKUP($M324,'IMPORT GS-Tür OL FL 2S2 20'!$H$2:$H$847,1,0),"-")="-","","GS")</f>
        <v>GS</v>
      </c>
      <c r="Z324" s="59" t="str">
        <f>IF(OR($M324="",NOT($O324="{array}")),"",IFERROR(MATCH(PARAMETERS!$M324,DEFAULT!$B$5:$CG$5,0),""))</f>
        <v/>
      </c>
      <c r="AA324" s="56" t="str">
        <f t="shared" si="25"/>
        <v/>
      </c>
      <c r="AB324" s="63" t="str">
        <f>IF(AND(OR($A324="G",$A324="P"),NOT($O324="{array}")),IF(VLOOKUP($K324,base!$B$2:$D$20,3,0)="S",IF(OR($O324="",ISTEXT($O324)),"","STRING!"),IF(VLOOKUP($K324,base!$B$2:$D$20,3,0)="","",IF(ISTEXT($O324),"NUMERIC!",""))),"")</f>
        <v/>
      </c>
      <c r="AC324" s="17" t="str">
        <f>IF($AA324="","",IF($B324="I",VLOOKUP($AA324,#REF!,53,0),INDEX(VALUES!$B$1:$BR$1,1,$AA324)))</f>
        <v/>
      </c>
    </row>
    <row r="325" spans="1:29" hidden="1" outlineLevel="1" x14ac:dyDescent="0.3">
      <c r="A325" s="22" t="s">
        <v>84</v>
      </c>
      <c r="B325" s="41" t="str">
        <f t="shared" si="26"/>
        <v/>
      </c>
      <c r="C325" s="42">
        <f t="shared" si="27"/>
        <v>324</v>
      </c>
      <c r="D325" s="38"/>
      <c r="E325" s="38"/>
      <c r="F325" s="38" t="s">
        <v>9</v>
      </c>
      <c r="G325" s="38" t="s">
        <v>9</v>
      </c>
      <c r="H325" s="38"/>
      <c r="I325" s="38" t="s">
        <v>9</v>
      </c>
      <c r="J325" s="38"/>
      <c r="K325" s="14" t="s">
        <v>18</v>
      </c>
      <c r="L325" s="14" t="s">
        <v>27</v>
      </c>
      <c r="M325" s="20" t="s">
        <v>1364</v>
      </c>
      <c r="N325" s="14" t="s">
        <v>1365</v>
      </c>
      <c r="O325" s="43" t="s">
        <v>1297</v>
      </c>
      <c r="R325" s="38" t="s">
        <v>104</v>
      </c>
      <c r="S325" s="38"/>
      <c r="T325" s="38"/>
      <c r="W325" s="15" t="str">
        <f>IF(IFERROR(VLOOKUP($M325,'IMPORT GS-Tür OL FL 2S2 20'!$H$2:$H$847,1,0),"-")="-","","GS")</f>
        <v>GS</v>
      </c>
      <c r="Z325" s="59" t="str">
        <f>IF(OR($M325="",NOT($O325="{array}")),"",IFERROR(MATCH(PARAMETERS!$M325,DEFAULT!$B$5:$CG$5,0),""))</f>
        <v/>
      </c>
      <c r="AA325" s="56" t="str">
        <f t="shared" si="25"/>
        <v/>
      </c>
      <c r="AB325" s="63" t="str">
        <f>IF(AND(OR($A325="G",$A325="P"),NOT($O325="{array}")),IF(VLOOKUP($K325,base!$B$2:$D$20,3,0)="S",IF(OR($O325="",ISTEXT($O325)),"","STRING!"),IF(VLOOKUP($K325,base!$B$2:$D$20,3,0)="","",IF(ISTEXT($O325),"NUMERIC!",""))),"")</f>
        <v/>
      </c>
      <c r="AC325" s="17" t="str">
        <f>IF($AA325="","",IF($B325="I",VLOOKUP($AA325,#REF!,53,0),INDEX(VALUES!$B$1:$BR$1,1,$AA325)))</f>
        <v/>
      </c>
    </row>
    <row r="326" spans="1:29" hidden="1" outlineLevel="1" x14ac:dyDescent="0.3">
      <c r="A326" s="22" t="s">
        <v>84</v>
      </c>
      <c r="B326" s="41" t="str">
        <f t="shared" si="26"/>
        <v/>
      </c>
      <c r="C326" s="42">
        <f t="shared" si="27"/>
        <v>325</v>
      </c>
      <c r="D326" s="38"/>
      <c r="E326" s="38"/>
      <c r="F326" s="38" t="s">
        <v>9</v>
      </c>
      <c r="G326" s="38" t="s">
        <v>9</v>
      </c>
      <c r="H326" s="38"/>
      <c r="I326" s="38" t="s">
        <v>9</v>
      </c>
      <c r="J326" s="38"/>
      <c r="K326" s="14" t="s">
        <v>44</v>
      </c>
      <c r="L326" s="14" t="s">
        <v>27</v>
      </c>
      <c r="M326" s="20" t="s">
        <v>1366</v>
      </c>
      <c r="N326" s="14" t="s">
        <v>1365</v>
      </c>
      <c r="O326" s="43">
        <v>1</v>
      </c>
      <c r="R326" s="38" t="s">
        <v>104</v>
      </c>
      <c r="S326" s="38"/>
      <c r="T326" s="38"/>
      <c r="W326" s="15" t="str">
        <f>IF(IFERROR(VLOOKUP($M326,'IMPORT GS-Tür OL FL 2S2 20'!$H$2:$H$847,1,0),"-")="-","","GS")</f>
        <v>GS</v>
      </c>
      <c r="Z326" s="59" t="str">
        <f>IF(OR($M326="",NOT($O326="{array}")),"",IFERROR(MATCH(PARAMETERS!$M326,DEFAULT!$B$5:$CG$5,0),""))</f>
        <v/>
      </c>
      <c r="AA326" s="56" t="str">
        <f t="shared" si="25"/>
        <v/>
      </c>
      <c r="AB326" s="63" t="str">
        <f>IF(AND(OR($A326="G",$A326="P"),NOT($O326="{array}")),IF(VLOOKUP($K326,base!$B$2:$D$20,3,0)="S",IF(OR($O326="",ISTEXT($O326)),"","STRING!"),IF(VLOOKUP($K326,base!$B$2:$D$20,3,0)="","",IF(ISTEXT($O326),"NUMERIC!",""))),"")</f>
        <v/>
      </c>
      <c r="AC326" s="17" t="str">
        <f>IF($AA326="","",IF($B326="I",VLOOKUP($AA326,#REF!,53,0),INDEX(VALUES!$B$1:$BR$1,1,$AA326)))</f>
        <v/>
      </c>
    </row>
    <row r="327" spans="1:29" hidden="1" outlineLevel="1" x14ac:dyDescent="0.3">
      <c r="A327" s="22" t="s">
        <v>84</v>
      </c>
      <c r="B327" s="41" t="str">
        <f t="shared" si="26"/>
        <v/>
      </c>
      <c r="C327" s="42">
        <f t="shared" si="27"/>
        <v>326</v>
      </c>
      <c r="D327" s="38"/>
      <c r="E327" s="38"/>
      <c r="F327" s="38" t="s">
        <v>9</v>
      </c>
      <c r="G327" s="38"/>
      <c r="H327" s="38"/>
      <c r="I327" s="38" t="s">
        <v>9</v>
      </c>
      <c r="J327" s="38"/>
      <c r="K327" s="14" t="s">
        <v>44</v>
      </c>
      <c r="L327" s="14" t="s">
        <v>27</v>
      </c>
      <c r="M327" s="20" t="s">
        <v>1367</v>
      </c>
      <c r="N327" s="14" t="s">
        <v>1368</v>
      </c>
      <c r="O327" s="43">
        <v>1</v>
      </c>
      <c r="R327" s="38" t="s">
        <v>104</v>
      </c>
      <c r="S327" s="38"/>
      <c r="T327" s="38"/>
      <c r="W327" s="15" t="str">
        <f>IF(IFERROR(VLOOKUP($M327,'IMPORT GS-Tür OL FL 2S2 20'!$H$2:$H$847,1,0),"-")="-","","GS")</f>
        <v>GS</v>
      </c>
      <c r="Z327" s="59" t="str">
        <f>IF(OR($M327="",NOT($O327="{array}")),"",IFERROR(MATCH(PARAMETERS!$M327,DEFAULT!$B$5:$CG$5,0),""))</f>
        <v/>
      </c>
      <c r="AA327" s="56" t="str">
        <f t="shared" ref="AA327:AA358" si="28">IF($M327="","",IFERROR(MATCH($M327,VALUESnames,0),""))</f>
        <v/>
      </c>
      <c r="AB327" s="63" t="str">
        <f>IF(AND(OR($A327="G",$A327="P"),NOT($O327="{array}")),IF(VLOOKUP($K327,base!$B$2:$D$20,3,0)="S",IF(OR($O327="",ISTEXT($O327)),"","STRING!"),IF(VLOOKUP($K327,base!$B$2:$D$20,3,0)="","",IF(ISTEXT($O327),"NUMERIC!",""))),"")</f>
        <v/>
      </c>
      <c r="AC327" s="17" t="str">
        <f>IF($AA327="","",IF($B327="I",VLOOKUP($AA327,#REF!,53,0),INDEX(VALUES!$B$1:$BR$1,1,$AA327)))</f>
        <v/>
      </c>
    </row>
    <row r="328" spans="1:29" hidden="1" outlineLevel="1" x14ac:dyDescent="0.3">
      <c r="A328" s="22" t="s">
        <v>84</v>
      </c>
      <c r="B328" s="41" t="str">
        <f t="shared" si="26"/>
        <v/>
      </c>
      <c r="C328" s="42">
        <f t="shared" ref="C328:C359" si="29">(ROW()-1)</f>
        <v>327</v>
      </c>
      <c r="D328" s="38"/>
      <c r="E328" s="38"/>
      <c r="F328" s="38" t="s">
        <v>9</v>
      </c>
      <c r="G328" s="38"/>
      <c r="H328" s="38"/>
      <c r="I328" s="38" t="s">
        <v>9</v>
      </c>
      <c r="J328" s="38"/>
      <c r="K328" s="14" t="s">
        <v>47</v>
      </c>
      <c r="L328" s="14" t="s">
        <v>27</v>
      </c>
      <c r="M328" s="20" t="s">
        <v>1369</v>
      </c>
      <c r="N328" s="14" t="s">
        <v>1370</v>
      </c>
      <c r="O328" s="43">
        <v>1</v>
      </c>
      <c r="R328" s="38" t="s">
        <v>104</v>
      </c>
      <c r="S328" s="38"/>
      <c r="T328" s="38"/>
      <c r="W328" s="15" t="str">
        <f>IF(IFERROR(VLOOKUP($M328,'IMPORT GS-Tür OL FL 2S2 20'!$H$2:$H$847,1,0),"-")="-","","GS")</f>
        <v>GS</v>
      </c>
      <c r="Z328" s="59" t="str">
        <f>IF(OR($M328="",NOT($O328="{array}")),"",IFERROR(MATCH(PARAMETERS!$M328,DEFAULT!$B$5:$CG$5,0),""))</f>
        <v/>
      </c>
      <c r="AA328" s="56" t="str">
        <f t="shared" si="28"/>
        <v/>
      </c>
      <c r="AB328" s="63" t="str">
        <f>IF(AND(OR($A328="G",$A328="P"),NOT($O328="{array}")),IF(VLOOKUP($K328,base!$B$2:$D$20,3,0)="S",IF(OR($O328="",ISTEXT($O328)),"","STRING!"),IF(VLOOKUP($K328,base!$B$2:$D$20,3,0)="","",IF(ISTEXT($O328),"NUMERIC!",""))),"")</f>
        <v/>
      </c>
      <c r="AC328" s="17" t="str">
        <f>IF($AA328="","",IF($B328="I",VLOOKUP($AA328,#REF!,53,0),INDEX(VALUES!$B$1:$BR$1,1,$AA328)))</f>
        <v/>
      </c>
    </row>
    <row r="329" spans="1:29" hidden="1" outlineLevel="1" x14ac:dyDescent="0.3">
      <c r="A329" s="22" t="s">
        <v>84</v>
      </c>
      <c r="B329" s="41" t="str">
        <f t="shared" si="26"/>
        <v/>
      </c>
      <c r="C329" s="42">
        <f t="shared" si="29"/>
        <v>328</v>
      </c>
      <c r="D329" s="38"/>
      <c r="E329" s="38"/>
      <c r="F329" s="38" t="s">
        <v>9</v>
      </c>
      <c r="G329" s="38"/>
      <c r="H329" s="38"/>
      <c r="I329" s="38" t="s">
        <v>9</v>
      </c>
      <c r="J329" s="38"/>
      <c r="K329" s="14" t="s">
        <v>44</v>
      </c>
      <c r="L329" s="14" t="s">
        <v>27</v>
      </c>
      <c r="M329" s="20" t="s">
        <v>1371</v>
      </c>
      <c r="N329" s="14" t="s">
        <v>1372</v>
      </c>
      <c r="O329" s="43">
        <v>1</v>
      </c>
      <c r="R329" s="38" t="s">
        <v>104</v>
      </c>
      <c r="S329" s="38"/>
      <c r="T329" s="38"/>
      <c r="W329" s="15" t="str">
        <f>IF(IFERROR(VLOOKUP($M329,'IMPORT GS-Tür OL FL 2S2 20'!$H$2:$H$847,1,0),"-")="-","","GS")</f>
        <v>GS</v>
      </c>
      <c r="Z329" s="59" t="str">
        <f>IF(OR($M329="",NOT($O329="{array}")),"",IFERROR(MATCH(PARAMETERS!$M329,DEFAULT!$B$5:$CG$5,0),""))</f>
        <v/>
      </c>
      <c r="AA329" s="56" t="str">
        <f t="shared" si="28"/>
        <v/>
      </c>
      <c r="AB329" s="63" t="str">
        <f>IF(AND(OR($A329="G",$A329="P"),NOT($O329="{array}")),IF(VLOOKUP($K329,base!$B$2:$D$20,3,0)="S",IF(OR($O329="",ISTEXT($O329)),"","STRING!"),IF(VLOOKUP($K329,base!$B$2:$D$20,3,0)="","",IF(ISTEXT($O329),"NUMERIC!",""))),"")</f>
        <v/>
      </c>
      <c r="AC329" s="17" t="str">
        <f>IF($AA329="","",IF($B329="I",VLOOKUP($AA329,#REF!,53,0),INDEX(VALUES!$B$1:$BR$1,1,$AA329)))</f>
        <v/>
      </c>
    </row>
    <row r="330" spans="1:29" hidden="1" outlineLevel="1" x14ac:dyDescent="0.3">
      <c r="A330" s="22" t="s">
        <v>84</v>
      </c>
      <c r="B330" s="41" t="str">
        <f t="shared" si="26"/>
        <v/>
      </c>
      <c r="C330" s="42">
        <f t="shared" si="29"/>
        <v>329</v>
      </c>
      <c r="D330" s="38"/>
      <c r="E330" s="38"/>
      <c r="F330" s="38" t="s">
        <v>9</v>
      </c>
      <c r="G330" s="38"/>
      <c r="H330" s="38"/>
      <c r="I330" s="38" t="s">
        <v>9</v>
      </c>
      <c r="J330" s="38"/>
      <c r="K330" s="14" t="s">
        <v>24</v>
      </c>
      <c r="L330" s="14" t="s">
        <v>27</v>
      </c>
      <c r="M330" s="20" t="s">
        <v>1373</v>
      </c>
      <c r="N330" s="14" t="s">
        <v>1374</v>
      </c>
      <c r="O330" s="43">
        <v>0.02</v>
      </c>
      <c r="R330" s="38" t="s">
        <v>104</v>
      </c>
      <c r="S330" s="38"/>
      <c r="T330" s="38"/>
      <c r="W330" s="15" t="str">
        <f>IF(IFERROR(VLOOKUP($M330,'IMPORT GS-Tür OL FL 2S2 20'!$H$2:$H$847,1,0),"-")="-","","GS")</f>
        <v>GS</v>
      </c>
      <c r="Z330" s="59" t="str">
        <f>IF(OR($M330="",NOT($O330="{array}")),"",IFERROR(MATCH(PARAMETERS!$M330,DEFAULT!$B$5:$CG$5,0),""))</f>
        <v/>
      </c>
      <c r="AA330" s="56" t="str">
        <f t="shared" si="28"/>
        <v/>
      </c>
      <c r="AB330" s="63" t="str">
        <f>IF(AND(OR($A330="G",$A330="P"),NOT($O330="{array}")),IF(VLOOKUP($K330,base!$B$2:$D$20,3,0)="S",IF(OR($O330="",ISTEXT($O330)),"","STRING!"),IF(VLOOKUP($K330,base!$B$2:$D$20,3,0)="","",IF(ISTEXT($O330),"NUMERIC!",""))),"")</f>
        <v/>
      </c>
      <c r="AC330" s="17" t="str">
        <f>IF($AA330="","",IF($B330="I",VLOOKUP($AA330,#REF!,53,0),INDEX(VALUES!$B$1:$BR$1,1,$AA330)))</f>
        <v/>
      </c>
    </row>
    <row r="331" spans="1:29" hidden="1" outlineLevel="1" x14ac:dyDescent="0.3">
      <c r="A331" s="22" t="s">
        <v>84</v>
      </c>
      <c r="B331" s="41" t="str">
        <f t="shared" si="26"/>
        <v/>
      </c>
      <c r="C331" s="42">
        <f t="shared" si="29"/>
        <v>330</v>
      </c>
      <c r="D331" s="38"/>
      <c r="E331" s="38"/>
      <c r="F331" s="38" t="s">
        <v>9</v>
      </c>
      <c r="G331" s="38"/>
      <c r="H331" s="38"/>
      <c r="I331" s="38" t="s">
        <v>9</v>
      </c>
      <c r="J331" s="38"/>
      <c r="K331" s="14" t="s">
        <v>47</v>
      </c>
      <c r="L331" s="14" t="s">
        <v>27</v>
      </c>
      <c r="M331" s="20" t="s">
        <v>1375</v>
      </c>
      <c r="N331" s="14" t="s">
        <v>1376</v>
      </c>
      <c r="O331" s="43">
        <v>1</v>
      </c>
      <c r="R331" s="38" t="s">
        <v>104</v>
      </c>
      <c r="S331" s="38"/>
      <c r="T331" s="38"/>
      <c r="W331" s="15" t="str">
        <f>IF(IFERROR(VLOOKUP($M331,'IMPORT GS-Tür OL FL 2S2 20'!$H$2:$H$847,1,0),"-")="-","","GS")</f>
        <v>GS</v>
      </c>
      <c r="Z331" s="59" t="str">
        <f>IF(OR($M331="",NOT($O331="{array}")),"",IFERROR(MATCH(PARAMETERS!$M331,DEFAULT!$B$5:$CG$5,0),""))</f>
        <v/>
      </c>
      <c r="AA331" s="56" t="str">
        <f t="shared" si="28"/>
        <v/>
      </c>
      <c r="AB331" s="63" t="str">
        <f>IF(AND(OR($A331="G",$A331="P"),NOT($O331="{array}")),IF(VLOOKUP($K331,base!$B$2:$D$20,3,0)="S",IF(OR($O331="",ISTEXT($O331)),"","STRING!"),IF(VLOOKUP($K331,base!$B$2:$D$20,3,0)="","",IF(ISTEXT($O331),"NUMERIC!",""))),"")</f>
        <v/>
      </c>
      <c r="AC331" s="17" t="str">
        <f>IF($AA331="","",IF($B331="I",VLOOKUP($AA331,#REF!,53,0),INDEX(VALUES!$B$1:$BR$1,1,$AA331)))</f>
        <v/>
      </c>
    </row>
    <row r="332" spans="1:29" hidden="1" outlineLevel="1" x14ac:dyDescent="0.3">
      <c r="A332" s="22" t="s">
        <v>84</v>
      </c>
      <c r="B332" s="41" t="str">
        <f t="shared" si="26"/>
        <v/>
      </c>
      <c r="C332" s="42">
        <f t="shared" si="29"/>
        <v>331</v>
      </c>
      <c r="D332" s="38"/>
      <c r="E332" s="38"/>
      <c r="F332" s="38" t="s">
        <v>9</v>
      </c>
      <c r="G332" s="38"/>
      <c r="H332" s="38"/>
      <c r="I332" s="38" t="s">
        <v>9</v>
      </c>
      <c r="J332" s="38"/>
      <c r="K332" s="14" t="s">
        <v>47</v>
      </c>
      <c r="L332" s="14" t="s">
        <v>27</v>
      </c>
      <c r="M332" s="20" t="s">
        <v>1377</v>
      </c>
      <c r="N332" s="14" t="s">
        <v>1378</v>
      </c>
      <c r="O332" s="43">
        <v>1</v>
      </c>
      <c r="R332" s="38" t="s">
        <v>104</v>
      </c>
      <c r="S332" s="38"/>
      <c r="T332" s="38"/>
      <c r="W332" s="15" t="str">
        <f>IF(IFERROR(VLOOKUP($M332,'IMPORT GS-Tür OL FL 2S2 20'!$H$2:$H$847,1,0),"-")="-","","GS")</f>
        <v>GS</v>
      </c>
      <c r="Z332" s="59" t="str">
        <f>IF(OR($M332="",NOT($O332="{array}")),"",IFERROR(MATCH(PARAMETERS!$M332,DEFAULT!$B$5:$CG$5,0),""))</f>
        <v/>
      </c>
      <c r="AA332" s="56" t="str">
        <f t="shared" si="28"/>
        <v/>
      </c>
      <c r="AB332" s="63" t="str">
        <f>IF(AND(OR($A332="G",$A332="P"),NOT($O332="{array}")),IF(VLOOKUP($K332,base!$B$2:$D$20,3,0)="S",IF(OR($O332="",ISTEXT($O332)),"","STRING!"),IF(VLOOKUP($K332,base!$B$2:$D$20,3,0)="","",IF(ISTEXT($O332),"NUMERIC!",""))),"")</f>
        <v/>
      </c>
      <c r="AC332" s="17" t="str">
        <f>IF($AA332="","",IF($B332="I",VLOOKUP($AA332,#REF!,53,0),INDEX(VALUES!$B$1:$BR$1,1,$AA332)))</f>
        <v/>
      </c>
    </row>
    <row r="333" spans="1:29" hidden="1" outlineLevel="1" x14ac:dyDescent="0.3">
      <c r="A333" s="22" t="s">
        <v>84</v>
      </c>
      <c r="B333" s="41" t="str">
        <f t="shared" si="26"/>
        <v/>
      </c>
      <c r="C333" s="42">
        <f t="shared" si="29"/>
        <v>332</v>
      </c>
      <c r="D333" s="38"/>
      <c r="E333" s="38"/>
      <c r="F333" s="38" t="s">
        <v>9</v>
      </c>
      <c r="G333" s="38"/>
      <c r="H333" s="38"/>
      <c r="I333" s="38" t="s">
        <v>9</v>
      </c>
      <c r="J333" s="38"/>
      <c r="K333" s="14" t="s">
        <v>24</v>
      </c>
      <c r="L333" s="14" t="s">
        <v>27</v>
      </c>
      <c r="M333" s="20" t="s">
        <v>1379</v>
      </c>
      <c r="N333" s="14" t="s">
        <v>1380</v>
      </c>
      <c r="O333" s="43">
        <v>0.05</v>
      </c>
      <c r="R333" s="38" t="s">
        <v>104</v>
      </c>
      <c r="S333" s="38"/>
      <c r="T333" s="38"/>
      <c r="W333" s="15" t="str">
        <f>IF(IFERROR(VLOOKUP($M333,'IMPORT GS-Tür OL FL 2S2 20'!$H$2:$H$847,1,0),"-")="-","","GS")</f>
        <v>GS</v>
      </c>
      <c r="Z333" s="59" t="str">
        <f>IF(OR($M333="",NOT($O333="{array}")),"",IFERROR(MATCH(PARAMETERS!$M333,DEFAULT!$B$5:$CG$5,0),""))</f>
        <v/>
      </c>
      <c r="AA333" s="56" t="str">
        <f t="shared" si="28"/>
        <v/>
      </c>
      <c r="AB333" s="63" t="str">
        <f>IF(AND(OR($A333="G",$A333="P"),NOT($O333="{array}")),IF(VLOOKUP($K333,base!$B$2:$D$20,3,0)="S",IF(OR($O333="",ISTEXT($O333)),"","STRING!"),IF(VLOOKUP($K333,base!$B$2:$D$20,3,0)="","",IF(ISTEXT($O333),"NUMERIC!",""))),"")</f>
        <v/>
      </c>
      <c r="AC333" s="17" t="str">
        <f>IF($AA333="","",IF($B333="I",VLOOKUP($AA333,#REF!,53,0),INDEX(VALUES!$B$1:$BR$1,1,$AA333)))</f>
        <v/>
      </c>
    </row>
    <row r="334" spans="1:29" hidden="1" outlineLevel="1" x14ac:dyDescent="0.3">
      <c r="A334" s="22" t="s">
        <v>84</v>
      </c>
      <c r="B334" s="41" t="str">
        <f t="shared" si="26"/>
        <v/>
      </c>
      <c r="C334" s="42">
        <f t="shared" si="29"/>
        <v>333</v>
      </c>
      <c r="D334" s="38"/>
      <c r="E334" s="38"/>
      <c r="F334" s="38" t="s">
        <v>9</v>
      </c>
      <c r="G334" s="38"/>
      <c r="H334" s="38"/>
      <c r="I334" s="38" t="s">
        <v>9</v>
      </c>
      <c r="J334" s="38"/>
      <c r="K334" s="14" t="s">
        <v>24</v>
      </c>
      <c r="L334" s="14" t="s">
        <v>27</v>
      </c>
      <c r="M334" s="20" t="s">
        <v>1381</v>
      </c>
      <c r="N334" s="14" t="s">
        <v>1382</v>
      </c>
      <c r="O334" s="43">
        <v>0.05</v>
      </c>
      <c r="R334" s="38" t="s">
        <v>104</v>
      </c>
      <c r="S334" s="38"/>
      <c r="T334" s="38"/>
      <c r="W334" s="15" t="str">
        <f>IF(IFERROR(VLOOKUP($M334,'IMPORT GS-Tür OL FL 2S2 20'!$H$2:$H$847,1,0),"-")="-","","GS")</f>
        <v>GS</v>
      </c>
      <c r="Z334" s="59" t="str">
        <f>IF(OR($M334="",NOT($O334="{array}")),"",IFERROR(MATCH(PARAMETERS!$M334,DEFAULT!$B$5:$CG$5,0),""))</f>
        <v/>
      </c>
      <c r="AA334" s="56" t="str">
        <f t="shared" si="28"/>
        <v/>
      </c>
      <c r="AB334" s="63" t="str">
        <f>IF(AND(OR($A334="G",$A334="P"),NOT($O334="{array}")),IF(VLOOKUP($K334,base!$B$2:$D$20,3,0)="S",IF(OR($O334="",ISTEXT($O334)),"","STRING!"),IF(VLOOKUP($K334,base!$B$2:$D$20,3,0)="","",IF(ISTEXT($O334),"NUMERIC!",""))),"")</f>
        <v/>
      </c>
      <c r="AC334" s="17" t="str">
        <f>IF($AA334="","",IF($B334="I",VLOOKUP($AA334,#REF!,53,0),INDEX(VALUES!$B$1:$BR$1,1,$AA334)))</f>
        <v/>
      </c>
    </row>
    <row r="335" spans="1:29" hidden="1" outlineLevel="1" x14ac:dyDescent="0.3">
      <c r="A335" s="22" t="s">
        <v>84</v>
      </c>
      <c r="B335" s="41" t="str">
        <f t="shared" si="26"/>
        <v/>
      </c>
      <c r="C335" s="42">
        <f t="shared" si="29"/>
        <v>334</v>
      </c>
      <c r="D335" s="38"/>
      <c r="E335" s="38"/>
      <c r="F335" s="38" t="s">
        <v>9</v>
      </c>
      <c r="G335" s="38"/>
      <c r="H335" s="38"/>
      <c r="I335" s="38" t="s">
        <v>9</v>
      </c>
      <c r="J335" s="38"/>
      <c r="K335" s="14" t="s">
        <v>24</v>
      </c>
      <c r="L335" s="14" t="s">
        <v>27</v>
      </c>
      <c r="M335" s="20" t="s">
        <v>1383</v>
      </c>
      <c r="N335" s="14" t="s">
        <v>1295</v>
      </c>
      <c r="O335" s="43">
        <v>0.05</v>
      </c>
      <c r="R335" s="38" t="s">
        <v>104</v>
      </c>
      <c r="S335" s="38"/>
      <c r="T335" s="38"/>
      <c r="W335" s="15" t="str">
        <f>IF(IFERROR(VLOOKUP($M335,'IMPORT GS-Tür OL FL 2S2 20'!$H$2:$H$847,1,0),"-")="-","","GS")</f>
        <v>GS</v>
      </c>
      <c r="Z335" s="59" t="str">
        <f>IF(OR($M335="",NOT($O335="{array}")),"",IFERROR(MATCH(PARAMETERS!$M335,DEFAULT!$B$5:$CG$5,0),""))</f>
        <v/>
      </c>
      <c r="AA335" s="56" t="str">
        <f t="shared" si="28"/>
        <v/>
      </c>
      <c r="AB335" s="63" t="str">
        <f>IF(AND(OR($A335="G",$A335="P"),NOT($O335="{array}")),IF(VLOOKUP($K335,base!$B$2:$D$20,3,0)="S",IF(OR($O335="",ISTEXT($O335)),"","STRING!"),IF(VLOOKUP($K335,base!$B$2:$D$20,3,0)="","",IF(ISTEXT($O335),"NUMERIC!",""))),"")</f>
        <v/>
      </c>
      <c r="AC335" s="17" t="str">
        <f>IF($AA335="","",IF($B335="I",VLOOKUP($AA335,#REF!,53,0),INDEX(VALUES!$B$1:$BR$1,1,$AA335)))</f>
        <v/>
      </c>
    </row>
    <row r="336" spans="1:29" hidden="1" outlineLevel="1" x14ac:dyDescent="0.3">
      <c r="A336" s="22" t="s">
        <v>84</v>
      </c>
      <c r="B336" s="41" t="str">
        <f t="shared" si="26"/>
        <v/>
      </c>
      <c r="C336" s="42">
        <f t="shared" si="29"/>
        <v>335</v>
      </c>
      <c r="D336" s="38"/>
      <c r="E336" s="38"/>
      <c r="F336" s="38" t="s">
        <v>9</v>
      </c>
      <c r="G336" s="38"/>
      <c r="H336" s="38"/>
      <c r="I336" s="38" t="s">
        <v>9</v>
      </c>
      <c r="J336" s="38"/>
      <c r="K336" s="14" t="s">
        <v>24</v>
      </c>
      <c r="L336" s="14" t="s">
        <v>27</v>
      </c>
      <c r="M336" s="20" t="s">
        <v>1384</v>
      </c>
      <c r="N336" s="14" t="s">
        <v>1385</v>
      </c>
      <c r="O336" s="43">
        <v>1.9E-2</v>
      </c>
      <c r="R336" s="38" t="s">
        <v>104</v>
      </c>
      <c r="S336" s="38"/>
      <c r="T336" s="38"/>
      <c r="W336" s="15" t="str">
        <f>IF(IFERROR(VLOOKUP($M336,'IMPORT GS-Tür OL FL 2S2 20'!$H$2:$H$847,1,0),"-")="-","","GS")</f>
        <v>GS</v>
      </c>
      <c r="Z336" s="59" t="str">
        <f>IF(OR($M336="",NOT($O336="{array}")),"",IFERROR(MATCH(PARAMETERS!$M336,DEFAULT!$B$5:$CG$5,0),""))</f>
        <v/>
      </c>
      <c r="AA336" s="56" t="str">
        <f t="shared" si="28"/>
        <v/>
      </c>
      <c r="AB336" s="63" t="str">
        <f>IF(AND(OR($A336="G",$A336="P"),NOT($O336="{array}")),IF(VLOOKUP($K336,base!$B$2:$D$20,3,0)="S",IF(OR($O336="",ISTEXT($O336)),"","STRING!"),IF(VLOOKUP($K336,base!$B$2:$D$20,3,0)="","",IF(ISTEXT($O336),"NUMERIC!",""))),"")</f>
        <v/>
      </c>
      <c r="AC336" s="17" t="str">
        <f>IF($AA336="","",IF($B336="I",VLOOKUP($AA336,#REF!,53,0),INDEX(VALUES!$B$1:$BR$1,1,$AA336)))</f>
        <v/>
      </c>
    </row>
    <row r="337" spans="1:29" hidden="1" outlineLevel="1" x14ac:dyDescent="0.3">
      <c r="A337" s="22" t="s">
        <v>84</v>
      </c>
      <c r="B337" s="41" t="str">
        <f t="shared" si="26"/>
        <v/>
      </c>
      <c r="C337" s="42">
        <f t="shared" si="29"/>
        <v>336</v>
      </c>
      <c r="D337" s="38"/>
      <c r="E337" s="38"/>
      <c r="F337" s="38" t="s">
        <v>9</v>
      </c>
      <c r="G337" s="38"/>
      <c r="H337" s="38"/>
      <c r="I337" s="38" t="s">
        <v>9</v>
      </c>
      <c r="J337" s="38"/>
      <c r="K337" s="14" t="s">
        <v>24</v>
      </c>
      <c r="L337" s="14" t="s">
        <v>27</v>
      </c>
      <c r="M337" s="20" t="s">
        <v>1386</v>
      </c>
      <c r="N337" s="14" t="s">
        <v>1387</v>
      </c>
      <c r="O337" s="43">
        <v>2.5000000000000001E-2</v>
      </c>
      <c r="R337" s="38" t="s">
        <v>104</v>
      </c>
      <c r="S337" s="38"/>
      <c r="T337" s="38"/>
      <c r="W337" s="15" t="str">
        <f>IF(IFERROR(VLOOKUP($M337,'IMPORT GS-Tür OL FL 2S2 20'!$H$2:$H$847,1,0),"-")="-","","GS")</f>
        <v>GS</v>
      </c>
      <c r="Z337" s="59" t="str">
        <f>IF(OR($M337="",NOT($O337="{array}")),"",IFERROR(MATCH(PARAMETERS!$M337,DEFAULT!$B$5:$CG$5,0),""))</f>
        <v/>
      </c>
      <c r="AA337" s="56" t="str">
        <f t="shared" si="28"/>
        <v/>
      </c>
      <c r="AB337" s="63" t="str">
        <f>IF(AND(OR($A337="G",$A337="P"),NOT($O337="{array}")),IF(VLOOKUP($K337,base!$B$2:$D$20,3,0)="S",IF(OR($O337="",ISTEXT($O337)),"","STRING!"),IF(VLOOKUP($K337,base!$B$2:$D$20,3,0)="","",IF(ISTEXT($O337),"NUMERIC!",""))),"")</f>
        <v/>
      </c>
      <c r="AC337" s="17" t="str">
        <f>IF($AA337="","",IF($B337="I",VLOOKUP($AA337,#REF!,53,0),INDEX(VALUES!$B$1:$BR$1,1,$AA337)))</f>
        <v/>
      </c>
    </row>
    <row r="338" spans="1:29" hidden="1" outlineLevel="1" x14ac:dyDescent="0.3">
      <c r="A338" s="22" t="s">
        <v>84</v>
      </c>
      <c r="B338" s="41" t="str">
        <f t="shared" si="26"/>
        <v/>
      </c>
      <c r="C338" s="42">
        <f t="shared" si="29"/>
        <v>337</v>
      </c>
      <c r="D338" s="38"/>
      <c r="E338" s="38"/>
      <c r="F338" s="38" t="s">
        <v>9</v>
      </c>
      <c r="G338" s="38"/>
      <c r="H338" s="38"/>
      <c r="I338" s="38" t="s">
        <v>9</v>
      </c>
      <c r="J338" s="38"/>
      <c r="K338" s="14" t="s">
        <v>24</v>
      </c>
      <c r="L338" s="14" t="s">
        <v>27</v>
      </c>
      <c r="M338" s="20" t="s">
        <v>1388</v>
      </c>
      <c r="N338" s="14" t="s">
        <v>1389</v>
      </c>
      <c r="O338" s="43">
        <v>0</v>
      </c>
      <c r="R338" s="38" t="s">
        <v>104</v>
      </c>
      <c r="S338" s="38"/>
      <c r="T338" s="38"/>
      <c r="W338" s="15" t="str">
        <f>IF(IFERROR(VLOOKUP($M338,'IMPORT GS-Tür OL FL 2S2 20'!$H$2:$H$847,1,0),"-")="-","","GS")</f>
        <v>GS</v>
      </c>
      <c r="Z338" s="59" t="str">
        <f>IF(OR($M338="",NOT($O338="{array}")),"",IFERROR(MATCH(PARAMETERS!$M338,DEFAULT!$B$5:$CG$5,0),""))</f>
        <v/>
      </c>
      <c r="AA338" s="56" t="str">
        <f t="shared" si="28"/>
        <v/>
      </c>
      <c r="AB338" s="63" t="str">
        <f>IF(AND(OR($A338="G",$A338="P"),NOT($O338="{array}")),IF(VLOOKUP($K338,base!$B$2:$D$20,3,0)="S",IF(OR($O338="",ISTEXT($O338)),"","STRING!"),IF(VLOOKUP($K338,base!$B$2:$D$20,3,0)="","",IF(ISTEXT($O338),"NUMERIC!",""))),"")</f>
        <v/>
      </c>
      <c r="AC338" s="17" t="str">
        <f>IF($AA338="","",IF($B338="I",VLOOKUP($AA338,#REF!,53,0),INDEX(VALUES!$B$1:$BR$1,1,$AA338)))</f>
        <v/>
      </c>
    </row>
    <row r="339" spans="1:29" hidden="1" outlineLevel="1" x14ac:dyDescent="0.3">
      <c r="A339" s="22" t="s">
        <v>84</v>
      </c>
      <c r="B339" s="41" t="str">
        <f t="shared" si="26"/>
        <v/>
      </c>
      <c r="C339" s="42">
        <f t="shared" si="29"/>
        <v>338</v>
      </c>
      <c r="D339" s="38"/>
      <c r="E339" s="38"/>
      <c r="F339" s="38" t="s">
        <v>9</v>
      </c>
      <c r="G339" s="38"/>
      <c r="H339" s="38"/>
      <c r="I339" s="38" t="s">
        <v>9</v>
      </c>
      <c r="J339" s="38"/>
      <c r="K339" s="14" t="s">
        <v>24</v>
      </c>
      <c r="L339" s="14" t="s">
        <v>27</v>
      </c>
      <c r="M339" s="20" t="s">
        <v>1390</v>
      </c>
      <c r="N339" s="14" t="s">
        <v>1391</v>
      </c>
      <c r="O339" s="43">
        <v>0.05</v>
      </c>
      <c r="R339" s="38" t="s">
        <v>104</v>
      </c>
      <c r="S339" s="38"/>
      <c r="T339" s="38"/>
      <c r="W339" s="15" t="str">
        <f>IF(IFERROR(VLOOKUP($M339,'IMPORT GS-Tür OL FL 2S2 20'!$H$2:$H$847,1,0),"-")="-","","GS")</f>
        <v>GS</v>
      </c>
      <c r="Z339" s="59" t="str">
        <f>IF(OR($M339="",NOT($O339="{array}")),"",IFERROR(MATCH(PARAMETERS!$M339,DEFAULT!$B$5:$CG$5,0),""))</f>
        <v/>
      </c>
      <c r="AA339" s="56" t="str">
        <f t="shared" si="28"/>
        <v/>
      </c>
      <c r="AB339" s="63" t="str">
        <f>IF(AND(OR($A339="G",$A339="P"),NOT($O339="{array}")),IF(VLOOKUP($K339,base!$B$2:$D$20,3,0)="S",IF(OR($O339="",ISTEXT($O339)),"","STRING!"),IF(VLOOKUP($K339,base!$B$2:$D$20,3,0)="","",IF(ISTEXT($O339),"NUMERIC!",""))),"")</f>
        <v/>
      </c>
      <c r="AC339" s="17" t="str">
        <f>IF($AA339="","",IF($B339="I",VLOOKUP($AA339,#REF!,53,0),INDEX(VALUES!$B$1:$BR$1,1,$AA339)))</f>
        <v/>
      </c>
    </row>
    <row r="340" spans="1:29" hidden="1" outlineLevel="1" x14ac:dyDescent="0.3">
      <c r="A340" s="22" t="s">
        <v>84</v>
      </c>
      <c r="B340" s="41" t="str">
        <f t="shared" si="26"/>
        <v/>
      </c>
      <c r="C340" s="42">
        <f t="shared" si="29"/>
        <v>339</v>
      </c>
      <c r="D340" s="38"/>
      <c r="E340" s="38"/>
      <c r="F340" s="38" t="s">
        <v>9</v>
      </c>
      <c r="G340" s="38"/>
      <c r="H340" s="38"/>
      <c r="I340" s="38" t="s">
        <v>9</v>
      </c>
      <c r="J340" s="38"/>
      <c r="K340" s="14" t="s">
        <v>24</v>
      </c>
      <c r="L340" s="14" t="s">
        <v>27</v>
      </c>
      <c r="M340" s="20" t="s">
        <v>1392</v>
      </c>
      <c r="N340" s="14" t="s">
        <v>1393</v>
      </c>
      <c r="O340" s="43">
        <v>0.1</v>
      </c>
      <c r="R340" s="38" t="s">
        <v>104</v>
      </c>
      <c r="S340" s="38"/>
      <c r="T340" s="38"/>
      <c r="W340" s="15" t="str">
        <f>IF(IFERROR(VLOOKUP($M340,'IMPORT GS-Tür OL FL 2S2 20'!$H$2:$H$847,1,0),"-")="-","","GS")</f>
        <v>GS</v>
      </c>
      <c r="Z340" s="59" t="str">
        <f>IF(OR($M340="",NOT($O340="{array}")),"",IFERROR(MATCH(PARAMETERS!$M340,DEFAULT!$B$5:$CG$5,0),""))</f>
        <v/>
      </c>
      <c r="AA340" s="56" t="str">
        <f t="shared" si="28"/>
        <v/>
      </c>
      <c r="AB340" s="63" t="str">
        <f>IF(AND(OR($A340="G",$A340="P"),NOT($O340="{array}")),IF(VLOOKUP($K340,base!$B$2:$D$20,3,0)="S",IF(OR($O340="",ISTEXT($O340)),"","STRING!"),IF(VLOOKUP($K340,base!$B$2:$D$20,3,0)="","",IF(ISTEXT($O340),"NUMERIC!",""))),"")</f>
        <v/>
      </c>
      <c r="AC340" s="17" t="str">
        <f>IF($AA340="","",IF($B340="I",VLOOKUP($AA340,#REF!,53,0),INDEX(VALUES!$B$1:$BR$1,1,$AA340)))</f>
        <v/>
      </c>
    </row>
    <row r="341" spans="1:29" hidden="1" outlineLevel="1" x14ac:dyDescent="0.3">
      <c r="A341" s="22" t="s">
        <v>84</v>
      </c>
      <c r="B341" s="41" t="str">
        <f t="shared" si="26"/>
        <v/>
      </c>
      <c r="C341" s="42">
        <f t="shared" si="29"/>
        <v>340</v>
      </c>
      <c r="D341" s="38"/>
      <c r="E341" s="38"/>
      <c r="F341" s="38" t="s">
        <v>9</v>
      </c>
      <c r="G341" s="38"/>
      <c r="H341" s="38"/>
      <c r="I341" s="38" t="s">
        <v>9</v>
      </c>
      <c r="J341" s="38"/>
      <c r="K341" s="14" t="s">
        <v>53</v>
      </c>
      <c r="L341" s="14" t="s">
        <v>27</v>
      </c>
      <c r="M341" s="20" t="s">
        <v>1394</v>
      </c>
      <c r="N341" s="14" t="s">
        <v>1395</v>
      </c>
      <c r="O341" s="43">
        <v>1</v>
      </c>
      <c r="R341" s="38" t="s">
        <v>104</v>
      </c>
      <c r="S341" s="38"/>
      <c r="T341" s="38"/>
      <c r="W341" s="15" t="str">
        <f>IF(IFERROR(VLOOKUP($M341,'IMPORT GS-Tür OL FL 2S2 20'!$H$2:$H$847,1,0),"-")="-","","GS")</f>
        <v>GS</v>
      </c>
      <c r="Z341" s="59" t="str">
        <f>IF(OR($M341="",NOT($O341="{array}")),"",IFERROR(MATCH(PARAMETERS!$M341,DEFAULT!$B$5:$CG$5,0),""))</f>
        <v/>
      </c>
      <c r="AA341" s="56" t="str">
        <f t="shared" si="28"/>
        <v/>
      </c>
      <c r="AB341" s="63" t="str">
        <f>IF(AND(OR($A341="G",$A341="P"),NOT($O341="{array}")),IF(VLOOKUP($K341,base!$B$2:$D$20,3,0)="S",IF(OR($O341="",ISTEXT($O341)),"","STRING!"),IF(VLOOKUP($K341,base!$B$2:$D$20,3,0)="","",IF(ISTEXT($O341),"NUMERIC!",""))),"")</f>
        <v/>
      </c>
      <c r="AC341" s="17" t="str">
        <f>IF($AA341="","",IF($B341="I",VLOOKUP($AA341,#REF!,53,0),INDEX(VALUES!$B$1:$BR$1,1,$AA341)))</f>
        <v/>
      </c>
    </row>
    <row r="342" spans="1:29" hidden="1" outlineLevel="1" x14ac:dyDescent="0.3">
      <c r="A342" s="22" t="s">
        <v>84</v>
      </c>
      <c r="B342" s="41" t="str">
        <f t="shared" si="26"/>
        <v/>
      </c>
      <c r="C342" s="42">
        <f t="shared" si="29"/>
        <v>341</v>
      </c>
      <c r="D342" s="38"/>
      <c r="E342" s="38"/>
      <c r="F342" s="38" t="s">
        <v>9</v>
      </c>
      <c r="G342" s="38"/>
      <c r="H342" s="38"/>
      <c r="I342" s="38" t="s">
        <v>9</v>
      </c>
      <c r="J342" s="38"/>
      <c r="K342" s="14" t="s">
        <v>52</v>
      </c>
      <c r="L342" s="14" t="s">
        <v>27</v>
      </c>
      <c r="M342" s="20" t="s">
        <v>1396</v>
      </c>
      <c r="N342" s="14" t="s">
        <v>1397</v>
      </c>
      <c r="O342" s="43">
        <v>65</v>
      </c>
      <c r="R342" s="38" t="s">
        <v>104</v>
      </c>
      <c r="S342" s="38"/>
      <c r="T342" s="38"/>
      <c r="W342" s="15" t="str">
        <f>IF(IFERROR(VLOOKUP($M342,'IMPORT GS-Tür OL FL 2S2 20'!$H$2:$H$847,1,0),"-")="-","","GS")</f>
        <v>GS</v>
      </c>
      <c r="Z342" s="59" t="str">
        <f>IF(OR($M342="",NOT($O342="{array}")),"",IFERROR(MATCH(PARAMETERS!$M342,DEFAULT!$B$5:$CG$5,0),""))</f>
        <v/>
      </c>
      <c r="AA342" s="56" t="str">
        <f t="shared" si="28"/>
        <v/>
      </c>
      <c r="AB342" s="63" t="str">
        <f>IF(AND(OR($A342="G",$A342="P"),NOT($O342="{array}")),IF(VLOOKUP($K342,base!$B$2:$D$20,3,0)="S",IF(OR($O342="",ISTEXT($O342)),"","STRING!"),IF(VLOOKUP($K342,base!$B$2:$D$20,3,0)="","",IF(ISTEXT($O342),"NUMERIC!",""))),"")</f>
        <v/>
      </c>
      <c r="AC342" s="17" t="str">
        <f>IF($AA342="","",IF($B342="I",VLOOKUP($AA342,#REF!,53,0),INDEX(VALUES!$B$1:$BR$1,1,$AA342)))</f>
        <v/>
      </c>
    </row>
    <row r="343" spans="1:29" hidden="1" outlineLevel="1" x14ac:dyDescent="0.3">
      <c r="A343" s="22" t="s">
        <v>84</v>
      </c>
      <c r="B343" s="41" t="str">
        <f t="shared" si="26"/>
        <v/>
      </c>
      <c r="C343" s="42">
        <f t="shared" si="29"/>
        <v>342</v>
      </c>
      <c r="D343" s="38"/>
      <c r="E343" s="38"/>
      <c r="F343" s="38" t="s">
        <v>9</v>
      </c>
      <c r="G343" s="38"/>
      <c r="H343" s="38"/>
      <c r="I343" s="38" t="s">
        <v>9</v>
      </c>
      <c r="J343" s="38"/>
      <c r="K343" s="14" t="s">
        <v>53</v>
      </c>
      <c r="L343" s="14" t="s">
        <v>27</v>
      </c>
      <c r="M343" s="20" t="s">
        <v>1398</v>
      </c>
      <c r="N343" s="14" t="s">
        <v>1399</v>
      </c>
      <c r="O343" s="43">
        <v>19</v>
      </c>
      <c r="R343" s="38" t="s">
        <v>104</v>
      </c>
      <c r="S343" s="38"/>
      <c r="T343" s="38"/>
      <c r="W343" s="15" t="str">
        <f>IF(IFERROR(VLOOKUP($M343,'IMPORT GS-Tür OL FL 2S2 20'!$H$2:$H$847,1,0),"-")="-","","GS")</f>
        <v>GS</v>
      </c>
      <c r="Z343" s="59" t="str">
        <f>IF(OR($M343="",NOT($O343="{array}")),"",IFERROR(MATCH(PARAMETERS!$M343,DEFAULT!$B$5:$CG$5,0),""))</f>
        <v/>
      </c>
      <c r="AA343" s="56" t="str">
        <f t="shared" si="28"/>
        <v/>
      </c>
      <c r="AB343" s="63" t="str">
        <f>IF(AND(OR($A343="G",$A343="P"),NOT($O343="{array}")),IF(VLOOKUP($K343,base!$B$2:$D$20,3,0)="S",IF(OR($O343="",ISTEXT($O343)),"","STRING!"),IF(VLOOKUP($K343,base!$B$2:$D$20,3,0)="","",IF(ISTEXT($O343),"NUMERIC!",""))),"")</f>
        <v/>
      </c>
      <c r="AC343" s="17" t="str">
        <f>IF($AA343="","",IF($B343="I",VLOOKUP($AA343,#REF!,53,0),INDEX(VALUES!$B$1:$BR$1,1,$AA343)))</f>
        <v/>
      </c>
    </row>
    <row r="344" spans="1:29" hidden="1" outlineLevel="1" x14ac:dyDescent="0.3">
      <c r="A344" s="22" t="s">
        <v>84</v>
      </c>
      <c r="B344" s="41" t="str">
        <f t="shared" si="26"/>
        <v/>
      </c>
      <c r="C344" s="42">
        <f t="shared" si="29"/>
        <v>343</v>
      </c>
      <c r="D344" s="38"/>
      <c r="E344" s="38"/>
      <c r="F344" s="38" t="s">
        <v>9</v>
      </c>
      <c r="G344" s="38"/>
      <c r="H344" s="38"/>
      <c r="I344" s="38" t="s">
        <v>9</v>
      </c>
      <c r="J344" s="38"/>
      <c r="K344" s="14" t="s">
        <v>53</v>
      </c>
      <c r="L344" s="14" t="s">
        <v>27</v>
      </c>
      <c r="M344" s="20" t="s">
        <v>1400</v>
      </c>
      <c r="N344" s="14" t="s">
        <v>1401</v>
      </c>
      <c r="O344" s="43">
        <v>19</v>
      </c>
      <c r="R344" s="38" t="s">
        <v>104</v>
      </c>
      <c r="S344" s="38"/>
      <c r="T344" s="38"/>
      <c r="W344" s="15" t="str">
        <f>IF(IFERROR(VLOOKUP($M344,'IMPORT GS-Tür OL FL 2S2 20'!$H$2:$H$847,1,0),"-")="-","","GS")</f>
        <v>GS</v>
      </c>
      <c r="Z344" s="59" t="str">
        <f>IF(OR($M344="",NOT($O344="{array}")),"",IFERROR(MATCH(PARAMETERS!$M344,DEFAULT!$B$5:$CG$5,0),""))</f>
        <v/>
      </c>
      <c r="AA344" s="56" t="str">
        <f t="shared" si="28"/>
        <v/>
      </c>
      <c r="AB344" s="63" t="str">
        <f>IF(AND(OR($A344="G",$A344="P"),NOT($O344="{array}")),IF(VLOOKUP($K344,base!$B$2:$D$20,3,0)="S",IF(OR($O344="",ISTEXT($O344)),"","STRING!"),IF(VLOOKUP($K344,base!$B$2:$D$20,3,0)="","",IF(ISTEXT($O344),"NUMERIC!",""))),"")</f>
        <v/>
      </c>
      <c r="AC344" s="17" t="str">
        <f>IF($AA344="","",IF($B344="I",VLOOKUP($AA344,#REF!,53,0),INDEX(VALUES!$B$1:$BR$1,1,$AA344)))</f>
        <v/>
      </c>
    </row>
    <row r="345" spans="1:29" hidden="1" outlineLevel="1" x14ac:dyDescent="0.3">
      <c r="A345" s="22" t="s">
        <v>84</v>
      </c>
      <c r="B345" s="41" t="str">
        <f t="shared" si="26"/>
        <v/>
      </c>
      <c r="C345" s="42">
        <f t="shared" si="29"/>
        <v>344</v>
      </c>
      <c r="D345" s="38"/>
      <c r="E345" s="38"/>
      <c r="F345" s="38" t="s">
        <v>9</v>
      </c>
      <c r="G345" s="38"/>
      <c r="H345" s="38" t="s">
        <v>9</v>
      </c>
      <c r="I345" s="38"/>
      <c r="J345" s="38"/>
      <c r="K345" s="14" t="s">
        <v>47</v>
      </c>
      <c r="L345" s="14" t="s">
        <v>27</v>
      </c>
      <c r="M345" s="20" t="s">
        <v>1402</v>
      </c>
      <c r="N345" s="14" t="s">
        <v>1403</v>
      </c>
      <c r="O345" s="43">
        <v>0</v>
      </c>
      <c r="R345" s="38" t="s">
        <v>104</v>
      </c>
      <c r="S345" s="38"/>
      <c r="T345" s="38"/>
      <c r="W345" s="15" t="str">
        <f>IF(IFERROR(VLOOKUP($M345,'IMPORT GS-Tür OL FL 2S2 20'!$H$2:$H$847,1,0),"-")="-","","GS")</f>
        <v>GS</v>
      </c>
      <c r="Z345" s="59" t="str">
        <f>IF(OR($M345="",NOT($O345="{array}")),"",IFERROR(MATCH(PARAMETERS!$M345,DEFAULT!$B$5:$CG$5,0),""))</f>
        <v/>
      </c>
      <c r="AA345" s="56" t="str">
        <f t="shared" si="28"/>
        <v/>
      </c>
      <c r="AB345" s="63" t="str">
        <f>IF(AND(OR($A345="G",$A345="P"),NOT($O345="{array}")),IF(VLOOKUP($K345,base!$B$2:$D$20,3,0)="S",IF(OR($O345="",ISTEXT($O345)),"","STRING!"),IF(VLOOKUP($K345,base!$B$2:$D$20,3,0)="","",IF(ISTEXT($O345),"NUMERIC!",""))),"")</f>
        <v/>
      </c>
      <c r="AC345" s="17" t="str">
        <f>IF($AA345="","",IF($B345="I",VLOOKUP($AA345,#REF!,53,0),INDEX(VALUES!$B$1:$BR$1,1,$AA345)))</f>
        <v/>
      </c>
    </row>
    <row r="346" spans="1:29" hidden="1" outlineLevel="1" x14ac:dyDescent="0.3">
      <c r="A346" s="22" t="s">
        <v>84</v>
      </c>
      <c r="B346" s="41" t="str">
        <f t="shared" ref="B346:B416" si="30">IF($A346="P",IF(NOT($Z346=""),"A",IF(NOT($AA346=""),"I","")),IF(NOT($AA346=""),IF($A346="G","V","X"),IF(NOT($Z346=""),"A","")))</f>
        <v/>
      </c>
      <c r="C346" s="42">
        <f t="shared" si="29"/>
        <v>345</v>
      </c>
      <c r="D346" s="38"/>
      <c r="E346" s="38"/>
      <c r="F346" s="38" t="s">
        <v>9</v>
      </c>
      <c r="G346" s="38" t="s">
        <v>9</v>
      </c>
      <c r="H346" s="38"/>
      <c r="I346" s="38" t="s">
        <v>9</v>
      </c>
      <c r="J346" s="38"/>
      <c r="K346" s="14" t="s">
        <v>18</v>
      </c>
      <c r="L346" s="14" t="s">
        <v>27</v>
      </c>
      <c r="M346" s="20" t="s">
        <v>1404</v>
      </c>
      <c r="N346" s="14" t="s">
        <v>1405</v>
      </c>
      <c r="O346" s="43" t="s">
        <v>1297</v>
      </c>
      <c r="R346" s="38" t="s">
        <v>104</v>
      </c>
      <c r="S346" s="38"/>
      <c r="T346" s="38"/>
      <c r="W346" s="15" t="str">
        <f>IF(IFERROR(VLOOKUP($M346,'IMPORT GS-Tür OL FL 2S2 20'!$H$2:$H$847,1,0),"-")="-","","GS")</f>
        <v>GS</v>
      </c>
      <c r="Z346" s="59" t="str">
        <f>IF(OR($M346="",NOT($O346="{array}")),"",IFERROR(MATCH(PARAMETERS!$M346,DEFAULT!$B$5:$CG$5,0),""))</f>
        <v/>
      </c>
      <c r="AA346" s="56" t="str">
        <f t="shared" si="28"/>
        <v/>
      </c>
      <c r="AB346" s="63" t="str">
        <f>IF(AND(OR($A346="G",$A346="P"),NOT($O346="{array}")),IF(VLOOKUP($K346,base!$B$2:$D$20,3,0)="S",IF(OR($O346="",ISTEXT($O346)),"","STRING!"),IF(VLOOKUP($K346,base!$B$2:$D$20,3,0)="","",IF(ISTEXT($O346),"NUMERIC!",""))),"")</f>
        <v/>
      </c>
      <c r="AC346" s="17" t="str">
        <f>IF($AA346="","",IF($B346="I",VLOOKUP($AA346,#REF!,53,0),INDEX(VALUES!$B$1:$BR$1,1,$AA346)))</f>
        <v/>
      </c>
    </row>
    <row r="347" spans="1:29" hidden="1" outlineLevel="1" x14ac:dyDescent="0.3">
      <c r="A347" s="22" t="s">
        <v>84</v>
      </c>
      <c r="B347" s="41" t="str">
        <f t="shared" si="30"/>
        <v/>
      </c>
      <c r="C347" s="42">
        <f t="shared" si="29"/>
        <v>346</v>
      </c>
      <c r="D347" s="38"/>
      <c r="E347" s="38"/>
      <c r="F347" s="38" t="s">
        <v>9</v>
      </c>
      <c r="G347" s="38" t="s">
        <v>9</v>
      </c>
      <c r="H347" s="38"/>
      <c r="I347" s="38" t="s">
        <v>9</v>
      </c>
      <c r="J347" s="38"/>
      <c r="K347" s="14" t="s">
        <v>44</v>
      </c>
      <c r="L347" s="14" t="s">
        <v>27</v>
      </c>
      <c r="M347" s="20" t="s">
        <v>1406</v>
      </c>
      <c r="N347" s="14" t="s">
        <v>1405</v>
      </c>
      <c r="O347" s="43">
        <v>1</v>
      </c>
      <c r="R347" s="38" t="s">
        <v>104</v>
      </c>
      <c r="S347" s="38"/>
      <c r="T347" s="38"/>
      <c r="W347" s="15" t="str">
        <f>IF(IFERROR(VLOOKUP($M347,'IMPORT GS-Tür OL FL 2S2 20'!$H$2:$H$847,1,0),"-")="-","","GS")</f>
        <v>GS</v>
      </c>
      <c r="Z347" s="59" t="str">
        <f>IF(OR($M347="",NOT($O347="{array}")),"",IFERROR(MATCH(PARAMETERS!$M347,DEFAULT!$B$5:$CG$5,0),""))</f>
        <v/>
      </c>
      <c r="AA347" s="56" t="str">
        <f t="shared" si="28"/>
        <v/>
      </c>
      <c r="AB347" s="63" t="str">
        <f>IF(AND(OR($A347="G",$A347="P"),NOT($O347="{array}")),IF(VLOOKUP($K347,base!$B$2:$D$20,3,0)="S",IF(OR($O347="",ISTEXT($O347)),"","STRING!"),IF(VLOOKUP($K347,base!$B$2:$D$20,3,0)="","",IF(ISTEXT($O347),"NUMERIC!",""))),"")</f>
        <v/>
      </c>
      <c r="AC347" s="17" t="str">
        <f>IF($AA347="","",IF($B347="I",VLOOKUP($AA347,#REF!,53,0),INDEX(VALUES!$B$1:$BR$1,1,$AA347)))</f>
        <v/>
      </c>
    </row>
    <row r="348" spans="1:29" hidden="1" outlineLevel="1" x14ac:dyDescent="0.3">
      <c r="A348" s="22" t="s">
        <v>84</v>
      </c>
      <c r="B348" s="41" t="str">
        <f t="shared" si="30"/>
        <v/>
      </c>
      <c r="C348" s="42">
        <f t="shared" si="29"/>
        <v>347</v>
      </c>
      <c r="D348" s="38"/>
      <c r="E348" s="38"/>
      <c r="F348" s="38" t="s">
        <v>9</v>
      </c>
      <c r="G348" s="38"/>
      <c r="H348" s="38"/>
      <c r="I348" s="38" t="s">
        <v>9</v>
      </c>
      <c r="J348" s="38"/>
      <c r="K348" s="14" t="s">
        <v>47</v>
      </c>
      <c r="L348" s="14" t="s">
        <v>27</v>
      </c>
      <c r="M348" s="20" t="s">
        <v>1407</v>
      </c>
      <c r="N348" s="14" t="s">
        <v>1376</v>
      </c>
      <c r="O348" s="43">
        <v>1</v>
      </c>
      <c r="R348" s="38" t="s">
        <v>104</v>
      </c>
      <c r="S348" s="38"/>
      <c r="T348" s="38"/>
      <c r="W348" s="15" t="str">
        <f>IF(IFERROR(VLOOKUP($M348,'IMPORT GS-Tür OL FL 2S2 20'!$H$2:$H$847,1,0),"-")="-","","GS")</f>
        <v>GS</v>
      </c>
      <c r="Z348" s="59" t="str">
        <f>IF(OR($M348="",NOT($O348="{array}")),"",IFERROR(MATCH(PARAMETERS!$M348,DEFAULT!$B$5:$CG$5,0),""))</f>
        <v/>
      </c>
      <c r="AA348" s="56" t="str">
        <f t="shared" si="28"/>
        <v/>
      </c>
      <c r="AB348" s="63" t="str">
        <f>IF(AND(OR($A348="G",$A348="P"),NOT($O348="{array}")),IF(VLOOKUP($K348,base!$B$2:$D$20,3,0)="S",IF(OR($O348="",ISTEXT($O348)),"","STRING!"),IF(VLOOKUP($K348,base!$B$2:$D$20,3,0)="","",IF(ISTEXT($O348),"NUMERIC!",""))),"")</f>
        <v/>
      </c>
      <c r="AC348" s="17" t="str">
        <f>IF($AA348="","",IF($B348="I",VLOOKUP($AA348,#REF!,53,0),INDEX(VALUES!$B$1:$BR$1,1,$AA348)))</f>
        <v/>
      </c>
    </row>
    <row r="349" spans="1:29" hidden="1" outlineLevel="1" x14ac:dyDescent="0.3">
      <c r="A349" s="22" t="s">
        <v>84</v>
      </c>
      <c r="B349" s="41" t="str">
        <f t="shared" si="30"/>
        <v/>
      </c>
      <c r="C349" s="42">
        <f t="shared" si="29"/>
        <v>348</v>
      </c>
      <c r="D349" s="38"/>
      <c r="E349" s="38"/>
      <c r="F349" s="38" t="s">
        <v>9</v>
      </c>
      <c r="G349" s="38"/>
      <c r="H349" s="38"/>
      <c r="I349" s="38" t="s">
        <v>9</v>
      </c>
      <c r="J349" s="38"/>
      <c r="K349" s="14" t="s">
        <v>47</v>
      </c>
      <c r="L349" s="14" t="s">
        <v>27</v>
      </c>
      <c r="M349" s="20" t="s">
        <v>1408</v>
      </c>
      <c r="N349" s="14" t="s">
        <v>1378</v>
      </c>
      <c r="O349" s="43">
        <v>1</v>
      </c>
      <c r="R349" s="38" t="s">
        <v>104</v>
      </c>
      <c r="S349" s="38"/>
      <c r="T349" s="38"/>
      <c r="W349" s="15" t="str">
        <f>IF(IFERROR(VLOOKUP($M349,'IMPORT GS-Tür OL FL 2S2 20'!$H$2:$H$847,1,0),"-")="-","","GS")</f>
        <v>GS</v>
      </c>
      <c r="Z349" s="59" t="str">
        <f>IF(OR($M349="",NOT($O349="{array}")),"",IFERROR(MATCH(PARAMETERS!$M349,DEFAULT!$B$5:$CG$5,0),""))</f>
        <v/>
      </c>
      <c r="AA349" s="56" t="str">
        <f t="shared" si="28"/>
        <v/>
      </c>
      <c r="AB349" s="63" t="str">
        <f>IF(AND(OR($A349="G",$A349="P"),NOT($O349="{array}")),IF(VLOOKUP($K349,base!$B$2:$D$20,3,0)="S",IF(OR($O349="",ISTEXT($O349)),"","STRING!"),IF(VLOOKUP($K349,base!$B$2:$D$20,3,0)="","",IF(ISTEXT($O349),"NUMERIC!",""))),"")</f>
        <v/>
      </c>
      <c r="AC349" s="17" t="str">
        <f>IF($AA349="","",IF($B349="I",VLOOKUP($AA349,#REF!,53,0),INDEX(VALUES!$B$1:$BR$1,1,$AA349)))</f>
        <v/>
      </c>
    </row>
    <row r="350" spans="1:29" hidden="1" outlineLevel="1" x14ac:dyDescent="0.3">
      <c r="A350" s="22" t="s">
        <v>84</v>
      </c>
      <c r="B350" s="41" t="str">
        <f t="shared" si="30"/>
        <v/>
      </c>
      <c r="C350" s="42">
        <f t="shared" si="29"/>
        <v>349</v>
      </c>
      <c r="D350" s="38"/>
      <c r="E350" s="38"/>
      <c r="F350" s="38" t="s">
        <v>9</v>
      </c>
      <c r="G350" s="38"/>
      <c r="H350" s="38"/>
      <c r="I350" s="38" t="s">
        <v>9</v>
      </c>
      <c r="J350" s="38"/>
      <c r="K350" s="14" t="s">
        <v>24</v>
      </c>
      <c r="L350" s="14" t="s">
        <v>27</v>
      </c>
      <c r="M350" s="20" t="s">
        <v>1409</v>
      </c>
      <c r="N350" s="14" t="s">
        <v>1380</v>
      </c>
      <c r="O350" s="43">
        <v>0.05</v>
      </c>
      <c r="R350" s="38" t="s">
        <v>104</v>
      </c>
      <c r="S350" s="38"/>
      <c r="T350" s="38"/>
      <c r="W350" s="15" t="str">
        <f>IF(IFERROR(VLOOKUP($M350,'IMPORT GS-Tür OL FL 2S2 20'!$H$2:$H$847,1,0),"-")="-","","GS")</f>
        <v>GS</v>
      </c>
      <c r="Z350" s="59" t="str">
        <f>IF(OR($M350="",NOT($O350="{array}")),"",IFERROR(MATCH(PARAMETERS!$M350,DEFAULT!$B$5:$CG$5,0),""))</f>
        <v/>
      </c>
      <c r="AA350" s="56" t="str">
        <f t="shared" si="28"/>
        <v/>
      </c>
      <c r="AB350" s="63" t="str">
        <f>IF(AND(OR($A350="G",$A350="P"),NOT($O350="{array}")),IF(VLOOKUP($K350,base!$B$2:$D$20,3,0)="S",IF(OR($O350="",ISTEXT($O350)),"","STRING!"),IF(VLOOKUP($K350,base!$B$2:$D$20,3,0)="","",IF(ISTEXT($O350),"NUMERIC!",""))),"")</f>
        <v/>
      </c>
      <c r="AC350" s="17" t="str">
        <f>IF($AA350="","",IF($B350="I",VLOOKUP($AA350,#REF!,53,0),INDEX(VALUES!$B$1:$BR$1,1,$AA350)))</f>
        <v/>
      </c>
    </row>
    <row r="351" spans="1:29" hidden="1" outlineLevel="1" x14ac:dyDescent="0.3">
      <c r="A351" s="22" t="s">
        <v>84</v>
      </c>
      <c r="B351" s="41" t="str">
        <f t="shared" si="30"/>
        <v/>
      </c>
      <c r="C351" s="42">
        <f t="shared" si="29"/>
        <v>350</v>
      </c>
      <c r="D351" s="38"/>
      <c r="E351" s="38"/>
      <c r="F351" s="38" t="s">
        <v>9</v>
      </c>
      <c r="G351" s="38"/>
      <c r="H351" s="38"/>
      <c r="I351" s="38" t="s">
        <v>9</v>
      </c>
      <c r="J351" s="38"/>
      <c r="K351" s="14" t="s">
        <v>24</v>
      </c>
      <c r="L351" s="14" t="s">
        <v>27</v>
      </c>
      <c r="M351" s="20" t="s">
        <v>1410</v>
      </c>
      <c r="N351" s="14" t="s">
        <v>1382</v>
      </c>
      <c r="O351" s="43">
        <v>0.05</v>
      </c>
      <c r="R351" s="38" t="s">
        <v>104</v>
      </c>
      <c r="S351" s="38"/>
      <c r="T351" s="38"/>
      <c r="W351" s="15" t="str">
        <f>IF(IFERROR(VLOOKUP($M351,'IMPORT GS-Tür OL FL 2S2 20'!$H$2:$H$847,1,0),"-")="-","","GS")</f>
        <v>GS</v>
      </c>
      <c r="Z351" s="59" t="str">
        <f>IF(OR($M351="",NOT($O351="{array}")),"",IFERROR(MATCH(PARAMETERS!$M351,DEFAULT!$B$5:$CG$5,0),""))</f>
        <v/>
      </c>
      <c r="AA351" s="56" t="str">
        <f t="shared" si="28"/>
        <v/>
      </c>
      <c r="AB351" s="63" t="str">
        <f>IF(AND(OR($A351="G",$A351="P"),NOT($O351="{array}")),IF(VLOOKUP($K351,base!$B$2:$D$20,3,0)="S",IF(OR($O351="",ISTEXT($O351)),"","STRING!"),IF(VLOOKUP($K351,base!$B$2:$D$20,3,0)="","",IF(ISTEXT($O351),"NUMERIC!",""))),"")</f>
        <v/>
      </c>
      <c r="AC351" s="17" t="str">
        <f>IF($AA351="","",IF($B351="I",VLOOKUP($AA351,#REF!,53,0),INDEX(VALUES!$B$1:$BR$1,1,$AA351)))</f>
        <v/>
      </c>
    </row>
    <row r="352" spans="1:29" hidden="1" outlineLevel="1" x14ac:dyDescent="0.3">
      <c r="A352" s="22" t="s">
        <v>84</v>
      </c>
      <c r="B352" s="41" t="str">
        <f t="shared" si="30"/>
        <v/>
      </c>
      <c r="C352" s="42">
        <f t="shared" si="29"/>
        <v>351</v>
      </c>
      <c r="D352" s="38"/>
      <c r="E352" s="38"/>
      <c r="F352" s="38" t="s">
        <v>9</v>
      </c>
      <c r="G352" s="38"/>
      <c r="H352" s="38"/>
      <c r="I352" s="38" t="s">
        <v>9</v>
      </c>
      <c r="J352" s="38"/>
      <c r="K352" s="14" t="s">
        <v>24</v>
      </c>
      <c r="L352" s="14" t="s">
        <v>27</v>
      </c>
      <c r="M352" s="20" t="s">
        <v>1411</v>
      </c>
      <c r="N352" s="14" t="s">
        <v>1295</v>
      </c>
      <c r="O352" s="43">
        <v>0.05</v>
      </c>
      <c r="R352" s="38" t="s">
        <v>104</v>
      </c>
      <c r="S352" s="38"/>
      <c r="T352" s="38"/>
      <c r="W352" s="15" t="str">
        <f>IF(IFERROR(VLOOKUP($M352,'IMPORT GS-Tür OL FL 2S2 20'!$H$2:$H$847,1,0),"-")="-","","GS")</f>
        <v>GS</v>
      </c>
      <c r="Z352" s="59" t="str">
        <f>IF(OR($M352="",NOT($O352="{array}")),"",IFERROR(MATCH(PARAMETERS!$M352,DEFAULT!$B$5:$CG$5,0),""))</f>
        <v/>
      </c>
      <c r="AA352" s="56" t="str">
        <f t="shared" si="28"/>
        <v/>
      </c>
      <c r="AB352" s="63" t="str">
        <f>IF(AND(OR($A352="G",$A352="P"),NOT($O352="{array}")),IF(VLOOKUP($K352,base!$B$2:$D$20,3,0)="S",IF(OR($O352="",ISTEXT($O352)),"","STRING!"),IF(VLOOKUP($K352,base!$B$2:$D$20,3,0)="","",IF(ISTEXT($O352),"NUMERIC!",""))),"")</f>
        <v/>
      </c>
      <c r="AC352" s="17" t="str">
        <f>IF($AA352="","",IF($B352="I",VLOOKUP($AA352,#REF!,53,0),INDEX(VALUES!$B$1:$BR$1,1,$AA352)))</f>
        <v/>
      </c>
    </row>
    <row r="353" spans="1:29" hidden="1" outlineLevel="1" x14ac:dyDescent="0.3">
      <c r="A353" s="22" t="s">
        <v>84</v>
      </c>
      <c r="B353" s="41" t="str">
        <f t="shared" si="30"/>
        <v/>
      </c>
      <c r="C353" s="42">
        <f t="shared" si="29"/>
        <v>352</v>
      </c>
      <c r="D353" s="38"/>
      <c r="E353" s="38"/>
      <c r="F353" s="38" t="s">
        <v>9</v>
      </c>
      <c r="G353" s="38"/>
      <c r="H353" s="38"/>
      <c r="I353" s="38" t="s">
        <v>9</v>
      </c>
      <c r="J353" s="38"/>
      <c r="K353" s="14" t="s">
        <v>24</v>
      </c>
      <c r="L353" s="14" t="s">
        <v>27</v>
      </c>
      <c r="M353" s="20" t="s">
        <v>1412</v>
      </c>
      <c r="N353" s="14" t="s">
        <v>1385</v>
      </c>
      <c r="O353" s="43">
        <v>1.9E-2</v>
      </c>
      <c r="R353" s="38" t="s">
        <v>104</v>
      </c>
      <c r="S353" s="38"/>
      <c r="T353" s="38"/>
      <c r="W353" s="15" t="str">
        <f>IF(IFERROR(VLOOKUP($M353,'IMPORT GS-Tür OL FL 2S2 20'!$H$2:$H$847,1,0),"-")="-","","GS")</f>
        <v>GS</v>
      </c>
      <c r="Z353" s="59" t="str">
        <f>IF(OR($M353="",NOT($O353="{array}")),"",IFERROR(MATCH(PARAMETERS!$M353,DEFAULT!$B$5:$CG$5,0),""))</f>
        <v/>
      </c>
      <c r="AA353" s="56" t="str">
        <f t="shared" si="28"/>
        <v/>
      </c>
      <c r="AB353" s="63" t="str">
        <f>IF(AND(OR($A353="G",$A353="P"),NOT($O353="{array}")),IF(VLOOKUP($K353,base!$B$2:$D$20,3,0)="S",IF(OR($O353="",ISTEXT($O353)),"","STRING!"),IF(VLOOKUP($K353,base!$B$2:$D$20,3,0)="","",IF(ISTEXT($O353),"NUMERIC!",""))),"")</f>
        <v/>
      </c>
      <c r="AC353" s="17" t="str">
        <f>IF($AA353="","",IF($B353="I",VLOOKUP($AA353,#REF!,53,0),INDEX(VALUES!$B$1:$BR$1,1,$AA353)))</f>
        <v/>
      </c>
    </row>
    <row r="354" spans="1:29" hidden="1" outlineLevel="1" x14ac:dyDescent="0.3">
      <c r="A354" s="22" t="s">
        <v>84</v>
      </c>
      <c r="B354" s="41" t="str">
        <f t="shared" si="30"/>
        <v/>
      </c>
      <c r="C354" s="42">
        <f t="shared" si="29"/>
        <v>353</v>
      </c>
      <c r="D354" s="38"/>
      <c r="E354" s="38"/>
      <c r="F354" s="38" t="s">
        <v>9</v>
      </c>
      <c r="G354" s="38"/>
      <c r="H354" s="38"/>
      <c r="I354" s="38" t="s">
        <v>9</v>
      </c>
      <c r="J354" s="38"/>
      <c r="K354" s="14" t="s">
        <v>24</v>
      </c>
      <c r="L354" s="14" t="s">
        <v>27</v>
      </c>
      <c r="M354" s="20" t="s">
        <v>1413</v>
      </c>
      <c r="N354" s="14" t="s">
        <v>1387</v>
      </c>
      <c r="O354" s="43">
        <v>2.5000000000000001E-2</v>
      </c>
      <c r="R354" s="38" t="s">
        <v>104</v>
      </c>
      <c r="S354" s="38"/>
      <c r="T354" s="38"/>
      <c r="W354" s="15" t="str">
        <f>IF(IFERROR(VLOOKUP($M354,'IMPORT GS-Tür OL FL 2S2 20'!$H$2:$H$847,1,0),"-")="-","","GS")</f>
        <v>GS</v>
      </c>
      <c r="Z354" s="59" t="str">
        <f>IF(OR($M354="",NOT($O354="{array}")),"",IFERROR(MATCH(PARAMETERS!$M354,DEFAULT!$B$5:$CG$5,0),""))</f>
        <v/>
      </c>
      <c r="AA354" s="56" t="str">
        <f t="shared" si="28"/>
        <v/>
      </c>
      <c r="AB354" s="63" t="str">
        <f>IF(AND(OR($A354="G",$A354="P"),NOT($O354="{array}")),IF(VLOOKUP($K354,base!$B$2:$D$20,3,0)="S",IF(OR($O354="",ISTEXT($O354)),"","STRING!"),IF(VLOOKUP($K354,base!$B$2:$D$20,3,0)="","",IF(ISTEXT($O354),"NUMERIC!",""))),"")</f>
        <v/>
      </c>
      <c r="AC354" s="17" t="str">
        <f>IF($AA354="","",IF($B354="I",VLOOKUP($AA354,#REF!,53,0),INDEX(VALUES!$B$1:$BR$1,1,$AA354)))</f>
        <v/>
      </c>
    </row>
    <row r="355" spans="1:29" hidden="1" outlineLevel="1" x14ac:dyDescent="0.3">
      <c r="A355" s="22" t="s">
        <v>84</v>
      </c>
      <c r="B355" s="41" t="str">
        <f t="shared" si="30"/>
        <v/>
      </c>
      <c r="C355" s="42">
        <f t="shared" si="29"/>
        <v>354</v>
      </c>
      <c r="D355" s="38"/>
      <c r="E355" s="38"/>
      <c r="F355" s="38" t="s">
        <v>9</v>
      </c>
      <c r="G355" s="38"/>
      <c r="H355" s="38"/>
      <c r="I355" s="38" t="s">
        <v>9</v>
      </c>
      <c r="J355" s="38"/>
      <c r="K355" s="14" t="s">
        <v>24</v>
      </c>
      <c r="L355" s="14" t="s">
        <v>27</v>
      </c>
      <c r="M355" s="20" t="s">
        <v>1414</v>
      </c>
      <c r="N355" s="14" t="s">
        <v>1389</v>
      </c>
      <c r="O355" s="43">
        <v>0</v>
      </c>
      <c r="R355" s="38" t="s">
        <v>104</v>
      </c>
      <c r="S355" s="38"/>
      <c r="T355" s="38"/>
      <c r="W355" s="15" t="str">
        <f>IF(IFERROR(VLOOKUP($M355,'IMPORT GS-Tür OL FL 2S2 20'!$H$2:$H$847,1,0),"-")="-","","GS")</f>
        <v>GS</v>
      </c>
      <c r="Z355" s="59" t="str">
        <f>IF(OR($M355="",NOT($O355="{array}")),"",IFERROR(MATCH(PARAMETERS!$M355,DEFAULT!$B$5:$CG$5,0),""))</f>
        <v/>
      </c>
      <c r="AA355" s="56" t="str">
        <f t="shared" si="28"/>
        <v/>
      </c>
      <c r="AB355" s="63" t="str">
        <f>IF(AND(OR($A355="G",$A355="P"),NOT($O355="{array}")),IF(VLOOKUP($K355,base!$B$2:$D$20,3,0)="S",IF(OR($O355="",ISTEXT($O355)),"","STRING!"),IF(VLOOKUP($K355,base!$B$2:$D$20,3,0)="","",IF(ISTEXT($O355),"NUMERIC!",""))),"")</f>
        <v/>
      </c>
      <c r="AC355" s="17" t="str">
        <f>IF($AA355="","",IF($B355="I",VLOOKUP($AA355,#REF!,53,0),INDEX(VALUES!$B$1:$BR$1,1,$AA355)))</f>
        <v/>
      </c>
    </row>
    <row r="356" spans="1:29" hidden="1" outlineLevel="1" x14ac:dyDescent="0.3">
      <c r="A356" s="22" t="s">
        <v>84</v>
      </c>
      <c r="B356" s="41" t="str">
        <f t="shared" si="30"/>
        <v/>
      </c>
      <c r="C356" s="42">
        <f t="shared" si="29"/>
        <v>355</v>
      </c>
      <c r="D356" s="38"/>
      <c r="E356" s="38"/>
      <c r="F356" s="38" t="s">
        <v>9</v>
      </c>
      <c r="G356" s="38"/>
      <c r="H356" s="38"/>
      <c r="I356" s="38" t="s">
        <v>9</v>
      </c>
      <c r="J356" s="38"/>
      <c r="K356" s="14" t="s">
        <v>24</v>
      </c>
      <c r="L356" s="14" t="s">
        <v>27</v>
      </c>
      <c r="M356" s="20" t="s">
        <v>1415</v>
      </c>
      <c r="N356" s="14" t="s">
        <v>1391</v>
      </c>
      <c r="O356" s="43">
        <v>0.03</v>
      </c>
      <c r="R356" s="38" t="s">
        <v>104</v>
      </c>
      <c r="S356" s="38"/>
      <c r="T356" s="38"/>
      <c r="W356" s="15" t="str">
        <f>IF(IFERROR(VLOOKUP($M356,'IMPORT GS-Tür OL FL 2S2 20'!$H$2:$H$847,1,0),"-")="-","","GS")</f>
        <v>GS</v>
      </c>
      <c r="Z356" s="59" t="str">
        <f>IF(OR($M356="",NOT($O356="{array}")),"",IFERROR(MATCH(PARAMETERS!$M356,DEFAULT!$B$5:$CG$5,0),""))</f>
        <v/>
      </c>
      <c r="AA356" s="56" t="str">
        <f t="shared" si="28"/>
        <v/>
      </c>
      <c r="AB356" s="63" t="str">
        <f>IF(AND(OR($A356="G",$A356="P"),NOT($O356="{array}")),IF(VLOOKUP($K356,base!$B$2:$D$20,3,0)="S",IF(OR($O356="",ISTEXT($O356)),"","STRING!"),IF(VLOOKUP($K356,base!$B$2:$D$20,3,0)="","",IF(ISTEXT($O356),"NUMERIC!",""))),"")</f>
        <v/>
      </c>
      <c r="AC356" s="17" t="str">
        <f>IF($AA356="","",IF($B356="I",VLOOKUP($AA356,#REF!,53,0),INDEX(VALUES!$B$1:$BR$1,1,$AA356)))</f>
        <v/>
      </c>
    </row>
    <row r="357" spans="1:29" hidden="1" outlineLevel="1" x14ac:dyDescent="0.3">
      <c r="A357" s="22" t="s">
        <v>84</v>
      </c>
      <c r="B357" s="41" t="str">
        <f t="shared" si="30"/>
        <v/>
      </c>
      <c r="C357" s="42">
        <f t="shared" si="29"/>
        <v>356</v>
      </c>
      <c r="D357" s="38"/>
      <c r="E357" s="38"/>
      <c r="F357" s="38" t="s">
        <v>9</v>
      </c>
      <c r="G357" s="38"/>
      <c r="H357" s="38"/>
      <c r="I357" s="38" t="s">
        <v>9</v>
      </c>
      <c r="J357" s="38"/>
      <c r="K357" s="14" t="s">
        <v>24</v>
      </c>
      <c r="L357" s="14" t="s">
        <v>27</v>
      </c>
      <c r="M357" s="20" t="s">
        <v>1416</v>
      </c>
      <c r="N357" s="14" t="s">
        <v>1393</v>
      </c>
      <c r="O357" s="43">
        <v>0.1</v>
      </c>
      <c r="R357" s="38" t="s">
        <v>104</v>
      </c>
      <c r="S357" s="38"/>
      <c r="T357" s="38"/>
      <c r="W357" s="15" t="str">
        <f>IF(IFERROR(VLOOKUP($M357,'IMPORT GS-Tür OL FL 2S2 20'!$H$2:$H$847,1,0),"-")="-","","GS")</f>
        <v>GS</v>
      </c>
      <c r="Z357" s="59" t="str">
        <f>IF(OR($M357="",NOT($O357="{array}")),"",IFERROR(MATCH(PARAMETERS!$M357,DEFAULT!$B$5:$CG$5,0),""))</f>
        <v/>
      </c>
      <c r="AA357" s="56" t="str">
        <f t="shared" si="28"/>
        <v/>
      </c>
      <c r="AB357" s="63" t="str">
        <f>IF(AND(OR($A357="G",$A357="P"),NOT($O357="{array}")),IF(VLOOKUP($K357,base!$B$2:$D$20,3,0)="S",IF(OR($O357="",ISTEXT($O357)),"","STRING!"),IF(VLOOKUP($K357,base!$B$2:$D$20,3,0)="","",IF(ISTEXT($O357),"NUMERIC!",""))),"")</f>
        <v/>
      </c>
      <c r="AC357" s="17" t="str">
        <f>IF($AA357="","",IF($B357="I",VLOOKUP($AA357,#REF!,53,0),INDEX(VALUES!$B$1:$BR$1,1,$AA357)))</f>
        <v/>
      </c>
    </row>
    <row r="358" spans="1:29" hidden="1" outlineLevel="1" x14ac:dyDescent="0.3">
      <c r="A358" s="22" t="s">
        <v>84</v>
      </c>
      <c r="B358" s="41" t="str">
        <f t="shared" si="30"/>
        <v/>
      </c>
      <c r="C358" s="42">
        <f t="shared" si="29"/>
        <v>357</v>
      </c>
      <c r="D358" s="38"/>
      <c r="E358" s="38"/>
      <c r="F358" s="38" t="s">
        <v>9</v>
      </c>
      <c r="G358" s="38"/>
      <c r="H358" s="38"/>
      <c r="I358" s="38" t="s">
        <v>9</v>
      </c>
      <c r="J358" s="38"/>
      <c r="K358" s="14" t="s">
        <v>52</v>
      </c>
      <c r="L358" s="14" t="s">
        <v>27</v>
      </c>
      <c r="M358" s="20" t="s">
        <v>1417</v>
      </c>
      <c r="N358" s="14" t="s">
        <v>1418</v>
      </c>
      <c r="O358" s="43">
        <v>65</v>
      </c>
      <c r="R358" s="38" t="s">
        <v>104</v>
      </c>
      <c r="S358" s="38"/>
      <c r="T358" s="38"/>
      <c r="W358" s="15" t="str">
        <f>IF(IFERROR(VLOOKUP($M358,'IMPORT GS-Tür OL FL 2S2 20'!$H$2:$H$847,1,0),"-")="-","","GS")</f>
        <v>GS</v>
      </c>
      <c r="Z358" s="59" t="str">
        <f>IF(OR($M358="",NOT($O358="{array}")),"",IFERROR(MATCH(PARAMETERS!$M358,DEFAULT!$B$5:$CG$5,0),""))</f>
        <v/>
      </c>
      <c r="AA358" s="56" t="str">
        <f t="shared" si="28"/>
        <v/>
      </c>
      <c r="AB358" s="63" t="str">
        <f>IF(AND(OR($A358="G",$A358="P"),NOT($O358="{array}")),IF(VLOOKUP($K358,base!$B$2:$D$20,3,0)="S",IF(OR($O358="",ISTEXT($O358)),"","STRING!"),IF(VLOOKUP($K358,base!$B$2:$D$20,3,0)="","",IF(ISTEXT($O358),"NUMERIC!",""))),"")</f>
        <v/>
      </c>
      <c r="AC358" s="17" t="str">
        <f>IF($AA358="","",IF($B358="I",VLOOKUP($AA358,#REF!,53,0),INDEX(VALUES!$B$1:$BR$1,1,$AA358)))</f>
        <v/>
      </c>
    </row>
    <row r="359" spans="1:29" hidden="1" outlineLevel="1" x14ac:dyDescent="0.3">
      <c r="A359" s="22" t="s">
        <v>84</v>
      </c>
      <c r="B359" s="41" t="str">
        <f t="shared" si="30"/>
        <v/>
      </c>
      <c r="C359" s="42">
        <f t="shared" si="29"/>
        <v>358</v>
      </c>
      <c r="D359" s="38"/>
      <c r="E359" s="38"/>
      <c r="F359" s="38" t="s">
        <v>9</v>
      </c>
      <c r="G359" s="38"/>
      <c r="H359" s="38"/>
      <c r="I359" s="38" t="s">
        <v>9</v>
      </c>
      <c r="J359" s="38"/>
      <c r="K359" s="14" t="s">
        <v>53</v>
      </c>
      <c r="L359" s="14" t="s">
        <v>27</v>
      </c>
      <c r="M359" s="20" t="s">
        <v>1419</v>
      </c>
      <c r="N359" s="14" t="s">
        <v>1420</v>
      </c>
      <c r="O359" s="43">
        <v>19</v>
      </c>
      <c r="R359" s="38" t="s">
        <v>104</v>
      </c>
      <c r="S359" s="38"/>
      <c r="T359" s="38"/>
      <c r="W359" s="15" t="str">
        <f>IF(IFERROR(VLOOKUP($M359,'IMPORT GS-Tür OL FL 2S2 20'!$H$2:$H$847,1,0),"-")="-","","GS")</f>
        <v>GS</v>
      </c>
      <c r="Z359" s="59" t="str">
        <f>IF(OR($M359="",NOT($O359="{array}")),"",IFERROR(MATCH(PARAMETERS!$M359,DEFAULT!$B$5:$CG$5,0),""))</f>
        <v/>
      </c>
      <c r="AA359" s="56" t="str">
        <f t="shared" ref="AA359:AA390" si="31">IF($M359="","",IFERROR(MATCH($M359,VALUESnames,0),""))</f>
        <v/>
      </c>
      <c r="AB359" s="63" t="str">
        <f>IF(AND(OR($A359="G",$A359="P"),NOT($O359="{array}")),IF(VLOOKUP($K359,base!$B$2:$D$20,3,0)="S",IF(OR($O359="",ISTEXT($O359)),"","STRING!"),IF(VLOOKUP($K359,base!$B$2:$D$20,3,0)="","",IF(ISTEXT($O359),"NUMERIC!",""))),"")</f>
        <v/>
      </c>
      <c r="AC359" s="17" t="str">
        <f>IF($AA359="","",IF($B359="I",VLOOKUP($AA359,#REF!,53,0),INDEX(VALUES!$B$1:$BR$1,1,$AA359)))</f>
        <v/>
      </c>
    </row>
    <row r="360" spans="1:29" hidden="1" outlineLevel="1" x14ac:dyDescent="0.3">
      <c r="A360" s="22" t="s">
        <v>84</v>
      </c>
      <c r="B360" s="41" t="str">
        <f t="shared" si="30"/>
        <v/>
      </c>
      <c r="C360" s="42">
        <f t="shared" ref="C360:C391" si="32">(ROW()-1)</f>
        <v>359</v>
      </c>
      <c r="D360" s="38"/>
      <c r="E360" s="38"/>
      <c r="F360" s="38" t="s">
        <v>9</v>
      </c>
      <c r="G360" s="38"/>
      <c r="H360" s="38"/>
      <c r="I360" s="38" t="s">
        <v>9</v>
      </c>
      <c r="J360" s="38"/>
      <c r="K360" s="14" t="s">
        <v>53</v>
      </c>
      <c r="L360" s="14" t="s">
        <v>27</v>
      </c>
      <c r="M360" s="20" t="s">
        <v>1421</v>
      </c>
      <c r="N360" s="14" t="s">
        <v>1422</v>
      </c>
      <c r="O360" s="43">
        <v>19</v>
      </c>
      <c r="R360" s="38" t="s">
        <v>104</v>
      </c>
      <c r="S360" s="38"/>
      <c r="T360" s="38"/>
      <c r="W360" s="15" t="str">
        <f>IF(IFERROR(VLOOKUP($M360,'IMPORT GS-Tür OL FL 2S2 20'!$H$2:$H$847,1,0),"-")="-","","GS")</f>
        <v>GS</v>
      </c>
      <c r="Z360" s="59" t="str">
        <f>IF(OR($M360="",NOT($O360="{array}")),"",IFERROR(MATCH(PARAMETERS!$M360,DEFAULT!$B$5:$CG$5,0),""))</f>
        <v/>
      </c>
      <c r="AA360" s="56" t="str">
        <f t="shared" si="31"/>
        <v/>
      </c>
      <c r="AB360" s="63" t="str">
        <f>IF(AND(OR($A360="G",$A360="P"),NOT($O360="{array}")),IF(VLOOKUP($K360,base!$B$2:$D$20,3,0)="S",IF(OR($O360="",ISTEXT($O360)),"","STRING!"),IF(VLOOKUP($K360,base!$B$2:$D$20,3,0)="","",IF(ISTEXT($O360),"NUMERIC!",""))),"")</f>
        <v/>
      </c>
      <c r="AC360" s="17" t="str">
        <f>IF($AA360="","",IF($B360="I",VLOOKUP($AA360,#REF!,53,0),INDEX(VALUES!$B$1:$BR$1,1,$AA360)))</f>
        <v/>
      </c>
    </row>
    <row r="361" spans="1:29" hidden="1" outlineLevel="1" x14ac:dyDescent="0.3">
      <c r="A361" s="22" t="s">
        <v>84</v>
      </c>
      <c r="B361" s="41" t="str">
        <f t="shared" si="30"/>
        <v/>
      </c>
      <c r="C361" s="42">
        <f t="shared" si="32"/>
        <v>360</v>
      </c>
      <c r="D361" s="38"/>
      <c r="E361" s="38"/>
      <c r="F361" s="38"/>
      <c r="G361" s="38"/>
      <c r="H361" s="38"/>
      <c r="I361" s="38" t="s">
        <v>9</v>
      </c>
      <c r="J361" s="38"/>
      <c r="K361" s="14" t="s">
        <v>53</v>
      </c>
      <c r="L361" s="14" t="s">
        <v>27</v>
      </c>
      <c r="M361" s="20" t="s">
        <v>1423</v>
      </c>
      <c r="N361" s="14" t="s">
        <v>1424</v>
      </c>
      <c r="O361" s="43">
        <v>19</v>
      </c>
      <c r="R361" s="38" t="s">
        <v>104</v>
      </c>
      <c r="S361" s="38"/>
      <c r="T361" s="38"/>
      <c r="W361" s="15" t="str">
        <f>IF(IFERROR(VLOOKUP($M361,'IMPORT GS-Tür OL FL 2S2 20'!$H$2:$H$847,1,0),"-")="-","","GS")</f>
        <v>GS</v>
      </c>
      <c r="Z361" s="59" t="str">
        <f>IF(OR($M361="",NOT($O361="{array}")),"",IFERROR(MATCH(PARAMETERS!$M361,DEFAULT!$B$5:$CG$5,0),""))</f>
        <v/>
      </c>
      <c r="AA361" s="56" t="str">
        <f t="shared" si="31"/>
        <v/>
      </c>
      <c r="AB361" s="63" t="str">
        <f>IF(AND(OR($A361="G",$A361="P"),NOT($O361="{array}")),IF(VLOOKUP($K361,base!$B$2:$D$20,3,0)="S",IF(OR($O361="",ISTEXT($O361)),"","STRING!"),IF(VLOOKUP($K361,base!$B$2:$D$20,3,0)="","",IF(ISTEXT($O361),"NUMERIC!",""))),"")</f>
        <v/>
      </c>
      <c r="AC361" s="17" t="str">
        <f>IF($AA361="","",IF($B361="I",VLOOKUP($AA361,#REF!,53,0),INDEX(VALUES!$B$1:$BR$1,1,$AA361)))</f>
        <v/>
      </c>
    </row>
    <row r="362" spans="1:29" collapsed="1" x14ac:dyDescent="0.3">
      <c r="A362" s="22" t="s">
        <v>84</v>
      </c>
      <c r="B362" s="41" t="str">
        <f t="shared" si="30"/>
        <v/>
      </c>
      <c r="C362" s="42">
        <f t="shared" si="32"/>
        <v>361</v>
      </c>
      <c r="D362" s="38"/>
      <c r="E362" s="38"/>
      <c r="F362" s="38" t="s">
        <v>9</v>
      </c>
      <c r="G362" s="38"/>
      <c r="H362" s="38"/>
      <c r="I362" s="38"/>
      <c r="J362" s="38"/>
      <c r="K362" s="14" t="s">
        <v>57</v>
      </c>
      <c r="L362" s="14" t="s">
        <v>38</v>
      </c>
      <c r="M362" s="48" t="s">
        <v>1425</v>
      </c>
      <c r="N362" s="41" t="s">
        <v>1426</v>
      </c>
      <c r="R362" s="38" t="s">
        <v>104</v>
      </c>
      <c r="S362" s="38"/>
      <c r="T362" s="38"/>
      <c r="W362" s="15" t="str">
        <f>IF(IFERROR(VLOOKUP($M362,'IMPORT GS-Tür OL FL 2S2 20'!$H$2:$H$847,1,0),"-")="-","","GS")</f>
        <v>GS</v>
      </c>
      <c r="Z362" s="59" t="str">
        <f>IF(OR($M362="",NOT($O362="{array}")),"",IFERROR(MATCH(PARAMETERS!$M362,DEFAULT!$B$5:$CG$5,0),""))</f>
        <v/>
      </c>
      <c r="AA362" s="56" t="str">
        <f t="shared" si="31"/>
        <v/>
      </c>
      <c r="AB362" s="63" t="str">
        <f>IF(AND(OR($A362="G",$A362="P"),NOT($O362="{array}")),IF(VLOOKUP($K362,base!$B$2:$D$20,3,0)="S",IF(OR($O362="",ISTEXT($O362)),"","STRING!"),IF(VLOOKUP($K362,base!$B$2:$D$20,3,0)="","",IF(ISTEXT($O362),"NUMERIC!",""))),"")</f>
        <v/>
      </c>
      <c r="AC362" s="17" t="str">
        <f>IF($AA362="","",IF($B362="I",VLOOKUP($AA362,#REF!,53,0),INDEX(VALUES!$B$1:$BR$1,1,$AA362)))</f>
        <v/>
      </c>
    </row>
    <row r="363" spans="1:29" hidden="1" outlineLevel="1" x14ac:dyDescent="0.3">
      <c r="A363" s="22" t="s">
        <v>84</v>
      </c>
      <c r="B363" s="41" t="str">
        <f t="shared" si="30"/>
        <v/>
      </c>
      <c r="C363" s="42">
        <f t="shared" si="32"/>
        <v>362</v>
      </c>
      <c r="D363" s="38"/>
      <c r="E363" s="38"/>
      <c r="F363" s="38"/>
      <c r="G363" s="38"/>
      <c r="H363" s="38"/>
      <c r="I363" s="38" t="s">
        <v>9</v>
      </c>
      <c r="J363" s="38"/>
      <c r="K363" s="53" t="s">
        <v>44</v>
      </c>
      <c r="L363" s="53" t="s">
        <v>27</v>
      </c>
      <c r="M363" s="158" t="s">
        <v>1956</v>
      </c>
      <c r="N363" s="53" t="s">
        <v>1957</v>
      </c>
      <c r="O363" s="156">
        <v>4</v>
      </c>
      <c r="P363" s="53"/>
      <c r="Q363" s="209"/>
      <c r="R363" s="209" t="s">
        <v>201</v>
      </c>
      <c r="S363" s="38"/>
      <c r="T363" s="38"/>
      <c r="W363" s="15" t="str">
        <f>IF(IFERROR(VLOOKUP($M363,'IMPORT GS-Tür OL FL 2S2 20'!$H$2:$H$847,1,0),"-")="-","","GS")</f>
        <v/>
      </c>
      <c r="Z363" s="59" t="str">
        <f>IF(OR($M363="",NOT($O363="{array}")),"",IFERROR(MATCH(PARAMETERS!$M363,DEFAULT!$B$5:$CG$5,0),""))</f>
        <v/>
      </c>
      <c r="AA363" s="56" t="str">
        <f t="shared" si="31"/>
        <v/>
      </c>
      <c r="AB363" s="63" t="str">
        <f>IF(AND(OR($A363="G",$A363="P"),NOT($O363="{array}")),IF(VLOOKUP($K363,base!$B$2:$D$20,3,0)="S",IF(OR($O363="",ISTEXT($O363)),"","STRING!"),IF(VLOOKUP($K363,base!$B$2:$D$20,3,0)="","",IF(ISTEXT($O363),"NUMERIC!",""))),"")</f>
        <v/>
      </c>
      <c r="AC363" s="17" t="str">
        <f>IF($AA363="","",IF($B363="I",VLOOKUP($AA363,#REF!,53,0),INDEX(VALUES!$B$1:$BR$1,1,$AA363)))</f>
        <v/>
      </c>
    </row>
    <row r="364" spans="1:29" hidden="1" outlineLevel="1" x14ac:dyDescent="0.3">
      <c r="A364" s="22" t="s">
        <v>84</v>
      </c>
      <c r="B364" s="41" t="str">
        <f t="shared" si="30"/>
        <v/>
      </c>
      <c r="C364" s="42">
        <f t="shared" si="32"/>
        <v>363</v>
      </c>
      <c r="D364" s="38"/>
      <c r="E364" s="38"/>
      <c r="F364" s="38"/>
      <c r="G364" s="38"/>
      <c r="H364" s="38"/>
      <c r="I364" s="38" t="s">
        <v>9</v>
      </c>
      <c r="J364" s="38"/>
      <c r="K364" s="53" t="s">
        <v>44</v>
      </c>
      <c r="L364" s="53" t="s">
        <v>27</v>
      </c>
      <c r="M364" s="158" t="s">
        <v>1970</v>
      </c>
      <c r="N364" s="53" t="s">
        <v>1971</v>
      </c>
      <c r="O364" s="156">
        <v>4</v>
      </c>
      <c r="P364" s="53"/>
      <c r="Q364" s="209"/>
      <c r="R364" s="209" t="s">
        <v>201</v>
      </c>
      <c r="S364" s="38"/>
      <c r="T364" s="38"/>
      <c r="W364" s="15" t="str">
        <f>IF(IFERROR(VLOOKUP($M364,'IMPORT GS-Tür OL FL 2S2 20'!$H$2:$H$847,1,0),"-")="-","","GS")</f>
        <v/>
      </c>
      <c r="Z364" s="59" t="str">
        <f>IF(OR($M364="",NOT($O364="{array}")),"",IFERROR(MATCH(PARAMETERS!$M364,DEFAULT!$B$5:$CG$5,0),""))</f>
        <v/>
      </c>
      <c r="AA364" s="56" t="str">
        <f t="shared" si="31"/>
        <v/>
      </c>
      <c r="AB364" s="63" t="str">
        <f>IF(AND(OR($A364="G",$A364="P"),NOT($O364="{array}")),IF(VLOOKUP($K364,base!$B$2:$D$20,3,0)="S",IF(OR($O364="",ISTEXT($O364)),"","STRING!"),IF(VLOOKUP($K364,base!$B$2:$D$20,3,0)="","",IF(ISTEXT($O364),"NUMERIC!",""))),"")</f>
        <v/>
      </c>
      <c r="AC364" s="17" t="str">
        <f>IF($AA364="","",IF($B364="I",VLOOKUP($AA364,#REF!,53,0),INDEX(VALUES!$B$1:$BR$1,1,$AA364)))</f>
        <v/>
      </c>
    </row>
    <row r="365" spans="1:29" hidden="1" outlineLevel="1" x14ac:dyDescent="0.3">
      <c r="A365" s="22" t="s">
        <v>84</v>
      </c>
      <c r="B365" s="41" t="str">
        <f t="shared" si="30"/>
        <v/>
      </c>
      <c r="C365" s="42">
        <f t="shared" si="32"/>
        <v>364</v>
      </c>
      <c r="D365" s="38"/>
      <c r="E365" s="38"/>
      <c r="F365" s="38"/>
      <c r="G365" s="38"/>
      <c r="H365" s="38"/>
      <c r="I365" s="38" t="s">
        <v>9</v>
      </c>
      <c r="J365" s="38"/>
      <c r="K365" s="53" t="s">
        <v>44</v>
      </c>
      <c r="L365" s="53" t="s">
        <v>27</v>
      </c>
      <c r="M365" s="158" t="s">
        <v>1968</v>
      </c>
      <c r="N365" s="53" t="s">
        <v>1969</v>
      </c>
      <c r="O365" s="156">
        <v>4</v>
      </c>
      <c r="P365" s="53"/>
      <c r="Q365" s="209"/>
      <c r="R365" s="209" t="s">
        <v>201</v>
      </c>
      <c r="S365" s="38"/>
      <c r="T365" s="38"/>
      <c r="W365" s="15" t="str">
        <f>IF(IFERROR(VLOOKUP($M365,'IMPORT GS-Tür OL FL 2S2 20'!$H$2:$H$847,1,0),"-")="-","","GS")</f>
        <v/>
      </c>
      <c r="Z365" s="59" t="str">
        <f>IF(OR($M365="",NOT($O365="{array}")),"",IFERROR(MATCH(PARAMETERS!$M365,DEFAULT!$B$5:$CG$5,0),""))</f>
        <v/>
      </c>
      <c r="AA365" s="56" t="str">
        <f t="shared" si="31"/>
        <v/>
      </c>
      <c r="AB365" s="63" t="str">
        <f>IF(AND(OR($A365="G",$A365="P"),NOT($O365="{array}")),IF(VLOOKUP($K365,base!$B$2:$D$20,3,0)="S",IF(OR($O365="",ISTEXT($O365)),"","STRING!"),IF(VLOOKUP($K365,base!$B$2:$D$20,3,0)="","",IF(ISTEXT($O365),"NUMERIC!",""))),"")</f>
        <v/>
      </c>
      <c r="AC365" s="17" t="str">
        <f>IF($AA365="","",IF($B365="I",VLOOKUP($AA365,#REF!,53,0),INDEX(VALUES!$B$1:$BR$1,1,$AA365)))</f>
        <v/>
      </c>
    </row>
    <row r="366" spans="1:29" hidden="1" outlineLevel="1" x14ac:dyDescent="0.3">
      <c r="A366" s="22" t="s">
        <v>84</v>
      </c>
      <c r="B366" s="41" t="str">
        <f t="shared" si="30"/>
        <v/>
      </c>
      <c r="C366" s="42">
        <f t="shared" si="32"/>
        <v>365</v>
      </c>
      <c r="D366" s="38"/>
      <c r="E366" s="38"/>
      <c r="F366" s="38" t="s">
        <v>9</v>
      </c>
      <c r="G366" s="38"/>
      <c r="H366" s="38"/>
      <c r="I366" s="38" t="s">
        <v>9</v>
      </c>
      <c r="J366" s="38"/>
      <c r="K366" s="14" t="s">
        <v>44</v>
      </c>
      <c r="L366" s="14" t="s">
        <v>27</v>
      </c>
      <c r="M366" s="20" t="s">
        <v>1427</v>
      </c>
      <c r="N366" s="14" t="s">
        <v>1428</v>
      </c>
      <c r="O366" s="43">
        <v>2</v>
      </c>
      <c r="R366" s="38" t="s">
        <v>104</v>
      </c>
      <c r="S366" s="38"/>
      <c r="T366" s="38"/>
      <c r="W366" s="15" t="str">
        <f>IF(IFERROR(VLOOKUP($M366,'IMPORT GS-Tür OL FL 2S2 20'!$H$2:$H$847,1,0),"-")="-","","GS")</f>
        <v>GS</v>
      </c>
      <c r="Z366" s="59" t="str">
        <f>IF(OR($M366="",NOT($O366="{array}")),"",IFERROR(MATCH(PARAMETERS!$M366,DEFAULT!$B$5:$CG$5,0),""))</f>
        <v/>
      </c>
      <c r="AA366" s="56" t="str">
        <f t="shared" si="31"/>
        <v/>
      </c>
      <c r="AB366" s="63" t="str">
        <f>IF(AND(OR($A366="G",$A366="P"),NOT($O366="{array}")),IF(VLOOKUP($K366,base!$B$2:$D$20,3,0)="S",IF(OR($O366="",ISTEXT($O366)),"","STRING!"),IF(VLOOKUP($K366,base!$B$2:$D$20,3,0)="","",IF(ISTEXT($O366),"NUMERIC!",""))),"")</f>
        <v/>
      </c>
      <c r="AC366" s="17" t="str">
        <f>IF($AA366="","",IF($B366="I",VLOOKUP($AA366,#REF!,53,0),INDEX(VALUES!$B$1:$BR$1,1,$AA366)))</f>
        <v/>
      </c>
    </row>
    <row r="367" spans="1:29" hidden="1" outlineLevel="1" x14ac:dyDescent="0.3">
      <c r="A367" s="22" t="s">
        <v>84</v>
      </c>
      <c r="B367" s="41" t="str">
        <f t="shared" si="30"/>
        <v/>
      </c>
      <c r="C367" s="42">
        <f t="shared" si="32"/>
        <v>366</v>
      </c>
      <c r="D367" s="38"/>
      <c r="E367" s="38"/>
      <c r="F367" s="38" t="s">
        <v>9</v>
      </c>
      <c r="G367" s="38"/>
      <c r="H367" s="38"/>
      <c r="I367" s="38" t="s">
        <v>9</v>
      </c>
      <c r="J367" s="38"/>
      <c r="K367" s="14" t="s">
        <v>31</v>
      </c>
      <c r="L367" s="14" t="s">
        <v>27</v>
      </c>
      <c r="M367" s="152" t="s">
        <v>1429</v>
      </c>
      <c r="N367" s="14" t="s">
        <v>1430</v>
      </c>
      <c r="O367" s="43">
        <v>90</v>
      </c>
      <c r="R367" s="38" t="s">
        <v>104</v>
      </c>
      <c r="S367" s="38"/>
      <c r="T367" s="38"/>
      <c r="W367" s="15" t="str">
        <f>IF(IFERROR(VLOOKUP($M367,'IMPORT GS-Tür OL FL 2S2 20'!$H$2:$H$847,1,0),"-")="-","","GS")</f>
        <v>GS</v>
      </c>
      <c r="Z367" s="59" t="str">
        <f>IF(OR($M367="",NOT($O367="{array}")),"",IFERROR(MATCH(PARAMETERS!$M367,DEFAULT!$B$5:$CG$5,0),""))</f>
        <v/>
      </c>
      <c r="AA367" s="56" t="str">
        <f t="shared" si="31"/>
        <v/>
      </c>
      <c r="AB367" s="63" t="str">
        <f>IF(AND(OR($A367="G",$A367="P"),NOT($O367="{array}")),IF(VLOOKUP($K367,base!$B$2:$D$20,3,0)="S",IF(OR($O367="",ISTEXT($O367)),"","STRING!"),IF(VLOOKUP($K367,base!$B$2:$D$20,3,0)="","",IF(ISTEXT($O367),"NUMERIC!",""))),"")</f>
        <v/>
      </c>
      <c r="AC367" s="17" t="str">
        <f>IF($AA367="","",IF($B367="I",VLOOKUP($AA367,#REF!,53,0),INDEX(VALUES!$B$1:$BR$1,1,$AA367)))</f>
        <v/>
      </c>
    </row>
    <row r="368" spans="1:29" hidden="1" outlineLevel="1" x14ac:dyDescent="0.3">
      <c r="A368" s="22" t="s">
        <v>84</v>
      </c>
      <c r="B368" s="41" t="str">
        <f t="shared" si="30"/>
        <v/>
      </c>
      <c r="C368" s="42">
        <f t="shared" si="32"/>
        <v>367</v>
      </c>
      <c r="D368" s="38"/>
      <c r="E368" s="38"/>
      <c r="F368" s="38"/>
      <c r="G368" s="38"/>
      <c r="H368" s="38"/>
      <c r="I368" s="38" t="s">
        <v>9</v>
      </c>
      <c r="J368" s="38"/>
      <c r="K368" s="14" t="s">
        <v>31</v>
      </c>
      <c r="L368" s="14" t="s">
        <v>27</v>
      </c>
      <c r="M368" s="152" t="s">
        <v>1431</v>
      </c>
      <c r="N368" s="14" t="s">
        <v>1432</v>
      </c>
      <c r="O368" s="43">
        <v>90</v>
      </c>
      <c r="R368" s="38" t="s">
        <v>104</v>
      </c>
      <c r="S368" s="38"/>
      <c r="T368" s="38"/>
      <c r="W368" s="15" t="str">
        <f>IF(IFERROR(VLOOKUP($M368,'IMPORT GS-Tür OL FL 2S2 20'!$H$2:$H$847,1,0),"-")="-","","GS")</f>
        <v>GS</v>
      </c>
      <c r="Z368" s="59" t="str">
        <f>IF(OR($M368="",NOT($O368="{array}")),"",IFERROR(MATCH(PARAMETERS!$M368,DEFAULT!$B$5:$CG$5,0),""))</f>
        <v/>
      </c>
      <c r="AA368" s="56" t="str">
        <f t="shared" si="31"/>
        <v/>
      </c>
      <c r="AB368" s="63" t="str">
        <f>IF(AND(OR($A368="G",$A368="P"),NOT($O368="{array}")),IF(VLOOKUP($K368,base!$B$2:$D$20,3,0)="S",IF(OR($O368="",ISTEXT($O368)),"","STRING!"),IF(VLOOKUP($K368,base!$B$2:$D$20,3,0)="","",IF(ISTEXT($O368),"NUMERIC!",""))),"")</f>
        <v/>
      </c>
      <c r="AC368" s="17" t="str">
        <f>IF($AA368="","",IF($B368="I",VLOOKUP($AA368,#REF!,53,0),INDEX(VALUES!$B$1:$BR$1,1,$AA368)))</f>
        <v/>
      </c>
    </row>
    <row r="369" spans="1:29" hidden="1" outlineLevel="1" x14ac:dyDescent="0.3">
      <c r="A369" s="22" t="s">
        <v>84</v>
      </c>
      <c r="B369" s="41" t="str">
        <f t="shared" si="30"/>
        <v/>
      </c>
      <c r="C369" s="42">
        <f t="shared" si="32"/>
        <v>368</v>
      </c>
      <c r="D369" s="38"/>
      <c r="E369" s="38"/>
      <c r="F369" s="38" t="s">
        <v>9</v>
      </c>
      <c r="G369" s="38"/>
      <c r="H369" s="38"/>
      <c r="I369" s="38" t="s">
        <v>9</v>
      </c>
      <c r="J369" s="38"/>
      <c r="K369" s="222" t="s">
        <v>31</v>
      </c>
      <c r="L369" s="222" t="s">
        <v>27</v>
      </c>
      <c r="M369" s="240" t="s">
        <v>1433</v>
      </c>
      <c r="N369" s="222" t="s">
        <v>1434</v>
      </c>
      <c r="O369" s="223">
        <v>0</v>
      </c>
      <c r="P369" s="222"/>
      <c r="Q369" s="224"/>
      <c r="R369" s="224" t="s">
        <v>104</v>
      </c>
      <c r="S369" s="38"/>
      <c r="T369" s="38"/>
      <c r="W369" s="15" t="str">
        <f>IF(IFERROR(VLOOKUP($M369,'IMPORT GS-Tür OL FL 2S2 20'!$H$2:$H$847,1,0),"-")="-","","GS")</f>
        <v>GS</v>
      </c>
      <c r="Z369" s="59" t="str">
        <f>IF(OR($M369="",NOT($O369="{array}")),"",IFERROR(MATCH(PARAMETERS!$M369,DEFAULT!$B$5:$CG$5,0),""))</f>
        <v/>
      </c>
      <c r="AA369" s="56" t="str">
        <f t="shared" si="31"/>
        <v/>
      </c>
      <c r="AB369" s="63" t="str">
        <f>IF(AND(OR($A369="G",$A369="P"),NOT($O369="{array}")),IF(VLOOKUP($K369,base!$B$2:$D$20,3,0)="S",IF(OR($O369="",ISTEXT($O369)),"","STRING!"),IF(VLOOKUP($K369,base!$B$2:$D$20,3,0)="","",IF(ISTEXT($O369),"NUMERIC!",""))),"")</f>
        <v/>
      </c>
      <c r="AC369" s="17" t="str">
        <f>IF($AA369="","",IF($B369="I",VLOOKUP($AA369,#REF!,53,0),INDEX(VALUES!$B$1:$BR$1,1,$AA369)))</f>
        <v/>
      </c>
    </row>
    <row r="370" spans="1:29" hidden="1" outlineLevel="1" x14ac:dyDescent="0.3">
      <c r="A370" s="22" t="s">
        <v>84</v>
      </c>
      <c r="B370" s="41" t="str">
        <f t="shared" si="30"/>
        <v/>
      </c>
      <c r="C370" s="42">
        <f t="shared" si="32"/>
        <v>369</v>
      </c>
      <c r="D370" s="38"/>
      <c r="E370" s="38"/>
      <c r="F370" s="38"/>
      <c r="G370" s="38"/>
      <c r="H370" s="38"/>
      <c r="I370" s="38" t="s">
        <v>9</v>
      </c>
      <c r="J370" s="38"/>
      <c r="K370" s="222" t="s">
        <v>31</v>
      </c>
      <c r="L370" s="222" t="s">
        <v>27</v>
      </c>
      <c r="M370" s="240" t="s">
        <v>1435</v>
      </c>
      <c r="N370" s="222" t="s">
        <v>1436</v>
      </c>
      <c r="O370" s="223">
        <v>0</v>
      </c>
      <c r="P370" s="222"/>
      <c r="Q370" s="224"/>
      <c r="R370" s="224" t="s">
        <v>104</v>
      </c>
      <c r="S370" s="38"/>
      <c r="T370" s="38"/>
      <c r="W370" s="15" t="str">
        <f>IF(IFERROR(VLOOKUP($M370,'IMPORT GS-Tür OL FL 2S2 20'!$H$2:$H$847,1,0),"-")="-","","GS")</f>
        <v>GS</v>
      </c>
      <c r="Z370" s="59" t="str">
        <f>IF(OR($M370="",NOT($O370="{array}")),"",IFERROR(MATCH(PARAMETERS!$M370,DEFAULT!$B$5:$CG$5,0),""))</f>
        <v/>
      </c>
      <c r="AA370" s="56" t="str">
        <f t="shared" si="31"/>
        <v/>
      </c>
      <c r="AB370" s="63" t="str">
        <f>IF(AND(OR($A370="G",$A370="P"),NOT($O370="{array}")),IF(VLOOKUP($K370,base!$B$2:$D$20,3,0)="S",IF(OR($O370="",ISTEXT($O370)),"","STRING!"),IF(VLOOKUP($K370,base!$B$2:$D$20,3,0)="","",IF(ISTEXT($O370),"NUMERIC!",""))),"")</f>
        <v/>
      </c>
      <c r="AC370" s="17" t="str">
        <f>IF($AA370="","",IF($B370="I",VLOOKUP($AA370,#REF!,53,0),INDEX(VALUES!$B$1:$BR$1,1,$AA370)))</f>
        <v/>
      </c>
    </row>
    <row r="371" spans="1:29" hidden="1" outlineLevel="1" x14ac:dyDescent="0.3">
      <c r="A371" s="22" t="s">
        <v>84</v>
      </c>
      <c r="B371" s="41" t="str">
        <f t="shared" si="30"/>
        <v>A</v>
      </c>
      <c r="C371" s="42">
        <f t="shared" si="32"/>
        <v>370</v>
      </c>
      <c r="D371" s="38"/>
      <c r="E371" s="38"/>
      <c r="F371" s="38" t="s">
        <v>9</v>
      </c>
      <c r="G371" s="38"/>
      <c r="H371" s="38"/>
      <c r="I371" s="38" t="s">
        <v>9</v>
      </c>
      <c r="J371" s="38"/>
      <c r="K371" s="53" t="s">
        <v>31</v>
      </c>
      <c r="L371" s="53" t="s">
        <v>27</v>
      </c>
      <c r="M371" s="158" t="s">
        <v>1981</v>
      </c>
      <c r="N371" s="53" t="s">
        <v>1982</v>
      </c>
      <c r="O371" s="156" t="s">
        <v>33</v>
      </c>
      <c r="P371" s="53"/>
      <c r="Q371" s="209"/>
      <c r="R371" s="209" t="s">
        <v>201</v>
      </c>
      <c r="S371" s="38"/>
      <c r="T371" s="38"/>
      <c r="W371" s="15" t="str">
        <f>IF(IFERROR(VLOOKUP($M371,'IMPORT GS-Tür OL FL 2S2 20'!$H$2:$H$847,1,0),"-")="-","","GS")</f>
        <v/>
      </c>
      <c r="Z371" s="59">
        <f>IF(OR($M371="",NOT($O371="{array}")),"",IFERROR(MATCH(PARAMETERS!$M371,DEFAULT!$B$5:$CG$5,0),""))</f>
        <v>72</v>
      </c>
      <c r="AA371" s="56" t="str">
        <f t="shared" si="31"/>
        <v/>
      </c>
      <c r="AB371" s="63" t="str">
        <f>IF(AND(OR($A371="G",$A371="P"),NOT($O371="{array}")),IF(VLOOKUP($K371,base!$B$2:$D$20,3,0)="S",IF(OR($O371="",ISTEXT($O371)),"","STRING!"),IF(VLOOKUP($K371,base!$B$2:$D$20,3,0)="","",IF(ISTEXT($O371),"NUMERIC!",""))),"")</f>
        <v/>
      </c>
      <c r="AC371" s="17" t="str">
        <f>IF($AA371="","",IF($B371="I",VLOOKUP($AA371,#REF!,53,0),INDEX(VALUES!$B$1:$BR$1,1,$AA371)))</f>
        <v/>
      </c>
    </row>
    <row r="372" spans="1:29" hidden="1" outlineLevel="1" x14ac:dyDescent="0.3">
      <c r="A372" s="22" t="s">
        <v>84</v>
      </c>
      <c r="B372" s="41" t="str">
        <f t="shared" si="30"/>
        <v/>
      </c>
      <c r="C372" s="42">
        <f t="shared" si="32"/>
        <v>371</v>
      </c>
      <c r="D372" s="38"/>
      <c r="E372" s="38"/>
      <c r="F372" s="38"/>
      <c r="G372" s="38"/>
      <c r="H372" s="38"/>
      <c r="I372" s="38" t="s">
        <v>9</v>
      </c>
      <c r="J372" s="38"/>
      <c r="K372" s="14" t="s">
        <v>47</v>
      </c>
      <c r="L372" s="14" t="s">
        <v>27</v>
      </c>
      <c r="M372" s="20" t="s">
        <v>1437</v>
      </c>
      <c r="N372" s="14" t="s">
        <v>1438</v>
      </c>
      <c r="O372" s="43">
        <v>1</v>
      </c>
      <c r="R372" s="38" t="s">
        <v>104</v>
      </c>
      <c r="S372" s="38"/>
      <c r="T372" s="38"/>
      <c r="W372" s="15" t="str">
        <f>IF(IFERROR(VLOOKUP($M372,'IMPORT GS-Tür OL FL 2S2 20'!$H$2:$H$847,1,0),"-")="-","","GS")</f>
        <v>GS</v>
      </c>
      <c r="Z372" s="59" t="str">
        <f>IF(OR($M372="",NOT($O372="{array}")),"",IFERROR(MATCH(PARAMETERS!$M372,DEFAULT!$B$5:$CG$5,0),""))</f>
        <v/>
      </c>
      <c r="AA372" s="56" t="str">
        <f t="shared" si="31"/>
        <v/>
      </c>
      <c r="AB372" s="63" t="str">
        <f>IF(AND(OR($A372="G",$A372="P"),NOT($O372="{array}")),IF(VLOOKUP($K372,base!$B$2:$D$20,3,0)="S",IF(OR($O372="",ISTEXT($O372)),"","STRING!"),IF(VLOOKUP($K372,base!$B$2:$D$20,3,0)="","",IF(ISTEXT($O372),"NUMERIC!",""))),"")</f>
        <v/>
      </c>
      <c r="AC372" s="17" t="str">
        <f>IF($AA372="","",IF($B372="I",VLOOKUP($AA372,#REF!,53,0),INDEX(VALUES!$B$1:$BR$1,1,$AA372)))</f>
        <v/>
      </c>
    </row>
    <row r="373" spans="1:29" hidden="1" outlineLevel="1" x14ac:dyDescent="0.3">
      <c r="A373" s="22" t="s">
        <v>84</v>
      </c>
      <c r="B373" s="41" t="str">
        <f t="shared" si="30"/>
        <v/>
      </c>
      <c r="C373" s="42">
        <f t="shared" si="32"/>
        <v>372</v>
      </c>
      <c r="D373" s="38"/>
      <c r="E373" s="38"/>
      <c r="F373" s="38" t="s">
        <v>9</v>
      </c>
      <c r="G373" s="38"/>
      <c r="H373" s="38" t="s">
        <v>9</v>
      </c>
      <c r="I373" s="38" t="s">
        <v>9</v>
      </c>
      <c r="J373" s="38"/>
      <c r="K373" s="14" t="s">
        <v>47</v>
      </c>
      <c r="L373" s="14" t="s">
        <v>27</v>
      </c>
      <c r="M373" s="20" t="s">
        <v>1439</v>
      </c>
      <c r="N373" s="14" t="s">
        <v>1440</v>
      </c>
      <c r="O373" s="43">
        <v>0</v>
      </c>
      <c r="R373" s="38" t="s">
        <v>104</v>
      </c>
      <c r="S373" s="38"/>
      <c r="T373" s="38"/>
      <c r="W373" s="15" t="str">
        <f>IF(IFERROR(VLOOKUP($M373,'IMPORT GS-Tür OL FL 2S2 20'!$H$2:$H$847,1,0),"-")="-","","GS")</f>
        <v>GS</v>
      </c>
      <c r="Z373" s="59" t="str">
        <f>IF(OR($M373="",NOT($O373="{array}")),"",IFERROR(MATCH(PARAMETERS!$M373,DEFAULT!$B$5:$CG$5,0),""))</f>
        <v/>
      </c>
      <c r="AA373" s="56" t="str">
        <f t="shared" si="31"/>
        <v/>
      </c>
      <c r="AB373" s="63" t="str">
        <f>IF(AND(OR($A373="G",$A373="P"),NOT($O373="{array}")),IF(VLOOKUP($K373,base!$B$2:$D$20,3,0)="S",IF(OR($O373="",ISTEXT($O373)),"","STRING!"),IF(VLOOKUP($K373,base!$B$2:$D$20,3,0)="","",IF(ISTEXT($O373),"NUMERIC!",""))),"")</f>
        <v/>
      </c>
      <c r="AC373" s="17" t="str">
        <f>IF($AA373="","",IF($B373="I",VLOOKUP($AA373,#REF!,53,0),INDEX(VALUES!$B$1:$BR$1,1,$AA373)))</f>
        <v/>
      </c>
    </row>
    <row r="374" spans="1:29" hidden="1" outlineLevel="1" x14ac:dyDescent="0.3">
      <c r="A374" s="22" t="s">
        <v>84</v>
      </c>
      <c r="B374" s="41" t="str">
        <f t="shared" si="30"/>
        <v/>
      </c>
      <c r="C374" s="42">
        <f t="shared" si="32"/>
        <v>373</v>
      </c>
      <c r="D374" s="38"/>
      <c r="E374" s="38"/>
      <c r="F374" s="38" t="s">
        <v>9</v>
      </c>
      <c r="G374" s="38"/>
      <c r="H374" s="38"/>
      <c r="I374" s="38" t="s">
        <v>9</v>
      </c>
      <c r="J374" s="38"/>
      <c r="K374" s="14" t="s">
        <v>47</v>
      </c>
      <c r="L374" s="14" t="s">
        <v>27</v>
      </c>
      <c r="M374" s="20" t="s">
        <v>1441</v>
      </c>
      <c r="N374" s="14" t="s">
        <v>1442</v>
      </c>
      <c r="O374" s="43">
        <v>1</v>
      </c>
      <c r="R374" s="38" t="s">
        <v>104</v>
      </c>
      <c r="S374" s="38"/>
      <c r="T374" s="38"/>
      <c r="W374" s="15" t="str">
        <f>IF(IFERROR(VLOOKUP($M374,'IMPORT GS-Tür OL FL 2S2 20'!$H$2:$H$847,1,0),"-")="-","","GS")</f>
        <v>GS</v>
      </c>
      <c r="Z374" s="59" t="str">
        <f>IF(OR($M374="",NOT($O374="{array}")),"",IFERROR(MATCH(PARAMETERS!$M374,DEFAULT!$B$5:$CG$5,0),""))</f>
        <v/>
      </c>
      <c r="AA374" s="56" t="str">
        <f t="shared" si="31"/>
        <v/>
      </c>
      <c r="AB374" s="63" t="str">
        <f>IF(AND(OR($A374="G",$A374="P"),NOT($O374="{array}")),IF(VLOOKUP($K374,base!$B$2:$D$20,3,0)="S",IF(OR($O374="",ISTEXT($O374)),"","STRING!"),IF(VLOOKUP($K374,base!$B$2:$D$20,3,0)="","",IF(ISTEXT($O374),"NUMERIC!",""))),"")</f>
        <v/>
      </c>
      <c r="AC374" s="17" t="str">
        <f>IF($AA374="","",IF($B374="I",VLOOKUP($AA374,#REF!,53,0),INDEX(VALUES!$B$1:$BR$1,1,$AA374)))</f>
        <v/>
      </c>
    </row>
    <row r="375" spans="1:29" hidden="1" outlineLevel="1" x14ac:dyDescent="0.3">
      <c r="A375" s="22" t="s">
        <v>84</v>
      </c>
      <c r="B375" s="41" t="str">
        <f t="shared" si="30"/>
        <v/>
      </c>
      <c r="C375" s="42">
        <f t="shared" si="32"/>
        <v>374</v>
      </c>
      <c r="D375" s="38"/>
      <c r="E375" s="38"/>
      <c r="F375" s="38" t="s">
        <v>9</v>
      </c>
      <c r="G375" s="38"/>
      <c r="H375" s="38"/>
      <c r="I375" s="38" t="s">
        <v>9</v>
      </c>
      <c r="J375" s="38"/>
      <c r="K375" s="14" t="s">
        <v>51</v>
      </c>
      <c r="L375" s="14" t="s">
        <v>27</v>
      </c>
      <c r="M375" s="152" t="s">
        <v>1443</v>
      </c>
      <c r="N375" s="14" t="s">
        <v>1444</v>
      </c>
      <c r="O375" s="43">
        <v>1</v>
      </c>
      <c r="R375" s="38" t="s">
        <v>104</v>
      </c>
      <c r="S375" s="38"/>
      <c r="T375" s="38"/>
      <c r="W375" s="15" t="str">
        <f>IF(IFERROR(VLOOKUP($M375,'IMPORT GS-Tür OL FL 2S2 20'!$H$2:$H$847,1,0),"-")="-","","GS")</f>
        <v>GS</v>
      </c>
      <c r="Z375" s="59" t="str">
        <f>IF(OR($M375="",NOT($O375="{array}")),"",IFERROR(MATCH(PARAMETERS!$M375,DEFAULT!$B$5:$CG$5,0),""))</f>
        <v/>
      </c>
      <c r="AA375" s="56" t="str">
        <f t="shared" si="31"/>
        <v/>
      </c>
      <c r="AB375" s="63" t="str">
        <f>IF(AND(OR($A375="G",$A375="P"),NOT($O375="{array}")),IF(VLOOKUP($K375,base!$B$2:$D$20,3,0)="S",IF(OR($O375="",ISTEXT($O375)),"","STRING!"),IF(VLOOKUP($K375,base!$B$2:$D$20,3,0)="","",IF(ISTEXT($O375),"NUMERIC!",""))),"")</f>
        <v/>
      </c>
      <c r="AC375" s="17" t="str">
        <f>IF($AA375="","",IF($B375="I",VLOOKUP($AA375,#REF!,53,0),INDEX(VALUES!$B$1:$BR$1,1,$AA375)))</f>
        <v/>
      </c>
    </row>
    <row r="376" spans="1:29" hidden="1" outlineLevel="1" x14ac:dyDescent="0.3">
      <c r="A376" s="22" t="s">
        <v>84</v>
      </c>
      <c r="B376" s="41" t="str">
        <f t="shared" si="30"/>
        <v/>
      </c>
      <c r="C376" s="42">
        <f t="shared" si="32"/>
        <v>375</v>
      </c>
      <c r="D376" s="38"/>
      <c r="E376" s="38"/>
      <c r="F376" s="38" t="s">
        <v>9</v>
      </c>
      <c r="G376" s="38"/>
      <c r="H376" s="38"/>
      <c r="I376" s="38" t="s">
        <v>9</v>
      </c>
      <c r="J376" s="38"/>
      <c r="K376" s="14" t="s">
        <v>51</v>
      </c>
      <c r="L376" s="14" t="s">
        <v>27</v>
      </c>
      <c r="M376" s="152" t="s">
        <v>1445</v>
      </c>
      <c r="N376" s="14" t="s">
        <v>1446</v>
      </c>
      <c r="O376" s="43">
        <v>4</v>
      </c>
      <c r="R376" s="38" t="s">
        <v>104</v>
      </c>
      <c r="S376" s="38"/>
      <c r="T376" s="38"/>
      <c r="W376" s="15" t="str">
        <f>IF(IFERROR(VLOOKUP($M376,'IMPORT GS-Tür OL FL 2S2 20'!$H$2:$H$847,1,0),"-")="-","","GS")</f>
        <v>GS</v>
      </c>
      <c r="Z376" s="59" t="str">
        <f>IF(OR($M376="",NOT($O376="{array}")),"",IFERROR(MATCH(PARAMETERS!$M376,DEFAULT!$B$5:$CG$5,0),""))</f>
        <v/>
      </c>
      <c r="AA376" s="56" t="str">
        <f t="shared" si="31"/>
        <v/>
      </c>
      <c r="AB376" s="63" t="str">
        <f>IF(AND(OR($A376="G",$A376="P"),NOT($O376="{array}")),IF(VLOOKUP($K376,base!$B$2:$D$20,3,0)="S",IF(OR($O376="",ISTEXT($O376)),"","STRING!"),IF(VLOOKUP($K376,base!$B$2:$D$20,3,0)="","",IF(ISTEXT($O376),"NUMERIC!",""))),"")</f>
        <v/>
      </c>
      <c r="AC376" s="17" t="str">
        <f>IF($AA376="","",IF($B376="I",VLOOKUP($AA376,#REF!,53,0),INDEX(VALUES!$B$1:$BR$1,1,$AA376)))</f>
        <v/>
      </c>
    </row>
    <row r="377" spans="1:29" hidden="1" outlineLevel="1" x14ac:dyDescent="0.3">
      <c r="A377" s="22" t="s">
        <v>84</v>
      </c>
      <c r="B377" s="41" t="str">
        <f t="shared" si="30"/>
        <v/>
      </c>
      <c r="C377" s="42">
        <f t="shared" si="32"/>
        <v>376</v>
      </c>
      <c r="D377" s="38"/>
      <c r="E377" s="38"/>
      <c r="F377" s="38" t="s">
        <v>9</v>
      </c>
      <c r="G377" s="38"/>
      <c r="H377" s="38"/>
      <c r="I377" s="38" t="s">
        <v>9</v>
      </c>
      <c r="J377" s="38"/>
      <c r="K377" s="14" t="s">
        <v>18</v>
      </c>
      <c r="L377" s="14" t="s">
        <v>27</v>
      </c>
      <c r="M377" s="20" t="s">
        <v>1447</v>
      </c>
      <c r="N377" s="14" t="s">
        <v>1448</v>
      </c>
      <c r="O377" s="43" t="s">
        <v>1449</v>
      </c>
      <c r="R377" s="38" t="s">
        <v>104</v>
      </c>
      <c r="S377" s="38"/>
      <c r="T377" s="38"/>
      <c r="W377" s="15" t="str">
        <f>IF(IFERROR(VLOOKUP($M377,'IMPORT GS-Tür OL FL 2S2 20'!$H$2:$H$847,1,0),"-")="-","","GS")</f>
        <v>GS</v>
      </c>
      <c r="Z377" s="59" t="str">
        <f>IF(OR($M377="",NOT($O377="{array}")),"",IFERROR(MATCH(PARAMETERS!$M377,DEFAULT!$B$5:$CG$5,0),""))</f>
        <v/>
      </c>
      <c r="AA377" s="56" t="str">
        <f t="shared" si="31"/>
        <v/>
      </c>
      <c r="AB377" s="63" t="str">
        <f>IF(AND(OR($A377="G",$A377="P"),NOT($O377="{array}")),IF(VLOOKUP($K377,base!$B$2:$D$20,3,0)="S",IF(OR($O377="",ISTEXT($O377)),"","STRING!"),IF(VLOOKUP($K377,base!$B$2:$D$20,3,0)="","",IF(ISTEXT($O377),"NUMERIC!",""))),"")</f>
        <v/>
      </c>
      <c r="AC377" s="17" t="str">
        <f>IF($AA377="","",IF($B377="I",VLOOKUP($AA377,#REF!,53,0),INDEX(VALUES!$B$1:$BR$1,1,$AA377)))</f>
        <v/>
      </c>
    </row>
    <row r="378" spans="1:29" hidden="1" outlineLevel="1" x14ac:dyDescent="0.3">
      <c r="A378" s="22" t="s">
        <v>84</v>
      </c>
      <c r="B378" s="41" t="str">
        <f t="shared" si="30"/>
        <v/>
      </c>
      <c r="C378" s="42">
        <f t="shared" si="32"/>
        <v>377</v>
      </c>
      <c r="D378" s="38"/>
      <c r="E378" s="38"/>
      <c r="F378" s="38" t="s">
        <v>9</v>
      </c>
      <c r="G378" s="38" t="s">
        <v>9</v>
      </c>
      <c r="H378" s="38"/>
      <c r="I378" s="38" t="s">
        <v>9</v>
      </c>
      <c r="J378" s="38"/>
      <c r="K378" s="14" t="s">
        <v>44</v>
      </c>
      <c r="L378" s="14" t="s">
        <v>27</v>
      </c>
      <c r="M378" s="20" t="s">
        <v>1450</v>
      </c>
      <c r="N378" s="14" t="s">
        <v>1448</v>
      </c>
      <c r="O378" s="43">
        <v>1</v>
      </c>
      <c r="R378" s="38" t="s">
        <v>104</v>
      </c>
      <c r="S378" s="38"/>
      <c r="T378" s="38"/>
      <c r="W378" s="15" t="str">
        <f>IF(IFERROR(VLOOKUP($M378,'IMPORT GS-Tür OL FL 2S2 20'!$H$2:$H$847,1,0),"-")="-","","GS")</f>
        <v>GS</v>
      </c>
      <c r="Z378" s="59" t="str">
        <f>IF(OR($M378="",NOT($O378="{array}")),"",IFERROR(MATCH(PARAMETERS!$M378,DEFAULT!$B$5:$CG$5,0),""))</f>
        <v/>
      </c>
      <c r="AA378" s="56" t="str">
        <f t="shared" si="31"/>
        <v/>
      </c>
      <c r="AB378" s="63" t="str">
        <f>IF(AND(OR($A378="G",$A378="P"),NOT($O378="{array}")),IF(VLOOKUP($K378,base!$B$2:$D$20,3,0)="S",IF(OR($O378="",ISTEXT($O378)),"","STRING!"),IF(VLOOKUP($K378,base!$B$2:$D$20,3,0)="","",IF(ISTEXT($O378),"NUMERIC!",""))),"")</f>
        <v/>
      </c>
      <c r="AC378" s="17" t="str">
        <f>IF($AA378="","",IF($B378="I",VLOOKUP($AA378,#REF!,53,0),INDEX(VALUES!$B$1:$BR$1,1,$AA378)))</f>
        <v/>
      </c>
    </row>
    <row r="379" spans="1:29" hidden="1" outlineLevel="1" x14ac:dyDescent="0.3">
      <c r="A379" s="22" t="s">
        <v>84</v>
      </c>
      <c r="B379" s="41" t="str">
        <f t="shared" si="30"/>
        <v/>
      </c>
      <c r="C379" s="42">
        <f t="shared" si="32"/>
        <v>378</v>
      </c>
      <c r="D379" s="38"/>
      <c r="E379" s="38"/>
      <c r="F379" s="38" t="s">
        <v>9</v>
      </c>
      <c r="G379" s="38"/>
      <c r="H379" s="38"/>
      <c r="I379" s="38" t="s">
        <v>9</v>
      </c>
      <c r="J379" s="38"/>
      <c r="K379" s="14" t="s">
        <v>18</v>
      </c>
      <c r="L379" s="14" t="s">
        <v>27</v>
      </c>
      <c r="M379" s="20" t="s">
        <v>1451</v>
      </c>
      <c r="N379" s="14" t="s">
        <v>1448</v>
      </c>
      <c r="O379" s="43" t="s">
        <v>1452</v>
      </c>
      <c r="R379" s="38" t="s">
        <v>104</v>
      </c>
      <c r="S379" s="38"/>
      <c r="T379" s="38"/>
      <c r="W379" s="15" t="str">
        <f>IF(IFERROR(VLOOKUP($M379,'IMPORT GS-Tür OL FL 2S2 20'!$H$2:$H$847,1,0),"-")="-","","GS")</f>
        <v>GS</v>
      </c>
      <c r="Z379" s="59" t="str">
        <f>IF(OR($M379="",NOT($O379="{array}")),"",IFERROR(MATCH(PARAMETERS!$M379,DEFAULT!$B$5:$CG$5,0),""))</f>
        <v/>
      </c>
      <c r="AA379" s="56" t="str">
        <f t="shared" si="31"/>
        <v/>
      </c>
      <c r="AB379" s="63" t="str">
        <f>IF(AND(OR($A379="G",$A379="P"),NOT($O379="{array}")),IF(VLOOKUP($K379,base!$B$2:$D$20,3,0)="S",IF(OR($O379="",ISTEXT($O379)),"","STRING!"),IF(VLOOKUP($K379,base!$B$2:$D$20,3,0)="","",IF(ISTEXT($O379),"NUMERIC!",""))),"")</f>
        <v/>
      </c>
      <c r="AC379" s="17" t="str">
        <f>IF($AA379="","",IF($B379="I",VLOOKUP($AA379,#REF!,53,0),INDEX(VALUES!$B$1:$BR$1,1,$AA379)))</f>
        <v/>
      </c>
    </row>
    <row r="380" spans="1:29" hidden="1" outlineLevel="1" x14ac:dyDescent="0.3">
      <c r="A380" s="22" t="s">
        <v>84</v>
      </c>
      <c r="B380" s="41" t="str">
        <f t="shared" si="30"/>
        <v/>
      </c>
      <c r="C380" s="42">
        <f t="shared" si="32"/>
        <v>379</v>
      </c>
      <c r="D380" s="38"/>
      <c r="E380" s="38"/>
      <c r="F380" s="38" t="s">
        <v>9</v>
      </c>
      <c r="G380" s="38" t="s">
        <v>9</v>
      </c>
      <c r="H380" s="38"/>
      <c r="I380" s="38" t="s">
        <v>9</v>
      </c>
      <c r="J380" s="38"/>
      <c r="K380" s="14" t="s">
        <v>44</v>
      </c>
      <c r="L380" s="14" t="s">
        <v>27</v>
      </c>
      <c r="M380" s="20" t="s">
        <v>1453</v>
      </c>
      <c r="N380" s="14" t="s">
        <v>1448</v>
      </c>
      <c r="O380" s="43">
        <v>0</v>
      </c>
      <c r="R380" s="38" t="s">
        <v>104</v>
      </c>
      <c r="S380" s="38"/>
      <c r="T380" s="38"/>
      <c r="W380" s="15" t="str">
        <f>IF(IFERROR(VLOOKUP($M380,'IMPORT GS-Tür OL FL 2S2 20'!$H$2:$H$847,1,0),"-")="-","","GS")</f>
        <v>GS</v>
      </c>
      <c r="Z380" s="59" t="str">
        <f>IF(OR($M380="",NOT($O380="{array}")),"",IFERROR(MATCH(PARAMETERS!$M380,DEFAULT!$B$5:$CG$5,0),""))</f>
        <v/>
      </c>
      <c r="AA380" s="56" t="str">
        <f t="shared" si="31"/>
        <v/>
      </c>
      <c r="AB380" s="63" t="str">
        <f>IF(AND(OR($A380="G",$A380="P"),NOT($O380="{array}")),IF(VLOOKUP($K380,base!$B$2:$D$20,3,0)="S",IF(OR($O380="",ISTEXT($O380)),"","STRING!"),IF(VLOOKUP($K380,base!$B$2:$D$20,3,0)="","",IF(ISTEXT($O380),"NUMERIC!",""))),"")</f>
        <v/>
      </c>
      <c r="AC380" s="17" t="str">
        <f>IF($AA380="","",IF($B380="I",VLOOKUP($AA380,#REF!,53,0),INDEX(VALUES!$B$1:$BR$1,1,$AA380)))</f>
        <v/>
      </c>
    </row>
    <row r="381" spans="1:29" hidden="1" outlineLevel="1" x14ac:dyDescent="0.3">
      <c r="A381" s="22" t="s">
        <v>84</v>
      </c>
      <c r="B381" s="41" t="str">
        <f t="shared" si="30"/>
        <v/>
      </c>
      <c r="C381" s="42">
        <f t="shared" si="32"/>
        <v>380</v>
      </c>
      <c r="D381" s="38"/>
      <c r="E381" s="38"/>
      <c r="F381" s="38" t="s">
        <v>9</v>
      </c>
      <c r="G381" s="38"/>
      <c r="H381" s="38"/>
      <c r="I381" s="38" t="s">
        <v>9</v>
      </c>
      <c r="J381" s="38"/>
      <c r="K381" s="53" t="s">
        <v>44</v>
      </c>
      <c r="L381" s="53" t="s">
        <v>27</v>
      </c>
      <c r="M381" s="158" t="s">
        <v>1975</v>
      </c>
      <c r="N381" s="53" t="s">
        <v>1972</v>
      </c>
      <c r="O381" s="156">
        <v>1</v>
      </c>
      <c r="P381" s="53"/>
      <c r="Q381" s="209"/>
      <c r="R381" s="209" t="s">
        <v>201</v>
      </c>
      <c r="S381" s="38"/>
      <c r="T381" s="38"/>
      <c r="W381" s="15"/>
      <c r="Z381" s="59" t="str">
        <f>IF(OR($M381="",NOT($O381="{array}")),"",IFERROR(MATCH(PARAMETERS!$M381,DEFAULT!$B$5:$CG$5,0),""))</f>
        <v/>
      </c>
      <c r="AA381" s="56" t="str">
        <f t="shared" si="31"/>
        <v/>
      </c>
      <c r="AB381" s="63" t="str">
        <f>IF(AND(OR($A381="G",$A381="P"),NOT($O381="{array}")),IF(VLOOKUP($K381,base!$B$2:$D$20,3,0)="S",IF(OR($O381="",ISTEXT($O381)),"","STRING!"),IF(VLOOKUP($K381,base!$B$2:$D$20,3,0)="","",IF(ISTEXT($O381),"NUMERIC!",""))),"")</f>
        <v/>
      </c>
      <c r="AC381" s="17" t="str">
        <f>IF($AA381="","",IF($B381="I",VLOOKUP($AA381,#REF!,53,0),INDEX(VALUES!$B$1:$BR$1,1,$AA381)))</f>
        <v/>
      </c>
    </row>
    <row r="382" spans="1:29" hidden="1" outlineLevel="1" x14ac:dyDescent="0.3">
      <c r="A382" s="22" t="s">
        <v>84</v>
      </c>
      <c r="B382" s="41" t="str">
        <f t="shared" si="30"/>
        <v/>
      </c>
      <c r="C382" s="42">
        <f t="shared" si="32"/>
        <v>381</v>
      </c>
      <c r="D382" s="38"/>
      <c r="E382" s="38"/>
      <c r="F382" s="38" t="s">
        <v>9</v>
      </c>
      <c r="G382" s="38"/>
      <c r="H382" s="38"/>
      <c r="I382" s="38" t="s">
        <v>9</v>
      </c>
      <c r="J382" s="38"/>
      <c r="K382" s="53" t="s">
        <v>44</v>
      </c>
      <c r="L382" s="53" t="s">
        <v>27</v>
      </c>
      <c r="M382" s="158" t="s">
        <v>1976</v>
      </c>
      <c r="N382" s="53" t="s">
        <v>1973</v>
      </c>
      <c r="O382" s="156">
        <v>1</v>
      </c>
      <c r="P382" s="53"/>
      <c r="Q382" s="209"/>
      <c r="R382" s="209" t="s">
        <v>201</v>
      </c>
      <c r="S382" s="38"/>
      <c r="T382" s="38"/>
      <c r="W382" s="15"/>
      <c r="Z382" s="59" t="str">
        <f>IF(OR($M382="",NOT($O382="{array}")),"",IFERROR(MATCH(PARAMETERS!$M382,DEFAULT!$B$5:$CG$5,0),""))</f>
        <v/>
      </c>
      <c r="AA382" s="56" t="str">
        <f t="shared" si="31"/>
        <v/>
      </c>
      <c r="AB382" s="63" t="str">
        <f>IF(AND(OR($A382="G",$A382="P"),NOT($O382="{array}")),IF(VLOOKUP($K382,base!$B$2:$D$20,3,0)="S",IF(OR($O382="",ISTEXT($O382)),"","STRING!"),IF(VLOOKUP($K382,base!$B$2:$D$20,3,0)="","",IF(ISTEXT($O382),"NUMERIC!",""))),"")</f>
        <v/>
      </c>
      <c r="AC382" s="17" t="str">
        <f>IF($AA382="","",IF($B382="I",VLOOKUP($AA382,#REF!,53,0),INDEX(VALUES!$B$1:$BR$1,1,$AA382)))</f>
        <v/>
      </c>
    </row>
    <row r="383" spans="1:29" hidden="1" outlineLevel="1" x14ac:dyDescent="0.3">
      <c r="A383" s="22" t="s">
        <v>84</v>
      </c>
      <c r="B383" s="41" t="str">
        <f t="shared" si="30"/>
        <v/>
      </c>
      <c r="C383" s="42">
        <f t="shared" si="32"/>
        <v>382</v>
      </c>
      <c r="D383" s="38"/>
      <c r="E383" s="38"/>
      <c r="F383" s="38" t="s">
        <v>9</v>
      </c>
      <c r="G383" s="38"/>
      <c r="H383" s="38"/>
      <c r="I383" s="38" t="s">
        <v>9</v>
      </c>
      <c r="J383" s="38"/>
      <c r="K383" s="53" t="s">
        <v>44</v>
      </c>
      <c r="L383" s="53" t="s">
        <v>27</v>
      </c>
      <c r="M383" s="158" t="s">
        <v>1977</v>
      </c>
      <c r="N383" s="53" t="s">
        <v>1974</v>
      </c>
      <c r="O383" s="156">
        <v>1</v>
      </c>
      <c r="P383" s="53"/>
      <c r="Q383" s="209"/>
      <c r="R383" s="209" t="s">
        <v>201</v>
      </c>
      <c r="S383" s="38"/>
      <c r="T383" s="38"/>
      <c r="W383" s="15"/>
      <c r="Z383" s="59" t="str">
        <f>IF(OR($M383="",NOT($O383="{array}")),"",IFERROR(MATCH(PARAMETERS!$M383,DEFAULT!$B$5:$CG$5,0),""))</f>
        <v/>
      </c>
      <c r="AA383" s="56" t="str">
        <f t="shared" si="31"/>
        <v/>
      </c>
      <c r="AB383" s="63" t="str">
        <f>IF(AND(OR($A383="G",$A383="P"),NOT($O383="{array}")),IF(VLOOKUP($K383,base!$B$2:$D$20,3,0)="S",IF(OR($O383="",ISTEXT($O383)),"","STRING!"),IF(VLOOKUP($K383,base!$B$2:$D$20,3,0)="","",IF(ISTEXT($O383),"NUMERIC!",""))),"")</f>
        <v/>
      </c>
      <c r="AC383" s="17" t="str">
        <f>IF($AA383="","",IF($B383="I",VLOOKUP($AA383,#REF!,53,0),INDEX(VALUES!$B$1:$BR$1,1,$AA383)))</f>
        <v/>
      </c>
    </row>
    <row r="384" spans="1:29" hidden="1" outlineLevel="1" x14ac:dyDescent="0.3">
      <c r="A384" s="22" t="s">
        <v>84</v>
      </c>
      <c r="B384" s="41" t="str">
        <f t="shared" si="30"/>
        <v/>
      </c>
      <c r="C384" s="42">
        <f t="shared" si="32"/>
        <v>383</v>
      </c>
      <c r="D384" s="38"/>
      <c r="E384" s="38"/>
      <c r="F384" s="38" t="s">
        <v>9</v>
      </c>
      <c r="G384" s="38"/>
      <c r="H384" s="38"/>
      <c r="I384" s="38" t="s">
        <v>9</v>
      </c>
      <c r="J384" s="38"/>
      <c r="K384" s="14" t="s">
        <v>53</v>
      </c>
      <c r="L384" s="14" t="s">
        <v>27</v>
      </c>
      <c r="M384" s="229" t="s">
        <v>1454</v>
      </c>
      <c r="N384" s="14" t="s">
        <v>1455</v>
      </c>
      <c r="O384" s="43">
        <v>1</v>
      </c>
      <c r="R384" s="38" t="s">
        <v>104</v>
      </c>
      <c r="S384" s="38"/>
      <c r="T384" s="38"/>
      <c r="W384" s="15" t="str">
        <f>IF(IFERROR(VLOOKUP($M384,'IMPORT GS-Tür OL FL 2S2 20'!$H$2:$H$847,1,0),"-")="-","","GS")</f>
        <v>GS</v>
      </c>
      <c r="Z384" s="59" t="str">
        <f>IF(OR($M384="",NOT($O384="{array}")),"",IFERROR(MATCH(PARAMETERS!$M384,DEFAULT!$B$5:$CG$5,0),""))</f>
        <v/>
      </c>
      <c r="AA384" s="56" t="str">
        <f t="shared" si="31"/>
        <v/>
      </c>
      <c r="AB384" s="63" t="str">
        <f>IF(AND(OR($A384="G",$A384="P"),NOT($O384="{array}")),IF(VLOOKUP($K384,base!$B$2:$D$20,3,0)="S",IF(OR($O384="",ISTEXT($O384)),"","STRING!"),IF(VLOOKUP($K384,base!$B$2:$D$20,3,0)="","",IF(ISTEXT($O384),"NUMERIC!",""))),"")</f>
        <v/>
      </c>
      <c r="AC384" s="17" t="str">
        <f>IF($AA384="","",IF($B384="I",VLOOKUP($AA384,#REF!,53,0),INDEX(VALUES!$B$1:$BR$1,1,$AA384)))</f>
        <v/>
      </c>
    </row>
    <row r="385" spans="1:29" hidden="1" outlineLevel="1" x14ac:dyDescent="0.3">
      <c r="A385" s="22" t="s">
        <v>84</v>
      </c>
      <c r="B385" s="41" t="str">
        <f t="shared" si="30"/>
        <v/>
      </c>
      <c r="C385" s="42">
        <f t="shared" si="32"/>
        <v>384</v>
      </c>
      <c r="D385" s="38"/>
      <c r="E385" s="38"/>
      <c r="F385" s="38" t="s">
        <v>9</v>
      </c>
      <c r="G385" s="38" t="s">
        <v>9</v>
      </c>
      <c r="H385" s="38"/>
      <c r="I385" s="38" t="s">
        <v>9</v>
      </c>
      <c r="J385" s="38"/>
      <c r="K385" s="14" t="s">
        <v>44</v>
      </c>
      <c r="L385" s="14" t="s">
        <v>27</v>
      </c>
      <c r="M385" s="229" t="s">
        <v>1456</v>
      </c>
      <c r="N385" s="14" t="s">
        <v>1455</v>
      </c>
      <c r="O385" s="43">
        <v>1</v>
      </c>
      <c r="R385" s="38" t="s">
        <v>104</v>
      </c>
      <c r="S385" s="38"/>
      <c r="T385" s="38"/>
      <c r="W385" s="15" t="str">
        <f>IF(IFERROR(VLOOKUP($M385,'IMPORT GS-Tür OL FL 2S2 20'!$H$2:$H$847,1,0),"-")="-","","GS")</f>
        <v>GS</v>
      </c>
      <c r="Z385" s="59" t="str">
        <f>IF(OR($M385="",NOT($O385="{array}")),"",IFERROR(MATCH(PARAMETERS!$M385,DEFAULT!$B$5:$CG$5,0),""))</f>
        <v/>
      </c>
      <c r="AA385" s="56" t="str">
        <f t="shared" si="31"/>
        <v/>
      </c>
      <c r="AB385" s="63" t="str">
        <f>IF(AND(OR($A385="G",$A385="P"),NOT($O385="{array}")),IF(VLOOKUP($K385,base!$B$2:$D$20,3,0)="S",IF(OR($O385="",ISTEXT($O385)),"","STRING!"),IF(VLOOKUP($K385,base!$B$2:$D$20,3,0)="","",IF(ISTEXT($O385),"NUMERIC!",""))),"")</f>
        <v/>
      </c>
      <c r="AC385" s="17" t="str">
        <f>IF($AA385="","",IF($B385="I",VLOOKUP($AA385,#REF!,53,0),INDEX(VALUES!$B$1:$BR$1,1,$AA385)))</f>
        <v/>
      </c>
    </row>
    <row r="386" spans="1:29" hidden="1" outlineLevel="1" x14ac:dyDescent="0.3">
      <c r="A386" s="22" t="s">
        <v>84</v>
      </c>
      <c r="B386" s="41" t="str">
        <f t="shared" si="30"/>
        <v/>
      </c>
      <c r="C386" s="42">
        <f t="shared" si="32"/>
        <v>385</v>
      </c>
      <c r="D386" s="38"/>
      <c r="E386" s="38"/>
      <c r="F386" s="38" t="s">
        <v>9</v>
      </c>
      <c r="G386" s="38"/>
      <c r="H386" s="38" t="s">
        <v>9</v>
      </c>
      <c r="I386" s="38" t="s">
        <v>9</v>
      </c>
      <c r="J386" s="38"/>
      <c r="K386" s="14" t="s">
        <v>47</v>
      </c>
      <c r="L386" s="14" t="s">
        <v>27</v>
      </c>
      <c r="M386" s="20" t="s">
        <v>1457</v>
      </c>
      <c r="N386" s="14" t="s">
        <v>1458</v>
      </c>
      <c r="O386" s="43">
        <v>1</v>
      </c>
      <c r="R386" s="38" t="s">
        <v>104</v>
      </c>
      <c r="S386" s="38"/>
      <c r="T386" s="38"/>
      <c r="W386" s="15" t="str">
        <f>IF(IFERROR(VLOOKUP($M386,'IMPORT GS-Tür OL FL 2S2 20'!$H$2:$H$847,1,0),"-")="-","","GS")</f>
        <v>GS</v>
      </c>
      <c r="Z386" s="59" t="str">
        <f>IF(OR($M386="",NOT($O386="{array}")),"",IFERROR(MATCH(PARAMETERS!$M386,DEFAULT!$B$5:$CG$5,0),""))</f>
        <v/>
      </c>
      <c r="AA386" s="56" t="str">
        <f t="shared" si="31"/>
        <v/>
      </c>
      <c r="AB386" s="63" t="str">
        <f>IF(AND(OR($A386="G",$A386="P"),NOT($O386="{array}")),IF(VLOOKUP($K386,base!$B$2:$D$20,3,0)="S",IF(OR($O386="",ISTEXT($O386)),"","STRING!"),IF(VLOOKUP($K386,base!$B$2:$D$20,3,0)="","",IF(ISTEXT($O386),"NUMERIC!",""))),"")</f>
        <v/>
      </c>
      <c r="AC386" s="17" t="str">
        <f>IF($AA386="","",IF($B386="I",VLOOKUP($AA386,#REF!,53,0),INDEX(VALUES!$B$1:$BR$1,1,$AA386)))</f>
        <v/>
      </c>
    </row>
    <row r="387" spans="1:29" hidden="1" outlineLevel="1" x14ac:dyDescent="0.3">
      <c r="A387" s="22" t="s">
        <v>84</v>
      </c>
      <c r="B387" s="41" t="str">
        <f t="shared" si="30"/>
        <v/>
      </c>
      <c r="C387" s="42">
        <f t="shared" si="32"/>
        <v>386</v>
      </c>
      <c r="D387" s="38"/>
      <c r="E387" s="38"/>
      <c r="F387" s="38" t="s">
        <v>9</v>
      </c>
      <c r="G387" s="38"/>
      <c r="H387" s="38"/>
      <c r="I387" s="38" t="s">
        <v>9</v>
      </c>
      <c r="J387" s="38"/>
      <c r="K387" s="14" t="s">
        <v>47</v>
      </c>
      <c r="L387" s="14" t="s">
        <v>27</v>
      </c>
      <c r="M387" s="20" t="s">
        <v>1459</v>
      </c>
      <c r="N387" s="14" t="s">
        <v>1460</v>
      </c>
      <c r="O387" s="43">
        <v>1</v>
      </c>
      <c r="R387" s="38" t="s">
        <v>104</v>
      </c>
      <c r="S387" s="38"/>
      <c r="T387" s="38"/>
      <c r="W387" s="15" t="str">
        <f>IF(IFERROR(VLOOKUP($M387,'IMPORT GS-Tür OL FL 2S2 20'!$H$2:$H$847,1,0),"-")="-","","GS")</f>
        <v>GS</v>
      </c>
      <c r="Z387" s="59" t="str">
        <f>IF(OR($M387="",NOT($O387="{array}")),"",IFERROR(MATCH(PARAMETERS!$M387,DEFAULT!$B$5:$CG$5,0),""))</f>
        <v/>
      </c>
      <c r="AA387" s="56" t="str">
        <f t="shared" si="31"/>
        <v/>
      </c>
      <c r="AB387" s="63" t="str">
        <f>IF(AND(OR($A387="G",$A387="P"),NOT($O387="{array}")),IF(VLOOKUP($K387,base!$B$2:$D$20,3,0)="S",IF(OR($O387="",ISTEXT($O387)),"","STRING!"),IF(VLOOKUP($K387,base!$B$2:$D$20,3,0)="","",IF(ISTEXT($O387),"NUMERIC!",""))),"")</f>
        <v/>
      </c>
      <c r="AC387" s="17" t="str">
        <f>IF($AA387="","",IF($B387="I",VLOOKUP($AA387,#REF!,53,0),INDEX(VALUES!$B$1:$BR$1,1,$AA387)))</f>
        <v/>
      </c>
    </row>
    <row r="388" spans="1:29" hidden="1" outlineLevel="1" x14ac:dyDescent="0.3">
      <c r="A388" s="22" t="s">
        <v>84</v>
      </c>
      <c r="B388" s="41" t="str">
        <f t="shared" si="30"/>
        <v/>
      </c>
      <c r="C388" s="42">
        <f t="shared" si="32"/>
        <v>387</v>
      </c>
      <c r="D388" s="38"/>
      <c r="E388" s="38"/>
      <c r="F388" s="38" t="s">
        <v>9</v>
      </c>
      <c r="G388" s="38"/>
      <c r="H388" s="38"/>
      <c r="I388" s="38" t="s">
        <v>9</v>
      </c>
      <c r="J388" s="38"/>
      <c r="K388" s="14" t="s">
        <v>18</v>
      </c>
      <c r="L388" s="14" t="s">
        <v>27</v>
      </c>
      <c r="M388" s="20" t="s">
        <v>1461</v>
      </c>
      <c r="N388" s="14" t="s">
        <v>1462</v>
      </c>
      <c r="O388" s="43" t="s">
        <v>1463</v>
      </c>
      <c r="R388" s="38" t="s">
        <v>104</v>
      </c>
      <c r="S388" s="38"/>
      <c r="T388" s="38"/>
      <c r="W388" s="15" t="str">
        <f>IF(IFERROR(VLOOKUP($M388,'IMPORT GS-Tür OL FL 2S2 20'!$H$2:$H$847,1,0),"-")="-","","GS")</f>
        <v>GS</v>
      </c>
      <c r="Z388" s="59" t="str">
        <f>IF(OR($M388="",NOT($O388="{array}")),"",IFERROR(MATCH(PARAMETERS!$M388,DEFAULT!$B$5:$CG$5,0),""))</f>
        <v/>
      </c>
      <c r="AA388" s="56" t="str">
        <f t="shared" si="31"/>
        <v/>
      </c>
      <c r="AB388" s="63" t="str">
        <f>IF(AND(OR($A388="G",$A388="P"),NOT($O388="{array}")),IF(VLOOKUP($K388,base!$B$2:$D$20,3,0)="S",IF(OR($O388="",ISTEXT($O388)),"","STRING!"),IF(VLOOKUP($K388,base!$B$2:$D$20,3,0)="","",IF(ISTEXT($O388),"NUMERIC!",""))),"")</f>
        <v/>
      </c>
      <c r="AC388" s="17" t="str">
        <f>IF($AA388="","",IF($B388="I",VLOOKUP($AA388,#REF!,53,0),INDEX(VALUES!$B$1:$BR$1,1,$AA388)))</f>
        <v/>
      </c>
    </row>
    <row r="389" spans="1:29" hidden="1" outlineLevel="1" x14ac:dyDescent="0.3">
      <c r="A389" s="22" t="s">
        <v>84</v>
      </c>
      <c r="B389" s="41" t="str">
        <f t="shared" si="30"/>
        <v/>
      </c>
      <c r="C389" s="42">
        <f t="shared" si="32"/>
        <v>388</v>
      </c>
      <c r="D389" s="38"/>
      <c r="E389" s="38"/>
      <c r="F389" s="38" t="s">
        <v>9</v>
      </c>
      <c r="G389" s="38" t="s">
        <v>9</v>
      </c>
      <c r="H389" s="38"/>
      <c r="I389" s="38" t="s">
        <v>9</v>
      </c>
      <c r="J389" s="38"/>
      <c r="K389" s="14" t="s">
        <v>44</v>
      </c>
      <c r="L389" s="14" t="s">
        <v>27</v>
      </c>
      <c r="M389" s="229" t="s">
        <v>1464</v>
      </c>
      <c r="N389" s="14" t="s">
        <v>1462</v>
      </c>
      <c r="O389" s="43">
        <v>0</v>
      </c>
      <c r="R389" s="38" t="s">
        <v>104</v>
      </c>
      <c r="S389" s="38"/>
      <c r="T389" s="38"/>
      <c r="W389" s="15" t="str">
        <f>IF(IFERROR(VLOOKUP($M389,'IMPORT GS-Tür OL FL 2S2 20'!$H$2:$H$847,1,0),"-")="-","","GS")</f>
        <v>GS</v>
      </c>
      <c r="Z389" s="59" t="str">
        <f>IF(OR($M389="",NOT($O389="{array}")),"",IFERROR(MATCH(PARAMETERS!$M389,DEFAULT!$B$5:$CG$5,0),""))</f>
        <v/>
      </c>
      <c r="AA389" s="56" t="str">
        <f t="shared" si="31"/>
        <v/>
      </c>
      <c r="AB389" s="63" t="str">
        <f>IF(AND(OR($A389="G",$A389="P"),NOT($O389="{array}")),IF(VLOOKUP($K389,base!$B$2:$D$20,3,0)="S",IF(OR($O389="",ISTEXT($O389)),"","STRING!"),IF(VLOOKUP($K389,base!$B$2:$D$20,3,0)="","",IF(ISTEXT($O389),"NUMERIC!",""))),"")</f>
        <v/>
      </c>
      <c r="AC389" s="17" t="str">
        <f>IF($AA389="","",IF($B389="I",VLOOKUP($AA389,#REF!,53,0),INDEX(VALUES!$B$1:$BR$1,1,$AA389)))</f>
        <v/>
      </c>
    </row>
    <row r="390" spans="1:29" hidden="1" outlineLevel="1" x14ac:dyDescent="0.3">
      <c r="A390" s="22" t="s">
        <v>84</v>
      </c>
      <c r="B390" s="41" t="str">
        <f t="shared" si="30"/>
        <v/>
      </c>
      <c r="C390" s="42">
        <f t="shared" si="32"/>
        <v>389</v>
      </c>
      <c r="D390" s="38"/>
      <c r="E390" s="38"/>
      <c r="F390" s="38" t="s">
        <v>9</v>
      </c>
      <c r="G390" s="38"/>
      <c r="H390" s="38"/>
      <c r="I390" s="38" t="s">
        <v>9</v>
      </c>
      <c r="J390" s="38"/>
      <c r="K390" s="14" t="s">
        <v>18</v>
      </c>
      <c r="L390" s="14" t="s">
        <v>27</v>
      </c>
      <c r="M390" s="20" t="s">
        <v>1465</v>
      </c>
      <c r="N390" s="14" t="s">
        <v>1466</v>
      </c>
      <c r="O390" s="43" t="s">
        <v>1467</v>
      </c>
      <c r="R390" s="38" t="s">
        <v>104</v>
      </c>
      <c r="S390" s="38"/>
      <c r="T390" s="38"/>
      <c r="W390" s="15" t="str">
        <f>IF(IFERROR(VLOOKUP($M390,'IMPORT GS-Tür OL FL 2S2 20'!$H$2:$H$847,1,0),"-")="-","","GS")</f>
        <v>GS</v>
      </c>
      <c r="Z390" s="59" t="str">
        <f>IF(OR($M390="",NOT($O390="{array}")),"",IFERROR(MATCH(PARAMETERS!$M390,DEFAULT!$B$5:$CG$5,0),""))</f>
        <v/>
      </c>
      <c r="AA390" s="56" t="str">
        <f t="shared" si="31"/>
        <v/>
      </c>
      <c r="AB390" s="63" t="str">
        <f>IF(AND(OR($A390="G",$A390="P"),NOT($O390="{array}")),IF(VLOOKUP($K390,base!$B$2:$D$20,3,0)="S",IF(OR($O390="",ISTEXT($O390)),"","STRING!"),IF(VLOOKUP($K390,base!$B$2:$D$20,3,0)="","",IF(ISTEXT($O390),"NUMERIC!",""))),"")</f>
        <v/>
      </c>
      <c r="AC390" s="17" t="str">
        <f>IF($AA390="","",IF($B390="I",VLOOKUP($AA390,#REF!,53,0),INDEX(VALUES!$B$1:$BR$1,1,$AA390)))</f>
        <v/>
      </c>
    </row>
    <row r="391" spans="1:29" hidden="1" outlineLevel="1" x14ac:dyDescent="0.3">
      <c r="A391" s="22" t="s">
        <v>84</v>
      </c>
      <c r="B391" s="41" t="str">
        <f t="shared" si="30"/>
        <v/>
      </c>
      <c r="C391" s="42">
        <f t="shared" si="32"/>
        <v>390</v>
      </c>
      <c r="D391" s="38"/>
      <c r="E391" s="38"/>
      <c r="F391" s="38" t="s">
        <v>9</v>
      </c>
      <c r="G391" s="38" t="s">
        <v>9</v>
      </c>
      <c r="H391" s="38"/>
      <c r="I391" s="38" t="s">
        <v>9</v>
      </c>
      <c r="J391" s="38"/>
      <c r="K391" s="14" t="s">
        <v>44</v>
      </c>
      <c r="L391" s="14" t="s">
        <v>27</v>
      </c>
      <c r="M391" s="229" t="s">
        <v>1468</v>
      </c>
      <c r="N391" s="14" t="s">
        <v>1466</v>
      </c>
      <c r="O391" s="43">
        <v>1</v>
      </c>
      <c r="R391" s="38" t="s">
        <v>104</v>
      </c>
      <c r="S391" s="38"/>
      <c r="T391" s="38"/>
      <c r="W391" s="15" t="str">
        <f>IF(IFERROR(VLOOKUP($M391,'IMPORT GS-Tür OL FL 2S2 20'!$H$2:$H$847,1,0),"-")="-","","GS")</f>
        <v>GS</v>
      </c>
      <c r="Z391" s="59" t="str">
        <f>IF(OR($M391="",NOT($O391="{array}")),"",IFERROR(MATCH(PARAMETERS!$M391,DEFAULT!$B$5:$CG$5,0),""))</f>
        <v/>
      </c>
      <c r="AA391" s="56" t="str">
        <f t="shared" ref="AA391:AA422" si="33">IF($M391="","",IFERROR(MATCH($M391,VALUESnames,0),""))</f>
        <v/>
      </c>
      <c r="AB391" s="63" t="str">
        <f>IF(AND(OR($A391="G",$A391="P"),NOT($O391="{array}")),IF(VLOOKUP($K391,base!$B$2:$D$20,3,0)="S",IF(OR($O391="",ISTEXT($O391)),"","STRING!"),IF(VLOOKUP($K391,base!$B$2:$D$20,3,0)="","",IF(ISTEXT($O391),"NUMERIC!",""))),"")</f>
        <v/>
      </c>
      <c r="AC391" s="17" t="str">
        <f>IF($AA391="","",IF($B391="I",VLOOKUP($AA391,#REF!,53,0),INDEX(VALUES!$B$1:$BR$1,1,$AA391)))</f>
        <v/>
      </c>
    </row>
    <row r="392" spans="1:29" hidden="1" outlineLevel="1" x14ac:dyDescent="0.3">
      <c r="A392" s="22" t="s">
        <v>84</v>
      </c>
      <c r="B392" s="41" t="str">
        <f t="shared" si="30"/>
        <v/>
      </c>
      <c r="C392" s="42">
        <f t="shared" ref="C392:C423" si="34">(ROW()-1)</f>
        <v>391</v>
      </c>
      <c r="D392" s="38"/>
      <c r="E392" s="38"/>
      <c r="F392" s="38" t="s">
        <v>9</v>
      </c>
      <c r="G392" s="38"/>
      <c r="H392" s="38"/>
      <c r="I392" s="38" t="s">
        <v>9</v>
      </c>
      <c r="J392" s="38"/>
      <c r="K392" s="14" t="s">
        <v>18</v>
      </c>
      <c r="L392" s="14" t="s">
        <v>27</v>
      </c>
      <c r="M392" s="20" t="s">
        <v>1469</v>
      </c>
      <c r="N392" s="14" t="s">
        <v>1470</v>
      </c>
      <c r="O392" s="43" t="s">
        <v>1467</v>
      </c>
      <c r="R392" s="38" t="s">
        <v>104</v>
      </c>
      <c r="S392" s="38"/>
      <c r="T392" s="38"/>
      <c r="W392" s="15" t="str">
        <f>IF(IFERROR(VLOOKUP($M392,'IMPORT GS-Tür OL FL 2S2 20'!$H$2:$H$847,1,0),"-")="-","","GS")</f>
        <v>GS</v>
      </c>
      <c r="Z392" s="59" t="str">
        <f>IF(OR($M392="",NOT($O392="{array}")),"",IFERROR(MATCH(PARAMETERS!$M392,DEFAULT!$B$5:$CG$5,0),""))</f>
        <v/>
      </c>
      <c r="AA392" s="56" t="str">
        <f t="shared" si="33"/>
        <v/>
      </c>
      <c r="AB392" s="63" t="str">
        <f>IF(AND(OR($A392="G",$A392="P"),NOT($O392="{array}")),IF(VLOOKUP($K392,base!$B$2:$D$20,3,0)="S",IF(OR($O392="",ISTEXT($O392)),"","STRING!"),IF(VLOOKUP($K392,base!$B$2:$D$20,3,0)="","",IF(ISTEXT($O392),"NUMERIC!",""))),"")</f>
        <v/>
      </c>
      <c r="AC392" s="17" t="str">
        <f>IF($AA392="","",IF($B392="I",VLOOKUP($AA392,#REF!,53,0),INDEX(VALUES!$B$1:$BR$1,1,$AA392)))</f>
        <v/>
      </c>
    </row>
    <row r="393" spans="1:29" hidden="1" outlineLevel="1" x14ac:dyDescent="0.3">
      <c r="A393" s="22" t="s">
        <v>84</v>
      </c>
      <c r="B393" s="41" t="str">
        <f t="shared" si="30"/>
        <v/>
      </c>
      <c r="C393" s="42">
        <f t="shared" si="34"/>
        <v>392</v>
      </c>
      <c r="D393" s="38"/>
      <c r="E393" s="38"/>
      <c r="F393" s="38" t="s">
        <v>9</v>
      </c>
      <c r="G393" s="38" t="s">
        <v>9</v>
      </c>
      <c r="H393" s="38"/>
      <c r="I393" s="38" t="s">
        <v>9</v>
      </c>
      <c r="J393" s="38"/>
      <c r="K393" s="14" t="s">
        <v>44</v>
      </c>
      <c r="L393" s="14" t="s">
        <v>27</v>
      </c>
      <c r="M393" s="229" t="s">
        <v>1471</v>
      </c>
      <c r="N393" s="14" t="s">
        <v>1472</v>
      </c>
      <c r="O393" s="43">
        <v>1</v>
      </c>
      <c r="R393" s="38" t="s">
        <v>104</v>
      </c>
      <c r="S393" s="38"/>
      <c r="T393" s="38"/>
      <c r="W393" s="15" t="str">
        <f>IF(IFERROR(VLOOKUP($M393,'IMPORT GS-Tür OL FL 2S2 20'!$H$2:$H$847,1,0),"-")="-","","GS")</f>
        <v>GS</v>
      </c>
      <c r="Z393" s="59" t="str">
        <f>IF(OR($M393="",NOT($O393="{array}")),"",IFERROR(MATCH(PARAMETERS!$M393,DEFAULT!$B$5:$CG$5,0),""))</f>
        <v/>
      </c>
      <c r="AA393" s="56" t="str">
        <f t="shared" si="33"/>
        <v/>
      </c>
      <c r="AB393" s="63" t="str">
        <f>IF(AND(OR($A393="G",$A393="P"),NOT($O393="{array}")),IF(VLOOKUP($K393,base!$B$2:$D$20,3,0)="S",IF(OR($O393="",ISTEXT($O393)),"","STRING!"),IF(VLOOKUP($K393,base!$B$2:$D$20,3,0)="","",IF(ISTEXT($O393),"NUMERIC!",""))),"")</f>
        <v/>
      </c>
      <c r="AC393" s="17" t="str">
        <f>IF($AA393="","",IF($B393="I",VLOOKUP($AA393,#REF!,53,0),INDEX(VALUES!$B$1:$BR$1,1,$AA393)))</f>
        <v/>
      </c>
    </row>
    <row r="394" spans="1:29" hidden="1" outlineLevel="1" x14ac:dyDescent="0.3">
      <c r="A394" s="22" t="s">
        <v>84</v>
      </c>
      <c r="B394" s="41" t="str">
        <f t="shared" si="30"/>
        <v/>
      </c>
      <c r="C394" s="42">
        <f t="shared" si="34"/>
        <v>393</v>
      </c>
      <c r="D394" s="38"/>
      <c r="E394" s="38"/>
      <c r="F394" s="38" t="s">
        <v>9</v>
      </c>
      <c r="G394" s="38"/>
      <c r="H394" s="38"/>
      <c r="I394" s="38" t="s">
        <v>9</v>
      </c>
      <c r="J394" s="38"/>
      <c r="K394" s="14" t="s">
        <v>18</v>
      </c>
      <c r="L394" s="14" t="s">
        <v>27</v>
      </c>
      <c r="M394" s="20" t="s">
        <v>1473</v>
      </c>
      <c r="N394" s="14" t="s">
        <v>1474</v>
      </c>
      <c r="O394" s="43" t="s">
        <v>864</v>
      </c>
      <c r="R394" s="38" t="s">
        <v>104</v>
      </c>
      <c r="S394" s="38"/>
      <c r="T394" s="38"/>
      <c r="W394" s="15" t="str">
        <f>IF(IFERROR(VLOOKUP($M394,'IMPORT GS-Tür OL FL 2S2 20'!$H$2:$H$847,1,0),"-")="-","","GS")</f>
        <v>GS</v>
      </c>
      <c r="Z394" s="59" t="str">
        <f>IF(OR($M394="",NOT($O394="{array}")),"",IFERROR(MATCH(PARAMETERS!$M394,DEFAULT!$B$5:$CG$5,0),""))</f>
        <v/>
      </c>
      <c r="AA394" s="56" t="str">
        <f t="shared" si="33"/>
        <v/>
      </c>
      <c r="AB394" s="63" t="str">
        <f>IF(AND(OR($A394="G",$A394="P"),NOT($O394="{array}")),IF(VLOOKUP($K394,base!$B$2:$D$20,3,0)="S",IF(OR($O394="",ISTEXT($O394)),"","STRING!"),IF(VLOOKUP($K394,base!$B$2:$D$20,3,0)="","",IF(ISTEXT($O394),"NUMERIC!",""))),"")</f>
        <v/>
      </c>
      <c r="AC394" s="17" t="str">
        <f>IF($AA394="","",IF($B394="I",VLOOKUP($AA394,#REF!,53,0),INDEX(VALUES!$B$1:$BR$1,1,$AA394)))</f>
        <v/>
      </c>
    </row>
    <row r="395" spans="1:29" hidden="1" outlineLevel="1" x14ac:dyDescent="0.3">
      <c r="A395" s="22" t="s">
        <v>84</v>
      </c>
      <c r="B395" s="41" t="str">
        <f t="shared" si="30"/>
        <v/>
      </c>
      <c r="C395" s="42">
        <f t="shared" si="34"/>
        <v>394</v>
      </c>
      <c r="D395" s="38"/>
      <c r="E395" s="38"/>
      <c r="F395" s="38" t="s">
        <v>9</v>
      </c>
      <c r="G395" s="38" t="s">
        <v>9</v>
      </c>
      <c r="H395" s="38"/>
      <c r="I395" s="38" t="s">
        <v>9</v>
      </c>
      <c r="J395" s="38"/>
      <c r="K395" s="14" t="s">
        <v>44</v>
      </c>
      <c r="L395" s="14" t="s">
        <v>27</v>
      </c>
      <c r="M395" s="20" t="s">
        <v>1475</v>
      </c>
      <c r="N395" s="14" t="s">
        <v>1474</v>
      </c>
      <c r="O395" s="43">
        <v>1</v>
      </c>
      <c r="R395" s="38" t="s">
        <v>104</v>
      </c>
      <c r="S395" s="38"/>
      <c r="T395" s="38"/>
      <c r="W395" s="15" t="str">
        <f>IF(IFERROR(VLOOKUP($M395,'IMPORT GS-Tür OL FL 2S2 20'!$H$2:$H$847,1,0),"-")="-","","GS")</f>
        <v>GS</v>
      </c>
      <c r="Z395" s="59" t="str">
        <f>IF(OR($M395="",NOT($O395="{array}")),"",IFERROR(MATCH(PARAMETERS!$M395,DEFAULT!$B$5:$CG$5,0),""))</f>
        <v/>
      </c>
      <c r="AA395" s="56" t="str">
        <f t="shared" si="33"/>
        <v/>
      </c>
      <c r="AB395" s="63" t="str">
        <f>IF(AND(OR($A395="G",$A395="P"),NOT($O395="{array}")),IF(VLOOKUP($K395,base!$B$2:$D$20,3,0)="S",IF(OR($O395="",ISTEXT($O395)),"","STRING!"),IF(VLOOKUP($K395,base!$B$2:$D$20,3,0)="","",IF(ISTEXT($O395),"NUMERIC!",""))),"")</f>
        <v/>
      </c>
      <c r="AC395" s="17" t="str">
        <f>IF($AA395="","",IF($B395="I",VLOOKUP($AA395,#REF!,53,0),INDEX(VALUES!$B$1:$BR$1,1,$AA395)))</f>
        <v/>
      </c>
    </row>
    <row r="396" spans="1:29" collapsed="1" x14ac:dyDescent="0.3">
      <c r="A396" s="22" t="s">
        <v>84</v>
      </c>
      <c r="B396" s="41" t="str">
        <f t="shared" si="30"/>
        <v/>
      </c>
      <c r="C396" s="42">
        <f t="shared" si="34"/>
        <v>395</v>
      </c>
      <c r="D396" s="38"/>
      <c r="E396" s="38"/>
      <c r="F396" s="38" t="s">
        <v>9</v>
      </c>
      <c r="G396" s="38"/>
      <c r="H396" s="38"/>
      <c r="I396" s="38"/>
      <c r="J396" s="38"/>
      <c r="K396" s="14" t="s">
        <v>57</v>
      </c>
      <c r="L396" s="14" t="s">
        <v>38</v>
      </c>
      <c r="M396" s="48" t="s">
        <v>1476</v>
      </c>
      <c r="N396" s="41" t="s">
        <v>1477</v>
      </c>
      <c r="R396" s="38" t="s">
        <v>104</v>
      </c>
      <c r="S396" s="38"/>
      <c r="T396" s="38"/>
      <c r="W396" s="15" t="str">
        <f>IF(IFERROR(VLOOKUP($M396,'IMPORT GS-Tür OL FL 2S2 20'!$H$2:$H$847,1,0),"-")="-","","GS")</f>
        <v>GS</v>
      </c>
      <c r="Z396" s="59" t="str">
        <f>IF(OR($M396="",NOT($O396="{array}")),"",IFERROR(MATCH(PARAMETERS!$M396,DEFAULT!$B$5:$CG$5,0),""))</f>
        <v/>
      </c>
      <c r="AA396" s="56" t="str">
        <f t="shared" si="33"/>
        <v/>
      </c>
      <c r="AB396" s="63" t="str">
        <f>IF(AND(OR($A396="G",$A396="P"),NOT($O396="{array}")),IF(VLOOKUP($K396,base!$B$2:$D$20,3,0)="S",IF(OR($O396="",ISTEXT($O396)),"","STRING!"),IF(VLOOKUP($K396,base!$B$2:$D$20,3,0)="","",IF(ISTEXT($O396),"NUMERIC!",""))),"")</f>
        <v/>
      </c>
      <c r="AC396" s="17" t="str">
        <f>IF($AA396="","",IF($B396="I",VLOOKUP($AA396,#REF!,53,0),INDEX(VALUES!$B$1:$BR$1,1,$AA396)))</f>
        <v/>
      </c>
    </row>
    <row r="397" spans="1:29" hidden="1" outlineLevel="1" x14ac:dyDescent="0.3">
      <c r="A397" s="22" t="s">
        <v>84</v>
      </c>
      <c r="B397" s="41" t="str">
        <f t="shared" si="30"/>
        <v/>
      </c>
      <c r="C397" s="42">
        <f t="shared" si="34"/>
        <v>396</v>
      </c>
      <c r="D397" s="38"/>
      <c r="E397" s="38"/>
      <c r="F397" s="38" t="s">
        <v>9</v>
      </c>
      <c r="G397" s="38"/>
      <c r="H397" s="38"/>
      <c r="I397" s="38" t="s">
        <v>9</v>
      </c>
      <c r="J397" s="38"/>
      <c r="K397" s="14" t="s">
        <v>44</v>
      </c>
      <c r="L397" s="14" t="s">
        <v>27</v>
      </c>
      <c r="M397" s="20" t="s">
        <v>1478</v>
      </c>
      <c r="N397" s="14" t="s">
        <v>1479</v>
      </c>
      <c r="O397" s="43">
        <v>1</v>
      </c>
      <c r="R397" s="38" t="s">
        <v>104</v>
      </c>
      <c r="S397" s="38"/>
      <c r="T397" s="38"/>
      <c r="W397" s="15" t="str">
        <f>IF(IFERROR(VLOOKUP($M397,'IMPORT GS-Tür OL FL 2S2 20'!$H$2:$H$847,1,0),"-")="-","","GS")</f>
        <v>GS</v>
      </c>
      <c r="Z397" s="59" t="str">
        <f>IF(OR($M397="",NOT($O397="{array}")),"",IFERROR(MATCH(PARAMETERS!$M397,DEFAULT!$B$5:$CG$5,0),""))</f>
        <v/>
      </c>
      <c r="AA397" s="56" t="str">
        <f t="shared" si="33"/>
        <v/>
      </c>
      <c r="AB397" s="63" t="str">
        <f>IF(AND(OR($A397="G",$A397="P"),NOT($O397="{array}")),IF(VLOOKUP($K397,base!$B$2:$D$20,3,0)="S",IF(OR($O397="",ISTEXT($O397)),"","STRING!"),IF(VLOOKUP($K397,base!$B$2:$D$20,3,0)="","",IF(ISTEXT($O397),"NUMERIC!",""))),"")</f>
        <v/>
      </c>
      <c r="AC397" s="17" t="str">
        <f>IF($AA397="","",IF($B397="I",VLOOKUP($AA397,#REF!,53,0),INDEX(VALUES!$B$1:$BR$1,1,$AA397)))</f>
        <v/>
      </c>
    </row>
    <row r="398" spans="1:29" hidden="1" outlineLevel="1" x14ac:dyDescent="0.3">
      <c r="A398" s="22" t="s">
        <v>84</v>
      </c>
      <c r="B398" s="41" t="str">
        <f t="shared" si="30"/>
        <v/>
      </c>
      <c r="C398" s="42">
        <f t="shared" si="34"/>
        <v>397</v>
      </c>
      <c r="D398" s="38"/>
      <c r="E398" s="38"/>
      <c r="F398" s="38" t="s">
        <v>9</v>
      </c>
      <c r="G398" s="38"/>
      <c r="H398" s="38"/>
      <c r="I398" s="38" t="s">
        <v>9</v>
      </c>
      <c r="J398" s="38"/>
      <c r="K398" s="14" t="s">
        <v>44</v>
      </c>
      <c r="L398" s="14" t="s">
        <v>27</v>
      </c>
      <c r="M398" s="20" t="s">
        <v>1480</v>
      </c>
      <c r="N398" s="14" t="s">
        <v>1481</v>
      </c>
      <c r="O398" s="43">
        <v>2</v>
      </c>
      <c r="R398" s="38" t="s">
        <v>104</v>
      </c>
      <c r="S398" s="38"/>
      <c r="T398" s="38"/>
      <c r="W398" s="15" t="str">
        <f>IF(IFERROR(VLOOKUP($M398,'IMPORT GS-Tür OL FL 2S2 20'!$H$2:$H$847,1,0),"-")="-","","GS")</f>
        <v>GS</v>
      </c>
      <c r="Z398" s="59" t="str">
        <f>IF(OR($M398="",NOT($O398="{array}")),"",IFERROR(MATCH(PARAMETERS!$M398,DEFAULT!$B$5:$CG$5,0),""))</f>
        <v/>
      </c>
      <c r="AA398" s="56" t="str">
        <f t="shared" si="33"/>
        <v/>
      </c>
      <c r="AB398" s="63" t="str">
        <f>IF(AND(OR($A398="G",$A398="P"),NOT($O398="{array}")),IF(VLOOKUP($K398,base!$B$2:$D$20,3,0)="S",IF(OR($O398="",ISTEXT($O398)),"","STRING!"),IF(VLOOKUP($K398,base!$B$2:$D$20,3,0)="","",IF(ISTEXT($O398),"NUMERIC!",""))),"")</f>
        <v/>
      </c>
      <c r="AC398" s="17" t="str">
        <f>IF($AA398="","",IF($B398="I",VLOOKUP($AA398,#REF!,53,0),INDEX(VALUES!$B$1:$BR$1,1,$AA398)))</f>
        <v/>
      </c>
    </row>
    <row r="399" spans="1:29" hidden="1" outlineLevel="1" x14ac:dyDescent="0.3">
      <c r="A399" s="22" t="s">
        <v>84</v>
      </c>
      <c r="B399" s="41" t="str">
        <f t="shared" si="30"/>
        <v/>
      </c>
      <c r="C399" s="42">
        <f t="shared" si="34"/>
        <v>398</v>
      </c>
      <c r="D399" s="38"/>
      <c r="E399" s="38"/>
      <c r="F399" s="38" t="s">
        <v>9</v>
      </c>
      <c r="G399" s="38"/>
      <c r="H399" s="38"/>
      <c r="I399" s="38" t="s">
        <v>9</v>
      </c>
      <c r="J399" s="38"/>
      <c r="K399" s="14" t="s">
        <v>44</v>
      </c>
      <c r="L399" s="14" t="s">
        <v>27</v>
      </c>
      <c r="M399" s="20" t="s">
        <v>1482</v>
      </c>
      <c r="N399" s="14" t="s">
        <v>1483</v>
      </c>
      <c r="O399" s="43">
        <v>1</v>
      </c>
      <c r="R399" s="38" t="s">
        <v>104</v>
      </c>
      <c r="S399" s="38"/>
      <c r="T399" s="38"/>
      <c r="W399" s="15" t="str">
        <f>IF(IFERROR(VLOOKUP($M399,'IMPORT GS-Tür OL FL 2S2 20'!$H$2:$H$847,1,0),"-")="-","","GS")</f>
        <v>GS</v>
      </c>
      <c r="Z399" s="59" t="str">
        <f>IF(OR($M399="",NOT($O399="{array}")),"",IFERROR(MATCH(PARAMETERS!$M399,DEFAULT!$B$5:$CG$5,0),""))</f>
        <v/>
      </c>
      <c r="AA399" s="56" t="str">
        <f t="shared" si="33"/>
        <v/>
      </c>
      <c r="AB399" s="63" t="str">
        <f>IF(AND(OR($A399="G",$A399="P"),NOT($O399="{array}")),IF(VLOOKUP($K399,base!$B$2:$D$20,3,0)="S",IF(OR($O399="",ISTEXT($O399)),"","STRING!"),IF(VLOOKUP($K399,base!$B$2:$D$20,3,0)="","",IF(ISTEXT($O399),"NUMERIC!",""))),"")</f>
        <v/>
      </c>
      <c r="AC399" s="17" t="str">
        <f>IF($AA399="","",IF($B399="I",VLOOKUP($AA399,#REF!,53,0),INDEX(VALUES!$B$1:$BR$1,1,$AA399)))</f>
        <v/>
      </c>
    </row>
    <row r="400" spans="1:29" hidden="1" outlineLevel="1" x14ac:dyDescent="0.3">
      <c r="A400" s="22" t="s">
        <v>84</v>
      </c>
      <c r="B400" s="41" t="str">
        <f t="shared" si="30"/>
        <v/>
      </c>
      <c r="C400" s="42">
        <f t="shared" si="34"/>
        <v>399</v>
      </c>
      <c r="D400" s="38"/>
      <c r="E400" s="38"/>
      <c r="F400" s="38" t="s">
        <v>9</v>
      </c>
      <c r="G400" s="38"/>
      <c r="H400" s="38"/>
      <c r="I400" s="38" t="s">
        <v>9</v>
      </c>
      <c r="J400" s="38"/>
      <c r="K400" s="14" t="s">
        <v>44</v>
      </c>
      <c r="L400" s="14" t="s">
        <v>27</v>
      </c>
      <c r="M400" s="20" t="s">
        <v>1484</v>
      </c>
      <c r="N400" s="14" t="s">
        <v>1485</v>
      </c>
      <c r="O400" s="43">
        <v>1</v>
      </c>
      <c r="R400" s="38" t="s">
        <v>104</v>
      </c>
      <c r="S400" s="38"/>
      <c r="T400" s="38"/>
      <c r="W400" s="15" t="str">
        <f>IF(IFERROR(VLOOKUP($M400,'IMPORT GS-Tür OL FL 2S2 20'!$H$2:$H$847,1,0),"-")="-","","GS")</f>
        <v>GS</v>
      </c>
      <c r="Z400" s="59" t="str">
        <f>IF(OR($M400="",NOT($O400="{array}")),"",IFERROR(MATCH(PARAMETERS!$M400,DEFAULT!$B$5:$CG$5,0),""))</f>
        <v/>
      </c>
      <c r="AA400" s="56" t="str">
        <f t="shared" si="33"/>
        <v/>
      </c>
      <c r="AB400" s="63" t="str">
        <f>IF(AND(OR($A400="G",$A400="P"),NOT($O400="{array}")),IF(VLOOKUP($K400,base!$B$2:$D$20,3,0)="S",IF(OR($O400="",ISTEXT($O400)),"","STRING!"),IF(VLOOKUP($K400,base!$B$2:$D$20,3,0)="","",IF(ISTEXT($O400),"NUMERIC!",""))),"")</f>
        <v/>
      </c>
      <c r="AC400" s="17" t="str">
        <f>IF($AA400="","",IF($B400="I",VLOOKUP($AA400,#REF!,53,0),INDEX(VALUES!$B$1:$BR$1,1,$AA400)))</f>
        <v/>
      </c>
    </row>
    <row r="401" spans="1:29" hidden="1" outlineLevel="1" x14ac:dyDescent="0.3">
      <c r="A401" s="22" t="s">
        <v>84</v>
      </c>
      <c r="B401" s="41" t="str">
        <f t="shared" si="30"/>
        <v/>
      </c>
      <c r="C401" s="42">
        <f t="shared" si="34"/>
        <v>400</v>
      </c>
      <c r="D401" s="38"/>
      <c r="E401" s="38"/>
      <c r="F401" s="38" t="s">
        <v>9</v>
      </c>
      <c r="G401" s="38"/>
      <c r="H401" s="38" t="s">
        <v>9</v>
      </c>
      <c r="I401" s="38"/>
      <c r="J401" s="38"/>
      <c r="K401" s="14" t="s">
        <v>47</v>
      </c>
      <c r="L401" s="14" t="s">
        <v>27</v>
      </c>
      <c r="M401" s="20" t="s">
        <v>1486</v>
      </c>
      <c r="N401" s="14" t="s">
        <v>1487</v>
      </c>
      <c r="O401" s="43">
        <v>0</v>
      </c>
      <c r="R401" s="38" t="s">
        <v>104</v>
      </c>
      <c r="S401" s="38"/>
      <c r="T401" s="38"/>
      <c r="W401" s="15" t="str">
        <f>IF(IFERROR(VLOOKUP($M401,'IMPORT GS-Tür OL FL 2S2 20'!$H$2:$H$847,1,0),"-")="-","","GS")</f>
        <v>GS</v>
      </c>
      <c r="Z401" s="59" t="str">
        <f>IF(OR($M401="",NOT($O401="{array}")),"",IFERROR(MATCH(PARAMETERS!$M401,DEFAULT!$B$5:$CG$5,0),""))</f>
        <v/>
      </c>
      <c r="AA401" s="56" t="str">
        <f t="shared" si="33"/>
        <v/>
      </c>
      <c r="AB401" s="63" t="str">
        <f>IF(AND(OR($A401="G",$A401="P"),NOT($O401="{array}")),IF(VLOOKUP($K401,base!$B$2:$D$20,3,0)="S",IF(OR($O401="",ISTEXT($O401)),"","STRING!"),IF(VLOOKUP($K401,base!$B$2:$D$20,3,0)="","",IF(ISTEXT($O401),"NUMERIC!",""))),"")</f>
        <v/>
      </c>
      <c r="AC401" s="17" t="str">
        <f>IF($AA401="","",IF($B401="I",VLOOKUP($AA401,#REF!,53,0),INDEX(VALUES!$B$1:$BR$1,1,$AA401)))</f>
        <v/>
      </c>
    </row>
    <row r="402" spans="1:29" hidden="1" outlineLevel="1" x14ac:dyDescent="0.3">
      <c r="A402" s="22" t="s">
        <v>84</v>
      </c>
      <c r="B402" s="41" t="str">
        <f t="shared" si="30"/>
        <v/>
      </c>
      <c r="C402" s="42">
        <f t="shared" si="34"/>
        <v>401</v>
      </c>
      <c r="D402" s="38"/>
      <c r="E402" s="38"/>
      <c r="F402" s="38" t="s">
        <v>9</v>
      </c>
      <c r="G402" s="38"/>
      <c r="H402" s="38"/>
      <c r="I402" s="38" t="s">
        <v>9</v>
      </c>
      <c r="J402" s="38"/>
      <c r="K402" s="14" t="s">
        <v>52</v>
      </c>
      <c r="L402" s="14" t="s">
        <v>27</v>
      </c>
      <c r="M402" s="20" t="s">
        <v>1488</v>
      </c>
      <c r="N402" s="14" t="s">
        <v>1242</v>
      </c>
      <c r="O402" s="43">
        <v>65</v>
      </c>
      <c r="R402" s="38" t="s">
        <v>104</v>
      </c>
      <c r="S402" s="38"/>
      <c r="T402" s="38"/>
      <c r="W402" s="15" t="str">
        <f>IF(IFERROR(VLOOKUP($M402,'IMPORT GS-Tür OL FL 2S2 20'!$H$2:$H$847,1,0),"-")="-","","GS")</f>
        <v>GS</v>
      </c>
      <c r="Z402" s="59" t="str">
        <f>IF(OR($M402="",NOT($O402="{array}")),"",IFERROR(MATCH(PARAMETERS!$M402,DEFAULT!$B$5:$CG$5,0),""))</f>
        <v/>
      </c>
      <c r="AA402" s="56" t="str">
        <f t="shared" si="33"/>
        <v/>
      </c>
      <c r="AB402" s="63" t="str">
        <f>IF(AND(OR($A402="G",$A402="P"),NOT($O402="{array}")),IF(VLOOKUP($K402,base!$B$2:$D$20,3,0)="S",IF(OR($O402="",ISTEXT($O402)),"","STRING!"),IF(VLOOKUP($K402,base!$B$2:$D$20,3,0)="","",IF(ISTEXT($O402),"NUMERIC!",""))),"")</f>
        <v/>
      </c>
      <c r="AC402" s="17" t="str">
        <f>IF($AA402="","",IF($B402="I",VLOOKUP($AA402,#REF!,53,0),INDEX(VALUES!$B$1:$BR$1,1,$AA402)))</f>
        <v/>
      </c>
    </row>
    <row r="403" spans="1:29" hidden="1" outlineLevel="1" x14ac:dyDescent="0.3">
      <c r="A403" s="22" t="s">
        <v>84</v>
      </c>
      <c r="B403" s="41" t="str">
        <f t="shared" si="30"/>
        <v/>
      </c>
      <c r="C403" s="42">
        <f t="shared" si="34"/>
        <v>402</v>
      </c>
      <c r="D403" s="38"/>
      <c r="E403" s="38"/>
      <c r="F403" s="38" t="s">
        <v>9</v>
      </c>
      <c r="G403" s="38"/>
      <c r="H403" s="38"/>
      <c r="I403" s="38" t="s">
        <v>9</v>
      </c>
      <c r="J403" s="38"/>
      <c r="K403" s="14" t="s">
        <v>53</v>
      </c>
      <c r="L403" s="14" t="s">
        <v>27</v>
      </c>
      <c r="M403" s="20" t="s">
        <v>1489</v>
      </c>
      <c r="N403" s="14" t="s">
        <v>1244</v>
      </c>
      <c r="O403" s="43">
        <v>1</v>
      </c>
      <c r="R403" s="38" t="s">
        <v>104</v>
      </c>
      <c r="S403" s="38"/>
      <c r="T403" s="38"/>
      <c r="W403" s="15" t="str">
        <f>IF(IFERROR(VLOOKUP($M403,'IMPORT GS-Tür OL FL 2S2 20'!$H$2:$H$847,1,0),"-")="-","","GS")</f>
        <v>GS</v>
      </c>
      <c r="Z403" s="59" t="str">
        <f>IF(OR($M403="",NOT($O403="{array}")),"",IFERROR(MATCH(PARAMETERS!$M403,DEFAULT!$B$5:$CG$5,0),""))</f>
        <v/>
      </c>
      <c r="AA403" s="56" t="str">
        <f t="shared" si="33"/>
        <v/>
      </c>
      <c r="AB403" s="63" t="str">
        <f>IF(AND(OR($A403="G",$A403="P"),NOT($O403="{array}")),IF(VLOOKUP($K403,base!$B$2:$D$20,3,0)="S",IF(OR($O403="",ISTEXT($O403)),"","STRING!"),IF(VLOOKUP($K403,base!$B$2:$D$20,3,0)="","",IF(ISTEXT($O403),"NUMERIC!",""))),"")</f>
        <v/>
      </c>
      <c r="AC403" s="17" t="str">
        <f>IF($AA403="","",IF($B403="I",VLOOKUP($AA403,#REF!,53,0),INDEX(VALUES!$B$1:$BR$1,1,$AA403)))</f>
        <v/>
      </c>
    </row>
    <row r="404" spans="1:29" hidden="1" outlineLevel="1" x14ac:dyDescent="0.3">
      <c r="A404" s="22" t="s">
        <v>84</v>
      </c>
      <c r="B404" s="41" t="str">
        <f t="shared" si="30"/>
        <v/>
      </c>
      <c r="C404" s="42">
        <f t="shared" si="34"/>
        <v>403</v>
      </c>
      <c r="D404" s="38"/>
      <c r="E404" s="38"/>
      <c r="F404" s="38" t="s">
        <v>9</v>
      </c>
      <c r="G404" s="38"/>
      <c r="H404" s="38"/>
      <c r="I404" s="38" t="s">
        <v>9</v>
      </c>
      <c r="J404" s="38"/>
      <c r="K404" s="14" t="s">
        <v>53</v>
      </c>
      <c r="L404" s="14" t="s">
        <v>27</v>
      </c>
      <c r="M404" s="20" t="s">
        <v>1490</v>
      </c>
      <c r="N404" s="14" t="s">
        <v>1101</v>
      </c>
      <c r="O404" s="43">
        <v>91</v>
      </c>
      <c r="R404" s="38" t="s">
        <v>104</v>
      </c>
      <c r="S404" s="38"/>
      <c r="T404" s="38"/>
      <c r="W404" s="15" t="str">
        <f>IF(IFERROR(VLOOKUP($M404,'IMPORT GS-Tür OL FL 2S2 20'!$H$2:$H$847,1,0),"-")="-","","GS")</f>
        <v>GS</v>
      </c>
      <c r="Z404" s="59" t="str">
        <f>IF(OR($M404="",NOT($O404="{array}")),"",IFERROR(MATCH(PARAMETERS!$M404,DEFAULT!$B$5:$CG$5,0),""))</f>
        <v/>
      </c>
      <c r="AA404" s="56" t="str">
        <f t="shared" si="33"/>
        <v/>
      </c>
      <c r="AB404" s="63" t="str">
        <f>IF(AND(OR($A404="G",$A404="P"),NOT($O404="{array}")),IF(VLOOKUP($K404,base!$B$2:$D$20,3,0)="S",IF(OR($O404="",ISTEXT($O404)),"","STRING!"),IF(VLOOKUP($K404,base!$B$2:$D$20,3,0)="","",IF(ISTEXT($O404),"NUMERIC!",""))),"")</f>
        <v/>
      </c>
      <c r="AC404" s="17" t="str">
        <f>IF($AA404="","",IF($B404="I",VLOOKUP($AA404,#REF!,53,0),INDEX(VALUES!$B$1:$BR$1,1,$AA404)))</f>
        <v/>
      </c>
    </row>
    <row r="405" spans="1:29" hidden="1" outlineLevel="1" x14ac:dyDescent="0.3">
      <c r="A405" s="22" t="s">
        <v>84</v>
      </c>
      <c r="B405" s="41" t="str">
        <f t="shared" si="30"/>
        <v/>
      </c>
      <c r="C405" s="42">
        <f t="shared" si="34"/>
        <v>404</v>
      </c>
      <c r="D405" s="38"/>
      <c r="E405" s="38"/>
      <c r="F405" s="38" t="s">
        <v>9</v>
      </c>
      <c r="G405" s="38"/>
      <c r="H405" s="38" t="s">
        <v>9</v>
      </c>
      <c r="I405" s="38"/>
      <c r="J405" s="38"/>
      <c r="K405" s="14" t="s">
        <v>47</v>
      </c>
      <c r="L405" s="14" t="s">
        <v>27</v>
      </c>
      <c r="M405" s="20" t="s">
        <v>1491</v>
      </c>
      <c r="N405" s="14" t="s">
        <v>1492</v>
      </c>
      <c r="O405" s="43">
        <v>0</v>
      </c>
      <c r="R405" s="38" t="s">
        <v>104</v>
      </c>
      <c r="S405" s="38"/>
      <c r="T405" s="38"/>
      <c r="W405" s="15" t="str">
        <f>IF(IFERROR(VLOOKUP($M405,'IMPORT GS-Tür OL FL 2S2 20'!$H$2:$H$847,1,0),"-")="-","","GS")</f>
        <v>GS</v>
      </c>
      <c r="Z405" s="59" t="str">
        <f>IF(OR($M405="",NOT($O405="{array}")),"",IFERROR(MATCH(PARAMETERS!$M405,DEFAULT!$B$5:$CG$5,0),""))</f>
        <v/>
      </c>
      <c r="AA405" s="56" t="str">
        <f t="shared" si="33"/>
        <v/>
      </c>
      <c r="AB405" s="63" t="str">
        <f>IF(AND(OR($A405="G",$A405="P"),NOT($O405="{array}")),IF(VLOOKUP($K405,base!$B$2:$D$20,3,0)="S",IF(OR($O405="",ISTEXT($O405)),"","STRING!"),IF(VLOOKUP($K405,base!$B$2:$D$20,3,0)="","",IF(ISTEXT($O405),"NUMERIC!",""))),"")</f>
        <v/>
      </c>
      <c r="AC405" s="17" t="str">
        <f>IF($AA405="","",IF($B405="I",VLOOKUP($AA405,#REF!,53,0),INDEX(VALUES!$B$1:$BR$1,1,$AA405)))</f>
        <v/>
      </c>
    </row>
    <row r="406" spans="1:29" hidden="1" outlineLevel="1" x14ac:dyDescent="0.3">
      <c r="A406" s="22" t="s">
        <v>84</v>
      </c>
      <c r="B406" s="41" t="str">
        <f t="shared" si="30"/>
        <v/>
      </c>
      <c r="C406" s="42">
        <f t="shared" si="34"/>
        <v>405</v>
      </c>
      <c r="D406" s="38"/>
      <c r="E406" s="38"/>
      <c r="F406" s="38" t="s">
        <v>9</v>
      </c>
      <c r="G406" s="38"/>
      <c r="H406" s="38"/>
      <c r="I406" s="38" t="s">
        <v>9</v>
      </c>
      <c r="J406" s="38"/>
      <c r="K406" s="14" t="s">
        <v>18</v>
      </c>
      <c r="L406" s="14" t="s">
        <v>27</v>
      </c>
      <c r="M406" s="20" t="s">
        <v>1493</v>
      </c>
      <c r="N406" s="14" t="s">
        <v>1494</v>
      </c>
      <c r="O406" s="43" t="s">
        <v>1495</v>
      </c>
      <c r="R406" s="38" t="s">
        <v>104</v>
      </c>
      <c r="S406" s="38"/>
      <c r="T406" s="38"/>
      <c r="W406" s="15" t="str">
        <f>IF(IFERROR(VLOOKUP($M406,'IMPORT GS-Tür OL FL 2S2 20'!$H$2:$H$847,1,0),"-")="-","","GS")</f>
        <v>GS</v>
      </c>
      <c r="Z406" s="59" t="str">
        <f>IF(OR($M406="",NOT($O406="{array}")),"",IFERROR(MATCH(PARAMETERS!$M406,DEFAULT!$B$5:$CG$5,0),""))</f>
        <v/>
      </c>
      <c r="AA406" s="56" t="str">
        <f t="shared" si="33"/>
        <v/>
      </c>
      <c r="AB406" s="63" t="str">
        <f>IF(AND(OR($A406="G",$A406="P"),NOT($O406="{array}")),IF(VLOOKUP($K406,base!$B$2:$D$20,3,0)="S",IF(OR($O406="",ISTEXT($O406)),"","STRING!"),IF(VLOOKUP($K406,base!$B$2:$D$20,3,0)="","",IF(ISTEXT($O406),"NUMERIC!",""))),"")</f>
        <v/>
      </c>
      <c r="AC406" s="17" t="str">
        <f>IF($AA406="","",IF($B406="I",VLOOKUP($AA406,#REF!,53,0),INDEX(VALUES!$B$1:$BR$1,1,$AA406)))</f>
        <v/>
      </c>
    </row>
    <row r="407" spans="1:29" hidden="1" outlineLevel="1" x14ac:dyDescent="0.3">
      <c r="A407" s="22" t="s">
        <v>84</v>
      </c>
      <c r="B407" s="41" t="str">
        <f t="shared" si="30"/>
        <v/>
      </c>
      <c r="C407" s="42">
        <f t="shared" si="34"/>
        <v>406</v>
      </c>
      <c r="D407" s="38"/>
      <c r="E407" s="38"/>
      <c r="F407" s="38" t="s">
        <v>9</v>
      </c>
      <c r="G407" s="38" t="s">
        <v>9</v>
      </c>
      <c r="H407" s="38"/>
      <c r="I407" s="38" t="s">
        <v>9</v>
      </c>
      <c r="J407" s="38"/>
      <c r="K407" s="14" t="s">
        <v>44</v>
      </c>
      <c r="L407" s="14" t="s">
        <v>27</v>
      </c>
      <c r="M407" s="20" t="s">
        <v>1496</v>
      </c>
      <c r="N407" s="14" t="s">
        <v>1494</v>
      </c>
      <c r="O407" s="43">
        <v>3</v>
      </c>
      <c r="R407" s="38" t="s">
        <v>104</v>
      </c>
      <c r="S407" s="38"/>
      <c r="T407" s="38"/>
      <c r="W407" s="15" t="str">
        <f>IF(IFERROR(VLOOKUP($M407,'IMPORT GS-Tür OL FL 2S2 20'!$H$2:$H$847,1,0),"-")="-","","GS")</f>
        <v>GS</v>
      </c>
      <c r="Z407" s="59" t="str">
        <f>IF(OR($M407="",NOT($O407="{array}")),"",IFERROR(MATCH(PARAMETERS!$M407,DEFAULT!$B$5:$CG$5,0),""))</f>
        <v/>
      </c>
      <c r="AA407" s="56" t="str">
        <f t="shared" si="33"/>
        <v/>
      </c>
      <c r="AB407" s="63" t="str">
        <f>IF(AND(OR($A407="G",$A407="P"),NOT($O407="{array}")),IF(VLOOKUP($K407,base!$B$2:$D$20,3,0)="S",IF(OR($O407="",ISTEXT($O407)),"","STRING!"),IF(VLOOKUP($K407,base!$B$2:$D$20,3,0)="","",IF(ISTEXT($O407),"NUMERIC!",""))),"")</f>
        <v/>
      </c>
      <c r="AC407" s="17" t="str">
        <f>IF($AA407="","",IF($B407="I",VLOOKUP($AA407,#REF!,53,0),INDEX(VALUES!$B$1:$BR$1,1,$AA407)))</f>
        <v/>
      </c>
    </row>
    <row r="408" spans="1:29" hidden="1" outlineLevel="1" x14ac:dyDescent="0.3">
      <c r="A408" s="22" t="s">
        <v>84</v>
      </c>
      <c r="B408" s="41" t="str">
        <f t="shared" si="30"/>
        <v/>
      </c>
      <c r="C408" s="42">
        <f t="shared" si="34"/>
        <v>407</v>
      </c>
      <c r="D408" s="38"/>
      <c r="E408" s="38"/>
      <c r="F408" s="38" t="s">
        <v>9</v>
      </c>
      <c r="G408" s="38"/>
      <c r="H408" s="38"/>
      <c r="I408" s="38" t="s">
        <v>9</v>
      </c>
      <c r="J408" s="38"/>
      <c r="K408" s="14" t="s">
        <v>44</v>
      </c>
      <c r="L408" s="14" t="s">
        <v>27</v>
      </c>
      <c r="M408" s="20" t="s">
        <v>1497</v>
      </c>
      <c r="N408" s="14" t="s">
        <v>1498</v>
      </c>
      <c r="O408" s="43">
        <v>1</v>
      </c>
      <c r="R408" s="38" t="s">
        <v>104</v>
      </c>
      <c r="S408" s="38"/>
      <c r="T408" s="38"/>
      <c r="W408" s="15" t="str">
        <f>IF(IFERROR(VLOOKUP($M408,'IMPORT GS-Tür OL FL 2S2 20'!$H$2:$H$847,1,0),"-")="-","","GS")</f>
        <v>GS</v>
      </c>
      <c r="Z408" s="59" t="str">
        <f>IF(OR($M408="",NOT($O408="{array}")),"",IFERROR(MATCH(PARAMETERS!$M408,DEFAULT!$B$5:$CG$5,0),""))</f>
        <v/>
      </c>
      <c r="AA408" s="56" t="str">
        <f t="shared" si="33"/>
        <v/>
      </c>
      <c r="AB408" s="63" t="str">
        <f>IF(AND(OR($A408="G",$A408="P"),NOT($O408="{array}")),IF(VLOOKUP($K408,base!$B$2:$D$20,3,0)="S",IF(OR($O408="",ISTEXT($O408)),"","STRING!"),IF(VLOOKUP($K408,base!$B$2:$D$20,3,0)="","",IF(ISTEXT($O408),"NUMERIC!",""))),"")</f>
        <v/>
      </c>
      <c r="AC408" s="17" t="str">
        <f>IF($AA408="","",IF($B408="I",VLOOKUP($AA408,#REF!,53,0),INDEX(VALUES!$B$1:$BR$1,1,$AA408)))</f>
        <v/>
      </c>
    </row>
    <row r="409" spans="1:29" hidden="1" outlineLevel="1" x14ac:dyDescent="0.3">
      <c r="A409" s="22" t="s">
        <v>84</v>
      </c>
      <c r="B409" s="41" t="str">
        <f t="shared" si="30"/>
        <v/>
      </c>
      <c r="C409" s="42">
        <f t="shared" si="34"/>
        <v>408</v>
      </c>
      <c r="D409" s="38"/>
      <c r="E409" s="38"/>
      <c r="F409" s="38" t="s">
        <v>9</v>
      </c>
      <c r="G409" s="38"/>
      <c r="H409" s="38"/>
      <c r="I409" s="38" t="s">
        <v>9</v>
      </c>
      <c r="J409" s="38"/>
      <c r="K409" s="14" t="s">
        <v>18</v>
      </c>
      <c r="L409" s="14" t="s">
        <v>27</v>
      </c>
      <c r="M409" s="20" t="s">
        <v>1499</v>
      </c>
      <c r="N409" s="14" t="s">
        <v>1500</v>
      </c>
      <c r="O409" s="43" t="s">
        <v>1498</v>
      </c>
      <c r="R409" s="38" t="s">
        <v>104</v>
      </c>
      <c r="S409" s="38"/>
      <c r="T409" s="38"/>
      <c r="W409" s="15" t="str">
        <f>IF(IFERROR(VLOOKUP($M409,'IMPORT GS-Tür OL FL 2S2 20'!$H$2:$H$847,1,0),"-")="-","","GS")</f>
        <v>GS</v>
      </c>
      <c r="Z409" s="59" t="str">
        <f>IF(OR($M409="",NOT($O409="{array}")),"",IFERROR(MATCH(PARAMETERS!$M409,DEFAULT!$B$5:$CG$5,0),""))</f>
        <v/>
      </c>
      <c r="AA409" s="56" t="str">
        <f t="shared" si="33"/>
        <v/>
      </c>
      <c r="AB409" s="63" t="str">
        <f>IF(AND(OR($A409="G",$A409="P"),NOT($O409="{array}")),IF(VLOOKUP($K409,base!$B$2:$D$20,3,0)="S",IF(OR($O409="",ISTEXT($O409)),"","STRING!"),IF(VLOOKUP($K409,base!$B$2:$D$20,3,0)="","",IF(ISTEXT($O409),"NUMERIC!",""))),"")</f>
        <v/>
      </c>
      <c r="AC409" s="17" t="str">
        <f>IF($AA409="","",IF($B409="I",VLOOKUP($AA409,#REF!,53,0),INDEX(VALUES!$B$1:$BR$1,1,$AA409)))</f>
        <v/>
      </c>
    </row>
    <row r="410" spans="1:29" hidden="1" outlineLevel="1" x14ac:dyDescent="0.3">
      <c r="A410" s="22" t="s">
        <v>84</v>
      </c>
      <c r="B410" s="41" t="str">
        <f t="shared" si="30"/>
        <v/>
      </c>
      <c r="C410" s="42">
        <f t="shared" si="34"/>
        <v>409</v>
      </c>
      <c r="D410" s="38"/>
      <c r="E410" s="38"/>
      <c r="F410" s="38" t="s">
        <v>9</v>
      </c>
      <c r="G410" s="38"/>
      <c r="H410" s="38"/>
      <c r="I410" s="38" t="s">
        <v>9</v>
      </c>
      <c r="J410" s="38"/>
      <c r="K410" s="14" t="s">
        <v>24</v>
      </c>
      <c r="L410" s="14" t="s">
        <v>27</v>
      </c>
      <c r="M410" s="20" t="s">
        <v>1501</v>
      </c>
      <c r="N410" s="14" t="s">
        <v>1502</v>
      </c>
      <c r="O410" s="43">
        <v>0</v>
      </c>
      <c r="R410" s="38" t="s">
        <v>104</v>
      </c>
      <c r="S410" s="38"/>
      <c r="T410" s="38"/>
      <c r="W410" s="15" t="str">
        <f>IF(IFERROR(VLOOKUP($M410,'IMPORT GS-Tür OL FL 2S2 20'!$H$2:$H$847,1,0),"-")="-","","GS")</f>
        <v>GS</v>
      </c>
      <c r="Z410" s="59" t="str">
        <f>IF(OR($M410="",NOT($O410="{array}")),"",IFERROR(MATCH(PARAMETERS!$M410,DEFAULT!$B$5:$CG$5,0),""))</f>
        <v/>
      </c>
      <c r="AA410" s="56" t="str">
        <f t="shared" si="33"/>
        <v/>
      </c>
      <c r="AB410" s="63" t="str">
        <f>IF(AND(OR($A410="G",$A410="P"),NOT($O410="{array}")),IF(VLOOKUP($K410,base!$B$2:$D$20,3,0)="S",IF(OR($O410="",ISTEXT($O410)),"","STRING!"),IF(VLOOKUP($K410,base!$B$2:$D$20,3,0)="","",IF(ISTEXT($O410),"NUMERIC!",""))),"")</f>
        <v/>
      </c>
      <c r="AC410" s="17" t="str">
        <f>IF($AA410="","",IF($B410="I",VLOOKUP($AA410,#REF!,53,0),INDEX(VALUES!$B$1:$BR$1,1,$AA410)))</f>
        <v/>
      </c>
    </row>
    <row r="411" spans="1:29" hidden="1" outlineLevel="1" x14ac:dyDescent="0.3">
      <c r="A411" s="22" t="s">
        <v>84</v>
      </c>
      <c r="B411" s="41" t="str">
        <f t="shared" si="30"/>
        <v/>
      </c>
      <c r="C411" s="42">
        <f t="shared" si="34"/>
        <v>410</v>
      </c>
      <c r="D411" s="38"/>
      <c r="E411" s="38"/>
      <c r="F411" s="38" t="s">
        <v>9</v>
      </c>
      <c r="G411" s="38"/>
      <c r="H411" s="38"/>
      <c r="I411" s="38" t="s">
        <v>9</v>
      </c>
      <c r="J411" s="38"/>
      <c r="K411" s="14" t="s">
        <v>44</v>
      </c>
      <c r="L411" s="14" t="s">
        <v>27</v>
      </c>
      <c r="M411" s="20" t="s">
        <v>1503</v>
      </c>
      <c r="N411" s="14" t="s">
        <v>1504</v>
      </c>
      <c r="O411" s="43">
        <v>1</v>
      </c>
      <c r="R411" s="38" t="s">
        <v>104</v>
      </c>
      <c r="S411" s="38"/>
      <c r="T411" s="38"/>
      <c r="W411" s="15" t="str">
        <f>IF(IFERROR(VLOOKUP($M411,'IMPORT GS-Tür OL FL 2S2 20'!$H$2:$H$847,1,0),"-")="-","","GS")</f>
        <v>GS</v>
      </c>
      <c r="Z411" s="59" t="str">
        <f>IF(OR($M411="",NOT($O411="{array}")),"",IFERROR(MATCH(PARAMETERS!$M411,DEFAULT!$B$5:$CG$5,0),""))</f>
        <v/>
      </c>
      <c r="AA411" s="56" t="str">
        <f t="shared" si="33"/>
        <v/>
      </c>
      <c r="AB411" s="63" t="str">
        <f>IF(AND(OR($A411="G",$A411="P"),NOT($O411="{array}")),IF(VLOOKUP($K411,base!$B$2:$D$20,3,0)="S",IF(OR($O411="",ISTEXT($O411)),"","STRING!"),IF(VLOOKUP($K411,base!$B$2:$D$20,3,0)="","",IF(ISTEXT($O411),"NUMERIC!",""))),"")</f>
        <v/>
      </c>
      <c r="AC411" s="17" t="str">
        <f>IF($AA411="","",IF($B411="I",VLOOKUP($AA411,#REF!,53,0),INDEX(VALUES!$B$1:$BR$1,1,$AA411)))</f>
        <v/>
      </c>
    </row>
    <row r="412" spans="1:29" hidden="1" outlineLevel="1" x14ac:dyDescent="0.3">
      <c r="A412" s="22" t="s">
        <v>84</v>
      </c>
      <c r="B412" s="41" t="str">
        <f t="shared" si="30"/>
        <v/>
      </c>
      <c r="C412" s="42">
        <f t="shared" si="34"/>
        <v>411</v>
      </c>
      <c r="D412" s="38"/>
      <c r="E412" s="38"/>
      <c r="F412" s="38" t="s">
        <v>9</v>
      </c>
      <c r="G412" s="38"/>
      <c r="H412" s="38"/>
      <c r="I412" s="38" t="s">
        <v>9</v>
      </c>
      <c r="J412" s="38"/>
      <c r="K412" s="14" t="s">
        <v>18</v>
      </c>
      <c r="L412" s="14" t="s">
        <v>27</v>
      </c>
      <c r="M412" s="20" t="s">
        <v>1505</v>
      </c>
      <c r="N412" s="14" t="s">
        <v>1506</v>
      </c>
      <c r="O412" s="43" t="s">
        <v>1504</v>
      </c>
      <c r="R412" s="38" t="s">
        <v>104</v>
      </c>
      <c r="S412" s="38"/>
      <c r="T412" s="38"/>
      <c r="W412" s="15" t="str">
        <f>IF(IFERROR(VLOOKUP($M412,'IMPORT GS-Tür OL FL 2S2 20'!$H$2:$H$847,1,0),"-")="-","","GS")</f>
        <v>GS</v>
      </c>
      <c r="Z412" s="59" t="str">
        <f>IF(OR($M412="",NOT($O412="{array}")),"",IFERROR(MATCH(PARAMETERS!$M412,DEFAULT!$B$5:$CG$5,0),""))</f>
        <v/>
      </c>
      <c r="AA412" s="56" t="str">
        <f t="shared" si="33"/>
        <v/>
      </c>
      <c r="AB412" s="63" t="str">
        <f>IF(AND(OR($A412="G",$A412="P"),NOT($O412="{array}")),IF(VLOOKUP($K412,base!$B$2:$D$20,3,0)="S",IF(OR($O412="",ISTEXT($O412)),"","STRING!"),IF(VLOOKUP($K412,base!$B$2:$D$20,3,0)="","",IF(ISTEXT($O412),"NUMERIC!",""))),"")</f>
        <v/>
      </c>
      <c r="AC412" s="17" t="str">
        <f>IF($AA412="","",IF($B412="I",VLOOKUP($AA412,#REF!,53,0),INDEX(VALUES!$B$1:$BR$1,1,$AA412)))</f>
        <v/>
      </c>
    </row>
    <row r="413" spans="1:29" hidden="1" outlineLevel="1" x14ac:dyDescent="0.3">
      <c r="A413" s="22" t="s">
        <v>84</v>
      </c>
      <c r="B413" s="41" t="str">
        <f t="shared" si="30"/>
        <v/>
      </c>
      <c r="C413" s="42">
        <f t="shared" si="34"/>
        <v>412</v>
      </c>
      <c r="D413" s="38"/>
      <c r="E413" s="38"/>
      <c r="F413" s="38" t="s">
        <v>9</v>
      </c>
      <c r="G413" s="38"/>
      <c r="H413" s="38"/>
      <c r="I413" s="38" t="s">
        <v>9</v>
      </c>
      <c r="J413" s="38"/>
      <c r="K413" s="14" t="s">
        <v>24</v>
      </c>
      <c r="L413" s="14" t="s">
        <v>27</v>
      </c>
      <c r="M413" s="20" t="s">
        <v>1507</v>
      </c>
      <c r="N413" s="14" t="s">
        <v>1508</v>
      </c>
      <c r="O413" s="43">
        <v>0</v>
      </c>
      <c r="R413" s="38" t="s">
        <v>104</v>
      </c>
      <c r="S413" s="38"/>
      <c r="T413" s="38"/>
      <c r="W413" s="15" t="str">
        <f>IF(IFERROR(VLOOKUP($M413,'IMPORT GS-Tür OL FL 2S2 20'!$H$2:$H$847,1,0),"-")="-","","GS")</f>
        <v>GS</v>
      </c>
      <c r="Z413" s="59" t="str">
        <f>IF(OR($M413="",NOT($O413="{array}")),"",IFERROR(MATCH(PARAMETERS!$M413,DEFAULT!$B$5:$CG$5,0),""))</f>
        <v/>
      </c>
      <c r="AA413" s="56" t="str">
        <f t="shared" si="33"/>
        <v/>
      </c>
      <c r="AB413" s="63" t="str">
        <f>IF(AND(OR($A413="G",$A413="P"),NOT($O413="{array}")),IF(VLOOKUP($K413,base!$B$2:$D$20,3,0)="S",IF(OR($O413="",ISTEXT($O413)),"","STRING!"),IF(VLOOKUP($K413,base!$B$2:$D$20,3,0)="","",IF(ISTEXT($O413),"NUMERIC!",""))),"")</f>
        <v/>
      </c>
      <c r="AC413" s="17" t="str">
        <f>IF($AA413="","",IF($B413="I",VLOOKUP($AA413,#REF!,53,0),INDEX(VALUES!$B$1:$BR$1,1,$AA413)))</f>
        <v/>
      </c>
    </row>
    <row r="414" spans="1:29" hidden="1" outlineLevel="1" x14ac:dyDescent="0.3">
      <c r="A414" s="22" t="s">
        <v>84</v>
      </c>
      <c r="B414" s="41" t="str">
        <f t="shared" si="30"/>
        <v/>
      </c>
      <c r="C414" s="42">
        <f t="shared" si="34"/>
        <v>413</v>
      </c>
      <c r="D414" s="38"/>
      <c r="E414" s="38"/>
      <c r="F414" s="38" t="s">
        <v>9</v>
      </c>
      <c r="G414" s="38"/>
      <c r="H414" s="38"/>
      <c r="I414" s="38" t="s">
        <v>9</v>
      </c>
      <c r="J414" s="38"/>
      <c r="K414" s="14" t="s">
        <v>44</v>
      </c>
      <c r="L414" s="14" t="s">
        <v>27</v>
      </c>
      <c r="M414" s="20" t="s">
        <v>1509</v>
      </c>
      <c r="N414" s="14" t="s">
        <v>1510</v>
      </c>
      <c r="O414" s="43">
        <v>1</v>
      </c>
      <c r="R414" s="38" t="s">
        <v>104</v>
      </c>
      <c r="S414" s="38"/>
      <c r="T414" s="38"/>
      <c r="W414" s="15" t="str">
        <f>IF(IFERROR(VLOOKUP($M414,'IMPORT GS-Tür OL FL 2S2 20'!$H$2:$H$847,1,0),"-")="-","","GS")</f>
        <v>GS</v>
      </c>
      <c r="Z414" s="59" t="str">
        <f>IF(OR($M414="",NOT($O414="{array}")),"",IFERROR(MATCH(PARAMETERS!$M414,DEFAULT!$B$5:$CG$5,0),""))</f>
        <v/>
      </c>
      <c r="AA414" s="56" t="str">
        <f t="shared" si="33"/>
        <v/>
      </c>
      <c r="AB414" s="63" t="str">
        <f>IF(AND(OR($A414="G",$A414="P"),NOT($O414="{array}")),IF(VLOOKUP($K414,base!$B$2:$D$20,3,0)="S",IF(OR($O414="",ISTEXT($O414)),"","STRING!"),IF(VLOOKUP($K414,base!$B$2:$D$20,3,0)="","",IF(ISTEXT($O414),"NUMERIC!",""))),"")</f>
        <v/>
      </c>
      <c r="AC414" s="17" t="str">
        <f>IF($AA414="","",IF($B414="I",VLOOKUP($AA414,#REF!,53,0),INDEX(VALUES!$B$1:$BR$1,1,$AA414)))</f>
        <v/>
      </c>
    </row>
    <row r="415" spans="1:29" hidden="1" outlineLevel="1" x14ac:dyDescent="0.3">
      <c r="A415" s="22" t="s">
        <v>84</v>
      </c>
      <c r="B415" s="41" t="str">
        <f t="shared" si="30"/>
        <v/>
      </c>
      <c r="C415" s="42">
        <f t="shared" si="34"/>
        <v>414</v>
      </c>
      <c r="D415" s="38"/>
      <c r="E415" s="38"/>
      <c r="F415" s="38" t="s">
        <v>9</v>
      </c>
      <c r="G415" s="38"/>
      <c r="H415" s="38"/>
      <c r="I415" s="38" t="s">
        <v>9</v>
      </c>
      <c r="J415" s="38"/>
      <c r="K415" s="14" t="s">
        <v>18</v>
      </c>
      <c r="L415" s="14" t="s">
        <v>27</v>
      </c>
      <c r="M415" s="20" t="s">
        <v>1511</v>
      </c>
      <c r="N415" s="14" t="s">
        <v>1512</v>
      </c>
      <c r="O415" s="43" t="s">
        <v>1510</v>
      </c>
      <c r="R415" s="38" t="s">
        <v>104</v>
      </c>
      <c r="S415" s="38"/>
      <c r="T415" s="38"/>
      <c r="W415" s="15" t="str">
        <f>IF(IFERROR(VLOOKUP($M415,'IMPORT GS-Tür OL FL 2S2 20'!$H$2:$H$847,1,0),"-")="-","","GS")</f>
        <v>GS</v>
      </c>
      <c r="Z415" s="59" t="str">
        <f>IF(OR($M415="",NOT($O415="{array}")),"",IFERROR(MATCH(PARAMETERS!$M415,DEFAULT!$B$5:$CG$5,0),""))</f>
        <v/>
      </c>
      <c r="AA415" s="56" t="str">
        <f t="shared" si="33"/>
        <v/>
      </c>
      <c r="AB415" s="63" t="str">
        <f>IF(AND(OR($A415="G",$A415="P"),NOT($O415="{array}")),IF(VLOOKUP($K415,base!$B$2:$D$20,3,0)="S",IF(OR($O415="",ISTEXT($O415)),"","STRING!"),IF(VLOOKUP($K415,base!$B$2:$D$20,3,0)="","",IF(ISTEXT($O415),"NUMERIC!",""))),"")</f>
        <v/>
      </c>
      <c r="AC415" s="17" t="str">
        <f>IF($AA415="","",IF($B415="I",VLOOKUP($AA415,#REF!,53,0),INDEX(VALUES!$B$1:$BR$1,1,$AA415)))</f>
        <v/>
      </c>
    </row>
    <row r="416" spans="1:29" hidden="1" outlineLevel="1" x14ac:dyDescent="0.3">
      <c r="A416" s="22" t="s">
        <v>84</v>
      </c>
      <c r="B416" s="41" t="str">
        <f t="shared" si="30"/>
        <v/>
      </c>
      <c r="C416" s="42">
        <f t="shared" si="34"/>
        <v>415</v>
      </c>
      <c r="D416" s="38"/>
      <c r="E416" s="38"/>
      <c r="F416" s="38" t="s">
        <v>9</v>
      </c>
      <c r="G416" s="38"/>
      <c r="H416" s="38"/>
      <c r="I416" s="38" t="s">
        <v>9</v>
      </c>
      <c r="J416" s="38"/>
      <c r="K416" s="14" t="s">
        <v>24</v>
      </c>
      <c r="L416" s="14" t="s">
        <v>27</v>
      </c>
      <c r="M416" s="20" t="s">
        <v>1513</v>
      </c>
      <c r="N416" s="14" t="s">
        <v>1508</v>
      </c>
      <c r="O416" s="43">
        <v>0</v>
      </c>
      <c r="R416" s="38" t="s">
        <v>104</v>
      </c>
      <c r="S416" s="38"/>
      <c r="T416" s="38"/>
      <c r="W416" s="15" t="str">
        <f>IF(IFERROR(VLOOKUP($M416,'IMPORT GS-Tür OL FL 2S2 20'!$H$2:$H$847,1,0),"-")="-","","GS")</f>
        <v>GS</v>
      </c>
      <c r="Z416" s="59" t="str">
        <f>IF(OR($M416="",NOT($O416="{array}")),"",IFERROR(MATCH(PARAMETERS!$M416,DEFAULT!$B$5:$CG$5,0),""))</f>
        <v/>
      </c>
      <c r="AA416" s="56" t="str">
        <f t="shared" si="33"/>
        <v/>
      </c>
      <c r="AB416" s="63" t="str">
        <f>IF(AND(OR($A416="G",$A416="P"),NOT($O416="{array}")),IF(VLOOKUP($K416,base!$B$2:$D$20,3,0)="S",IF(OR($O416="",ISTEXT($O416)),"","STRING!"),IF(VLOOKUP($K416,base!$B$2:$D$20,3,0)="","",IF(ISTEXT($O416),"NUMERIC!",""))),"")</f>
        <v/>
      </c>
      <c r="AC416" s="17" t="str">
        <f>IF($AA416="","",IF($B416="I",VLOOKUP($AA416,#REF!,53,0),INDEX(VALUES!$B$1:$BR$1,1,$AA416)))</f>
        <v/>
      </c>
    </row>
    <row r="417" spans="1:29" hidden="1" outlineLevel="1" x14ac:dyDescent="0.3">
      <c r="A417" s="22" t="s">
        <v>84</v>
      </c>
      <c r="B417" s="41" t="str">
        <f t="shared" ref="B417:B456" si="35">IF($A417="P",IF(NOT($Z417=""),"A",IF(NOT($AA417=""),"I","")),IF(NOT($AA417=""),IF($A417="G","V","X"),IF(NOT($Z417=""),"A","")))</f>
        <v/>
      </c>
      <c r="C417" s="42">
        <f t="shared" si="34"/>
        <v>416</v>
      </c>
      <c r="D417" s="38"/>
      <c r="E417" s="38"/>
      <c r="F417" s="38" t="s">
        <v>9</v>
      </c>
      <c r="G417" s="38"/>
      <c r="H417" s="38"/>
      <c r="I417" s="38" t="s">
        <v>9</v>
      </c>
      <c r="J417" s="38"/>
      <c r="K417" s="14" t="s">
        <v>44</v>
      </c>
      <c r="L417" s="14" t="s">
        <v>27</v>
      </c>
      <c r="M417" s="20" t="s">
        <v>1514</v>
      </c>
      <c r="N417" s="14" t="s">
        <v>461</v>
      </c>
      <c r="O417" s="43">
        <v>1</v>
      </c>
      <c r="R417" s="38" t="s">
        <v>104</v>
      </c>
      <c r="S417" s="38"/>
      <c r="T417" s="38"/>
      <c r="W417" s="15" t="str">
        <f>IF(IFERROR(VLOOKUP($M417,'IMPORT GS-Tür OL FL 2S2 20'!$H$2:$H$847,1,0),"-")="-","","GS")</f>
        <v>GS</v>
      </c>
      <c r="Z417" s="59" t="str">
        <f>IF(OR($M417="",NOT($O417="{array}")),"",IFERROR(MATCH(PARAMETERS!$M417,DEFAULT!$B$5:$CG$5,0),""))</f>
        <v/>
      </c>
      <c r="AA417" s="56" t="str">
        <f t="shared" si="33"/>
        <v/>
      </c>
      <c r="AB417" s="63" t="str">
        <f>IF(AND(OR($A417="G",$A417="P"),NOT($O417="{array}")),IF(VLOOKUP($K417,base!$B$2:$D$20,3,0)="S",IF(OR($O417="",ISTEXT($O417)),"","STRING!"),IF(VLOOKUP($K417,base!$B$2:$D$20,3,0)="","",IF(ISTEXT($O417),"NUMERIC!",""))),"")</f>
        <v/>
      </c>
      <c r="AC417" s="17" t="str">
        <f>IF($AA417="","",IF($B417="I",VLOOKUP($AA417,#REF!,53,0),INDEX(VALUES!$B$1:$BR$1,1,$AA417)))</f>
        <v/>
      </c>
    </row>
    <row r="418" spans="1:29" hidden="1" outlineLevel="1" x14ac:dyDescent="0.3">
      <c r="A418" s="22" t="s">
        <v>84</v>
      </c>
      <c r="B418" s="41" t="str">
        <f t="shared" si="35"/>
        <v/>
      </c>
      <c r="C418" s="42">
        <f t="shared" si="34"/>
        <v>417</v>
      </c>
      <c r="D418" s="38"/>
      <c r="E418" s="38"/>
      <c r="F418" s="38" t="s">
        <v>9</v>
      </c>
      <c r="G418" s="38"/>
      <c r="H418" s="38"/>
      <c r="I418" s="38" t="s">
        <v>9</v>
      </c>
      <c r="J418" s="38"/>
      <c r="K418" s="14" t="s">
        <v>18</v>
      </c>
      <c r="L418" s="14" t="s">
        <v>27</v>
      </c>
      <c r="M418" s="20" t="s">
        <v>1515</v>
      </c>
      <c r="N418" s="14" t="s">
        <v>1516</v>
      </c>
      <c r="O418" s="43" t="s">
        <v>461</v>
      </c>
      <c r="R418" s="38" t="s">
        <v>104</v>
      </c>
      <c r="S418" s="38"/>
      <c r="T418" s="38"/>
      <c r="W418" s="15" t="str">
        <f>IF(IFERROR(VLOOKUP($M418,'IMPORT GS-Tür OL FL 2S2 20'!$H$2:$H$847,1,0),"-")="-","","GS")</f>
        <v>GS</v>
      </c>
      <c r="Z418" s="59" t="str">
        <f>IF(OR($M418="",NOT($O418="{array}")),"",IFERROR(MATCH(PARAMETERS!$M418,DEFAULT!$B$5:$CG$5,0),""))</f>
        <v/>
      </c>
      <c r="AA418" s="56" t="str">
        <f t="shared" si="33"/>
        <v/>
      </c>
      <c r="AB418" s="63" t="str">
        <f>IF(AND(OR($A418="G",$A418="P"),NOT($O418="{array}")),IF(VLOOKUP($K418,base!$B$2:$D$20,3,0)="S",IF(OR($O418="",ISTEXT($O418)),"","STRING!"),IF(VLOOKUP($K418,base!$B$2:$D$20,3,0)="","",IF(ISTEXT($O418),"NUMERIC!",""))),"")</f>
        <v/>
      </c>
      <c r="AC418" s="17" t="str">
        <f>IF($AA418="","",IF($B418="I",VLOOKUP($AA418,#REF!,53,0),INDEX(VALUES!$B$1:$BR$1,1,$AA418)))</f>
        <v/>
      </c>
    </row>
    <row r="419" spans="1:29" hidden="1" outlineLevel="1" x14ac:dyDescent="0.3">
      <c r="A419" s="22" t="s">
        <v>84</v>
      </c>
      <c r="B419" s="41" t="str">
        <f t="shared" si="35"/>
        <v/>
      </c>
      <c r="C419" s="42">
        <f t="shared" si="34"/>
        <v>418</v>
      </c>
      <c r="D419" s="38"/>
      <c r="E419" s="38"/>
      <c r="F419" s="38" t="s">
        <v>9</v>
      </c>
      <c r="G419" s="38"/>
      <c r="H419" s="38"/>
      <c r="I419" s="38" t="s">
        <v>9</v>
      </c>
      <c r="J419" s="38"/>
      <c r="K419" s="14" t="s">
        <v>24</v>
      </c>
      <c r="L419" s="14" t="s">
        <v>27</v>
      </c>
      <c r="M419" s="20" t="s">
        <v>1517</v>
      </c>
      <c r="N419" s="14" t="s">
        <v>1518</v>
      </c>
      <c r="O419" s="43">
        <v>0</v>
      </c>
      <c r="R419" s="38" t="s">
        <v>104</v>
      </c>
      <c r="S419" s="38"/>
      <c r="T419" s="38"/>
      <c r="W419" s="15" t="str">
        <f>IF(IFERROR(VLOOKUP($M419,'IMPORT GS-Tür OL FL 2S2 20'!$H$2:$H$847,1,0),"-")="-","","GS")</f>
        <v>GS</v>
      </c>
      <c r="Z419" s="59" t="str">
        <f>IF(OR($M419="",NOT($O419="{array}")),"",IFERROR(MATCH(PARAMETERS!$M419,DEFAULT!$B$5:$CG$5,0),""))</f>
        <v/>
      </c>
      <c r="AA419" s="56" t="str">
        <f t="shared" si="33"/>
        <v/>
      </c>
      <c r="AB419" s="63" t="str">
        <f>IF(AND(OR($A419="G",$A419="P"),NOT($O419="{array}")),IF(VLOOKUP($K419,base!$B$2:$D$20,3,0)="S",IF(OR($O419="",ISTEXT($O419)),"","STRING!"),IF(VLOOKUP($K419,base!$B$2:$D$20,3,0)="","",IF(ISTEXT($O419),"NUMERIC!",""))),"")</f>
        <v/>
      </c>
      <c r="AC419" s="17" t="str">
        <f>IF($AA419="","",IF($B419="I",VLOOKUP($AA419,#REF!,53,0),INDEX(VALUES!$B$1:$BR$1,1,$AA419)))</f>
        <v/>
      </c>
    </row>
    <row r="420" spans="1:29" hidden="1" outlineLevel="1" x14ac:dyDescent="0.3">
      <c r="A420" s="22" t="s">
        <v>84</v>
      </c>
      <c r="B420" s="41" t="str">
        <f t="shared" si="35"/>
        <v/>
      </c>
      <c r="C420" s="42">
        <f t="shared" si="34"/>
        <v>419</v>
      </c>
      <c r="D420" s="38"/>
      <c r="E420" s="38"/>
      <c r="F420" s="38" t="s">
        <v>9</v>
      </c>
      <c r="G420" s="38"/>
      <c r="H420" s="38"/>
      <c r="I420" s="38" t="s">
        <v>9</v>
      </c>
      <c r="J420" s="38"/>
      <c r="K420" s="14" t="s">
        <v>18</v>
      </c>
      <c r="L420" s="14" t="s">
        <v>27</v>
      </c>
      <c r="M420" s="20" t="s">
        <v>1519</v>
      </c>
      <c r="N420" s="14" t="s">
        <v>1520</v>
      </c>
      <c r="O420" s="43" t="s">
        <v>1521</v>
      </c>
      <c r="R420" s="38" t="s">
        <v>104</v>
      </c>
      <c r="S420" s="38"/>
      <c r="T420" s="38"/>
      <c r="W420" s="15" t="str">
        <f>IF(IFERROR(VLOOKUP($M420,'IMPORT GS-Tür OL FL 2S2 20'!$H$2:$H$847,1,0),"-")="-","","GS")</f>
        <v>GS</v>
      </c>
      <c r="Z420" s="59" t="str">
        <f>IF(OR($M420="",NOT($O420="{array}")),"",IFERROR(MATCH(PARAMETERS!$M420,DEFAULT!$B$5:$CG$5,0),""))</f>
        <v/>
      </c>
      <c r="AA420" s="56" t="str">
        <f t="shared" si="33"/>
        <v/>
      </c>
      <c r="AB420" s="63" t="str">
        <f>IF(AND(OR($A420="G",$A420="P"),NOT($O420="{array}")),IF(VLOOKUP($K420,base!$B$2:$D$20,3,0)="S",IF(OR($O420="",ISTEXT($O420)),"","STRING!"),IF(VLOOKUP($K420,base!$B$2:$D$20,3,0)="","",IF(ISTEXT($O420),"NUMERIC!",""))),"")</f>
        <v/>
      </c>
      <c r="AC420" s="17" t="str">
        <f>IF($AA420="","",IF($B420="I",VLOOKUP($AA420,#REF!,53,0),INDEX(VALUES!$B$1:$BR$1,1,$AA420)))</f>
        <v/>
      </c>
    </row>
    <row r="421" spans="1:29" hidden="1" outlineLevel="1" x14ac:dyDescent="0.3">
      <c r="A421" s="22" t="s">
        <v>84</v>
      </c>
      <c r="B421" s="41" t="str">
        <f t="shared" si="35"/>
        <v/>
      </c>
      <c r="C421" s="42">
        <f t="shared" si="34"/>
        <v>420</v>
      </c>
      <c r="D421" s="38"/>
      <c r="E421" s="38"/>
      <c r="F421" s="38" t="s">
        <v>9</v>
      </c>
      <c r="G421" s="38" t="s">
        <v>9</v>
      </c>
      <c r="H421" s="38"/>
      <c r="I421" s="38" t="s">
        <v>9</v>
      </c>
      <c r="J421" s="38"/>
      <c r="K421" s="14" t="s">
        <v>44</v>
      </c>
      <c r="L421" s="14" t="s">
        <v>27</v>
      </c>
      <c r="M421" s="20" t="s">
        <v>1522</v>
      </c>
      <c r="N421" s="14" t="s">
        <v>1523</v>
      </c>
      <c r="O421" s="43">
        <v>2</v>
      </c>
      <c r="R421" s="38" t="s">
        <v>104</v>
      </c>
      <c r="S421" s="38"/>
      <c r="T421" s="38"/>
      <c r="W421" s="15" t="str">
        <f>IF(IFERROR(VLOOKUP($M421,'IMPORT GS-Tür OL FL 2S2 20'!$H$2:$H$847,1,0),"-")="-","","GS")</f>
        <v>GS</v>
      </c>
      <c r="Z421" s="59" t="str">
        <f>IF(OR($M421="",NOT($O421="{array}")),"",IFERROR(MATCH(PARAMETERS!$M421,DEFAULT!$B$5:$CG$5,0),""))</f>
        <v/>
      </c>
      <c r="AA421" s="56" t="str">
        <f t="shared" si="33"/>
        <v/>
      </c>
      <c r="AB421" s="63" t="str">
        <f>IF(AND(OR($A421="G",$A421="P"),NOT($O421="{array}")),IF(VLOOKUP($K421,base!$B$2:$D$20,3,0)="S",IF(OR($O421="",ISTEXT($O421)),"","STRING!"),IF(VLOOKUP($K421,base!$B$2:$D$20,3,0)="","",IF(ISTEXT($O421),"NUMERIC!",""))),"")</f>
        <v/>
      </c>
      <c r="AC421" s="17" t="str">
        <f>IF($AA421="","",IF($B421="I",VLOOKUP($AA421,#REF!,53,0),INDEX(VALUES!$B$1:$BR$1,1,$AA421)))</f>
        <v/>
      </c>
    </row>
    <row r="422" spans="1:29" hidden="1" outlineLevel="1" x14ac:dyDescent="0.3">
      <c r="A422" s="22" t="s">
        <v>84</v>
      </c>
      <c r="B422" s="41" t="str">
        <f t="shared" si="35"/>
        <v/>
      </c>
      <c r="C422" s="42">
        <f t="shared" si="34"/>
        <v>421</v>
      </c>
      <c r="D422" s="38"/>
      <c r="E422" s="38"/>
      <c r="F422" s="38" t="s">
        <v>9</v>
      </c>
      <c r="G422" s="38"/>
      <c r="H422" s="38"/>
      <c r="I422" s="38" t="s">
        <v>9</v>
      </c>
      <c r="J422" s="38"/>
      <c r="K422" s="14" t="s">
        <v>18</v>
      </c>
      <c r="L422" s="14" t="s">
        <v>27</v>
      </c>
      <c r="M422" s="20" t="s">
        <v>1524</v>
      </c>
      <c r="N422" s="14" t="s">
        <v>1525</v>
      </c>
      <c r="O422" s="43" t="s">
        <v>1359</v>
      </c>
      <c r="R422" s="38" t="s">
        <v>104</v>
      </c>
      <c r="S422" s="38"/>
      <c r="T422" s="38"/>
      <c r="W422" s="15" t="str">
        <f>IF(IFERROR(VLOOKUP($M422,'IMPORT GS-Tür OL FL 2S2 20'!$H$2:$H$847,1,0),"-")="-","","GS")</f>
        <v>GS</v>
      </c>
      <c r="Z422" s="59" t="str">
        <f>IF(OR($M422="",NOT($O422="{array}")),"",IFERROR(MATCH(PARAMETERS!$M422,DEFAULT!$B$5:$CG$5,0),""))</f>
        <v/>
      </c>
      <c r="AA422" s="56" t="str">
        <f t="shared" si="33"/>
        <v/>
      </c>
      <c r="AB422" s="63" t="str">
        <f>IF(AND(OR($A422="G",$A422="P"),NOT($O422="{array}")),IF(VLOOKUP($K422,base!$B$2:$D$20,3,0)="S",IF(OR($O422="",ISTEXT($O422)),"","STRING!"),IF(VLOOKUP($K422,base!$B$2:$D$20,3,0)="","",IF(ISTEXT($O422),"NUMERIC!",""))),"")</f>
        <v/>
      </c>
      <c r="AC422" s="17" t="str">
        <f>IF($AA422="","",IF($B422="I",VLOOKUP($AA422,#REF!,53,0),INDEX(VALUES!$B$1:$BR$1,1,$AA422)))</f>
        <v/>
      </c>
    </row>
    <row r="423" spans="1:29" hidden="1" outlineLevel="1" x14ac:dyDescent="0.3">
      <c r="A423" s="22" t="s">
        <v>84</v>
      </c>
      <c r="B423" s="41" t="str">
        <f t="shared" si="35"/>
        <v/>
      </c>
      <c r="C423" s="42">
        <f t="shared" si="34"/>
        <v>422</v>
      </c>
      <c r="D423" s="38"/>
      <c r="E423" s="38"/>
      <c r="F423" s="38" t="s">
        <v>9</v>
      </c>
      <c r="G423" s="38"/>
      <c r="H423" s="38"/>
      <c r="I423" s="38" t="s">
        <v>9</v>
      </c>
      <c r="J423" s="38"/>
      <c r="K423" s="14" t="s">
        <v>24</v>
      </c>
      <c r="L423" s="14" t="s">
        <v>27</v>
      </c>
      <c r="M423" s="20" t="s">
        <v>1526</v>
      </c>
      <c r="N423" s="14" t="s">
        <v>1527</v>
      </c>
      <c r="O423" s="43">
        <v>7.4999999999999997E-2</v>
      </c>
      <c r="R423" s="38" t="s">
        <v>104</v>
      </c>
      <c r="S423" s="38"/>
      <c r="T423" s="38"/>
      <c r="W423" s="15" t="str">
        <f>IF(IFERROR(VLOOKUP($M423,'IMPORT GS-Tür OL FL 2S2 20'!$H$2:$H$847,1,0),"-")="-","","GS")</f>
        <v>GS</v>
      </c>
      <c r="Z423" s="59" t="str">
        <f>IF(OR($M423="",NOT($O423="{array}")),"",IFERROR(MATCH(PARAMETERS!$M423,DEFAULT!$B$5:$CG$5,0),""))</f>
        <v/>
      </c>
      <c r="AA423" s="56" t="str">
        <f t="shared" ref="AA423:AA456" si="36">IF($M423="","",IFERROR(MATCH($M423,VALUESnames,0),""))</f>
        <v/>
      </c>
      <c r="AB423" s="63" t="str">
        <f>IF(AND(OR($A423="G",$A423="P"),NOT($O423="{array}")),IF(VLOOKUP($K423,base!$B$2:$D$20,3,0)="S",IF(OR($O423="",ISTEXT($O423)),"","STRING!"),IF(VLOOKUP($K423,base!$B$2:$D$20,3,0)="","",IF(ISTEXT($O423),"NUMERIC!",""))),"")</f>
        <v/>
      </c>
      <c r="AC423" s="17" t="str">
        <f>IF($AA423="","",IF($B423="I",VLOOKUP($AA423,#REF!,53,0),INDEX(VALUES!$B$1:$BR$1,1,$AA423)))</f>
        <v/>
      </c>
    </row>
    <row r="424" spans="1:29" hidden="1" outlineLevel="1" x14ac:dyDescent="0.3">
      <c r="A424" s="22" t="s">
        <v>84</v>
      </c>
      <c r="B424" s="41" t="str">
        <f t="shared" si="35"/>
        <v/>
      </c>
      <c r="C424" s="42">
        <f t="shared" ref="C424:C456" si="37">(ROW()-1)</f>
        <v>423</v>
      </c>
      <c r="D424" s="38"/>
      <c r="E424" s="38"/>
      <c r="F424" s="38" t="s">
        <v>9</v>
      </c>
      <c r="G424" s="38"/>
      <c r="H424" s="38"/>
      <c r="I424" s="38" t="s">
        <v>9</v>
      </c>
      <c r="J424" s="38"/>
      <c r="K424" s="14" t="s">
        <v>36</v>
      </c>
      <c r="L424" s="14" t="s">
        <v>27</v>
      </c>
      <c r="M424" s="20" t="s">
        <v>1528</v>
      </c>
      <c r="N424" s="14" t="s">
        <v>1529</v>
      </c>
      <c r="O424" s="43">
        <v>1.5</v>
      </c>
      <c r="R424" s="38" t="s">
        <v>104</v>
      </c>
      <c r="S424" s="38"/>
      <c r="T424" s="38"/>
      <c r="W424" s="15" t="str">
        <f>IF(IFERROR(VLOOKUP($M424,'IMPORT GS-Tür OL FL 2S2 20'!$H$2:$H$847,1,0),"-")="-","","GS")</f>
        <v>GS</v>
      </c>
      <c r="Z424" s="59" t="str">
        <f>IF(OR($M424="",NOT($O424="{array}")),"",IFERROR(MATCH(PARAMETERS!$M424,DEFAULT!$B$5:$CG$5,0),""))</f>
        <v/>
      </c>
      <c r="AA424" s="56" t="str">
        <f t="shared" si="36"/>
        <v/>
      </c>
      <c r="AB424" s="63" t="str">
        <f>IF(AND(OR($A424="G",$A424="P"),NOT($O424="{array}")),IF(VLOOKUP($K424,base!$B$2:$D$20,3,0)="S",IF(OR($O424="",ISTEXT($O424)),"","STRING!"),IF(VLOOKUP($K424,base!$B$2:$D$20,3,0)="","",IF(ISTEXT($O424),"NUMERIC!",""))),"")</f>
        <v/>
      </c>
      <c r="AC424" s="17" t="str">
        <f>IF($AA424="","",IF($B424="I",VLOOKUP($AA424,#REF!,53,0),INDEX(VALUES!$B$1:$BR$1,1,$AA424)))</f>
        <v/>
      </c>
    </row>
    <row r="425" spans="1:29" hidden="1" outlineLevel="1" x14ac:dyDescent="0.3">
      <c r="A425" s="22" t="s">
        <v>84</v>
      </c>
      <c r="B425" s="41" t="str">
        <f t="shared" si="35"/>
        <v/>
      </c>
      <c r="C425" s="42">
        <f t="shared" si="37"/>
        <v>424</v>
      </c>
      <c r="D425" s="38"/>
      <c r="E425" s="38"/>
      <c r="F425" s="38" t="s">
        <v>9</v>
      </c>
      <c r="G425" s="38"/>
      <c r="H425" s="38"/>
      <c r="I425" s="38" t="s">
        <v>9</v>
      </c>
      <c r="J425" s="38"/>
      <c r="K425" s="14" t="s">
        <v>53</v>
      </c>
      <c r="L425" s="14" t="s">
        <v>27</v>
      </c>
      <c r="M425" s="20" t="s">
        <v>1530</v>
      </c>
      <c r="N425" s="14" t="s">
        <v>1531</v>
      </c>
      <c r="O425" s="43">
        <v>1</v>
      </c>
      <c r="R425" s="38" t="s">
        <v>104</v>
      </c>
      <c r="S425" s="38"/>
      <c r="T425" s="38"/>
      <c r="W425" s="15" t="str">
        <f>IF(IFERROR(VLOOKUP($M425,'IMPORT GS-Tür OL FL 2S2 20'!$H$2:$H$847,1,0),"-")="-","","GS")</f>
        <v>GS</v>
      </c>
      <c r="Z425" s="59" t="str">
        <f>IF(OR($M425="",NOT($O425="{array}")),"",IFERROR(MATCH(PARAMETERS!$M425,DEFAULT!$B$5:$CG$5,0),""))</f>
        <v/>
      </c>
      <c r="AA425" s="56" t="str">
        <f t="shared" si="36"/>
        <v/>
      </c>
      <c r="AB425" s="63" t="str">
        <f>IF(AND(OR($A425="G",$A425="P"),NOT($O425="{array}")),IF(VLOOKUP($K425,base!$B$2:$D$20,3,0)="S",IF(OR($O425="",ISTEXT($O425)),"","STRING!"),IF(VLOOKUP($K425,base!$B$2:$D$20,3,0)="","",IF(ISTEXT($O425),"NUMERIC!",""))),"")</f>
        <v/>
      </c>
      <c r="AC425" s="17" t="str">
        <f>IF($AA425="","",IF($B425="I",VLOOKUP($AA425,#REF!,53,0),INDEX(VALUES!$B$1:$BR$1,1,$AA425)))</f>
        <v/>
      </c>
    </row>
    <row r="426" spans="1:29" hidden="1" outlineLevel="1" x14ac:dyDescent="0.3">
      <c r="A426" s="22" t="s">
        <v>84</v>
      </c>
      <c r="B426" s="41" t="str">
        <f t="shared" si="35"/>
        <v/>
      </c>
      <c r="C426" s="42">
        <f t="shared" si="37"/>
        <v>425</v>
      </c>
      <c r="D426" s="38"/>
      <c r="E426" s="38"/>
      <c r="F426" s="38" t="s">
        <v>9</v>
      </c>
      <c r="G426" s="38"/>
      <c r="H426" s="38"/>
      <c r="I426" s="38" t="s">
        <v>9</v>
      </c>
      <c r="J426" s="38"/>
      <c r="K426" s="14" t="s">
        <v>24</v>
      </c>
      <c r="L426" s="14" t="s">
        <v>27</v>
      </c>
      <c r="M426" s="20" t="s">
        <v>1532</v>
      </c>
      <c r="N426" s="14" t="s">
        <v>1533</v>
      </c>
      <c r="O426" s="43">
        <v>0</v>
      </c>
      <c r="R426" s="38" t="s">
        <v>104</v>
      </c>
      <c r="S426" s="38"/>
      <c r="T426" s="38"/>
      <c r="W426" s="15" t="str">
        <f>IF(IFERROR(VLOOKUP($M426,'IMPORT GS-Tür OL FL 2S2 20'!$H$2:$H$847,1,0),"-")="-","","GS")</f>
        <v>GS</v>
      </c>
      <c r="Z426" s="59" t="str">
        <f>IF(OR($M426="",NOT($O426="{array}")),"",IFERROR(MATCH(PARAMETERS!$M426,DEFAULT!$B$5:$CG$5,0),""))</f>
        <v/>
      </c>
      <c r="AA426" s="56" t="str">
        <f t="shared" si="36"/>
        <v/>
      </c>
      <c r="AB426" s="63" t="str">
        <f>IF(AND(OR($A426="G",$A426="P"),NOT($O426="{array}")),IF(VLOOKUP($K426,base!$B$2:$D$20,3,0)="S",IF(OR($O426="",ISTEXT($O426)),"","STRING!"),IF(VLOOKUP($K426,base!$B$2:$D$20,3,0)="","",IF(ISTEXT($O426),"NUMERIC!",""))),"")</f>
        <v/>
      </c>
      <c r="AC426" s="17" t="str">
        <f>IF($AA426="","",IF($B426="I",VLOOKUP($AA426,#REF!,53,0),INDEX(VALUES!$B$1:$BR$1,1,$AA426)))</f>
        <v/>
      </c>
    </row>
    <row r="427" spans="1:29" hidden="1" outlineLevel="1" x14ac:dyDescent="0.3">
      <c r="A427" s="22" t="s">
        <v>84</v>
      </c>
      <c r="B427" s="41" t="str">
        <f t="shared" si="35"/>
        <v/>
      </c>
      <c r="C427" s="42">
        <f t="shared" si="37"/>
        <v>426</v>
      </c>
      <c r="D427" s="38"/>
      <c r="E427" s="38"/>
      <c r="F427" s="38"/>
      <c r="G427" s="38" t="s">
        <v>9</v>
      </c>
      <c r="H427" s="38"/>
      <c r="I427" s="38" t="s">
        <v>9</v>
      </c>
      <c r="J427" s="38"/>
      <c r="K427" s="14" t="s">
        <v>36</v>
      </c>
      <c r="L427" s="14" t="s">
        <v>27</v>
      </c>
      <c r="M427" s="20" t="s">
        <v>1534</v>
      </c>
      <c r="N427" s="14" t="s">
        <v>1535</v>
      </c>
      <c r="O427" s="43">
        <v>0</v>
      </c>
      <c r="R427" s="38" t="s">
        <v>104</v>
      </c>
      <c r="S427" s="38"/>
      <c r="T427" s="38"/>
      <c r="W427" s="15" t="str">
        <f>IF(IFERROR(VLOOKUP($M427,'IMPORT GS-Tür OL FL 2S2 20'!$H$2:$H$847,1,0),"-")="-","","GS")</f>
        <v>GS</v>
      </c>
      <c r="Z427" s="59" t="str">
        <f>IF(OR($M427="",NOT($O427="{array}")),"",IFERROR(MATCH(PARAMETERS!$M427,DEFAULT!$B$5:$CG$5,0),""))</f>
        <v/>
      </c>
      <c r="AA427" s="56" t="str">
        <f t="shared" si="36"/>
        <v/>
      </c>
      <c r="AB427" s="63" t="str">
        <f>IF(AND(OR($A427="G",$A427="P"),NOT($O427="{array}")),IF(VLOOKUP($K427,base!$B$2:$D$20,3,0)="S",IF(OR($O427="",ISTEXT($O427)),"","STRING!"),IF(VLOOKUP($K427,base!$B$2:$D$20,3,0)="","",IF(ISTEXT($O427),"NUMERIC!",""))),"")</f>
        <v/>
      </c>
      <c r="AC427" s="17" t="str">
        <f>IF($AA427="","",IF($B427="I",VLOOKUP($AA427,#REF!,53,0),INDEX(VALUES!$B$1:$BR$1,1,$AA427)))</f>
        <v/>
      </c>
    </row>
    <row r="428" spans="1:29" hidden="1" outlineLevel="1" x14ac:dyDescent="0.3">
      <c r="A428" s="22" t="s">
        <v>84</v>
      </c>
      <c r="B428" s="41" t="str">
        <f t="shared" si="35"/>
        <v/>
      </c>
      <c r="C428" s="42">
        <f t="shared" si="37"/>
        <v>427</v>
      </c>
      <c r="D428" s="38"/>
      <c r="E428" s="38"/>
      <c r="F428" s="38" t="s">
        <v>9</v>
      </c>
      <c r="G428" s="38"/>
      <c r="H428" s="38"/>
      <c r="I428" s="38" t="s">
        <v>9</v>
      </c>
      <c r="J428" s="38"/>
      <c r="K428" s="14" t="s">
        <v>36</v>
      </c>
      <c r="L428" s="14" t="s">
        <v>27</v>
      </c>
      <c r="M428" s="20" t="s">
        <v>1536</v>
      </c>
      <c r="N428" s="14" t="s">
        <v>1537</v>
      </c>
      <c r="O428" s="43">
        <v>0</v>
      </c>
      <c r="R428" s="38" t="s">
        <v>104</v>
      </c>
      <c r="S428" s="38"/>
      <c r="T428" s="38"/>
      <c r="W428" s="15" t="str">
        <f>IF(IFERROR(VLOOKUP($M428,'IMPORT GS-Tür OL FL 2S2 20'!$H$2:$H$847,1,0),"-")="-","","GS")</f>
        <v>GS</v>
      </c>
      <c r="Z428" s="59" t="str">
        <f>IF(OR($M428="",NOT($O428="{array}")),"",IFERROR(MATCH(PARAMETERS!$M428,DEFAULT!$B$5:$CG$5,0),""))</f>
        <v/>
      </c>
      <c r="AA428" s="56" t="str">
        <f t="shared" si="36"/>
        <v/>
      </c>
      <c r="AB428" s="63" t="str">
        <f>IF(AND(OR($A428="G",$A428="P"),NOT($O428="{array}")),IF(VLOOKUP($K428,base!$B$2:$D$20,3,0)="S",IF(OR($O428="",ISTEXT($O428)),"","STRING!"),IF(VLOOKUP($K428,base!$B$2:$D$20,3,0)="","",IF(ISTEXT($O428),"NUMERIC!",""))),"")</f>
        <v/>
      </c>
      <c r="AC428" s="17" t="str">
        <f>IF($AA428="","",IF($B428="I",VLOOKUP($AA428,#REF!,53,0),INDEX(VALUES!$B$1:$BR$1,1,$AA428)))</f>
        <v/>
      </c>
    </row>
    <row r="429" spans="1:29" hidden="1" outlineLevel="1" x14ac:dyDescent="0.3">
      <c r="A429" s="22" t="s">
        <v>84</v>
      </c>
      <c r="B429" s="41" t="str">
        <f t="shared" si="35"/>
        <v/>
      </c>
      <c r="C429" s="42">
        <f t="shared" si="37"/>
        <v>428</v>
      </c>
      <c r="D429" s="38"/>
      <c r="E429" s="38"/>
      <c r="F429" s="38" t="s">
        <v>9</v>
      </c>
      <c r="G429" s="38"/>
      <c r="H429" s="38"/>
      <c r="I429" s="38" t="s">
        <v>9</v>
      </c>
      <c r="J429" s="38"/>
      <c r="K429" s="14" t="s">
        <v>24</v>
      </c>
      <c r="L429" s="14" t="s">
        <v>27</v>
      </c>
      <c r="M429" s="20" t="s">
        <v>1538</v>
      </c>
      <c r="N429" s="14" t="s">
        <v>1539</v>
      </c>
      <c r="O429" s="43">
        <v>0.4</v>
      </c>
      <c r="R429" s="38" t="s">
        <v>104</v>
      </c>
      <c r="S429" s="38"/>
      <c r="T429" s="38"/>
      <c r="W429" s="15" t="str">
        <f>IF(IFERROR(VLOOKUP($M429,'IMPORT GS-Tür OL FL 2S2 20'!$H$2:$H$847,1,0),"-")="-","","GS")</f>
        <v>GS</v>
      </c>
      <c r="Z429" s="59" t="str">
        <f>IF(OR($M429="",NOT($O429="{array}")),"",IFERROR(MATCH(PARAMETERS!$M429,DEFAULT!$B$5:$CG$5,0),""))</f>
        <v/>
      </c>
      <c r="AA429" s="56" t="str">
        <f t="shared" si="36"/>
        <v/>
      </c>
      <c r="AB429" s="63" t="str">
        <f>IF(AND(OR($A429="G",$A429="P"),NOT($O429="{array}")),IF(VLOOKUP($K429,base!$B$2:$D$20,3,0)="S",IF(OR($O429="",ISTEXT($O429)),"","STRING!"),IF(VLOOKUP($K429,base!$B$2:$D$20,3,0)="","",IF(ISTEXT($O429),"NUMERIC!",""))),"")</f>
        <v/>
      </c>
      <c r="AC429" s="17" t="str">
        <f>IF($AA429="","",IF($B429="I",VLOOKUP($AA429,#REF!,53,0),INDEX(VALUES!$B$1:$BR$1,1,$AA429)))</f>
        <v/>
      </c>
    </row>
    <row r="430" spans="1:29" hidden="1" outlineLevel="1" x14ac:dyDescent="0.3">
      <c r="A430" s="22" t="s">
        <v>84</v>
      </c>
      <c r="B430" s="41" t="str">
        <f t="shared" si="35"/>
        <v/>
      </c>
      <c r="C430" s="42">
        <f t="shared" si="37"/>
        <v>429</v>
      </c>
      <c r="D430" s="38"/>
      <c r="E430" s="38"/>
      <c r="F430" s="38"/>
      <c r="G430" s="38" t="s">
        <v>9</v>
      </c>
      <c r="H430" s="38"/>
      <c r="I430" s="38" t="s">
        <v>9</v>
      </c>
      <c r="J430" s="38"/>
      <c r="K430" s="14" t="s">
        <v>36</v>
      </c>
      <c r="L430" s="14" t="s">
        <v>27</v>
      </c>
      <c r="M430" s="20" t="s">
        <v>1540</v>
      </c>
      <c r="N430" s="14" t="s">
        <v>1541</v>
      </c>
      <c r="O430" s="43">
        <v>0</v>
      </c>
      <c r="R430" s="38" t="s">
        <v>104</v>
      </c>
      <c r="S430" s="38"/>
      <c r="T430" s="38"/>
      <c r="W430" s="15" t="str">
        <f>IF(IFERROR(VLOOKUP($M430,'IMPORT GS-Tür OL FL 2S2 20'!$H$2:$H$847,1,0),"-")="-","","GS")</f>
        <v>GS</v>
      </c>
      <c r="Z430" s="59" t="str">
        <f>IF(OR($M430="",NOT($O430="{array}")),"",IFERROR(MATCH(PARAMETERS!$M430,DEFAULT!$B$5:$CG$5,0),""))</f>
        <v/>
      </c>
      <c r="AA430" s="56" t="str">
        <f t="shared" si="36"/>
        <v/>
      </c>
      <c r="AB430" s="63" t="str">
        <f>IF(AND(OR($A430="G",$A430="P"),NOT($O430="{array}")),IF(VLOOKUP($K430,base!$B$2:$D$20,3,0)="S",IF(OR($O430="",ISTEXT($O430)),"","STRING!"),IF(VLOOKUP($K430,base!$B$2:$D$20,3,0)="","",IF(ISTEXT($O430),"NUMERIC!",""))),"")</f>
        <v/>
      </c>
      <c r="AC430" s="17" t="str">
        <f>IF($AA430="","",IF($B430="I",VLOOKUP($AA430,#REF!,53,0),INDEX(VALUES!$B$1:$BR$1,1,$AA430)))</f>
        <v/>
      </c>
    </row>
    <row r="431" spans="1:29" hidden="1" outlineLevel="1" x14ac:dyDescent="0.3">
      <c r="A431" s="22" t="s">
        <v>84</v>
      </c>
      <c r="B431" s="41" t="str">
        <f t="shared" si="35"/>
        <v/>
      </c>
      <c r="C431" s="42">
        <f t="shared" si="37"/>
        <v>430</v>
      </c>
      <c r="D431" s="38"/>
      <c r="E431" s="38"/>
      <c r="F431" s="38" t="s">
        <v>9</v>
      </c>
      <c r="G431" s="38"/>
      <c r="H431" s="38"/>
      <c r="I431" s="38" t="s">
        <v>9</v>
      </c>
      <c r="J431" s="38"/>
      <c r="K431" s="14" t="s">
        <v>36</v>
      </c>
      <c r="L431" s="14" t="s">
        <v>27</v>
      </c>
      <c r="M431" s="20" t="s">
        <v>1542</v>
      </c>
      <c r="N431" s="14" t="s">
        <v>1543</v>
      </c>
      <c r="O431" s="43">
        <v>2</v>
      </c>
      <c r="R431" s="38" t="s">
        <v>104</v>
      </c>
      <c r="S431" s="38"/>
      <c r="T431" s="38"/>
      <c r="W431" s="15" t="str">
        <f>IF(IFERROR(VLOOKUP($M431,'IMPORT GS-Tür OL FL 2S2 20'!$H$2:$H$847,1,0),"-")="-","","GS")</f>
        <v>GS</v>
      </c>
      <c r="Z431" s="59" t="str">
        <f>IF(OR($M431="",NOT($O431="{array}")),"",IFERROR(MATCH(PARAMETERS!$M431,DEFAULT!$B$5:$CG$5,0),""))</f>
        <v/>
      </c>
      <c r="AA431" s="56" t="str">
        <f t="shared" si="36"/>
        <v/>
      </c>
      <c r="AB431" s="63" t="str">
        <f>IF(AND(OR($A431="G",$A431="P"),NOT($O431="{array}")),IF(VLOOKUP($K431,base!$B$2:$D$20,3,0)="S",IF(OR($O431="",ISTEXT($O431)),"","STRING!"),IF(VLOOKUP($K431,base!$B$2:$D$20,3,0)="","",IF(ISTEXT($O431),"NUMERIC!",""))),"")</f>
        <v/>
      </c>
      <c r="AC431" s="17" t="str">
        <f>IF($AA431="","",IF($B431="I",VLOOKUP($AA431,#REF!,53,0),INDEX(VALUES!$B$1:$BR$1,1,$AA431)))</f>
        <v/>
      </c>
    </row>
    <row r="432" spans="1:29" hidden="1" outlineLevel="1" x14ac:dyDescent="0.3">
      <c r="A432" s="22" t="s">
        <v>84</v>
      </c>
      <c r="B432" s="41" t="str">
        <f t="shared" si="35"/>
        <v/>
      </c>
      <c r="C432" s="42">
        <f t="shared" si="37"/>
        <v>431</v>
      </c>
      <c r="D432" s="38"/>
      <c r="E432" s="38"/>
      <c r="F432" s="38" t="s">
        <v>9</v>
      </c>
      <c r="G432" s="38"/>
      <c r="H432" s="38"/>
      <c r="I432" s="38" t="s">
        <v>9</v>
      </c>
      <c r="J432" s="38"/>
      <c r="K432" s="14" t="s">
        <v>47</v>
      </c>
      <c r="L432" s="14" t="s">
        <v>27</v>
      </c>
      <c r="M432" s="20" t="s">
        <v>1544</v>
      </c>
      <c r="N432" s="14" t="s">
        <v>1545</v>
      </c>
      <c r="O432" s="43">
        <v>0</v>
      </c>
      <c r="R432" s="38" t="s">
        <v>104</v>
      </c>
      <c r="S432" s="38"/>
      <c r="T432" s="38"/>
      <c r="W432" s="15" t="str">
        <f>IF(IFERROR(VLOOKUP($M432,'IMPORT GS-Tür OL FL 2S2 20'!$H$2:$H$847,1,0),"-")="-","","GS")</f>
        <v>GS</v>
      </c>
      <c r="Z432" s="59" t="str">
        <f>IF(OR($M432="",NOT($O432="{array}")),"",IFERROR(MATCH(PARAMETERS!$M432,DEFAULT!$B$5:$CG$5,0),""))</f>
        <v/>
      </c>
      <c r="AA432" s="56" t="str">
        <f t="shared" si="36"/>
        <v/>
      </c>
      <c r="AB432" s="63" t="str">
        <f>IF(AND(OR($A432="G",$A432="P"),NOT($O432="{array}")),IF(VLOOKUP($K432,base!$B$2:$D$20,3,0)="S",IF(OR($O432="",ISTEXT($O432)),"","STRING!"),IF(VLOOKUP($K432,base!$B$2:$D$20,3,0)="","",IF(ISTEXT($O432),"NUMERIC!",""))),"")</f>
        <v/>
      </c>
      <c r="AC432" s="17" t="str">
        <f>IF($AA432="","",IF($B432="I",VLOOKUP($AA432,#REF!,53,0),INDEX(VALUES!$B$1:$BR$1,1,$AA432)))</f>
        <v/>
      </c>
    </row>
    <row r="433" spans="1:29" hidden="1" outlineLevel="1" x14ac:dyDescent="0.3">
      <c r="A433" s="22" t="s">
        <v>84</v>
      </c>
      <c r="B433" s="41" t="str">
        <f t="shared" si="35"/>
        <v/>
      </c>
      <c r="C433" s="42">
        <f t="shared" si="37"/>
        <v>432</v>
      </c>
      <c r="D433" s="38"/>
      <c r="E433" s="38"/>
      <c r="F433" s="38" t="s">
        <v>9</v>
      </c>
      <c r="G433" s="38"/>
      <c r="H433" s="38"/>
      <c r="I433" s="38" t="s">
        <v>9</v>
      </c>
      <c r="J433" s="38"/>
      <c r="K433" s="14" t="s">
        <v>24</v>
      </c>
      <c r="L433" s="14" t="s">
        <v>27</v>
      </c>
      <c r="M433" s="20" t="s">
        <v>1546</v>
      </c>
      <c r="N433" s="14" t="s">
        <v>1547</v>
      </c>
      <c r="O433" s="43">
        <v>0.05</v>
      </c>
      <c r="R433" s="38" t="s">
        <v>104</v>
      </c>
      <c r="S433" s="38"/>
      <c r="T433" s="38"/>
      <c r="W433" s="15" t="str">
        <f>IF(IFERROR(VLOOKUP($M433,'IMPORT GS-Tür OL FL 2S2 20'!$H$2:$H$847,1,0),"-")="-","","GS")</f>
        <v>GS</v>
      </c>
      <c r="Z433" s="59" t="str">
        <f>IF(OR($M433="",NOT($O433="{array}")),"",IFERROR(MATCH(PARAMETERS!$M433,DEFAULT!$B$5:$CG$5,0),""))</f>
        <v/>
      </c>
      <c r="AA433" s="56" t="str">
        <f t="shared" si="36"/>
        <v/>
      </c>
      <c r="AB433" s="63" t="str">
        <f>IF(AND(OR($A433="G",$A433="P"),NOT($O433="{array}")),IF(VLOOKUP($K433,base!$B$2:$D$20,3,0)="S",IF(OR($O433="",ISTEXT($O433)),"","STRING!"),IF(VLOOKUP($K433,base!$B$2:$D$20,3,0)="","",IF(ISTEXT($O433),"NUMERIC!",""))),"")</f>
        <v/>
      </c>
      <c r="AC433" s="17" t="str">
        <f>IF($AA433="","",IF($B433="I",VLOOKUP($AA433,#REF!,53,0),INDEX(VALUES!$B$1:$BR$1,1,$AA433)))</f>
        <v/>
      </c>
    </row>
    <row r="434" spans="1:29" hidden="1" outlineLevel="1" x14ac:dyDescent="0.3">
      <c r="A434" s="22" t="s">
        <v>84</v>
      </c>
      <c r="B434" s="41" t="str">
        <f t="shared" si="35"/>
        <v/>
      </c>
      <c r="C434" s="42">
        <f t="shared" si="37"/>
        <v>433</v>
      </c>
      <c r="D434" s="38"/>
      <c r="E434" s="38"/>
      <c r="F434" s="38" t="s">
        <v>9</v>
      </c>
      <c r="G434" s="38"/>
      <c r="H434" s="38"/>
      <c r="I434" s="38" t="s">
        <v>9</v>
      </c>
      <c r="J434" s="38"/>
      <c r="K434" s="14" t="s">
        <v>36</v>
      </c>
      <c r="L434" s="14" t="s">
        <v>27</v>
      </c>
      <c r="M434" s="20" t="s">
        <v>1548</v>
      </c>
      <c r="N434" s="14" t="s">
        <v>1549</v>
      </c>
      <c r="O434" s="43">
        <v>1</v>
      </c>
      <c r="R434" s="38" t="s">
        <v>104</v>
      </c>
      <c r="S434" s="38"/>
      <c r="T434" s="38"/>
      <c r="W434" s="15" t="str">
        <f>IF(IFERROR(VLOOKUP($M434,'IMPORT GS-Tür OL FL 2S2 20'!$H$2:$H$847,1,0),"-")="-","","GS")</f>
        <v>GS</v>
      </c>
      <c r="Z434" s="59" t="str">
        <f>IF(OR($M434="",NOT($O434="{array}")),"",IFERROR(MATCH(PARAMETERS!$M434,DEFAULT!$B$5:$CG$5,0),""))</f>
        <v/>
      </c>
      <c r="AA434" s="56" t="str">
        <f t="shared" si="36"/>
        <v/>
      </c>
      <c r="AB434" s="63" t="str">
        <f>IF(AND(OR($A434="G",$A434="P"),NOT($O434="{array}")),IF(VLOOKUP($K434,base!$B$2:$D$20,3,0)="S",IF(OR($O434="",ISTEXT($O434)),"","STRING!"),IF(VLOOKUP($K434,base!$B$2:$D$20,3,0)="","",IF(ISTEXT($O434),"NUMERIC!",""))),"")</f>
        <v/>
      </c>
      <c r="AC434" s="17" t="str">
        <f>IF($AA434="","",IF($B434="I",VLOOKUP($AA434,#REF!,53,0),INDEX(VALUES!$B$1:$BR$1,1,$AA434)))</f>
        <v/>
      </c>
    </row>
    <row r="435" spans="1:29" hidden="1" outlineLevel="1" x14ac:dyDescent="0.3">
      <c r="A435" s="22" t="s">
        <v>84</v>
      </c>
      <c r="B435" s="41" t="str">
        <f t="shared" si="35"/>
        <v/>
      </c>
      <c r="C435" s="42">
        <f t="shared" si="37"/>
        <v>434</v>
      </c>
      <c r="D435" s="38"/>
      <c r="E435" s="38"/>
      <c r="F435" s="38" t="s">
        <v>9</v>
      </c>
      <c r="G435" s="38"/>
      <c r="H435" s="38"/>
      <c r="I435" s="38" t="s">
        <v>9</v>
      </c>
      <c r="J435" s="38"/>
      <c r="K435" s="14" t="s">
        <v>24</v>
      </c>
      <c r="L435" s="14" t="s">
        <v>27</v>
      </c>
      <c r="M435" s="20" t="s">
        <v>1550</v>
      </c>
      <c r="N435" s="14" t="s">
        <v>1551</v>
      </c>
      <c r="O435" s="43">
        <v>0</v>
      </c>
      <c r="R435" s="38" t="s">
        <v>104</v>
      </c>
      <c r="S435" s="38"/>
      <c r="T435" s="38"/>
      <c r="W435" s="15" t="str">
        <f>IF(IFERROR(VLOOKUP($M435,'IMPORT GS-Tür OL FL 2S2 20'!$H$2:$H$847,1,0),"-")="-","","GS")</f>
        <v>GS</v>
      </c>
      <c r="Z435" s="59" t="str">
        <f>IF(OR($M435="",NOT($O435="{array}")),"",IFERROR(MATCH(PARAMETERS!$M435,DEFAULT!$B$5:$CG$5,0),""))</f>
        <v/>
      </c>
      <c r="AA435" s="56" t="str">
        <f t="shared" si="36"/>
        <v/>
      </c>
      <c r="AB435" s="63" t="str">
        <f>IF(AND(OR($A435="G",$A435="P"),NOT($O435="{array}")),IF(VLOOKUP($K435,base!$B$2:$D$20,3,0)="S",IF(OR($O435="",ISTEXT($O435)),"","STRING!"),IF(VLOOKUP($K435,base!$B$2:$D$20,3,0)="","",IF(ISTEXT($O435),"NUMERIC!",""))),"")</f>
        <v/>
      </c>
      <c r="AC435" s="17" t="str">
        <f>IF($AA435="","",IF($B435="I",VLOOKUP($AA435,#REF!,53,0),INDEX(VALUES!$B$1:$BR$1,1,$AA435)))</f>
        <v/>
      </c>
    </row>
    <row r="436" spans="1:29" hidden="1" outlineLevel="1" x14ac:dyDescent="0.3">
      <c r="A436" s="22" t="s">
        <v>84</v>
      </c>
      <c r="B436" s="41" t="str">
        <f t="shared" si="35"/>
        <v/>
      </c>
      <c r="C436" s="42">
        <f t="shared" si="37"/>
        <v>435</v>
      </c>
      <c r="D436" s="38"/>
      <c r="E436" s="38"/>
      <c r="F436" s="38"/>
      <c r="G436" s="38" t="s">
        <v>9</v>
      </c>
      <c r="H436" s="38"/>
      <c r="I436" s="38" t="s">
        <v>9</v>
      </c>
      <c r="J436" s="38"/>
      <c r="K436" s="14" t="s">
        <v>31</v>
      </c>
      <c r="L436" s="14" t="s">
        <v>27</v>
      </c>
      <c r="M436" s="20" t="s">
        <v>1552</v>
      </c>
      <c r="N436" s="14" t="s">
        <v>1553</v>
      </c>
      <c r="O436" s="43">
        <v>0</v>
      </c>
      <c r="R436" s="38" t="s">
        <v>104</v>
      </c>
      <c r="S436" s="38"/>
      <c r="T436" s="38"/>
      <c r="W436" s="15" t="str">
        <f>IF(IFERROR(VLOOKUP($M436,'IMPORT GS-Tür OL FL 2S2 20'!$H$2:$H$847,1,0),"-")="-","","GS")</f>
        <v>GS</v>
      </c>
      <c r="Z436" s="59" t="str">
        <f>IF(OR($M436="",NOT($O436="{array}")),"",IFERROR(MATCH(PARAMETERS!$M436,DEFAULT!$B$5:$CG$5,0),""))</f>
        <v/>
      </c>
      <c r="AA436" s="56" t="str">
        <f t="shared" si="36"/>
        <v/>
      </c>
      <c r="AB436" s="63" t="str">
        <f>IF(AND(OR($A436="G",$A436="P"),NOT($O436="{array}")),IF(VLOOKUP($K436,base!$B$2:$D$20,3,0)="S",IF(OR($O436="",ISTEXT($O436)),"","STRING!"),IF(VLOOKUP($K436,base!$B$2:$D$20,3,0)="","",IF(ISTEXT($O436),"NUMERIC!",""))),"")</f>
        <v/>
      </c>
      <c r="AC436" s="17" t="str">
        <f>IF($AA436="","",IF($B436="I",VLOOKUP($AA436,#REF!,53,0),INDEX(VALUES!$B$1:$BR$1,1,$AA436)))</f>
        <v/>
      </c>
    </row>
    <row r="437" spans="1:29" hidden="1" outlineLevel="1" x14ac:dyDescent="0.3">
      <c r="A437" s="22" t="s">
        <v>84</v>
      </c>
      <c r="B437" s="41" t="str">
        <f t="shared" si="35"/>
        <v/>
      </c>
      <c r="C437" s="42">
        <f t="shared" si="37"/>
        <v>436</v>
      </c>
      <c r="D437" s="38"/>
      <c r="E437" s="38"/>
      <c r="F437" s="38" t="s">
        <v>9</v>
      </c>
      <c r="G437" s="38"/>
      <c r="H437" s="38" t="s">
        <v>9</v>
      </c>
      <c r="I437" s="38"/>
      <c r="J437" s="38"/>
      <c r="K437" s="14" t="s">
        <v>47</v>
      </c>
      <c r="L437" s="14" t="s">
        <v>27</v>
      </c>
      <c r="M437" s="20" t="s">
        <v>1554</v>
      </c>
      <c r="N437" s="14" t="s">
        <v>1555</v>
      </c>
      <c r="O437" s="43">
        <v>0</v>
      </c>
      <c r="R437" s="38" t="s">
        <v>104</v>
      </c>
      <c r="S437" s="38"/>
      <c r="T437" s="38"/>
      <c r="W437" s="15" t="str">
        <f>IF(IFERROR(VLOOKUP($M437,'IMPORT GS-Tür OL FL 2S2 20'!$H$2:$H$847,1,0),"-")="-","","GS")</f>
        <v>GS</v>
      </c>
      <c r="Z437" s="59" t="str">
        <f>IF(OR($M437="",NOT($O437="{array}")),"",IFERROR(MATCH(PARAMETERS!$M437,DEFAULT!$B$5:$CG$5,0),""))</f>
        <v/>
      </c>
      <c r="AA437" s="56" t="str">
        <f t="shared" si="36"/>
        <v/>
      </c>
      <c r="AB437" s="63" t="str">
        <f>IF(AND(OR($A437="G",$A437="P"),NOT($O437="{array}")),IF(VLOOKUP($K437,base!$B$2:$D$20,3,0)="S",IF(OR($O437="",ISTEXT($O437)),"","STRING!"),IF(VLOOKUP($K437,base!$B$2:$D$20,3,0)="","",IF(ISTEXT($O437),"NUMERIC!",""))),"")</f>
        <v/>
      </c>
      <c r="AC437" s="17" t="str">
        <f>IF($AA437="","",IF($B437="I",VLOOKUP($AA437,#REF!,53,0),INDEX(VALUES!$B$1:$BR$1,1,$AA437)))</f>
        <v/>
      </c>
    </row>
    <row r="438" spans="1:29" hidden="1" outlineLevel="1" x14ac:dyDescent="0.3">
      <c r="A438" s="22" t="s">
        <v>84</v>
      </c>
      <c r="B438" s="41" t="str">
        <f t="shared" si="35"/>
        <v/>
      </c>
      <c r="C438" s="42">
        <f t="shared" si="37"/>
        <v>437</v>
      </c>
      <c r="D438" s="38"/>
      <c r="E438" s="38"/>
      <c r="F438" s="38" t="s">
        <v>9</v>
      </c>
      <c r="G438" s="38"/>
      <c r="H438" s="38"/>
      <c r="I438" s="38" t="s">
        <v>9</v>
      </c>
      <c r="J438" s="38"/>
      <c r="K438" s="14" t="s">
        <v>44</v>
      </c>
      <c r="L438" s="14" t="s">
        <v>27</v>
      </c>
      <c r="M438" s="20" t="s">
        <v>1556</v>
      </c>
      <c r="N438" s="14" t="s">
        <v>1557</v>
      </c>
      <c r="O438" s="43">
        <v>1</v>
      </c>
      <c r="R438" s="38" t="s">
        <v>104</v>
      </c>
      <c r="S438" s="38"/>
      <c r="T438" s="38"/>
      <c r="W438" s="15" t="str">
        <f>IF(IFERROR(VLOOKUP($M438,'IMPORT GS-Tür OL FL 2S2 20'!$H$2:$H$847,1,0),"-")="-","","GS")</f>
        <v>GS</v>
      </c>
      <c r="Z438" s="59" t="str">
        <f>IF(OR($M438="",NOT($O438="{array}")),"",IFERROR(MATCH(PARAMETERS!$M438,DEFAULT!$B$5:$CG$5,0),""))</f>
        <v/>
      </c>
      <c r="AA438" s="56" t="str">
        <f t="shared" si="36"/>
        <v/>
      </c>
      <c r="AB438" s="63" t="str">
        <f>IF(AND(OR($A438="G",$A438="P"),NOT($O438="{array}")),IF(VLOOKUP($K438,base!$B$2:$D$20,3,0)="S",IF(OR($O438="",ISTEXT($O438)),"","STRING!"),IF(VLOOKUP($K438,base!$B$2:$D$20,3,0)="","",IF(ISTEXT($O438),"NUMERIC!",""))),"")</f>
        <v/>
      </c>
      <c r="AC438" s="17" t="str">
        <f>IF($AA438="","",IF($B438="I",VLOOKUP($AA438,#REF!,53,0),INDEX(VALUES!$B$1:$BR$1,1,$AA438)))</f>
        <v/>
      </c>
    </row>
    <row r="439" spans="1:29" hidden="1" outlineLevel="1" x14ac:dyDescent="0.3">
      <c r="A439" s="22" t="s">
        <v>84</v>
      </c>
      <c r="B439" s="41" t="str">
        <f t="shared" si="35"/>
        <v/>
      </c>
      <c r="C439" s="42">
        <f t="shared" si="37"/>
        <v>438</v>
      </c>
      <c r="D439" s="38"/>
      <c r="E439" s="38"/>
      <c r="F439" s="38" t="s">
        <v>9</v>
      </c>
      <c r="G439" s="38"/>
      <c r="H439" s="38"/>
      <c r="I439" s="38" t="s">
        <v>9</v>
      </c>
      <c r="J439" s="38"/>
      <c r="K439" s="14" t="s">
        <v>47</v>
      </c>
      <c r="L439" s="14" t="s">
        <v>27</v>
      </c>
      <c r="M439" s="20" t="s">
        <v>1558</v>
      </c>
      <c r="N439" s="14" t="s">
        <v>1559</v>
      </c>
      <c r="O439" s="43">
        <v>1</v>
      </c>
      <c r="R439" s="38" t="s">
        <v>104</v>
      </c>
      <c r="S439" s="38"/>
      <c r="T439" s="38"/>
      <c r="W439" s="15" t="str">
        <f>IF(IFERROR(VLOOKUP($M439,'IMPORT GS-Tür OL FL 2S2 20'!$H$2:$H$847,1,0),"-")="-","","GS")</f>
        <v>GS</v>
      </c>
      <c r="Z439" s="59" t="str">
        <f>IF(OR($M439="",NOT($O439="{array}")),"",IFERROR(MATCH(PARAMETERS!$M439,DEFAULT!$B$5:$CG$5,0),""))</f>
        <v/>
      </c>
      <c r="AA439" s="56" t="str">
        <f t="shared" si="36"/>
        <v/>
      </c>
      <c r="AB439" s="63" t="str">
        <f>IF(AND(OR($A439="G",$A439="P"),NOT($O439="{array}")),IF(VLOOKUP($K439,base!$B$2:$D$20,3,0)="S",IF(OR($O439="",ISTEXT($O439)),"","STRING!"),IF(VLOOKUP($K439,base!$B$2:$D$20,3,0)="","",IF(ISTEXT($O439),"NUMERIC!",""))),"")</f>
        <v/>
      </c>
      <c r="AC439" s="17" t="str">
        <f>IF($AA439="","",IF($B439="I",VLOOKUP($AA439,#REF!,53,0),INDEX(VALUES!$B$1:$BR$1,1,$AA439)))</f>
        <v/>
      </c>
    </row>
    <row r="440" spans="1:29" hidden="1" outlineLevel="1" x14ac:dyDescent="0.3">
      <c r="A440" s="22" t="s">
        <v>84</v>
      </c>
      <c r="B440" s="41" t="str">
        <f t="shared" si="35"/>
        <v/>
      </c>
      <c r="C440" s="42">
        <f t="shared" si="37"/>
        <v>439</v>
      </c>
      <c r="D440" s="38"/>
      <c r="E440" s="38"/>
      <c r="F440" s="38" t="s">
        <v>9</v>
      </c>
      <c r="G440" s="38"/>
      <c r="H440" s="38"/>
      <c r="I440" s="38" t="s">
        <v>9</v>
      </c>
      <c r="J440" s="38"/>
      <c r="K440" s="14" t="s">
        <v>18</v>
      </c>
      <c r="L440" s="14" t="s">
        <v>27</v>
      </c>
      <c r="M440" s="20" t="s">
        <v>1560</v>
      </c>
      <c r="N440" s="14" t="s">
        <v>1561</v>
      </c>
      <c r="O440" s="43" t="s">
        <v>1562</v>
      </c>
      <c r="R440" s="38" t="s">
        <v>104</v>
      </c>
      <c r="S440" s="38"/>
      <c r="T440" s="38"/>
      <c r="W440" s="15" t="str">
        <f>IF(IFERROR(VLOOKUP($M440,'IMPORT GS-Tür OL FL 2S2 20'!$H$2:$H$847,1,0),"-")="-","","GS")</f>
        <v>GS</v>
      </c>
      <c r="Z440" s="59" t="str">
        <f>IF(OR($M440="",NOT($O440="{array}")),"",IFERROR(MATCH(PARAMETERS!$M440,DEFAULT!$B$5:$CG$5,0),""))</f>
        <v/>
      </c>
      <c r="AA440" s="56" t="str">
        <f t="shared" si="36"/>
        <v/>
      </c>
      <c r="AB440" s="63" t="str">
        <f>IF(AND(OR($A440="G",$A440="P"),NOT($O440="{array}")),IF(VLOOKUP($K440,base!$B$2:$D$20,3,0)="S",IF(OR($O440="",ISTEXT($O440)),"","STRING!"),IF(VLOOKUP($K440,base!$B$2:$D$20,3,0)="","",IF(ISTEXT($O440),"NUMERIC!",""))),"")</f>
        <v/>
      </c>
      <c r="AC440" s="17" t="str">
        <f>IF($AA440="","",IF($B440="I",VLOOKUP($AA440,#REF!,53,0),INDEX(VALUES!$B$1:$BR$1,1,$AA440)))</f>
        <v/>
      </c>
    </row>
    <row r="441" spans="1:29" hidden="1" outlineLevel="1" x14ac:dyDescent="0.3">
      <c r="A441" s="22" t="s">
        <v>84</v>
      </c>
      <c r="B441" s="41" t="str">
        <f t="shared" si="35"/>
        <v/>
      </c>
      <c r="C441" s="42">
        <f t="shared" si="37"/>
        <v>440</v>
      </c>
      <c r="D441" s="38"/>
      <c r="E441" s="38"/>
      <c r="F441" s="38" t="s">
        <v>9</v>
      </c>
      <c r="G441" s="38"/>
      <c r="H441" s="38"/>
      <c r="I441" s="38" t="s">
        <v>9</v>
      </c>
      <c r="J441" s="38"/>
      <c r="K441" s="14" t="s">
        <v>47</v>
      </c>
      <c r="L441" s="14" t="s">
        <v>27</v>
      </c>
      <c r="M441" s="20" t="s">
        <v>1563</v>
      </c>
      <c r="N441" s="14" t="s">
        <v>1564</v>
      </c>
      <c r="O441" s="43">
        <v>1</v>
      </c>
      <c r="R441" s="38" t="s">
        <v>104</v>
      </c>
      <c r="S441" s="38"/>
      <c r="T441" s="38"/>
      <c r="W441" s="15" t="str">
        <f>IF(IFERROR(VLOOKUP($M441,'IMPORT GS-Tür OL FL 2S2 20'!$H$2:$H$847,1,0),"-")="-","","GS")</f>
        <v>GS</v>
      </c>
      <c r="Z441" s="59" t="str">
        <f>IF(OR($M441="",NOT($O441="{array}")),"",IFERROR(MATCH(PARAMETERS!$M441,DEFAULT!$B$5:$CG$5,0),""))</f>
        <v/>
      </c>
      <c r="AA441" s="56" t="str">
        <f t="shared" si="36"/>
        <v/>
      </c>
      <c r="AB441" s="63" t="str">
        <f>IF(AND(OR($A441="G",$A441="P"),NOT($O441="{array}")),IF(VLOOKUP($K441,base!$B$2:$D$20,3,0)="S",IF(OR($O441="",ISTEXT($O441)),"","STRING!"),IF(VLOOKUP($K441,base!$B$2:$D$20,3,0)="","",IF(ISTEXT($O441),"NUMERIC!",""))),"")</f>
        <v/>
      </c>
      <c r="AC441" s="17" t="str">
        <f>IF($AA441="","",IF($B441="I",VLOOKUP($AA441,#REF!,53,0),INDEX(VALUES!$B$1:$BR$1,1,$AA441)))</f>
        <v/>
      </c>
    </row>
    <row r="442" spans="1:29" hidden="1" outlineLevel="1" x14ac:dyDescent="0.3">
      <c r="A442" s="22" t="s">
        <v>84</v>
      </c>
      <c r="B442" s="41" t="str">
        <f t="shared" si="35"/>
        <v/>
      </c>
      <c r="C442" s="42">
        <f t="shared" si="37"/>
        <v>441</v>
      </c>
      <c r="D442" s="38"/>
      <c r="E442" s="38"/>
      <c r="F442" s="38" t="s">
        <v>9</v>
      </c>
      <c r="G442" s="38"/>
      <c r="H442" s="38"/>
      <c r="I442" s="38" t="s">
        <v>9</v>
      </c>
      <c r="J442" s="38"/>
      <c r="K442" s="14" t="s">
        <v>47</v>
      </c>
      <c r="L442" s="14" t="s">
        <v>27</v>
      </c>
      <c r="M442" s="20" t="s">
        <v>1565</v>
      </c>
      <c r="N442" s="14" t="s">
        <v>1566</v>
      </c>
      <c r="O442" s="43">
        <v>1</v>
      </c>
      <c r="R442" s="38" t="s">
        <v>104</v>
      </c>
      <c r="S442" s="38"/>
      <c r="T442" s="38"/>
      <c r="W442" s="15" t="str">
        <f>IF(IFERROR(VLOOKUP($M442,'IMPORT GS-Tür OL FL 2S2 20'!$H$2:$H$847,1,0),"-")="-","","GS")</f>
        <v>GS</v>
      </c>
      <c r="Z442" s="59" t="str">
        <f>IF(OR($M442="",NOT($O442="{array}")),"",IFERROR(MATCH(PARAMETERS!$M442,DEFAULT!$B$5:$CG$5,0),""))</f>
        <v/>
      </c>
      <c r="AA442" s="56" t="str">
        <f t="shared" si="36"/>
        <v/>
      </c>
      <c r="AB442" s="63" t="str">
        <f>IF(AND(OR($A442="G",$A442="P"),NOT($O442="{array}")),IF(VLOOKUP($K442,base!$B$2:$D$20,3,0)="S",IF(OR($O442="",ISTEXT($O442)),"","STRING!"),IF(VLOOKUP($K442,base!$B$2:$D$20,3,0)="","",IF(ISTEXT($O442),"NUMERIC!",""))),"")</f>
        <v/>
      </c>
      <c r="AC442" s="17" t="str">
        <f>IF($AA442="","",IF($B442="I",VLOOKUP($AA442,#REF!,53,0),INDEX(VALUES!$B$1:$BR$1,1,$AA442)))</f>
        <v/>
      </c>
    </row>
    <row r="443" spans="1:29" hidden="1" outlineLevel="1" x14ac:dyDescent="0.3">
      <c r="A443" s="22" t="s">
        <v>84</v>
      </c>
      <c r="B443" s="41" t="str">
        <f t="shared" si="35"/>
        <v/>
      </c>
      <c r="C443" s="42">
        <f t="shared" si="37"/>
        <v>442</v>
      </c>
      <c r="D443" s="38"/>
      <c r="E443" s="38"/>
      <c r="F443" s="38" t="s">
        <v>9</v>
      </c>
      <c r="G443" s="38"/>
      <c r="H443" s="38"/>
      <c r="I443" s="38" t="s">
        <v>9</v>
      </c>
      <c r="J443" s="38"/>
      <c r="K443" s="14" t="s">
        <v>24</v>
      </c>
      <c r="L443" s="14" t="s">
        <v>27</v>
      </c>
      <c r="M443" s="20" t="s">
        <v>1567</v>
      </c>
      <c r="N443" s="14" t="s">
        <v>1568</v>
      </c>
      <c r="O443" s="43">
        <v>0</v>
      </c>
      <c r="R443" s="38" t="s">
        <v>104</v>
      </c>
      <c r="S443" s="38"/>
      <c r="T443" s="38"/>
      <c r="W443" s="15" t="str">
        <f>IF(IFERROR(VLOOKUP($M443,'IMPORT GS-Tür OL FL 2S2 20'!$H$2:$H$847,1,0),"-")="-","","GS")</f>
        <v>GS</v>
      </c>
      <c r="Z443" s="59" t="str">
        <f>IF(OR($M443="",NOT($O443="{array}")),"",IFERROR(MATCH(PARAMETERS!$M443,DEFAULT!$B$5:$CG$5,0),""))</f>
        <v/>
      </c>
      <c r="AA443" s="56" t="str">
        <f t="shared" si="36"/>
        <v/>
      </c>
      <c r="AB443" s="63" t="str">
        <f>IF(AND(OR($A443="G",$A443="P"),NOT($O443="{array}")),IF(VLOOKUP($K443,base!$B$2:$D$20,3,0)="S",IF(OR($O443="",ISTEXT($O443)),"","STRING!"),IF(VLOOKUP($K443,base!$B$2:$D$20,3,0)="","",IF(ISTEXT($O443),"NUMERIC!",""))),"")</f>
        <v/>
      </c>
      <c r="AC443" s="17" t="str">
        <f>IF($AA443="","",IF($B443="I",VLOOKUP($AA443,#REF!,53,0),INDEX(VALUES!$B$1:$BR$1,1,$AA443)))</f>
        <v/>
      </c>
    </row>
    <row r="444" spans="1:29" hidden="1" outlineLevel="1" x14ac:dyDescent="0.3">
      <c r="A444" s="22" t="s">
        <v>84</v>
      </c>
      <c r="B444" s="41" t="str">
        <f t="shared" si="35"/>
        <v/>
      </c>
      <c r="C444" s="42">
        <f t="shared" si="37"/>
        <v>443</v>
      </c>
      <c r="D444" s="38"/>
      <c r="E444" s="38"/>
      <c r="F444" s="38" t="s">
        <v>9</v>
      </c>
      <c r="G444" s="38"/>
      <c r="H444" s="38"/>
      <c r="I444" s="38" t="s">
        <v>9</v>
      </c>
      <c r="J444" s="38"/>
      <c r="K444" s="14" t="s">
        <v>24</v>
      </c>
      <c r="L444" s="14" t="s">
        <v>27</v>
      </c>
      <c r="M444" s="20" t="s">
        <v>1569</v>
      </c>
      <c r="N444" s="14" t="s">
        <v>1570</v>
      </c>
      <c r="O444" s="43">
        <v>0.4</v>
      </c>
      <c r="R444" s="38" t="s">
        <v>104</v>
      </c>
      <c r="S444" s="38"/>
      <c r="T444" s="38"/>
      <c r="W444" s="15" t="str">
        <f>IF(IFERROR(VLOOKUP($M444,'IMPORT GS-Tür OL FL 2S2 20'!$H$2:$H$847,1,0),"-")="-","","GS")</f>
        <v>GS</v>
      </c>
      <c r="Z444" s="59" t="str">
        <f>IF(OR($M444="",NOT($O444="{array}")),"",IFERROR(MATCH(PARAMETERS!$M444,DEFAULT!$B$5:$CG$5,0),""))</f>
        <v/>
      </c>
      <c r="AA444" s="56" t="str">
        <f t="shared" si="36"/>
        <v/>
      </c>
      <c r="AB444" s="63" t="str">
        <f>IF(AND(OR($A444="G",$A444="P"),NOT($O444="{array}")),IF(VLOOKUP($K444,base!$B$2:$D$20,3,0)="S",IF(OR($O444="",ISTEXT($O444)),"","STRING!"),IF(VLOOKUP($K444,base!$B$2:$D$20,3,0)="","",IF(ISTEXT($O444),"NUMERIC!",""))),"")</f>
        <v/>
      </c>
      <c r="AC444" s="17" t="str">
        <f>IF($AA444="","",IF($B444="I",VLOOKUP($AA444,#REF!,53,0),INDEX(VALUES!$B$1:$BR$1,1,$AA444)))</f>
        <v/>
      </c>
    </row>
    <row r="445" spans="1:29" hidden="1" outlineLevel="1" x14ac:dyDescent="0.3">
      <c r="A445" s="22" t="s">
        <v>84</v>
      </c>
      <c r="B445" s="41" t="str">
        <f t="shared" si="35"/>
        <v/>
      </c>
      <c r="C445" s="42">
        <f t="shared" si="37"/>
        <v>444</v>
      </c>
      <c r="D445" s="38"/>
      <c r="E445" s="38"/>
      <c r="F445" s="38" t="s">
        <v>9</v>
      </c>
      <c r="G445" s="38"/>
      <c r="H445" s="38"/>
      <c r="I445" s="38" t="s">
        <v>9</v>
      </c>
      <c r="J445" s="38"/>
      <c r="K445" s="14" t="s">
        <v>36</v>
      </c>
      <c r="L445" s="14" t="s">
        <v>27</v>
      </c>
      <c r="M445" s="20" t="s">
        <v>1571</v>
      </c>
      <c r="N445" s="14" t="s">
        <v>1572</v>
      </c>
      <c r="O445" s="43">
        <v>0</v>
      </c>
      <c r="R445" s="38" t="s">
        <v>104</v>
      </c>
      <c r="S445" s="38"/>
      <c r="T445" s="38"/>
      <c r="W445" s="15" t="str">
        <f>IF(IFERROR(VLOOKUP($M445,'IMPORT GS-Tür OL FL 2S2 20'!$H$2:$H$847,1,0),"-")="-","","GS")</f>
        <v>GS</v>
      </c>
      <c r="Z445" s="59" t="str">
        <f>IF(OR($M445="",NOT($O445="{array}")),"",IFERROR(MATCH(PARAMETERS!$M445,DEFAULT!$B$5:$CG$5,0),""))</f>
        <v/>
      </c>
      <c r="AA445" s="56" t="str">
        <f t="shared" si="36"/>
        <v/>
      </c>
      <c r="AB445" s="63" t="str">
        <f>IF(AND(OR($A445="G",$A445="P"),NOT($O445="{array}")),IF(VLOOKUP($K445,base!$B$2:$D$20,3,0)="S",IF(OR($O445="",ISTEXT($O445)),"","STRING!"),IF(VLOOKUP($K445,base!$B$2:$D$20,3,0)="","",IF(ISTEXT($O445),"NUMERIC!",""))),"")</f>
        <v/>
      </c>
      <c r="AC445" s="17" t="str">
        <f>IF($AA445="","",IF($B445="I",VLOOKUP($AA445,#REF!,53,0),INDEX(VALUES!$B$1:$BR$1,1,$AA445)))</f>
        <v/>
      </c>
    </row>
    <row r="446" spans="1:29" hidden="1" outlineLevel="1" x14ac:dyDescent="0.3">
      <c r="A446" s="22" t="s">
        <v>84</v>
      </c>
      <c r="B446" s="41" t="str">
        <f t="shared" si="35"/>
        <v/>
      </c>
      <c r="C446" s="42">
        <f t="shared" si="37"/>
        <v>445</v>
      </c>
      <c r="D446" s="38"/>
      <c r="E446" s="38"/>
      <c r="F446" s="38" t="s">
        <v>9</v>
      </c>
      <c r="G446" s="38"/>
      <c r="H446" s="38"/>
      <c r="I446" s="38" t="s">
        <v>9</v>
      </c>
      <c r="J446" s="38"/>
      <c r="K446" s="14" t="s">
        <v>36</v>
      </c>
      <c r="L446" s="14" t="s">
        <v>27</v>
      </c>
      <c r="M446" s="20" t="s">
        <v>1573</v>
      </c>
      <c r="N446" s="14" t="s">
        <v>1574</v>
      </c>
      <c r="O446" s="43">
        <v>8</v>
      </c>
      <c r="R446" s="38" t="s">
        <v>104</v>
      </c>
      <c r="S446" s="38"/>
      <c r="T446" s="38"/>
      <c r="W446" s="15" t="str">
        <f>IF(IFERROR(VLOOKUP($M446,'IMPORT GS-Tür OL FL 2S2 20'!$H$2:$H$847,1,0),"-")="-","","GS")</f>
        <v>GS</v>
      </c>
      <c r="Z446" s="59" t="str">
        <f>IF(OR($M446="",NOT($O446="{array}")),"",IFERROR(MATCH(PARAMETERS!$M446,DEFAULT!$B$5:$CG$5,0),""))</f>
        <v/>
      </c>
      <c r="AA446" s="56" t="str">
        <f t="shared" si="36"/>
        <v/>
      </c>
      <c r="AB446" s="63" t="str">
        <f>IF(AND(OR($A446="G",$A446="P"),NOT($O446="{array}")),IF(VLOOKUP($K446,base!$B$2:$D$20,3,0)="S",IF(OR($O446="",ISTEXT($O446)),"","STRING!"),IF(VLOOKUP($K446,base!$B$2:$D$20,3,0)="","",IF(ISTEXT($O446),"NUMERIC!",""))),"")</f>
        <v/>
      </c>
      <c r="AC446" s="17" t="str">
        <f>IF($AA446="","",IF($B446="I",VLOOKUP($AA446,#REF!,53,0),INDEX(VALUES!$B$1:$BR$1,1,$AA446)))</f>
        <v/>
      </c>
    </row>
    <row r="447" spans="1:29" hidden="1" outlineLevel="1" x14ac:dyDescent="0.3">
      <c r="A447" s="22" t="s">
        <v>84</v>
      </c>
      <c r="B447" s="41" t="str">
        <f t="shared" si="35"/>
        <v/>
      </c>
      <c r="C447" s="42">
        <f t="shared" si="37"/>
        <v>446</v>
      </c>
      <c r="D447" s="38"/>
      <c r="E447" s="38"/>
      <c r="F447" s="38" t="s">
        <v>9</v>
      </c>
      <c r="G447" s="38"/>
      <c r="H447" s="38"/>
      <c r="I447" s="38" t="s">
        <v>9</v>
      </c>
      <c r="J447" s="38"/>
      <c r="K447" s="14" t="s">
        <v>18</v>
      </c>
      <c r="L447" s="14" t="s">
        <v>27</v>
      </c>
      <c r="M447" s="20" t="s">
        <v>1575</v>
      </c>
      <c r="N447" s="14" t="s">
        <v>1520</v>
      </c>
      <c r="O447" s="43" t="s">
        <v>1521</v>
      </c>
      <c r="R447" s="38" t="s">
        <v>104</v>
      </c>
      <c r="S447" s="38"/>
      <c r="T447" s="38"/>
      <c r="W447" s="15" t="str">
        <f>IF(IFERROR(VLOOKUP($M447,'IMPORT GS-Tür OL FL 2S2 20'!$H$2:$H$847,1,0),"-")="-","","GS")</f>
        <v>GS</v>
      </c>
      <c r="Z447" s="59" t="str">
        <f>IF(OR($M447="",NOT($O447="{array}")),"",IFERROR(MATCH(PARAMETERS!$M447,DEFAULT!$B$5:$CG$5,0),""))</f>
        <v/>
      </c>
      <c r="AA447" s="56" t="str">
        <f t="shared" si="36"/>
        <v/>
      </c>
      <c r="AB447" s="63" t="str">
        <f>IF(AND(OR($A447="G",$A447="P"),NOT($O447="{array}")),IF(VLOOKUP($K447,base!$B$2:$D$20,3,0)="S",IF(OR($O447="",ISTEXT($O447)),"","STRING!"),IF(VLOOKUP($K447,base!$B$2:$D$20,3,0)="","",IF(ISTEXT($O447),"NUMERIC!",""))),"")</f>
        <v/>
      </c>
      <c r="AC447" s="17" t="str">
        <f>IF($AA447="","",IF($B447="I",VLOOKUP($AA447,#REF!,53,0),INDEX(VALUES!$B$1:$BR$1,1,$AA447)))</f>
        <v/>
      </c>
    </row>
    <row r="448" spans="1:29" hidden="1" outlineLevel="1" x14ac:dyDescent="0.3">
      <c r="A448" s="22" t="s">
        <v>84</v>
      </c>
      <c r="B448" s="41" t="str">
        <f t="shared" si="35"/>
        <v/>
      </c>
      <c r="C448" s="42">
        <f t="shared" si="37"/>
        <v>447</v>
      </c>
      <c r="D448" s="38"/>
      <c r="E448" s="38"/>
      <c r="F448" s="38" t="s">
        <v>9</v>
      </c>
      <c r="G448" s="38" t="s">
        <v>9</v>
      </c>
      <c r="H448" s="38"/>
      <c r="I448" s="38" t="s">
        <v>9</v>
      </c>
      <c r="J448" s="38"/>
      <c r="K448" s="14" t="s">
        <v>44</v>
      </c>
      <c r="L448" s="14" t="s">
        <v>27</v>
      </c>
      <c r="M448" s="20" t="s">
        <v>1576</v>
      </c>
      <c r="N448" s="14" t="s">
        <v>1523</v>
      </c>
      <c r="O448" s="43">
        <v>2</v>
      </c>
      <c r="R448" s="38" t="s">
        <v>104</v>
      </c>
      <c r="S448" s="38"/>
      <c r="T448" s="38"/>
      <c r="W448" s="15" t="str">
        <f>IF(IFERROR(VLOOKUP($M448,'IMPORT GS-Tür OL FL 2S2 20'!$H$2:$H$847,1,0),"-")="-","","GS")</f>
        <v>GS</v>
      </c>
      <c r="Z448" s="59" t="str">
        <f>IF(OR($M448="",NOT($O448="{array}")),"",IFERROR(MATCH(PARAMETERS!$M448,DEFAULT!$B$5:$CG$5,0),""))</f>
        <v/>
      </c>
      <c r="AA448" s="56" t="str">
        <f t="shared" si="36"/>
        <v/>
      </c>
      <c r="AB448" s="63" t="str">
        <f>IF(AND(OR($A448="G",$A448="P"),NOT($O448="{array}")),IF(VLOOKUP($K448,base!$B$2:$D$20,3,0)="S",IF(OR($O448="",ISTEXT($O448)),"","STRING!"),IF(VLOOKUP($K448,base!$B$2:$D$20,3,0)="","",IF(ISTEXT($O448),"NUMERIC!",""))),"")</f>
        <v/>
      </c>
      <c r="AC448" s="17" t="str">
        <f>IF($AA448="","",IF($B448="I",VLOOKUP($AA448,#REF!,53,0),INDEX(VALUES!$B$1:$BR$1,1,$AA448)))</f>
        <v/>
      </c>
    </row>
    <row r="449" spans="1:29" hidden="1" outlineLevel="1" x14ac:dyDescent="0.3">
      <c r="A449" s="22" t="s">
        <v>84</v>
      </c>
      <c r="B449" s="41" t="str">
        <f t="shared" si="35"/>
        <v/>
      </c>
      <c r="C449" s="42">
        <f t="shared" si="37"/>
        <v>448</v>
      </c>
      <c r="D449" s="38"/>
      <c r="E449" s="38"/>
      <c r="F449" s="38" t="s">
        <v>9</v>
      </c>
      <c r="G449" s="38"/>
      <c r="H449" s="38"/>
      <c r="I449" s="38" t="s">
        <v>9</v>
      </c>
      <c r="J449" s="38"/>
      <c r="K449" s="14" t="s">
        <v>36</v>
      </c>
      <c r="L449" s="14" t="s">
        <v>27</v>
      </c>
      <c r="M449" s="20" t="s">
        <v>1577</v>
      </c>
      <c r="N449" s="14" t="s">
        <v>1529</v>
      </c>
      <c r="O449" s="43">
        <v>2</v>
      </c>
      <c r="R449" s="38" t="s">
        <v>104</v>
      </c>
      <c r="S449" s="38"/>
      <c r="T449" s="38"/>
      <c r="W449" s="15" t="str">
        <f>IF(IFERROR(VLOOKUP($M449,'IMPORT GS-Tür OL FL 2S2 20'!$H$2:$H$847,1,0),"-")="-","","GS")</f>
        <v>GS</v>
      </c>
      <c r="Z449" s="59" t="str">
        <f>IF(OR($M449="",NOT($O449="{array}")),"",IFERROR(MATCH(PARAMETERS!$M449,DEFAULT!$B$5:$CG$5,0),""))</f>
        <v/>
      </c>
      <c r="AA449" s="56" t="str">
        <f t="shared" si="36"/>
        <v/>
      </c>
      <c r="AB449" s="63" t="str">
        <f>IF(AND(OR($A449="G",$A449="P"),NOT($O449="{array}")),IF(VLOOKUP($K449,base!$B$2:$D$20,3,0)="S",IF(OR($O449="",ISTEXT($O449)),"","STRING!"),IF(VLOOKUP($K449,base!$B$2:$D$20,3,0)="","",IF(ISTEXT($O449),"NUMERIC!",""))),"")</f>
        <v/>
      </c>
      <c r="AC449" s="17" t="str">
        <f>IF($AA449="","",IF($B449="I",VLOOKUP($AA449,#REF!,53,0),INDEX(VALUES!$B$1:$BR$1,1,$AA449)))</f>
        <v/>
      </c>
    </row>
    <row r="450" spans="1:29" hidden="1" outlineLevel="1" x14ac:dyDescent="0.3">
      <c r="A450" s="22" t="s">
        <v>84</v>
      </c>
      <c r="B450" s="41" t="str">
        <f t="shared" si="35"/>
        <v/>
      </c>
      <c r="C450" s="42">
        <f t="shared" si="37"/>
        <v>449</v>
      </c>
      <c r="D450" s="38"/>
      <c r="E450" s="38"/>
      <c r="F450" s="38" t="s">
        <v>9</v>
      </c>
      <c r="G450" s="38"/>
      <c r="H450" s="38"/>
      <c r="I450" s="38" t="s">
        <v>9</v>
      </c>
      <c r="J450" s="38"/>
      <c r="K450" s="14" t="s">
        <v>24</v>
      </c>
      <c r="L450" s="14" t="s">
        <v>27</v>
      </c>
      <c r="M450" s="20" t="s">
        <v>1578</v>
      </c>
      <c r="N450" s="14" t="s">
        <v>1527</v>
      </c>
      <c r="O450" s="43">
        <v>0.1</v>
      </c>
      <c r="R450" s="38" t="s">
        <v>104</v>
      </c>
      <c r="S450" s="38"/>
      <c r="T450" s="38"/>
      <c r="W450" s="15" t="str">
        <f>IF(IFERROR(VLOOKUP($M450,'IMPORT GS-Tür OL FL 2S2 20'!$H$2:$H$847,1,0),"-")="-","","GS")</f>
        <v>GS</v>
      </c>
      <c r="Z450" s="59" t="str">
        <f>IF(OR($M450="",NOT($O450="{array}")),"",IFERROR(MATCH(PARAMETERS!$M450,DEFAULT!$B$5:$CG$5,0),""))</f>
        <v/>
      </c>
      <c r="AA450" s="56" t="str">
        <f t="shared" si="36"/>
        <v/>
      </c>
      <c r="AB450" s="63" t="str">
        <f>IF(AND(OR($A450="G",$A450="P"),NOT($O450="{array}")),IF(VLOOKUP($K450,base!$B$2:$D$20,3,0)="S",IF(OR($O450="",ISTEXT($O450)),"","STRING!"),IF(VLOOKUP($K450,base!$B$2:$D$20,3,0)="","",IF(ISTEXT($O450),"NUMERIC!",""))),"")</f>
        <v/>
      </c>
      <c r="AC450" s="17" t="str">
        <f>IF($AA450="","",IF($B450="I",VLOOKUP($AA450,#REF!,53,0),INDEX(VALUES!$B$1:$BR$1,1,$AA450)))</f>
        <v/>
      </c>
    </row>
    <row r="451" spans="1:29" hidden="1" outlineLevel="1" x14ac:dyDescent="0.3">
      <c r="A451" s="22" t="s">
        <v>84</v>
      </c>
      <c r="B451" s="41" t="str">
        <f t="shared" si="35"/>
        <v/>
      </c>
      <c r="C451" s="42">
        <f t="shared" si="37"/>
        <v>450</v>
      </c>
      <c r="D451" s="38"/>
      <c r="E451" s="38"/>
      <c r="F451" s="38" t="s">
        <v>9</v>
      </c>
      <c r="G451" s="38"/>
      <c r="H451" s="38"/>
      <c r="I451" s="38" t="s">
        <v>9</v>
      </c>
      <c r="J451" s="38"/>
      <c r="K451" s="14" t="s">
        <v>18</v>
      </c>
      <c r="L451" s="14" t="s">
        <v>27</v>
      </c>
      <c r="M451" s="20" t="s">
        <v>1579</v>
      </c>
      <c r="N451" s="14" t="s">
        <v>1525</v>
      </c>
      <c r="O451" s="43" t="s">
        <v>1359</v>
      </c>
      <c r="R451" s="38" t="s">
        <v>104</v>
      </c>
      <c r="S451" s="38"/>
      <c r="T451" s="38"/>
      <c r="W451" s="15" t="str">
        <f>IF(IFERROR(VLOOKUP($M451,'IMPORT GS-Tür OL FL 2S2 20'!$H$2:$H$847,1,0),"-")="-","","GS")</f>
        <v>GS</v>
      </c>
      <c r="Z451" s="59" t="str">
        <f>IF(OR($M451="",NOT($O451="{array}")),"",IFERROR(MATCH(PARAMETERS!$M451,DEFAULT!$B$5:$CG$5,0),""))</f>
        <v/>
      </c>
      <c r="AA451" s="56" t="str">
        <f t="shared" si="36"/>
        <v/>
      </c>
      <c r="AB451" s="63" t="str">
        <f>IF(AND(OR($A451="G",$A451="P"),NOT($O451="{array}")),IF(VLOOKUP($K451,base!$B$2:$D$20,3,0)="S",IF(OR($O451="",ISTEXT($O451)),"","STRING!"),IF(VLOOKUP($K451,base!$B$2:$D$20,3,0)="","",IF(ISTEXT($O451),"NUMERIC!",""))),"")</f>
        <v/>
      </c>
      <c r="AC451" s="17" t="str">
        <f>IF($AA451="","",IF($B451="I",VLOOKUP($AA451,#REF!,53,0),INDEX(VALUES!$B$1:$BR$1,1,$AA451)))</f>
        <v/>
      </c>
    </row>
    <row r="452" spans="1:29" hidden="1" outlineLevel="1" x14ac:dyDescent="0.3">
      <c r="A452" s="22" t="s">
        <v>84</v>
      </c>
      <c r="B452" s="41" t="str">
        <f t="shared" si="35"/>
        <v/>
      </c>
      <c r="C452" s="42">
        <f t="shared" si="37"/>
        <v>451</v>
      </c>
      <c r="D452" s="38"/>
      <c r="E452" s="38"/>
      <c r="F452" s="38" t="s">
        <v>9</v>
      </c>
      <c r="G452" s="38"/>
      <c r="H452" s="38"/>
      <c r="I452" s="38" t="s">
        <v>9</v>
      </c>
      <c r="J452" s="38"/>
      <c r="K452" s="14" t="s">
        <v>53</v>
      </c>
      <c r="L452" s="14" t="s">
        <v>27</v>
      </c>
      <c r="M452" s="20" t="s">
        <v>1580</v>
      </c>
      <c r="N452" s="14" t="s">
        <v>1581</v>
      </c>
      <c r="O452" s="43">
        <v>1</v>
      </c>
      <c r="R452" s="38" t="s">
        <v>104</v>
      </c>
      <c r="S452" s="38"/>
      <c r="T452" s="38"/>
      <c r="W452" s="15" t="str">
        <f>IF(IFERROR(VLOOKUP($M452,'IMPORT GS-Tür OL FL 2S2 20'!$H$2:$H$847,1,0),"-")="-","","GS")</f>
        <v>GS</v>
      </c>
      <c r="Z452" s="59" t="str">
        <f>IF(OR($M452="",NOT($O452="{array}")),"",IFERROR(MATCH(PARAMETERS!$M452,DEFAULT!$B$5:$CG$5,0),""))</f>
        <v/>
      </c>
      <c r="AA452" s="56" t="str">
        <f t="shared" si="36"/>
        <v/>
      </c>
      <c r="AB452" s="63" t="str">
        <f>IF(AND(OR($A452="G",$A452="P"),NOT($O452="{array}")),IF(VLOOKUP($K452,base!$B$2:$D$20,3,0)="S",IF(OR($O452="",ISTEXT($O452)),"","STRING!"),IF(VLOOKUP($K452,base!$B$2:$D$20,3,0)="","",IF(ISTEXT($O452),"NUMERIC!",""))),"")</f>
        <v/>
      </c>
      <c r="AC452" s="17" t="str">
        <f>IF($AA452="","",IF($B452="I",VLOOKUP($AA452,#REF!,53,0),INDEX(VALUES!$B$1:$BR$1,1,$AA452)))</f>
        <v/>
      </c>
    </row>
    <row r="453" spans="1:29" hidden="1" outlineLevel="1" x14ac:dyDescent="0.3">
      <c r="A453" s="22" t="s">
        <v>84</v>
      </c>
      <c r="B453" s="41" t="str">
        <f t="shared" si="35"/>
        <v/>
      </c>
      <c r="C453" s="42">
        <f t="shared" si="37"/>
        <v>452</v>
      </c>
      <c r="D453" s="38"/>
      <c r="E453" s="38"/>
      <c r="F453" s="38" t="s">
        <v>9</v>
      </c>
      <c r="G453" s="38"/>
      <c r="H453" s="38" t="s">
        <v>9</v>
      </c>
      <c r="I453" s="38"/>
      <c r="J453" s="38"/>
      <c r="K453" s="14" t="s">
        <v>47</v>
      </c>
      <c r="L453" s="14" t="s">
        <v>27</v>
      </c>
      <c r="M453" s="20" t="s">
        <v>1582</v>
      </c>
      <c r="N453" s="14" t="s">
        <v>1583</v>
      </c>
      <c r="O453" s="43">
        <v>1</v>
      </c>
      <c r="R453" s="38" t="s">
        <v>104</v>
      </c>
      <c r="S453" s="38"/>
      <c r="T453" s="38"/>
      <c r="W453" s="15" t="str">
        <f>IF(IFERROR(VLOOKUP($M453,'IMPORT GS-Tür OL FL 2S2 20'!$H$2:$H$847,1,0),"-")="-","","GS")</f>
        <v>GS</v>
      </c>
      <c r="Z453" s="59" t="str">
        <f>IF(OR($M453="",NOT($O453="{array}")),"",IFERROR(MATCH(PARAMETERS!$M453,DEFAULT!$B$5:$CG$5,0),""))</f>
        <v/>
      </c>
      <c r="AA453" s="56" t="str">
        <f t="shared" si="36"/>
        <v/>
      </c>
      <c r="AB453" s="63" t="str">
        <f>IF(AND(OR($A453="G",$A453="P"),NOT($O453="{array}")),IF(VLOOKUP($K453,base!$B$2:$D$20,3,0)="S",IF(OR($O453="",ISTEXT($O453)),"","STRING!"),IF(VLOOKUP($K453,base!$B$2:$D$20,3,0)="","",IF(ISTEXT($O453),"NUMERIC!",""))),"")</f>
        <v/>
      </c>
      <c r="AC453" s="17" t="str">
        <f>IF($AA453="","",IF($B453="I",VLOOKUP($AA453,#REF!,53,0),INDEX(VALUES!$B$1:$BR$1,1,$AA453)))</f>
        <v/>
      </c>
    </row>
    <row r="454" spans="1:29" hidden="1" outlineLevel="1" x14ac:dyDescent="0.3">
      <c r="A454" s="22" t="s">
        <v>84</v>
      </c>
      <c r="B454" s="41" t="str">
        <f t="shared" si="35"/>
        <v/>
      </c>
      <c r="C454" s="42">
        <f t="shared" si="37"/>
        <v>453</v>
      </c>
      <c r="D454" s="38"/>
      <c r="E454" s="38"/>
      <c r="F454" s="38" t="s">
        <v>9</v>
      </c>
      <c r="G454" s="38"/>
      <c r="H454" s="38"/>
      <c r="I454" s="38" t="s">
        <v>9</v>
      </c>
      <c r="J454" s="38"/>
      <c r="K454" s="14" t="s">
        <v>51</v>
      </c>
      <c r="L454" s="14" t="s">
        <v>27</v>
      </c>
      <c r="M454" s="20" t="s">
        <v>1584</v>
      </c>
      <c r="N454" s="14" t="s">
        <v>1585</v>
      </c>
      <c r="O454" s="43">
        <v>21</v>
      </c>
      <c r="R454" s="38" t="s">
        <v>104</v>
      </c>
      <c r="S454" s="38"/>
      <c r="T454" s="38"/>
      <c r="W454" s="15" t="str">
        <f>IF(IFERROR(VLOOKUP($M454,'IMPORT GS-Tür OL FL 2S2 20'!$H$2:$H$847,1,0),"-")="-","","GS")</f>
        <v>GS</v>
      </c>
      <c r="Z454" s="59" t="str">
        <f>IF(OR($M454="",NOT($O454="{array}")),"",IFERROR(MATCH(PARAMETERS!$M454,DEFAULT!$B$5:$CG$5,0),""))</f>
        <v/>
      </c>
      <c r="AA454" s="56" t="str">
        <f t="shared" si="36"/>
        <v/>
      </c>
      <c r="AB454" s="63" t="str">
        <f>IF(AND(OR($A454="G",$A454="P"),NOT($O454="{array}")),IF(VLOOKUP($K454,base!$B$2:$D$20,3,0)="S",IF(OR($O454="",ISTEXT($O454)),"","STRING!"),IF(VLOOKUP($K454,base!$B$2:$D$20,3,0)="","",IF(ISTEXT($O454),"NUMERIC!",""))),"")</f>
        <v/>
      </c>
      <c r="AC454" s="17" t="str">
        <f>IF($AA454="","",IF($B454="I",VLOOKUP($AA454,#REF!,53,0),INDEX(VALUES!$B$1:$BR$1,1,$AA454)))</f>
        <v/>
      </c>
    </row>
    <row r="455" spans="1:29" hidden="1" outlineLevel="1" x14ac:dyDescent="0.3">
      <c r="A455" s="22" t="s">
        <v>84</v>
      </c>
      <c r="B455" s="41" t="str">
        <f t="shared" si="35"/>
        <v/>
      </c>
      <c r="C455" s="42">
        <f t="shared" si="37"/>
        <v>454</v>
      </c>
      <c r="D455" s="38"/>
      <c r="E455" s="38"/>
      <c r="F455" s="38" t="s">
        <v>9</v>
      </c>
      <c r="G455" s="38"/>
      <c r="H455" s="38"/>
      <c r="I455" s="38" t="s">
        <v>9</v>
      </c>
      <c r="J455" s="38"/>
      <c r="K455" s="14" t="s">
        <v>53</v>
      </c>
      <c r="L455" s="14" t="s">
        <v>27</v>
      </c>
      <c r="M455" s="20" t="s">
        <v>1586</v>
      </c>
      <c r="N455" s="14" t="s">
        <v>1587</v>
      </c>
      <c r="O455" s="43">
        <v>6</v>
      </c>
      <c r="R455" s="38" t="s">
        <v>104</v>
      </c>
      <c r="S455" s="38"/>
      <c r="T455" s="38"/>
      <c r="W455" s="15" t="str">
        <f>IF(IFERROR(VLOOKUP($M455,'IMPORT GS-Tür OL FL 2S2 20'!$H$2:$H$847,1,0),"-")="-","","GS")</f>
        <v>GS</v>
      </c>
      <c r="Z455" s="59" t="str">
        <f>IF(OR($M455="",NOT($O455="{array}")),"",IFERROR(MATCH(PARAMETERS!$M455,DEFAULT!$B$5:$CG$5,0),""))</f>
        <v/>
      </c>
      <c r="AA455" s="56" t="str">
        <f t="shared" si="36"/>
        <v/>
      </c>
      <c r="AB455" s="63" t="str">
        <f>IF(AND(OR($A455="G",$A455="P"),NOT($O455="{array}")),IF(VLOOKUP($K455,base!$B$2:$D$20,3,0)="S",IF(OR($O455="",ISTEXT($O455)),"","STRING!"),IF(VLOOKUP($K455,base!$B$2:$D$20,3,0)="","",IF(ISTEXT($O455),"NUMERIC!",""))),"")</f>
        <v/>
      </c>
      <c r="AC455" s="17" t="str">
        <f>IF($AA455="","",IF($B455="I",VLOOKUP($AA455,#REF!,53,0),INDEX(VALUES!$B$1:$BR$1,1,$AA455)))</f>
        <v/>
      </c>
    </row>
    <row r="456" spans="1:29" collapsed="1" x14ac:dyDescent="0.3">
      <c r="A456" s="22" t="s">
        <v>84</v>
      </c>
      <c r="B456" s="41" t="str">
        <f t="shared" si="35"/>
        <v/>
      </c>
      <c r="C456" s="42">
        <f t="shared" si="37"/>
        <v>455</v>
      </c>
      <c r="D456" s="38"/>
      <c r="E456" s="38"/>
      <c r="F456" s="38" t="s">
        <v>9</v>
      </c>
      <c r="G456" s="38" t="s">
        <v>9</v>
      </c>
      <c r="H456" s="38"/>
      <c r="I456" s="38"/>
      <c r="J456" s="38"/>
      <c r="K456" s="14" t="s">
        <v>57</v>
      </c>
      <c r="L456" s="14" t="s">
        <v>38</v>
      </c>
      <c r="M456" s="48" t="s">
        <v>1598</v>
      </c>
      <c r="N456" s="41" t="s">
        <v>196</v>
      </c>
      <c r="R456" s="38" t="s">
        <v>104</v>
      </c>
      <c r="S456" s="38"/>
      <c r="T456" s="38"/>
      <c r="W456" s="15" t="str">
        <f>IF(IFERROR(VLOOKUP($M456,'IMPORT GS-Tür OL FL 2S2 20'!$H$2:$H$847,1,0),"-")="-","","GS")</f>
        <v>GS</v>
      </c>
      <c r="Z456" s="59" t="str">
        <f>IF(OR($M456="",NOT($O456="{array}")),"",IFERROR(MATCH(PARAMETERS!$M456,DEFAULT!$B$5:$CG$5,0),""))</f>
        <v/>
      </c>
      <c r="AA456" s="56" t="str">
        <f t="shared" si="36"/>
        <v/>
      </c>
      <c r="AB456" s="63" t="str">
        <f>IF(AND(OR($A456="G",$A456="P"),NOT($O456="{array}")),IF(VLOOKUP($K456,base!$B$2:$D$20,3,0)="S",IF(OR($O456="",ISTEXT($O456)),"","STRING!"),IF(VLOOKUP($K456,base!$B$2:$D$20,3,0)="","",IF(ISTEXT($O456),"NUMERIC!",""))),"")</f>
        <v/>
      </c>
      <c r="AC456" s="17" t="str">
        <f>IF($AA456="","",IF($B456="I",VLOOKUP($AA456,#REF!,53,0),INDEX(VALUES!$B$1:$BR$1,1,$AA456)))</f>
        <v/>
      </c>
    </row>
    <row r="458" spans="1:29" hidden="1" outlineLevel="1" x14ac:dyDescent="0.3">
      <c r="A458" s="22"/>
      <c r="B458" s="41" t="str">
        <f t="shared" ref="B458:B467" si="38">IF($A458="P",IF(NOT($Z458=""),"A",IF(NOT($AA458=""),"I","")),IF(NOT($AA458=""),IF($A458="G","V","X"),IF(NOT($Z458=""),"A","")))</f>
        <v/>
      </c>
      <c r="C458" s="42">
        <f t="shared" ref="C458:C467" si="39">(ROW()-1)</f>
        <v>457</v>
      </c>
      <c r="D458" s="38"/>
      <c r="E458" s="38"/>
      <c r="F458" s="38" t="s">
        <v>9</v>
      </c>
      <c r="G458" s="38"/>
      <c r="H458" s="38"/>
      <c r="I458" s="38"/>
      <c r="J458" s="38"/>
      <c r="K458" s="14" t="s">
        <v>57</v>
      </c>
      <c r="L458" s="14" t="s">
        <v>38</v>
      </c>
      <c r="M458" s="48" t="s">
        <v>210</v>
      </c>
      <c r="N458" s="41" t="s">
        <v>211</v>
      </c>
      <c r="R458" s="38" t="s">
        <v>104</v>
      </c>
      <c r="S458" s="38"/>
      <c r="T458" s="38"/>
      <c r="W458" s="15" t="str">
        <f>IF(IFERROR(VLOOKUP($M458,'IMPORT GS-Tür OL FL 2S2 20'!$H$2:$H$847,1,0),"-")="-","","GS")</f>
        <v>GS</v>
      </c>
      <c r="Z458" s="59" t="str">
        <f>IF(OR($M458="",NOT($O458="{array}")),"",IFERROR(MATCH(PARAMETERS!$M458,DEFAULT!$B$5:$CG$5,0),""))</f>
        <v/>
      </c>
      <c r="AA458" s="56" t="str">
        <f t="shared" ref="AA458:AA498" si="40">IF($M458="","",IFERROR(MATCH($M458,VALUESnames,0),""))</f>
        <v/>
      </c>
      <c r="AB458" s="63" t="str">
        <f>IF(AND(OR($A458="G",$A458="P"),NOT($O458="{array}")),IF(VLOOKUP($K458,base!$B$2:$D$20,3,0)="S",IF(OR($O458="",ISTEXT($O458)),"","STRING!"),IF(VLOOKUP($K458,base!$B$2:$D$20,3,0)="","",IF(ISTEXT($O458),"NUMERIC!",""))),"")</f>
        <v/>
      </c>
      <c r="AC458" s="17" t="str">
        <f>IF($AA458="","",IF($B458="I",VLOOKUP($AA458,#REF!,53,0),INDEX(VALUES!$B$1:$BR$1,1,$AA458)))</f>
        <v/>
      </c>
    </row>
    <row r="459" spans="1:29" hidden="1" outlineLevel="1" x14ac:dyDescent="0.3">
      <c r="A459" s="22" t="s">
        <v>84</v>
      </c>
      <c r="B459" s="41" t="str">
        <f t="shared" si="38"/>
        <v>A</v>
      </c>
      <c r="C459" s="42">
        <f t="shared" si="39"/>
        <v>458</v>
      </c>
      <c r="D459" s="38"/>
      <c r="E459" s="38"/>
      <c r="F459" s="38"/>
      <c r="G459" s="38"/>
      <c r="H459" s="38"/>
      <c r="I459" s="38" t="s">
        <v>9</v>
      </c>
      <c r="J459" s="38"/>
      <c r="K459" s="14" t="s">
        <v>50</v>
      </c>
      <c r="L459" s="14" t="s">
        <v>27</v>
      </c>
      <c r="M459" s="152" t="s">
        <v>212</v>
      </c>
      <c r="N459" s="14" t="s">
        <v>213</v>
      </c>
      <c r="O459" s="43" t="s">
        <v>33</v>
      </c>
      <c r="R459" s="38" t="s">
        <v>201</v>
      </c>
      <c r="S459" s="38"/>
      <c r="T459" s="38"/>
      <c r="W459" s="15" t="str">
        <f>IF(IFERROR(VLOOKUP($M459,'IMPORT GS-Tür OL FL 2S2 20'!$H$2:$H$847,1,0),"-")="-","","GS")</f>
        <v/>
      </c>
      <c r="Z459" s="59">
        <f>IF(OR($M459="",NOT($O459="{array}")),"",IFERROR(MATCH(PARAMETERS!$M459,DEFAULT!$B$5:$CG$5,0),""))</f>
        <v>83</v>
      </c>
      <c r="AA459" s="56" t="str">
        <f t="shared" si="40"/>
        <v/>
      </c>
      <c r="AB459" s="63" t="str">
        <f>IF(AND(OR($A459="G",$A459="P"),NOT($O459="{array}")),IF(VLOOKUP($K459,base!$B$2:$D$20,3,0)="S",IF(OR($O459="",ISTEXT($O459)),"","STRING!"),IF(VLOOKUP($K459,base!$B$2:$D$20,3,0)="","",IF(ISTEXT($O459),"NUMERIC!",""))),"")</f>
        <v/>
      </c>
      <c r="AC459" s="17" t="str">
        <f>IF($AA459="","",IF($B459="I",VLOOKUP($AA459,#REF!,53,0),INDEX(VALUES!$B$1:$BR$1,1,$AA459)))</f>
        <v/>
      </c>
    </row>
    <row r="460" spans="1:29" hidden="1" outlineLevel="1" x14ac:dyDescent="0.3">
      <c r="A460" s="22" t="s">
        <v>84</v>
      </c>
      <c r="B460" s="41" t="str">
        <f t="shared" si="38"/>
        <v/>
      </c>
      <c r="C460" s="42">
        <f t="shared" si="39"/>
        <v>459</v>
      </c>
      <c r="D460" s="38"/>
      <c r="E460" s="38"/>
      <c r="F460" s="38" t="s">
        <v>9</v>
      </c>
      <c r="G460" s="38"/>
      <c r="H460" s="38"/>
      <c r="I460" s="38" t="s">
        <v>9</v>
      </c>
      <c r="J460" s="38"/>
      <c r="K460" s="14" t="s">
        <v>50</v>
      </c>
      <c r="L460" s="14" t="s">
        <v>27</v>
      </c>
      <c r="M460" s="20" t="s">
        <v>933</v>
      </c>
      <c r="N460" s="14" t="s">
        <v>934</v>
      </c>
      <c r="O460" s="43">
        <v>133</v>
      </c>
      <c r="R460" s="38" t="s">
        <v>104</v>
      </c>
      <c r="S460" s="38"/>
      <c r="T460" s="38"/>
      <c r="W460" s="15" t="str">
        <f>IF(IFERROR(VLOOKUP($M460,'IMPORT GS-Tür OL FL 2S2 20'!$H$2:$H$847,1,0),"-")="-","","GS")</f>
        <v>GS</v>
      </c>
      <c r="Z460" s="59" t="str">
        <f>IF(OR($M460="",NOT($O460="{array}")),"",IFERROR(MATCH(PARAMETERS!$M460,DEFAULT!$B$5:$CG$5,0),""))</f>
        <v/>
      </c>
      <c r="AA460" s="56" t="str">
        <f t="shared" si="40"/>
        <v/>
      </c>
      <c r="AB460" s="63" t="str">
        <f>IF(AND(OR($A460="G",$A460="P"),NOT($O460="{array}")),IF(VLOOKUP($K460,base!$B$2:$D$20,3,0)="S",IF(OR($O460="",ISTEXT($O460)),"","STRING!"),IF(VLOOKUP($K460,base!$B$2:$D$20,3,0)="","",IF(ISTEXT($O460),"NUMERIC!",""))),"")</f>
        <v/>
      </c>
      <c r="AC460" s="17" t="str">
        <f>IF($AA460="","",IF($B460="I",VLOOKUP($AA460,#REF!,53,0),INDEX(VALUES!$B$1:$BR$1,1,$AA460)))</f>
        <v/>
      </c>
    </row>
    <row r="461" spans="1:29" hidden="1" outlineLevel="1" x14ac:dyDescent="0.3">
      <c r="A461" s="22" t="s">
        <v>84</v>
      </c>
      <c r="B461" s="41" t="str">
        <f t="shared" si="38"/>
        <v/>
      </c>
      <c r="C461" s="42">
        <f t="shared" si="39"/>
        <v>460</v>
      </c>
      <c r="D461" s="38"/>
      <c r="E461" s="38"/>
      <c r="F461" s="38" t="s">
        <v>9</v>
      </c>
      <c r="G461" s="38"/>
      <c r="H461" s="38"/>
      <c r="I461" s="38" t="s">
        <v>9</v>
      </c>
      <c r="J461" s="38"/>
      <c r="K461" s="14" t="s">
        <v>50</v>
      </c>
      <c r="L461" s="14" t="s">
        <v>27</v>
      </c>
      <c r="M461" s="20" t="s">
        <v>935</v>
      </c>
      <c r="N461" s="14" t="s">
        <v>936</v>
      </c>
      <c r="O461" s="43">
        <v>24</v>
      </c>
      <c r="R461" s="38" t="s">
        <v>104</v>
      </c>
      <c r="S461" s="38"/>
      <c r="T461" s="38"/>
      <c r="W461" s="15" t="str">
        <f>IF(IFERROR(VLOOKUP($M461,'IMPORT GS-Tür OL FL 2S2 20'!$H$2:$H$847,1,0),"-")="-","","GS")</f>
        <v>GS</v>
      </c>
      <c r="Z461" s="59" t="str">
        <f>IF(OR($M461="",NOT($O461="{array}")),"",IFERROR(MATCH(PARAMETERS!$M461,DEFAULT!$B$5:$CG$5,0),""))</f>
        <v/>
      </c>
      <c r="AA461" s="56" t="str">
        <f t="shared" si="40"/>
        <v/>
      </c>
      <c r="AB461" s="63" t="str">
        <f>IF(AND(OR($A461="G",$A461="P"),NOT($O461="{array}")),IF(VLOOKUP($K461,base!$B$2:$D$20,3,0)="S",IF(OR($O461="",ISTEXT($O461)),"","STRING!"),IF(VLOOKUP($K461,base!$B$2:$D$20,3,0)="","",IF(ISTEXT($O461),"NUMERIC!",""))),"")</f>
        <v/>
      </c>
      <c r="AC461" s="17" t="str">
        <f>IF($AA461="","",IF($B461="I",VLOOKUP($AA461,#REF!,53,0),INDEX(VALUES!$B$1:$BR$1,1,$AA461)))</f>
        <v/>
      </c>
    </row>
    <row r="462" spans="1:29" hidden="1" outlineLevel="1" x14ac:dyDescent="0.3">
      <c r="A462" s="22" t="s">
        <v>84</v>
      </c>
      <c r="B462" s="41" t="str">
        <f t="shared" si="38"/>
        <v/>
      </c>
      <c r="C462" s="42">
        <f t="shared" si="39"/>
        <v>461</v>
      </c>
      <c r="D462" s="38"/>
      <c r="E462" s="38"/>
      <c r="F462" s="38" t="s">
        <v>9</v>
      </c>
      <c r="G462" s="38"/>
      <c r="H462" s="38"/>
      <c r="I462" s="38" t="s">
        <v>9</v>
      </c>
      <c r="J462" s="38"/>
      <c r="K462" s="14" t="s">
        <v>50</v>
      </c>
      <c r="L462" s="14" t="s">
        <v>27</v>
      </c>
      <c r="M462" s="20" t="s">
        <v>937</v>
      </c>
      <c r="N462" s="14" t="s">
        <v>938</v>
      </c>
      <c r="O462" s="43">
        <v>40</v>
      </c>
      <c r="R462" s="38" t="s">
        <v>104</v>
      </c>
      <c r="S462" s="38"/>
      <c r="T462" s="38"/>
      <c r="W462" s="15" t="str">
        <f>IF(IFERROR(VLOOKUP($M462,'IMPORT GS-Tür OL FL 2S2 20'!$H$2:$H$847,1,0),"-")="-","","GS")</f>
        <v>GS</v>
      </c>
      <c r="Z462" s="59" t="str">
        <f>IF(OR($M462="",NOT($O462="{array}")),"",IFERROR(MATCH(PARAMETERS!$M462,DEFAULT!$B$5:$CG$5,0),""))</f>
        <v/>
      </c>
      <c r="AA462" s="56" t="str">
        <f t="shared" si="40"/>
        <v/>
      </c>
      <c r="AB462" s="63" t="str">
        <f>IF(AND(OR($A462="G",$A462="P"),NOT($O462="{array}")),IF(VLOOKUP($K462,base!$B$2:$D$20,3,0)="S",IF(OR($O462="",ISTEXT($O462)),"","STRING!"),IF(VLOOKUP($K462,base!$B$2:$D$20,3,0)="","",IF(ISTEXT($O462),"NUMERIC!",""))),"")</f>
        <v/>
      </c>
      <c r="AC462" s="17" t="str">
        <f>IF($AA462="","",IF($B462="I",VLOOKUP($AA462,#REF!,53,0),INDEX(VALUES!$B$1:$BR$1,1,$AA462)))</f>
        <v/>
      </c>
    </row>
    <row r="463" spans="1:29" hidden="1" outlineLevel="1" x14ac:dyDescent="0.3">
      <c r="A463" s="22" t="s">
        <v>84</v>
      </c>
      <c r="B463" s="41" t="str">
        <f t="shared" si="38"/>
        <v/>
      </c>
      <c r="C463" s="42">
        <f t="shared" si="39"/>
        <v>462</v>
      </c>
      <c r="D463" s="38"/>
      <c r="E463" s="38"/>
      <c r="F463" s="38" t="s">
        <v>9</v>
      </c>
      <c r="G463" s="38"/>
      <c r="H463" s="38"/>
      <c r="I463" s="38" t="s">
        <v>9</v>
      </c>
      <c r="J463" s="38"/>
      <c r="K463" s="14" t="s">
        <v>50</v>
      </c>
      <c r="L463" s="14" t="s">
        <v>27</v>
      </c>
      <c r="M463" s="20" t="s">
        <v>939</v>
      </c>
      <c r="N463" s="14" t="s">
        <v>940</v>
      </c>
      <c r="O463" s="43">
        <v>133</v>
      </c>
      <c r="R463" s="38" t="s">
        <v>104</v>
      </c>
      <c r="S463" s="38"/>
      <c r="T463" s="38"/>
      <c r="W463" s="15" t="str">
        <f>IF(IFERROR(VLOOKUP($M463,'IMPORT GS-Tür OL FL 2S2 20'!$H$2:$H$847,1,0),"-")="-","","GS")</f>
        <v>GS</v>
      </c>
      <c r="Z463" s="59" t="str">
        <f>IF(OR($M463="",NOT($O463="{array}")),"",IFERROR(MATCH(PARAMETERS!$M463,DEFAULT!$B$5:$CG$5,0),""))</f>
        <v/>
      </c>
      <c r="AA463" s="56" t="str">
        <f t="shared" si="40"/>
        <v/>
      </c>
      <c r="AB463" s="63" t="str">
        <f>IF(AND(OR($A463="G",$A463="P"),NOT($O463="{array}")),IF(VLOOKUP($K463,base!$B$2:$D$20,3,0)="S",IF(OR($O463="",ISTEXT($O463)),"","STRING!"),IF(VLOOKUP($K463,base!$B$2:$D$20,3,0)="","",IF(ISTEXT($O463),"NUMERIC!",""))),"")</f>
        <v/>
      </c>
      <c r="AC463" s="17" t="str">
        <f>IF($AA463="","",IF($B463="I",VLOOKUP($AA463,#REF!,53,0),INDEX(VALUES!$B$1:$BR$1,1,$AA463)))</f>
        <v/>
      </c>
    </row>
    <row r="464" spans="1:29" hidden="1" outlineLevel="1" x14ac:dyDescent="0.3">
      <c r="A464" s="22" t="s">
        <v>84</v>
      </c>
      <c r="B464" s="41" t="str">
        <f t="shared" si="38"/>
        <v/>
      </c>
      <c r="C464" s="42">
        <f t="shared" si="39"/>
        <v>463</v>
      </c>
      <c r="D464" s="38"/>
      <c r="E464" s="38"/>
      <c r="F464" s="38"/>
      <c r="G464" s="38"/>
      <c r="H464" s="38"/>
      <c r="I464" s="38" t="s">
        <v>9</v>
      </c>
      <c r="J464" s="38"/>
      <c r="K464" s="14" t="s">
        <v>47</v>
      </c>
      <c r="L464" s="14" t="s">
        <v>27</v>
      </c>
      <c r="M464" s="20" t="s">
        <v>941</v>
      </c>
      <c r="N464" s="14" t="s">
        <v>942</v>
      </c>
      <c r="O464" s="43">
        <v>1</v>
      </c>
      <c r="R464" s="38" t="s">
        <v>104</v>
      </c>
      <c r="S464" s="38"/>
      <c r="T464" s="38"/>
      <c r="W464" s="15" t="str">
        <f>IF(IFERROR(VLOOKUP($M464,'IMPORT GS-Tür OL FL 2S2 20'!$H$2:$H$847,1,0),"-")="-","","GS")</f>
        <v>GS</v>
      </c>
      <c r="Z464" s="59" t="str">
        <f>IF(OR($M464="",NOT($O464="{array}")),"",IFERROR(MATCH(PARAMETERS!$M464,DEFAULT!$B$5:$CG$5,0),""))</f>
        <v/>
      </c>
      <c r="AA464" s="56" t="str">
        <f t="shared" si="40"/>
        <v/>
      </c>
      <c r="AB464" s="63" t="str">
        <f>IF(AND(OR($A464="G",$A464="P"),NOT($O464="{array}")),IF(VLOOKUP($K464,base!$B$2:$D$20,3,0)="S",IF(OR($O464="",ISTEXT($O464)),"","STRING!"),IF(VLOOKUP($K464,base!$B$2:$D$20,3,0)="","",IF(ISTEXT($O464),"NUMERIC!",""))),"")</f>
        <v/>
      </c>
      <c r="AC464" s="17" t="str">
        <f>IF($AA464="","",IF($B464="I",VLOOKUP($AA464,#REF!,53,0),INDEX(VALUES!$B$1:$BR$1,1,$AA464)))</f>
        <v/>
      </c>
    </row>
    <row r="465" spans="1:29" hidden="1" outlineLevel="1" x14ac:dyDescent="0.3">
      <c r="A465" s="22"/>
      <c r="B465" s="41" t="str">
        <f t="shared" si="38"/>
        <v>A</v>
      </c>
      <c r="C465" s="42">
        <f t="shared" si="39"/>
        <v>464</v>
      </c>
      <c r="D465" s="38"/>
      <c r="E465" s="38"/>
      <c r="F465" s="38"/>
      <c r="G465" s="38" t="s">
        <v>9</v>
      </c>
      <c r="H465" s="38"/>
      <c r="I465" s="38" t="s">
        <v>9</v>
      </c>
      <c r="J465" s="38"/>
      <c r="K465" s="14" t="s">
        <v>44</v>
      </c>
      <c r="L465" s="14" t="s">
        <v>27</v>
      </c>
      <c r="M465" s="20" t="s">
        <v>943</v>
      </c>
      <c r="O465" s="43" t="s">
        <v>33</v>
      </c>
      <c r="R465" s="38" t="s">
        <v>104</v>
      </c>
      <c r="S465" s="38"/>
      <c r="T465" s="38"/>
      <c r="W465" s="15" t="str">
        <f>IF(IFERROR(VLOOKUP($M465,'IMPORT GS-Tür OL FL 2S2 20'!$H$2:$H$847,1,0),"-")="-","","GS")</f>
        <v>GS</v>
      </c>
      <c r="Z465" s="59">
        <f>IF(OR($M465="",NOT($O465="{array}")),"",IFERROR(MATCH(PARAMETERS!$M465,DEFAULT!$B$5:$CG$5,0),""))</f>
        <v>74</v>
      </c>
      <c r="AA465" s="56" t="str">
        <f t="shared" si="40"/>
        <v/>
      </c>
      <c r="AB465" s="63" t="str">
        <f>IF(AND(OR($A465="G",$A465="P"),NOT($O465="{array}")),IF(VLOOKUP($K465,base!$B$2:$D$20,3,0)="S",IF(OR($O465="",ISTEXT($O465)),"","STRING!"),IF(VLOOKUP($K465,base!$B$2:$D$20,3,0)="","",IF(ISTEXT($O465),"NUMERIC!",""))),"")</f>
        <v/>
      </c>
      <c r="AC465" s="17" t="str">
        <f>IF($AA465="","",IF($B465="I",VLOOKUP($AA465,#REF!,53,0),INDEX(VALUES!$B$1:$BR$1,1,$AA465)))</f>
        <v/>
      </c>
    </row>
    <row r="466" spans="1:29" hidden="1" outlineLevel="1" x14ac:dyDescent="0.3">
      <c r="A466" s="22" t="s">
        <v>84</v>
      </c>
      <c r="B466" s="41" t="str">
        <f t="shared" si="38"/>
        <v/>
      </c>
      <c r="C466" s="42">
        <f t="shared" si="39"/>
        <v>465</v>
      </c>
      <c r="D466" s="38"/>
      <c r="E466" s="38"/>
      <c r="F466" s="38" t="s">
        <v>9</v>
      </c>
      <c r="G466" s="38"/>
      <c r="H466" s="38"/>
      <c r="I466" s="38" t="s">
        <v>9</v>
      </c>
      <c r="J466" s="38"/>
      <c r="K466" s="14" t="s">
        <v>50</v>
      </c>
      <c r="L466" s="14" t="s">
        <v>27</v>
      </c>
      <c r="M466" s="20" t="s">
        <v>944</v>
      </c>
      <c r="N466" s="14" t="s">
        <v>945</v>
      </c>
      <c r="O466" s="43">
        <v>133</v>
      </c>
      <c r="R466" s="38" t="s">
        <v>104</v>
      </c>
      <c r="S466" s="38"/>
      <c r="T466" s="38"/>
      <c r="W466" s="15" t="str">
        <f>IF(IFERROR(VLOOKUP($M466,'IMPORT GS-Tür OL FL 2S2 20'!$H$2:$H$847,1,0),"-")="-","","GS")</f>
        <v>GS</v>
      </c>
      <c r="Z466" s="59" t="str">
        <f>IF(OR($M466="",NOT($O466="{array}")),"",IFERROR(MATCH(PARAMETERS!$M466,DEFAULT!$B$5:$CG$5,0),""))</f>
        <v/>
      </c>
      <c r="AA466" s="56" t="str">
        <f t="shared" si="40"/>
        <v/>
      </c>
      <c r="AB466" s="63" t="str">
        <f>IF(AND(OR($A466="G",$A466="P"),NOT($O466="{array}")),IF(VLOOKUP($K466,base!$B$2:$D$20,3,0)="S",IF(OR($O466="",ISTEXT($O466)),"","STRING!"),IF(VLOOKUP($K466,base!$B$2:$D$20,3,0)="","",IF(ISTEXT($O466),"NUMERIC!",""))),"")</f>
        <v/>
      </c>
      <c r="AC466" s="17" t="str">
        <f>IF($AA466="","",IF($B466="I",VLOOKUP($AA466,#REF!,53,0),INDEX(VALUES!$B$1:$BR$1,1,$AA466)))</f>
        <v/>
      </c>
    </row>
    <row r="467" spans="1:29" hidden="1" outlineLevel="1" x14ac:dyDescent="0.3">
      <c r="A467" s="22" t="s">
        <v>84</v>
      </c>
      <c r="B467" s="41" t="str">
        <f t="shared" si="38"/>
        <v/>
      </c>
      <c r="C467" s="42">
        <f t="shared" si="39"/>
        <v>466</v>
      </c>
      <c r="D467" s="38"/>
      <c r="E467" s="38"/>
      <c r="F467" s="38" t="s">
        <v>9</v>
      </c>
      <c r="G467" s="38"/>
      <c r="H467" s="38"/>
      <c r="I467" s="38" t="s">
        <v>9</v>
      </c>
      <c r="J467" s="38"/>
      <c r="K467" s="14" t="s">
        <v>50</v>
      </c>
      <c r="L467" s="14" t="s">
        <v>27</v>
      </c>
      <c r="M467" s="20" t="s">
        <v>946</v>
      </c>
      <c r="N467" s="14" t="s">
        <v>947</v>
      </c>
      <c r="O467" s="43">
        <v>133</v>
      </c>
      <c r="R467" s="38" t="s">
        <v>104</v>
      </c>
      <c r="S467" s="38"/>
      <c r="T467" s="38"/>
      <c r="W467" s="15" t="str">
        <f>IF(IFERROR(VLOOKUP($M467,'IMPORT GS-Tür OL FL 2S2 20'!$H$2:$H$847,1,0),"-")="-","","GS")</f>
        <v>GS</v>
      </c>
      <c r="Z467" s="59" t="str">
        <f>IF(OR($M467="",NOT($O467="{array}")),"",IFERROR(MATCH(PARAMETERS!$M467,DEFAULT!$B$5:$CG$5,0),""))</f>
        <v/>
      </c>
      <c r="AA467" s="56" t="str">
        <f t="shared" si="40"/>
        <v/>
      </c>
      <c r="AB467" s="63" t="str">
        <f>IF(AND(OR($A467="G",$A467="P"),NOT($O467="{array}")),IF(VLOOKUP($K467,base!$B$2:$D$20,3,0)="S",IF(OR($O467="",ISTEXT($O467)),"","STRING!"),IF(VLOOKUP($K467,base!$B$2:$D$20,3,0)="","",IF(ISTEXT($O467),"NUMERIC!",""))),"")</f>
        <v/>
      </c>
      <c r="AC467" s="17" t="str">
        <f>IF($AA467="","",IF($B467="I",VLOOKUP($AA467,#REF!,53,0),INDEX(VALUES!$B$1:$BR$1,1,$AA467)))</f>
        <v/>
      </c>
    </row>
    <row r="468" spans="1:29" collapsed="1" x14ac:dyDescent="0.3">
      <c r="A468" s="22" t="s">
        <v>214</v>
      </c>
      <c r="B468" s="41"/>
      <c r="C468" s="42"/>
      <c r="D468" s="38"/>
      <c r="E468" s="38"/>
      <c r="F468" s="38"/>
      <c r="G468" s="38"/>
      <c r="H468" s="38"/>
      <c r="I468" s="38"/>
      <c r="J468" s="38"/>
      <c r="L468" s="153"/>
      <c r="M468" s="14"/>
      <c r="R468" s="38"/>
      <c r="S468" s="38"/>
      <c r="T468" s="38"/>
      <c r="W468" s="15" t="str">
        <f>IF(IFERROR(VLOOKUP($M468,'IMPORT GS-Tür OL FL 2S2 20'!$H$2:$H$847,1,0),"-")="-","","GS")</f>
        <v/>
      </c>
      <c r="Z468" s="59" t="str">
        <f>IF(OR($M468="",NOT($O468="{array}")),"",IFERROR(MATCH(PARAMETERS!$M468,DEFAULT!$B$5:$CG$5,0),""))</f>
        <v/>
      </c>
      <c r="AA468" s="56" t="str">
        <f t="shared" si="40"/>
        <v/>
      </c>
      <c r="AB468" s="63" t="str">
        <f>IF(AND(OR($A468="G",$A468="P"),NOT($O468="{array}")),IF(VLOOKUP($K468,base!$B$2:$D$20,3,0)="S",IF(OR($O468="",ISTEXT($O468)),"","STRING!"),IF(VLOOKUP($K468,base!$B$2:$D$20,3,0)="","",IF(ISTEXT($O468),"NUMERIC!",""))),"")</f>
        <v/>
      </c>
      <c r="AC468" s="17" t="str">
        <f>IF($AA468="","",IF($B468="I",VLOOKUP($AA468,#REF!,53,0),INDEX(VALUES!$B$1:$BR$1,1,$AA468)))</f>
        <v/>
      </c>
    </row>
    <row r="469" spans="1:29" x14ac:dyDescent="0.3">
      <c r="A469" s="22" t="s">
        <v>84</v>
      </c>
      <c r="B469" s="41" t="str">
        <f t="shared" ref="B469:B491" si="41">IF($A469="P",IF(NOT($Z469=""),"A",IF(NOT($AA469=""),"I","")),IF(NOT($AA469=""),IF($A469="G","V","X"),IF(NOT($Z469=""),"A","")))</f>
        <v/>
      </c>
      <c r="C469" s="42">
        <f t="shared" ref="C469:C498" si="42">(ROW()-1)</f>
        <v>468</v>
      </c>
      <c r="D469" s="38"/>
      <c r="E469" s="38"/>
      <c r="F469" s="38"/>
      <c r="G469" s="38"/>
      <c r="H469" s="38"/>
      <c r="I469" s="38"/>
      <c r="J469" s="38"/>
      <c r="K469" s="53" t="s">
        <v>57</v>
      </c>
      <c r="L469" s="53" t="s">
        <v>38</v>
      </c>
      <c r="M469" s="154" t="s">
        <v>215</v>
      </c>
      <c r="N469" s="155" t="s">
        <v>216</v>
      </c>
      <c r="O469" s="156"/>
      <c r="R469" s="38" t="s">
        <v>201</v>
      </c>
      <c r="S469" s="38"/>
      <c r="T469" s="38"/>
      <c r="W469" s="15" t="str">
        <f>IF(IFERROR(VLOOKUP($M469,'IMPORT GS-Tür OL FL 2S2 20'!$H$2:$H$847,1,0),"-")="-","","GS")</f>
        <v/>
      </c>
      <c r="Z469" s="59" t="str">
        <f>IF(OR($M469="",NOT($O469="{array}")),"",IFERROR(MATCH(PARAMETERS!$M469,DEFAULT!$B$5:$CG$5,0),""))</f>
        <v/>
      </c>
      <c r="AA469" s="56" t="str">
        <f t="shared" si="40"/>
        <v/>
      </c>
      <c r="AB469" s="63" t="str">
        <f>IF(AND(OR($A469="G",$A469="P"),NOT($O469="{array}")),IF(VLOOKUP($K469,base!$B$2:$D$20,3,0)="S",IF(OR($O469="",ISTEXT($O469)),"","STRING!"),IF(VLOOKUP($K469,base!$B$2:$D$20,3,0)="","",IF(ISTEXT($O469),"NUMERIC!",""))),"")</f>
        <v/>
      </c>
      <c r="AC469" s="17" t="str">
        <f>IF($AA469="","",IF($B469="I",VLOOKUP($AA469,#REF!,53,0),INDEX(VALUES!$B$1:$BR$1,1,$AA469)))</f>
        <v/>
      </c>
    </row>
    <row r="470" spans="1:29" hidden="1" outlineLevel="1" x14ac:dyDescent="0.3">
      <c r="A470" s="22" t="s">
        <v>84</v>
      </c>
      <c r="B470" s="41" t="str">
        <f t="shared" si="41"/>
        <v/>
      </c>
      <c r="C470" s="42">
        <f t="shared" si="42"/>
        <v>469</v>
      </c>
      <c r="D470" s="38"/>
      <c r="E470" s="38"/>
      <c r="F470" s="38"/>
      <c r="G470" s="38"/>
      <c r="H470" s="38"/>
      <c r="I470" s="38" t="s">
        <v>9</v>
      </c>
      <c r="J470" s="38"/>
      <c r="K470" s="53" t="s">
        <v>44</v>
      </c>
      <c r="L470" s="53" t="s">
        <v>32</v>
      </c>
      <c r="M470" s="157" t="s">
        <v>217</v>
      </c>
      <c r="N470" s="53" t="s">
        <v>218</v>
      </c>
      <c r="O470" s="156">
        <v>1</v>
      </c>
      <c r="R470" s="38" t="s">
        <v>201</v>
      </c>
      <c r="S470" s="38"/>
      <c r="T470" s="38"/>
      <c r="W470" s="15"/>
      <c r="Z470" s="59" t="str">
        <f>IF(OR($M470="",NOT($O470="{array}")),"",IFERROR(MATCH(PARAMETERS!$M470,DEFAULT!$B$5:$CG$5,0),""))</f>
        <v/>
      </c>
      <c r="AA470" s="56" t="str">
        <f t="shared" si="40"/>
        <v/>
      </c>
      <c r="AB470" s="63" t="str">
        <f>IF(AND(OR($A470="G",$A470="P"),NOT($O470="{array}")),IF(VLOOKUP($K470,base!$B$2:$D$20,3,0)="S",IF(OR($O470="",ISTEXT($O470)),"","STRING!"),IF(VLOOKUP($K470,base!$B$2:$D$20,3,0)="","",IF(ISTEXT($O470),"NUMERIC!",""))),"")</f>
        <v/>
      </c>
      <c r="AC470" s="17" t="str">
        <f>IF($AA470="","",IF($B470="I",VLOOKUP($AA470,#REF!,53,0),INDEX(VALUES!$B$1:$BR$1,1,$AA470)))</f>
        <v/>
      </c>
    </row>
    <row r="471" spans="1:29" hidden="1" outlineLevel="1" x14ac:dyDescent="0.3">
      <c r="A471" s="22" t="s">
        <v>84</v>
      </c>
      <c r="B471" s="41" t="str">
        <f t="shared" si="41"/>
        <v/>
      </c>
      <c r="C471" s="42">
        <f t="shared" si="42"/>
        <v>470</v>
      </c>
      <c r="D471" s="38"/>
      <c r="E471" s="38"/>
      <c r="F471" s="38"/>
      <c r="G471" s="38"/>
      <c r="H471" s="38"/>
      <c r="I471" s="38" t="s">
        <v>9</v>
      </c>
      <c r="J471" s="38"/>
      <c r="K471" s="53" t="s">
        <v>44</v>
      </c>
      <c r="L471" s="53" t="s">
        <v>32</v>
      </c>
      <c r="M471" s="157" t="s">
        <v>219</v>
      </c>
      <c r="N471" s="53" t="s">
        <v>220</v>
      </c>
      <c r="O471" s="156">
        <v>0</v>
      </c>
      <c r="R471" s="38" t="s">
        <v>201</v>
      </c>
      <c r="S471" s="38"/>
      <c r="T471" s="38"/>
      <c r="W471" s="15"/>
      <c r="Z471" s="59" t="str">
        <f>IF(OR($M471="",NOT($O471="{array}")),"",IFERROR(MATCH(PARAMETERS!$M471,DEFAULT!$B$5:$CG$5,0),""))</f>
        <v/>
      </c>
      <c r="AA471" s="56" t="str">
        <f t="shared" si="40"/>
        <v/>
      </c>
      <c r="AB471" s="63" t="str">
        <f>IF(AND(OR($A471="G",$A471="P"),NOT($O471="{array}")),IF(VLOOKUP($K471,base!$B$2:$D$20,3,0)="S",IF(OR($O471="",ISTEXT($O471)),"","STRING!"),IF(VLOOKUP($K471,base!$B$2:$D$20,3,0)="","",IF(ISTEXT($O471),"NUMERIC!",""))),"")</f>
        <v/>
      </c>
      <c r="AC471" s="17" t="str">
        <f>IF($AA471="","",IF($B471="I",VLOOKUP($AA471,#REF!,53,0),INDEX(VALUES!$B$1:$BR$1,1,$AA471)))</f>
        <v/>
      </c>
    </row>
    <row r="472" spans="1:29" hidden="1" outlineLevel="1" x14ac:dyDescent="0.3">
      <c r="A472" s="22" t="s">
        <v>84</v>
      </c>
      <c r="B472" s="41" t="str">
        <f t="shared" si="41"/>
        <v/>
      </c>
      <c r="C472" s="42">
        <f t="shared" si="42"/>
        <v>471</v>
      </c>
      <c r="D472" s="38"/>
      <c r="E472" s="38"/>
      <c r="F472" s="38"/>
      <c r="G472" s="38"/>
      <c r="H472" s="38"/>
      <c r="I472" s="38" t="s">
        <v>9</v>
      </c>
      <c r="J472" s="38"/>
      <c r="K472" s="53" t="s">
        <v>18</v>
      </c>
      <c r="L472" s="53" t="s">
        <v>32</v>
      </c>
      <c r="M472" s="256" t="s">
        <v>2139</v>
      </c>
      <c r="N472" s="53" t="s">
        <v>2140</v>
      </c>
      <c r="O472" s="156" t="s">
        <v>2141</v>
      </c>
      <c r="R472" s="38" t="s">
        <v>201</v>
      </c>
      <c r="S472" s="38"/>
      <c r="T472" s="38"/>
      <c r="W472" s="15"/>
      <c r="Z472" s="59" t="str">
        <f>IF(OR($M472="",NOT($O472="{array}")),"",IFERROR(MATCH(PARAMETERS!$M472,DEFAULT!$B$5:$CG$5,0),""))</f>
        <v/>
      </c>
      <c r="AA472" s="56" t="str">
        <f t="shared" si="40"/>
        <v/>
      </c>
      <c r="AB472" s="63" t="str">
        <f>IF(AND(OR($A472="G",$A472="P"),NOT($O472="{array}")),IF(VLOOKUP($K472,base!$B$2:$D$20,3,0)="S",IF(OR($O472="",ISTEXT($O472)),"","STRING!"),IF(VLOOKUP($K472,base!$B$2:$D$20,3,0)="","",IF(ISTEXT($O472),"NUMERIC!",""))),"")</f>
        <v/>
      </c>
      <c r="AC472" s="17" t="str">
        <f>IF($AA472="","",IF($B472="I",VLOOKUP($AA472,#REF!,53,0),INDEX(VALUES!$B$1:$BR$1,1,$AA472)))</f>
        <v/>
      </c>
    </row>
    <row r="473" spans="1:29" collapsed="1" x14ac:dyDescent="0.3">
      <c r="A473" s="22" t="s">
        <v>84</v>
      </c>
      <c r="B473" s="41" t="str">
        <f t="shared" si="41"/>
        <v/>
      </c>
      <c r="C473" s="42">
        <f t="shared" si="42"/>
        <v>472</v>
      </c>
      <c r="D473" s="38"/>
      <c r="E473" s="38"/>
      <c r="F473" s="38" t="s">
        <v>9</v>
      </c>
      <c r="G473" s="38" t="s">
        <v>9</v>
      </c>
      <c r="H473" s="38"/>
      <c r="I473" s="38"/>
      <c r="J473" s="38"/>
      <c r="K473" s="14" t="s">
        <v>57</v>
      </c>
      <c r="L473" s="14" t="s">
        <v>38</v>
      </c>
      <c r="M473" s="48" t="s">
        <v>222</v>
      </c>
      <c r="N473" s="41" t="s">
        <v>223</v>
      </c>
      <c r="R473" s="38" t="s">
        <v>104</v>
      </c>
      <c r="S473" s="38"/>
      <c r="T473" s="38"/>
      <c r="W473" s="15" t="str">
        <f>IF(IFERROR(VLOOKUP($M473,'IMPORT GS-Tür OL FL 2S2 20'!$H$2:$H$847,1,0),"-")="-","","GS")</f>
        <v/>
      </c>
      <c r="Z473" s="59" t="str">
        <f>IF(OR($M473="",NOT($O473="{array}")),"",IFERROR(MATCH(PARAMETERS!$M473,DEFAULT!$B$5:$CG$5,0),""))</f>
        <v/>
      </c>
      <c r="AA473" s="56" t="str">
        <f t="shared" si="40"/>
        <v/>
      </c>
      <c r="AB473" s="63" t="str">
        <f>IF(AND(OR($A473="G",$A473="P"),NOT($O473="{array}")),IF(VLOOKUP($K473,base!$B$2:$D$20,3,0)="S",IF(OR($O473="",ISTEXT($O473)),"","STRING!"),IF(VLOOKUP($K473,base!$B$2:$D$20,3,0)="","",IF(ISTEXT($O473),"NUMERIC!",""))),"")</f>
        <v/>
      </c>
      <c r="AC473" s="17" t="str">
        <f>IF($AA473="","",IF($B473="I",VLOOKUP($AA473,#REF!,53,0),INDEX(VALUES!$B$1:$BR$1,1,$AA473)))</f>
        <v/>
      </c>
    </row>
    <row r="474" spans="1:29" hidden="1" outlineLevel="1" x14ac:dyDescent="0.3">
      <c r="A474" s="22"/>
      <c r="B474" s="41" t="str">
        <f t="shared" si="41"/>
        <v/>
      </c>
      <c r="C474" s="42">
        <f t="shared" si="42"/>
        <v>473</v>
      </c>
      <c r="D474" s="38"/>
      <c r="E474" s="38"/>
      <c r="F474" s="38"/>
      <c r="G474" s="38" t="s">
        <v>9</v>
      </c>
      <c r="H474" s="38"/>
      <c r="I474" s="38" t="s">
        <v>9</v>
      </c>
      <c r="J474" s="38"/>
      <c r="K474" s="14" t="s">
        <v>18</v>
      </c>
      <c r="L474" s="14" t="s">
        <v>38</v>
      </c>
      <c r="M474" s="20" t="s">
        <v>224</v>
      </c>
      <c r="N474" s="14" t="s">
        <v>225</v>
      </c>
      <c r="O474" s="43" t="s">
        <v>226</v>
      </c>
      <c r="R474" s="38" t="s">
        <v>104</v>
      </c>
      <c r="S474" s="38"/>
      <c r="T474" s="38"/>
      <c r="W474" s="15" t="str">
        <f>IF(IFERROR(VLOOKUP($M474,'IMPORT GS-Tür OL FL 2S2 20'!$H$2:$H$847,1,0),"-")="-","","GS")</f>
        <v>GS</v>
      </c>
      <c r="Z474" s="59" t="str">
        <f>IF(OR($M474="",NOT($O474="{array}")),"",IFERROR(MATCH(PARAMETERS!$M474,DEFAULT!$B$5:$CG$5,0),""))</f>
        <v/>
      </c>
      <c r="AA474" s="56" t="str">
        <f t="shared" si="40"/>
        <v/>
      </c>
      <c r="AB474" s="63" t="str">
        <f>IF(AND(OR($A474="G",$A474="P"),NOT($O474="{array}")),IF(VLOOKUP($K474,base!$B$2:$D$20,3,0)="S",IF(OR($O474="",ISTEXT($O474)),"","STRING!"),IF(VLOOKUP($K474,base!$B$2:$D$20,3,0)="","",IF(ISTEXT($O474),"NUMERIC!",""))),"")</f>
        <v/>
      </c>
      <c r="AC474" s="17" t="str">
        <f>IF($AA474="","",IF($B474="I",VLOOKUP($AA474,#REF!,53,0),INDEX(VALUES!$B$1:$BR$1,1,$AA474)))</f>
        <v/>
      </c>
    </row>
    <row r="475" spans="1:29" hidden="1" outlineLevel="1" x14ac:dyDescent="0.3">
      <c r="A475" s="22" t="s">
        <v>84</v>
      </c>
      <c r="B475" s="41" t="str">
        <f t="shared" si="41"/>
        <v/>
      </c>
      <c r="C475" s="42">
        <f t="shared" si="42"/>
        <v>474</v>
      </c>
      <c r="D475" s="38"/>
      <c r="E475" s="38"/>
      <c r="F475" s="38"/>
      <c r="G475" s="38"/>
      <c r="H475" s="38"/>
      <c r="I475" s="38" t="s">
        <v>9</v>
      </c>
      <c r="J475" s="38"/>
      <c r="K475" s="53" t="s">
        <v>44</v>
      </c>
      <c r="L475" s="53" t="s">
        <v>32</v>
      </c>
      <c r="M475" s="157" t="s">
        <v>177</v>
      </c>
      <c r="N475" s="53" t="s">
        <v>1852</v>
      </c>
      <c r="O475" s="156">
        <v>1</v>
      </c>
      <c r="R475" s="38" t="s">
        <v>201</v>
      </c>
      <c r="S475" s="38"/>
      <c r="T475" s="38"/>
      <c r="W475" s="15"/>
      <c r="Z475" s="59" t="str">
        <f>IF(OR($M475="",NOT($O475="{array}")),"",IFERROR(MATCH(PARAMETERS!$M475,DEFAULT!$B$5:$CG$5,0),""))</f>
        <v/>
      </c>
      <c r="AA475" s="56" t="str">
        <f t="shared" si="40"/>
        <v/>
      </c>
      <c r="AB475" s="63" t="str">
        <f>IF(AND(OR($A475="G",$A475="P"),NOT($O475="{array}")),IF(VLOOKUP($K475,base!$B$2:$D$20,3,0)="S",IF(OR($O475="",ISTEXT($O475)),"","STRING!"),IF(VLOOKUP($K475,base!$B$2:$D$20,3,0)="","",IF(ISTEXT($O475),"NUMERIC!",""))),"")</f>
        <v/>
      </c>
      <c r="AC475" s="17" t="str">
        <f>IF($AA475="","",IF($B475="I",VLOOKUP($AA475,#REF!,53,0),INDEX(VALUES!$B$1:$BR$1,1,$AA475)))</f>
        <v/>
      </c>
    </row>
    <row r="476" spans="1:29" hidden="1" outlineLevel="1" x14ac:dyDescent="0.3">
      <c r="A476" s="22" t="s">
        <v>84</v>
      </c>
      <c r="B476" s="41" t="str">
        <f t="shared" si="41"/>
        <v/>
      </c>
      <c r="C476" s="42">
        <f t="shared" si="42"/>
        <v>475</v>
      </c>
      <c r="D476" s="38"/>
      <c r="E476" s="38"/>
      <c r="F476" s="38"/>
      <c r="G476" s="38"/>
      <c r="H476" s="38"/>
      <c r="I476" s="38" t="s">
        <v>9</v>
      </c>
      <c r="J476" s="38"/>
      <c r="K476" s="53" t="s">
        <v>44</v>
      </c>
      <c r="L476" s="53" t="s">
        <v>32</v>
      </c>
      <c r="M476" s="157" t="s">
        <v>227</v>
      </c>
      <c r="N476" s="53" t="s">
        <v>228</v>
      </c>
      <c r="O476" s="156">
        <v>1</v>
      </c>
      <c r="R476" s="38" t="s">
        <v>201</v>
      </c>
      <c r="S476" s="38"/>
      <c r="T476" s="38"/>
      <c r="W476" s="15"/>
      <c r="Z476" s="59" t="str">
        <f>IF(OR($M476="",NOT($O476="{array}")),"",IFERROR(MATCH(PARAMETERS!$M476,DEFAULT!$B$5:$CG$5,0),""))</f>
        <v/>
      </c>
      <c r="AA476" s="56" t="str">
        <f t="shared" si="40"/>
        <v/>
      </c>
      <c r="AB476" s="63" t="str">
        <f>IF(AND(OR($A476="G",$A476="P"),NOT($O476="{array}")),IF(VLOOKUP($K476,base!$B$2:$D$20,3,0)="S",IF(OR($O476="",ISTEXT($O476)),"","STRING!"),IF(VLOOKUP($K476,base!$B$2:$D$20,3,0)="","",IF(ISTEXT($O476),"NUMERIC!",""))),"")</f>
        <v/>
      </c>
      <c r="AC476" s="17" t="str">
        <f>IF($AA476="","",IF($B476="I",VLOOKUP($AA476,#REF!,53,0),INDEX(VALUES!$B$1:$BR$1,1,$AA476)))</f>
        <v/>
      </c>
    </row>
    <row r="477" spans="1:29" hidden="1" outlineLevel="1" x14ac:dyDescent="0.3">
      <c r="A477" s="22" t="s">
        <v>84</v>
      </c>
      <c r="B477" s="41" t="str">
        <f t="shared" si="41"/>
        <v/>
      </c>
      <c r="C477" s="42">
        <f t="shared" si="42"/>
        <v>476</v>
      </c>
      <c r="D477" s="38"/>
      <c r="E477" s="38"/>
      <c r="F477" s="38" t="s">
        <v>9</v>
      </c>
      <c r="G477" s="38" t="s">
        <v>9</v>
      </c>
      <c r="H477" s="38"/>
      <c r="I477" s="38" t="s">
        <v>9</v>
      </c>
      <c r="J477" s="38"/>
      <c r="K477" s="14" t="s">
        <v>44</v>
      </c>
      <c r="L477" s="14" t="s">
        <v>27</v>
      </c>
      <c r="M477" s="20" t="s">
        <v>229</v>
      </c>
      <c r="N477" s="14" t="s">
        <v>230</v>
      </c>
      <c r="O477" s="43">
        <v>1</v>
      </c>
      <c r="Q477" s="38" t="s">
        <v>9</v>
      </c>
      <c r="R477" s="38" t="s">
        <v>104</v>
      </c>
      <c r="S477" s="38"/>
      <c r="T477" s="38"/>
      <c r="W477" s="15" t="str">
        <f>IF(IFERROR(VLOOKUP($M477,'IMPORT GS-Tür OL FL 2S2 20'!$H$2:$H$847,1,0),"-")="-","","GS")</f>
        <v>GS</v>
      </c>
      <c r="Z477" s="59" t="str">
        <f>IF(OR($M477="",NOT($O477="{array}")),"",IFERROR(MATCH(PARAMETERS!$M477,DEFAULT!$B$5:$CG$5,0),""))</f>
        <v/>
      </c>
      <c r="AA477" s="56" t="str">
        <f t="shared" si="40"/>
        <v/>
      </c>
      <c r="AB477" s="63" t="str">
        <f>IF(AND(OR($A477="G",$A477="P"),NOT($O477="{array}")),IF(VLOOKUP($K477,base!$B$2:$D$20,3,0)="S",IF(OR($O477="",ISTEXT($O477)),"","STRING!"),IF(VLOOKUP($K477,base!$B$2:$D$20,3,0)="","",IF(ISTEXT($O477),"NUMERIC!",""))),"")</f>
        <v/>
      </c>
      <c r="AC477" s="17" t="str">
        <f>IF($AA477="","",IF($B477="I",VLOOKUP($AA477,#REF!,53,0),INDEX(VALUES!$B$1:$BR$1,1,$AA477)))</f>
        <v/>
      </c>
    </row>
    <row r="478" spans="1:29" hidden="1" outlineLevel="1" x14ac:dyDescent="0.3">
      <c r="A478" s="22" t="s">
        <v>84</v>
      </c>
      <c r="B478" s="41" t="str">
        <f t="shared" si="41"/>
        <v/>
      </c>
      <c r="C478" s="42">
        <f t="shared" si="42"/>
        <v>477</v>
      </c>
      <c r="D478" s="38"/>
      <c r="E478" s="38"/>
      <c r="F478" s="38" t="s">
        <v>9</v>
      </c>
      <c r="G478" s="38" t="s">
        <v>9</v>
      </c>
      <c r="H478" s="38"/>
      <c r="I478" s="38" t="s">
        <v>9</v>
      </c>
      <c r="J478" s="38"/>
      <c r="K478" s="14" t="s">
        <v>44</v>
      </c>
      <c r="L478" s="14" t="s">
        <v>27</v>
      </c>
      <c r="M478" s="20" t="s">
        <v>231</v>
      </c>
      <c r="N478" s="14" t="s">
        <v>232</v>
      </c>
      <c r="O478" s="43">
        <v>1</v>
      </c>
      <c r="Q478" s="38" t="s">
        <v>9</v>
      </c>
      <c r="R478" s="38" t="s">
        <v>104</v>
      </c>
      <c r="S478" s="38"/>
      <c r="T478" s="38"/>
      <c r="W478" s="15" t="str">
        <f>IF(IFERROR(VLOOKUP($M478,'IMPORT GS-Tür OL FL 2S2 20'!$H$2:$H$847,1,0),"-")="-","","GS")</f>
        <v>GS</v>
      </c>
      <c r="Z478" s="59" t="str">
        <f>IF(OR($M478="",NOT($O478="{array}")),"",IFERROR(MATCH(PARAMETERS!$M478,DEFAULT!$B$5:$CG$5,0),""))</f>
        <v/>
      </c>
      <c r="AA478" s="56" t="str">
        <f t="shared" si="40"/>
        <v/>
      </c>
      <c r="AB478" s="63" t="str">
        <f>IF(AND(OR($A478="G",$A478="P"),NOT($O478="{array}")),IF(VLOOKUP($K478,base!$B$2:$D$20,3,0)="S",IF(OR($O478="",ISTEXT($O478)),"","STRING!"),IF(VLOOKUP($K478,base!$B$2:$D$20,3,0)="","",IF(ISTEXT($O478),"NUMERIC!",""))),"")</f>
        <v/>
      </c>
      <c r="AC478" s="17" t="str">
        <f>IF($AA478="","",IF($B478="I",VLOOKUP($AA478,#REF!,53,0),INDEX(VALUES!$B$1:$BR$1,1,$AA478)))</f>
        <v/>
      </c>
    </row>
    <row r="479" spans="1:29" hidden="1" outlineLevel="1" x14ac:dyDescent="0.3">
      <c r="A479" s="22" t="s">
        <v>84</v>
      </c>
      <c r="B479" s="41" t="str">
        <f t="shared" si="41"/>
        <v/>
      </c>
      <c r="C479" s="42">
        <f t="shared" si="42"/>
        <v>478</v>
      </c>
      <c r="D479" s="38"/>
      <c r="E479" s="38"/>
      <c r="F479" s="38" t="s">
        <v>9</v>
      </c>
      <c r="G479" s="38" t="s">
        <v>9</v>
      </c>
      <c r="H479" s="38"/>
      <c r="I479" s="38" t="s">
        <v>9</v>
      </c>
      <c r="J479" s="38" t="s">
        <v>9</v>
      </c>
      <c r="K479" s="14" t="s">
        <v>44</v>
      </c>
      <c r="L479" s="14" t="s">
        <v>27</v>
      </c>
      <c r="M479" s="20" t="s">
        <v>233</v>
      </c>
      <c r="N479" s="14" t="s">
        <v>232</v>
      </c>
      <c r="O479" s="43">
        <v>1</v>
      </c>
      <c r="Q479" s="38" t="s">
        <v>9</v>
      </c>
      <c r="R479" s="38" t="s">
        <v>104</v>
      </c>
      <c r="S479" s="38"/>
      <c r="T479" s="38"/>
      <c r="W479" s="15" t="str">
        <f>IF(IFERROR(VLOOKUP($M479,'IMPORT GS-Tür OL FL 2S2 20'!$H$2:$H$847,1,0),"-")="-","","GS")</f>
        <v>GS</v>
      </c>
      <c r="Z479" s="59" t="str">
        <f>IF(OR($M479="",NOT($O479="{array}")),"",IFERROR(MATCH(PARAMETERS!$M479,DEFAULT!$B$5:$CG$5,0),""))</f>
        <v/>
      </c>
      <c r="AA479" s="56" t="str">
        <f t="shared" si="40"/>
        <v/>
      </c>
      <c r="AB479" s="63" t="str">
        <f>IF(AND(OR($A479="G",$A479="P"),NOT($O479="{array}")),IF(VLOOKUP($K479,base!$B$2:$D$20,3,0)="S",IF(OR($O479="",ISTEXT($O479)),"","STRING!"),IF(VLOOKUP($K479,base!$B$2:$D$20,3,0)="","",IF(ISTEXT($O479),"NUMERIC!",""))),"")</f>
        <v/>
      </c>
      <c r="AC479" s="17" t="str">
        <f>IF($AA479="","",IF($B479="I",VLOOKUP($AA479,#REF!,53,0),INDEX(VALUES!$B$1:$BR$1,1,$AA479)))</f>
        <v/>
      </c>
    </row>
    <row r="480" spans="1:29" hidden="1" outlineLevel="1" x14ac:dyDescent="0.3">
      <c r="A480" s="22" t="s">
        <v>84</v>
      </c>
      <c r="B480" s="41" t="str">
        <f t="shared" si="41"/>
        <v/>
      </c>
      <c r="C480" s="42">
        <f t="shared" si="42"/>
        <v>479</v>
      </c>
      <c r="D480" s="38"/>
      <c r="E480" s="38"/>
      <c r="F480" s="38"/>
      <c r="G480" s="38" t="s">
        <v>9</v>
      </c>
      <c r="H480" s="38"/>
      <c r="I480" s="38" t="s">
        <v>9</v>
      </c>
      <c r="J480" s="38"/>
      <c r="K480" s="14" t="s">
        <v>44</v>
      </c>
      <c r="L480" s="14" t="s">
        <v>27</v>
      </c>
      <c r="M480" s="20" t="s">
        <v>234</v>
      </c>
      <c r="O480" s="43">
        <v>0</v>
      </c>
      <c r="Q480" s="38" t="s">
        <v>235</v>
      </c>
      <c r="R480" s="38" t="s">
        <v>104</v>
      </c>
      <c r="S480" s="38"/>
      <c r="T480" s="38"/>
      <c r="W480" s="15" t="str">
        <f>IF(IFERROR(VLOOKUP($M480,'IMPORT GS-Tür OL FL 2S2 20'!$H$2:$H$847,1,0),"-")="-","","GS")</f>
        <v/>
      </c>
      <c r="Z480" s="59" t="str">
        <f>IF(OR($M480="",NOT($O480="{array}")),"",IFERROR(MATCH(PARAMETERS!$M480,DEFAULT!$B$5:$CG$5,0),""))</f>
        <v/>
      </c>
      <c r="AA480" s="56" t="str">
        <f t="shared" si="40"/>
        <v/>
      </c>
      <c r="AB480" s="63" t="str">
        <f>IF(AND(OR($A480="G",$A480="P"),NOT($O480="{array}")),IF(VLOOKUP($K480,base!$B$2:$D$20,3,0)="S",IF(OR($O480="",ISTEXT($O480)),"","STRING!"),IF(VLOOKUP($K480,base!$B$2:$D$20,3,0)="","",IF(ISTEXT($O480),"NUMERIC!",""))),"")</f>
        <v/>
      </c>
      <c r="AC480" s="17" t="str">
        <f>IF($AA480="","",IF($B480="I",VLOOKUP($AA480,#REF!,53,0),INDEX(VALUES!$B$1:$BR$1,1,$AA480)))</f>
        <v/>
      </c>
    </row>
    <row r="481" spans="1:29" hidden="1" outlineLevel="1" x14ac:dyDescent="0.3">
      <c r="A481" s="22" t="s">
        <v>84</v>
      </c>
      <c r="B481" s="41" t="str">
        <f t="shared" si="41"/>
        <v/>
      </c>
      <c r="C481" s="42">
        <f t="shared" si="42"/>
        <v>480</v>
      </c>
      <c r="D481" s="38"/>
      <c r="E481" s="38"/>
      <c r="F481" s="38"/>
      <c r="G481" s="38" t="s">
        <v>9</v>
      </c>
      <c r="H481" s="38"/>
      <c r="I481" s="38" t="s">
        <v>9</v>
      </c>
      <c r="J481" s="38"/>
      <c r="K481" s="14" t="s">
        <v>44</v>
      </c>
      <c r="L481" s="14" t="s">
        <v>27</v>
      </c>
      <c r="M481" s="20" t="s">
        <v>236</v>
      </c>
      <c r="O481" s="43">
        <v>1</v>
      </c>
      <c r="Q481" s="38" t="s">
        <v>235</v>
      </c>
      <c r="R481" s="38" t="s">
        <v>104</v>
      </c>
      <c r="S481" s="38"/>
      <c r="T481" s="38"/>
      <c r="W481" s="15" t="str">
        <f>IF(IFERROR(VLOOKUP($M481,'IMPORT GS-Tür OL FL 2S2 20'!$H$2:$H$847,1,0),"-")="-","","GS")</f>
        <v/>
      </c>
      <c r="Z481" s="59" t="str">
        <f>IF(OR($M481="",NOT($O481="{array}")),"",IFERROR(MATCH(PARAMETERS!$M481,DEFAULT!$B$5:$CG$5,0),""))</f>
        <v/>
      </c>
      <c r="AA481" s="56" t="str">
        <f t="shared" si="40"/>
        <v/>
      </c>
      <c r="AB481" s="63" t="str">
        <f>IF(AND(OR($A481="G",$A481="P"),NOT($O481="{array}")),IF(VLOOKUP($K481,base!$B$2:$D$20,3,0)="S",IF(OR($O481="",ISTEXT($O481)),"","STRING!"),IF(VLOOKUP($K481,base!$B$2:$D$20,3,0)="","",IF(ISTEXT($O481),"NUMERIC!",""))),"")</f>
        <v/>
      </c>
      <c r="AC481" s="17" t="str">
        <f>IF($AA481="","",IF($B481="I",VLOOKUP($AA481,#REF!,53,0),INDEX(VALUES!$B$1:$BR$1,1,$AA481)))</f>
        <v/>
      </c>
    </row>
    <row r="482" spans="1:29" hidden="1" outlineLevel="1" x14ac:dyDescent="0.3">
      <c r="A482" s="22" t="s">
        <v>84</v>
      </c>
      <c r="B482" s="41" t="str">
        <f t="shared" si="41"/>
        <v/>
      </c>
      <c r="C482" s="42">
        <f t="shared" si="42"/>
        <v>481</v>
      </c>
      <c r="D482" s="38"/>
      <c r="E482" s="38"/>
      <c r="F482" s="38" t="s">
        <v>9</v>
      </c>
      <c r="G482" s="38" t="s">
        <v>9</v>
      </c>
      <c r="H482" s="38"/>
      <c r="I482" s="38" t="s">
        <v>9</v>
      </c>
      <c r="J482" s="38"/>
      <c r="K482" s="14" t="s">
        <v>18</v>
      </c>
      <c r="L482" s="14" t="s">
        <v>27</v>
      </c>
      <c r="M482" s="20" t="s">
        <v>237</v>
      </c>
      <c r="N482" s="14" t="s">
        <v>238</v>
      </c>
      <c r="Q482" s="38" t="s">
        <v>9</v>
      </c>
      <c r="R482" s="38" t="s">
        <v>104</v>
      </c>
      <c r="S482" s="38"/>
      <c r="T482" s="38"/>
      <c r="W482" s="15" t="str">
        <f>IF(IFERROR(VLOOKUP($M482,'IMPORT GS-Tür OL FL 2S2 20'!$H$2:$H$847,1,0),"-")="-","","GS")</f>
        <v>GS</v>
      </c>
      <c r="Z482" s="59" t="str">
        <f>IF(OR($M482="",NOT($O482="{array}")),"",IFERROR(MATCH(PARAMETERS!$M482,DEFAULT!$B$5:$CG$5,0),""))</f>
        <v/>
      </c>
      <c r="AA482" s="56" t="str">
        <f t="shared" si="40"/>
        <v/>
      </c>
      <c r="AB482" s="63" t="str">
        <f>IF(AND(OR($A482="G",$A482="P"),NOT($O482="{array}")),IF(VLOOKUP($K482,base!$B$2:$D$20,3,0)="S",IF(OR($O482="",ISTEXT($O482)),"","STRING!"),IF(VLOOKUP($K482,base!$B$2:$D$20,3,0)="","",IF(ISTEXT($O482),"NUMERIC!",""))),"")</f>
        <v/>
      </c>
      <c r="AC482" s="17" t="str">
        <f>IF($AA482="","",IF($B482="I",VLOOKUP($AA482,#REF!,53,0),INDEX(VALUES!$B$1:$BR$1,1,$AA482)))</f>
        <v/>
      </c>
    </row>
    <row r="483" spans="1:29" hidden="1" outlineLevel="1" x14ac:dyDescent="0.3">
      <c r="A483" s="22" t="s">
        <v>84</v>
      </c>
      <c r="B483" s="41" t="str">
        <f t="shared" si="41"/>
        <v/>
      </c>
      <c r="C483" s="42">
        <f t="shared" si="42"/>
        <v>482</v>
      </c>
      <c r="D483" s="38"/>
      <c r="E483" s="38"/>
      <c r="F483" s="38" t="s">
        <v>9</v>
      </c>
      <c r="G483" s="38" t="s">
        <v>9</v>
      </c>
      <c r="H483" s="38"/>
      <c r="I483" s="38" t="s">
        <v>9</v>
      </c>
      <c r="J483" s="38" t="s">
        <v>9</v>
      </c>
      <c r="K483" s="14" t="s">
        <v>44</v>
      </c>
      <c r="L483" s="14" t="s">
        <v>38</v>
      </c>
      <c r="M483" s="20" t="s">
        <v>239</v>
      </c>
      <c r="N483" s="14" t="s">
        <v>240</v>
      </c>
      <c r="O483" s="43">
        <v>2</v>
      </c>
      <c r="Q483" s="38" t="s">
        <v>9</v>
      </c>
      <c r="R483" s="38" t="s">
        <v>104</v>
      </c>
      <c r="S483" s="38"/>
      <c r="T483" s="38"/>
      <c r="W483" s="15" t="str">
        <f>IF(IFERROR(VLOOKUP($M483,'IMPORT GS-Tür OL FL 2S2 20'!$H$2:$H$847,1,0),"-")="-","","GS")</f>
        <v>GS</v>
      </c>
      <c r="Z483" s="59" t="str">
        <f>IF(OR($M483="",NOT($O483="{array}")),"",IFERROR(MATCH(PARAMETERS!$M483,DEFAULT!$B$5:$CG$5,0),""))</f>
        <v/>
      </c>
      <c r="AA483" s="56" t="str">
        <f t="shared" si="40"/>
        <v/>
      </c>
      <c r="AB483" s="63" t="str">
        <f>IF(AND(OR($A483="G",$A483="P"),NOT($O483="{array}")),IF(VLOOKUP($K483,base!$B$2:$D$20,3,0)="S",IF(OR($O483="",ISTEXT($O483)),"","STRING!"),IF(VLOOKUP($K483,base!$B$2:$D$20,3,0)="","",IF(ISTEXT($O483),"NUMERIC!",""))),"")</f>
        <v/>
      </c>
      <c r="AC483" s="17" t="str">
        <f>IF($AA483="","",IF($B483="I",VLOOKUP($AA483,#REF!,53,0),INDEX(VALUES!$B$1:$BR$1,1,$AA483)))</f>
        <v/>
      </c>
    </row>
    <row r="484" spans="1:29" hidden="1" outlineLevel="1" x14ac:dyDescent="0.3">
      <c r="A484" s="22" t="s">
        <v>84</v>
      </c>
      <c r="B484" s="41" t="str">
        <f t="shared" si="41"/>
        <v/>
      </c>
      <c r="C484" s="42">
        <f t="shared" si="42"/>
        <v>483</v>
      </c>
      <c r="D484" s="38"/>
      <c r="E484" s="38"/>
      <c r="F484" s="38" t="s">
        <v>9</v>
      </c>
      <c r="G484" s="38" t="s">
        <v>9</v>
      </c>
      <c r="H484" s="38"/>
      <c r="I484" s="38" t="s">
        <v>9</v>
      </c>
      <c r="J484" s="38"/>
      <c r="K484" s="14" t="s">
        <v>47</v>
      </c>
      <c r="L484" s="14" t="s">
        <v>27</v>
      </c>
      <c r="M484" s="20" t="s">
        <v>241</v>
      </c>
      <c r="N484" s="14" t="s">
        <v>242</v>
      </c>
      <c r="O484" s="43">
        <v>1</v>
      </c>
      <c r="Q484" s="38" t="s">
        <v>9</v>
      </c>
      <c r="R484" s="38" t="s">
        <v>104</v>
      </c>
      <c r="S484" s="38"/>
      <c r="T484" s="38"/>
      <c r="W484" s="15" t="str">
        <f>IF(IFERROR(VLOOKUP($M484,'IMPORT GS-Tür OL FL 2S2 20'!$H$2:$H$847,1,0),"-")="-","","GS")</f>
        <v>GS</v>
      </c>
      <c r="Z484" s="59" t="str">
        <f>IF(OR($M484="",NOT($O484="{array}")),"",IFERROR(MATCH(PARAMETERS!$M484,DEFAULT!$B$5:$CG$5,0),""))</f>
        <v/>
      </c>
      <c r="AA484" s="56" t="str">
        <f t="shared" si="40"/>
        <v/>
      </c>
      <c r="AB484" s="63" t="str">
        <f>IF(AND(OR($A484="G",$A484="P"),NOT($O484="{array}")),IF(VLOOKUP($K484,base!$B$2:$D$20,3,0)="S",IF(OR($O484="",ISTEXT($O484)),"","STRING!"),IF(VLOOKUP($K484,base!$B$2:$D$20,3,0)="","",IF(ISTEXT($O484),"NUMERIC!",""))),"")</f>
        <v/>
      </c>
      <c r="AC484" s="17" t="str">
        <f>IF($AA484="","",IF($B484="I",VLOOKUP($AA484,#REF!,53,0),INDEX(VALUES!$B$1:$BR$1,1,$AA484)))</f>
        <v/>
      </c>
    </row>
    <row r="485" spans="1:29" hidden="1" outlineLevel="1" x14ac:dyDescent="0.3">
      <c r="A485" s="22" t="s">
        <v>84</v>
      </c>
      <c r="B485" s="41" t="str">
        <f t="shared" si="41"/>
        <v/>
      </c>
      <c r="C485" s="42">
        <f t="shared" si="42"/>
        <v>484</v>
      </c>
      <c r="D485" s="38"/>
      <c r="E485" s="38"/>
      <c r="F485" s="38"/>
      <c r="G485" s="38" t="s">
        <v>9</v>
      </c>
      <c r="H485" s="38"/>
      <c r="I485" s="38" t="s">
        <v>9</v>
      </c>
      <c r="J485" s="38"/>
      <c r="K485" s="14" t="s">
        <v>44</v>
      </c>
      <c r="L485" s="14" t="s">
        <v>27</v>
      </c>
      <c r="M485" s="20" t="s">
        <v>1989</v>
      </c>
      <c r="N485" s="14" t="s">
        <v>1990</v>
      </c>
      <c r="O485" s="43">
        <v>8000</v>
      </c>
      <c r="Q485" s="38" t="s">
        <v>9</v>
      </c>
      <c r="R485" s="38" t="s">
        <v>201</v>
      </c>
      <c r="S485" s="38"/>
      <c r="T485" s="38"/>
      <c r="W485" s="15" t="str">
        <f>IF(IFERROR(VLOOKUP($M485,'IMPORT GS-Tür OL FL 2S2 20'!$H$2:$H$847,1,0),"-")="-","","GS")</f>
        <v/>
      </c>
      <c r="Z485" s="59" t="str">
        <f>IF(OR($M485="",NOT($O485="{array}")),"",IFERROR(MATCH(PARAMETERS!$M485,DEFAULT!$B$5:$CG$5,0),""))</f>
        <v/>
      </c>
      <c r="AA485" s="56" t="str">
        <f t="shared" si="40"/>
        <v/>
      </c>
      <c r="AB485" s="63" t="str">
        <f>IF(AND(OR($A485="G",$A485="P"),NOT($O485="{array}")),IF(VLOOKUP($K485,base!$B$2:$D$20,3,0)="S",IF(OR($O485="",ISTEXT($O485)),"","STRING!"),IF(VLOOKUP($K485,base!$B$2:$D$20,3,0)="","",IF(ISTEXT($O485),"NUMERIC!",""))),"")</f>
        <v/>
      </c>
      <c r="AC485" s="17" t="str">
        <f>IF($AA485="","",IF($B485="I",VLOOKUP($AA485,#REF!,53,0),INDEX(VALUES!$B$1:$BR$1,1,$AA485)))</f>
        <v/>
      </c>
    </row>
    <row r="486" spans="1:29" hidden="1" outlineLevel="1" x14ac:dyDescent="0.3">
      <c r="A486" s="22" t="s">
        <v>84</v>
      </c>
      <c r="B486" s="41" t="str">
        <f t="shared" si="41"/>
        <v>V</v>
      </c>
      <c r="C486" s="42">
        <f t="shared" si="42"/>
        <v>485</v>
      </c>
      <c r="D486" s="38"/>
      <c r="E486" s="38"/>
      <c r="F486" s="38"/>
      <c r="G486" s="38"/>
      <c r="H486" s="38"/>
      <c r="I486" s="38" t="s">
        <v>9</v>
      </c>
      <c r="J486" s="38"/>
      <c r="K486" s="53" t="s">
        <v>44</v>
      </c>
      <c r="L486" s="53" t="s">
        <v>32</v>
      </c>
      <c r="M486" s="53" t="s">
        <v>243</v>
      </c>
      <c r="N486" s="53" t="s">
        <v>244</v>
      </c>
      <c r="O486" s="156">
        <v>0</v>
      </c>
      <c r="R486" s="38" t="s">
        <v>201</v>
      </c>
      <c r="S486" s="38"/>
      <c r="T486" s="38"/>
      <c r="W486" s="15"/>
      <c r="Z486" s="59" t="str">
        <f>IF(OR($M486="",NOT($O486="{array}")),"",IFERROR(MATCH(PARAMETERS!$M486,DEFAULT!$B$5:$CG$5,0),""))</f>
        <v/>
      </c>
      <c r="AA486" s="56">
        <f t="shared" si="40"/>
        <v>69</v>
      </c>
      <c r="AB486" s="63" t="str">
        <f>IF(AND(OR($A486="G",$A486="P"),NOT($O486="{array}")),IF(VLOOKUP($K486,base!$B$2:$D$20,3,0)="S",IF(OR($O486="",ISTEXT($O486)),"","STRING!"),IF(VLOOKUP($K486,base!$B$2:$D$20,3,0)="","",IF(ISTEXT($O486),"NUMERIC!",""))),"")</f>
        <v/>
      </c>
      <c r="AC486" s="17" t="str">
        <f>IF($AA486="","",IF($B486="I",VLOOKUP($AA486,#REF!,53,0),INDEX(VALUES!$B$1:$BR$1,1,$AA486)))</f>
        <v>0 | 1 | 2 | 3 | 4 | 5 | 6 | 7 | ...</v>
      </c>
    </row>
    <row r="487" spans="1:29" collapsed="1" x14ac:dyDescent="0.3">
      <c r="A487" s="22" t="s">
        <v>84</v>
      </c>
      <c r="B487" s="41" t="str">
        <f t="shared" si="41"/>
        <v/>
      </c>
      <c r="C487" s="231">
        <f t="shared" si="42"/>
        <v>486</v>
      </c>
      <c r="D487" s="232"/>
      <c r="E487" s="232"/>
      <c r="F487" s="232"/>
      <c r="G487" s="232"/>
      <c r="H487" s="232"/>
      <c r="I487" s="232"/>
      <c r="J487" s="232"/>
      <c r="K487" s="233" t="s">
        <v>57</v>
      </c>
      <c r="L487" s="233" t="s">
        <v>38</v>
      </c>
      <c r="M487" s="234" t="s">
        <v>1958</v>
      </c>
      <c r="N487" s="235" t="s">
        <v>1959</v>
      </c>
      <c r="O487" s="236"/>
      <c r="P487" s="233"/>
      <c r="Q487" s="232"/>
      <c r="R487" s="232" t="s">
        <v>104</v>
      </c>
      <c r="S487" s="38"/>
      <c r="T487" s="38"/>
      <c r="Z487" s="59" t="str">
        <f>IF(OR($M487="",NOT($O487="{array}")),"",IFERROR(MATCH(PARAMETERS!$M487,DEFAULT!$B$5:$CG$5,0),""))</f>
        <v/>
      </c>
      <c r="AA487" s="56" t="str">
        <f t="shared" si="40"/>
        <v/>
      </c>
      <c r="AB487" s="63" t="str">
        <f>IF(AND(OR($A487="G",$A487="P"),NOT($O487="{array}")),IF(VLOOKUP($K487,base!$B$2:$D$20,3,0)="S",IF(OR($O487="",ISTEXT($O487)),"","STRING!"),IF(VLOOKUP($K487,base!$B$2:$D$20,3,0)="","",IF(ISTEXT($O487),"NUMERIC!",""))),"")</f>
        <v/>
      </c>
      <c r="AC487" s="17" t="str">
        <f>IF($AA487="","",IF($B487="I",VLOOKUP($AA487,#REF!,53,0),INDEX(VALUES!$B$1:$BR$1,1,$AA487)))</f>
        <v/>
      </c>
    </row>
    <row r="488" spans="1:29" hidden="1" outlineLevel="1" x14ac:dyDescent="0.3">
      <c r="A488" s="22" t="s">
        <v>84</v>
      </c>
      <c r="B488" s="41" t="str">
        <f t="shared" si="41"/>
        <v/>
      </c>
      <c r="C488" s="237">
        <f t="shared" si="42"/>
        <v>487</v>
      </c>
      <c r="D488" s="232"/>
      <c r="E488" s="232"/>
      <c r="F488" s="232"/>
      <c r="G488" s="232"/>
      <c r="H488" s="232"/>
      <c r="I488" s="232" t="s">
        <v>9</v>
      </c>
      <c r="J488" s="232" t="s">
        <v>9</v>
      </c>
      <c r="K488" s="233" t="s">
        <v>44</v>
      </c>
      <c r="L488" s="238" t="s">
        <v>38</v>
      </c>
      <c r="M488" s="239" t="s">
        <v>1960</v>
      </c>
      <c r="N488" s="233" t="s">
        <v>1961</v>
      </c>
      <c r="O488" s="236">
        <v>1</v>
      </c>
      <c r="P488" s="233"/>
      <c r="Q488" s="232"/>
      <c r="R488" s="232" t="s">
        <v>201</v>
      </c>
      <c r="S488" s="38"/>
      <c r="T488" s="38"/>
      <c r="Z488" s="59" t="str">
        <f>IF(OR($M488="",NOT($O488="{array}")),"",IFERROR(MATCH(PARAMETERS!$M488,DEFAULT!$B$5:$CG$5,0),""))</f>
        <v/>
      </c>
      <c r="AA488" s="56" t="str">
        <f t="shared" si="40"/>
        <v/>
      </c>
      <c r="AB488" s="63" t="str">
        <f>IF(AND(OR($A488="G",$A488="P"),NOT($O488="{array}")),IF(VLOOKUP($K488,base!$B$2:$D$20,3,0)="S",IF(OR($O488="",ISTEXT($O488)),"","STRING!"),IF(VLOOKUP($K488,base!$B$2:$D$20,3,0)="","",IF(ISTEXT($O488),"NUMERIC!",""))),"")</f>
        <v/>
      </c>
      <c r="AC488" s="17" t="str">
        <f>IF($AA488="","",IF($B488="I",VLOOKUP($AA488,#REF!,53,0),INDEX(VALUES!$B$1:$BR$1,1,$AA488)))</f>
        <v/>
      </c>
    </row>
    <row r="489" spans="1:29" hidden="1" outlineLevel="1" x14ac:dyDescent="0.3">
      <c r="A489" s="22" t="s">
        <v>84</v>
      </c>
      <c r="B489" s="41" t="str">
        <f t="shared" si="41"/>
        <v/>
      </c>
      <c r="C489" s="237">
        <f t="shared" si="42"/>
        <v>488</v>
      </c>
      <c r="D489" s="232"/>
      <c r="E489" s="232"/>
      <c r="F489" s="232"/>
      <c r="G489" s="232"/>
      <c r="H489" s="232"/>
      <c r="I489" s="232" t="s">
        <v>9</v>
      </c>
      <c r="J489" s="232" t="s">
        <v>9</v>
      </c>
      <c r="K489" s="233" t="s">
        <v>44</v>
      </c>
      <c r="L489" s="238" t="s">
        <v>38</v>
      </c>
      <c r="M489" s="239" t="s">
        <v>1962</v>
      </c>
      <c r="N489" s="233" t="s">
        <v>1963</v>
      </c>
      <c r="O489" s="236">
        <v>1</v>
      </c>
      <c r="P489" s="233"/>
      <c r="Q489" s="232"/>
      <c r="R489" s="232" t="s">
        <v>201</v>
      </c>
      <c r="S489" s="38"/>
      <c r="T489" s="38"/>
      <c r="Z489" s="59" t="str">
        <f>IF(OR($M489="",NOT($O489="{array}")),"",IFERROR(MATCH(PARAMETERS!$M489,DEFAULT!$B$5:$CG$5,0),""))</f>
        <v/>
      </c>
      <c r="AA489" s="56" t="str">
        <f t="shared" si="40"/>
        <v/>
      </c>
      <c r="AB489" s="63" t="str">
        <f>IF(AND(OR($A489="G",$A489="P"),NOT($O489="{array}")),IF(VLOOKUP($K489,base!$B$2:$D$20,3,0)="S",IF(OR($O489="",ISTEXT($O489)),"","STRING!"),IF(VLOOKUP($K489,base!$B$2:$D$20,3,0)="","",IF(ISTEXT($O489),"NUMERIC!",""))),"")</f>
        <v/>
      </c>
      <c r="AC489" s="17" t="str">
        <f>IF($AA489="","",IF($B489="I",VLOOKUP($AA489,#REF!,53,0),INDEX(VALUES!$B$1:$BR$1,1,$AA489)))</f>
        <v/>
      </c>
    </row>
    <row r="490" spans="1:29" hidden="1" outlineLevel="1" x14ac:dyDescent="0.3">
      <c r="A490" s="22" t="s">
        <v>84</v>
      </c>
      <c r="B490" s="41" t="str">
        <f t="shared" si="41"/>
        <v/>
      </c>
      <c r="C490" s="237">
        <f t="shared" si="42"/>
        <v>489</v>
      </c>
      <c r="D490" s="232"/>
      <c r="E490" s="232"/>
      <c r="F490" s="232"/>
      <c r="G490" s="232"/>
      <c r="H490" s="232"/>
      <c r="I490" s="232" t="s">
        <v>9</v>
      </c>
      <c r="J490" s="232" t="s">
        <v>9</v>
      </c>
      <c r="K490" s="233" t="s">
        <v>44</v>
      </c>
      <c r="L490" s="238" t="s">
        <v>38</v>
      </c>
      <c r="M490" s="239" t="s">
        <v>1964</v>
      </c>
      <c r="N490" s="233" t="s">
        <v>1965</v>
      </c>
      <c r="O490" s="236">
        <v>0</v>
      </c>
      <c r="P490" s="233"/>
      <c r="Q490" s="232"/>
      <c r="R490" s="232" t="s">
        <v>201</v>
      </c>
      <c r="S490" s="38"/>
      <c r="T490" s="38"/>
      <c r="Z490" s="59" t="str">
        <f>IF(OR($M490="",NOT($O490="{array}")),"",IFERROR(MATCH(PARAMETERS!$M490,DEFAULT!$B$5:$CG$5,0),""))</f>
        <v/>
      </c>
      <c r="AA490" s="56" t="str">
        <f t="shared" si="40"/>
        <v/>
      </c>
      <c r="AB490" s="63" t="str">
        <f>IF(AND(OR($A490="G",$A490="P"),NOT($O490="{array}")),IF(VLOOKUP($K490,base!$B$2:$D$20,3,0)="S",IF(OR($O490="",ISTEXT($O490)),"","STRING!"),IF(VLOOKUP($K490,base!$B$2:$D$20,3,0)="","",IF(ISTEXT($O490),"NUMERIC!",""))),"")</f>
        <v/>
      </c>
      <c r="AC490" s="17" t="str">
        <f>IF($AA490="","",IF($B490="I",VLOOKUP($AA490,#REF!,53,0),INDEX(VALUES!$B$1:$BR$1,1,$AA490)))</f>
        <v/>
      </c>
    </row>
    <row r="491" spans="1:29" hidden="1" outlineLevel="1" x14ac:dyDescent="0.3">
      <c r="A491" s="22" t="s">
        <v>84</v>
      </c>
      <c r="B491" s="41" t="str">
        <f t="shared" si="41"/>
        <v/>
      </c>
      <c r="C491" s="237">
        <f t="shared" si="42"/>
        <v>490</v>
      </c>
      <c r="D491" s="232"/>
      <c r="E491" s="232"/>
      <c r="F491" s="232"/>
      <c r="G491" s="232"/>
      <c r="H491" s="232"/>
      <c r="I491" s="232" t="s">
        <v>9</v>
      </c>
      <c r="J491" s="232" t="s">
        <v>9</v>
      </c>
      <c r="K491" s="233" t="s">
        <v>44</v>
      </c>
      <c r="L491" s="238" t="s">
        <v>38</v>
      </c>
      <c r="M491" s="239" t="s">
        <v>1966</v>
      </c>
      <c r="N491" s="233" t="s">
        <v>1967</v>
      </c>
      <c r="O491" s="236">
        <v>0</v>
      </c>
      <c r="P491" s="233"/>
      <c r="Q491" s="232"/>
      <c r="R491" s="232" t="s">
        <v>201</v>
      </c>
      <c r="S491" s="38"/>
      <c r="T491" s="38"/>
      <c r="Z491" s="59" t="str">
        <f>IF(OR($M491="",NOT($O491="{array}")),"",IFERROR(MATCH(PARAMETERS!$M491,DEFAULT!$B$5:$CG$5,0),""))</f>
        <v/>
      </c>
      <c r="AA491" s="56" t="str">
        <f t="shared" si="40"/>
        <v/>
      </c>
      <c r="AB491" s="63" t="str">
        <f>IF(AND(OR($A491="G",$A491="P"),NOT($O491="{array}")),IF(VLOOKUP($K491,base!$B$2:$D$20,3,0)="S",IF(OR($O491="",ISTEXT($O491)),"","STRING!"),IF(VLOOKUP($K491,base!$B$2:$D$20,3,0)="","",IF(ISTEXT($O491),"NUMERIC!",""))),"")</f>
        <v/>
      </c>
      <c r="AC491" s="17" t="str">
        <f>IF($AA491="","",IF($B491="I",VLOOKUP($AA491,#REF!,53,0),INDEX(VALUES!$B$1:$BR$1,1,$AA491)))</f>
        <v/>
      </c>
    </row>
    <row r="492" spans="1:29" hidden="1" outlineLevel="1" x14ac:dyDescent="0.3">
      <c r="A492" s="22"/>
      <c r="B492" s="41" t="str">
        <f t="shared" ref="B492:B498" si="43">IF($A492="P",IF(NOT($Z492=""),"A",IF(NOT($AA492=""),"I","")),IF(NOT($AA492=""),IF($A492="G","V","X"),IF(NOT($Z492=""),"A","")))</f>
        <v/>
      </c>
      <c r="C492" s="231">
        <f t="shared" si="42"/>
        <v>491</v>
      </c>
      <c r="D492" s="232"/>
      <c r="E492" s="232"/>
      <c r="F492" s="232"/>
      <c r="G492" s="232"/>
      <c r="H492" s="232"/>
      <c r="I492" s="232" t="s">
        <v>9</v>
      </c>
      <c r="J492" s="232"/>
      <c r="K492" s="233" t="s">
        <v>50</v>
      </c>
      <c r="L492" s="233" t="s">
        <v>38</v>
      </c>
      <c r="M492" s="239" t="s">
        <v>2037</v>
      </c>
      <c r="N492" s="233" t="s">
        <v>2038</v>
      </c>
      <c r="O492" s="236">
        <v>1</v>
      </c>
      <c r="P492" s="233"/>
      <c r="Q492" s="232"/>
      <c r="R492" s="232" t="s">
        <v>201</v>
      </c>
      <c r="S492" s="38"/>
      <c r="T492" s="38"/>
      <c r="Z492" s="59" t="str">
        <f>IF(OR($M492="",NOT($O492="{array}")),"",IFERROR(MATCH(PARAMETERS!$M492,DEFAULT!$B$5:$CG$5,0),""))</f>
        <v/>
      </c>
      <c r="AA492" s="56" t="str">
        <f t="shared" si="40"/>
        <v/>
      </c>
      <c r="AB492" s="63" t="str">
        <f>IF(AND(OR($A492="G",$A492="P"),NOT($O492="{array}")),IF(VLOOKUP($K492,base!$B$2:$D$20,3,0)="S",IF(OR($O492="",ISTEXT($O492)),"","STRING!"),IF(VLOOKUP($K492,base!$B$2:$D$20,3,0)="","",IF(ISTEXT($O492),"NUMERIC!",""))),"")</f>
        <v/>
      </c>
      <c r="AC492" s="17" t="str">
        <f>IF($AA492="","",IF($B492="I",VLOOKUP($AA492,#REF!,53,0),INDEX(VALUES!$B$1:$BR$1,1,$AA492)))</f>
        <v/>
      </c>
    </row>
    <row r="493" spans="1:29" collapsed="1" x14ac:dyDescent="0.3">
      <c r="A493" s="22"/>
      <c r="B493" s="41" t="str">
        <f t="shared" si="43"/>
        <v/>
      </c>
      <c r="C493" s="42">
        <f t="shared" si="42"/>
        <v>492</v>
      </c>
      <c r="D493" s="38"/>
      <c r="E493" s="38"/>
      <c r="F493" s="38"/>
      <c r="G493" s="38"/>
      <c r="H493" s="38"/>
      <c r="I493" s="38"/>
      <c r="J493" s="38"/>
      <c r="R493" s="38"/>
      <c r="S493" s="38"/>
      <c r="T493" s="38"/>
      <c r="Z493" s="59" t="str">
        <f>IF(OR($M493="",NOT($O493="{array}")),"",IFERROR(MATCH(PARAMETERS!$M493,DEFAULT!$B$5:$CG$5,0),""))</f>
        <v/>
      </c>
      <c r="AA493" s="56" t="str">
        <f t="shared" si="40"/>
        <v/>
      </c>
      <c r="AB493" s="63" t="str">
        <f>IF(AND(OR($A493="G",$A493="P"),NOT($O493="{array}")),IF(VLOOKUP($K493,base!$B$2:$D$20,3,0)="S",IF(OR($O493="",ISTEXT($O493)),"","STRING!"),IF(VLOOKUP($K493,base!$B$2:$D$20,3,0)="","",IF(ISTEXT($O493),"NUMERIC!",""))),"")</f>
        <v/>
      </c>
      <c r="AC493" s="17" t="str">
        <f>IF($AA493="","",IF($B493="I",VLOOKUP($AA493,#REF!,53,0),INDEX(VALUES!$B$1:$BR$1,1,$AA493)))</f>
        <v/>
      </c>
    </row>
    <row r="494" spans="1:29" x14ac:dyDescent="0.3">
      <c r="A494" s="22"/>
      <c r="B494" s="41" t="str">
        <f t="shared" si="43"/>
        <v/>
      </c>
      <c r="C494" s="42">
        <f t="shared" si="42"/>
        <v>493</v>
      </c>
      <c r="D494" s="38"/>
      <c r="E494" s="38"/>
      <c r="F494" s="38"/>
      <c r="G494" s="38"/>
      <c r="H494" s="38"/>
      <c r="I494" s="38"/>
      <c r="J494" s="38"/>
      <c r="R494" s="38"/>
      <c r="S494" s="38"/>
      <c r="T494" s="38"/>
      <c r="Z494" s="59" t="str">
        <f>IF(OR($M494="",NOT($O494="{array}")),"",IFERROR(MATCH(PARAMETERS!$M494,DEFAULT!$B$5:$CG$5,0),""))</f>
        <v/>
      </c>
      <c r="AA494" s="56" t="str">
        <f t="shared" si="40"/>
        <v/>
      </c>
      <c r="AB494" s="63" t="str">
        <f>IF(AND(OR($A494="G",$A494="P"),NOT($O494="{array}")),IF(VLOOKUP($K494,base!$B$2:$D$20,3,0)="S",IF(OR($O494="",ISTEXT($O494)),"","STRING!"),IF(VLOOKUP($K494,base!$B$2:$D$20,3,0)="","",IF(ISTEXT($O494),"NUMERIC!",""))),"")</f>
        <v/>
      </c>
      <c r="AC494" s="17" t="str">
        <f>IF($AA494="","",IF($B494="I",VLOOKUP($AA494,#REF!,53,0),INDEX(VALUES!$B$1:$BR$1,1,$AA494)))</f>
        <v/>
      </c>
    </row>
    <row r="495" spans="1:29" x14ac:dyDescent="0.3">
      <c r="A495" s="22"/>
      <c r="B495" s="41" t="str">
        <f t="shared" si="43"/>
        <v/>
      </c>
      <c r="C495" s="42">
        <f t="shared" si="42"/>
        <v>494</v>
      </c>
      <c r="D495" s="38"/>
      <c r="E495" s="38"/>
      <c r="F495" s="38"/>
      <c r="G495" s="38"/>
      <c r="H495" s="38"/>
      <c r="I495" s="38"/>
      <c r="J495" s="38"/>
      <c r="R495" s="38"/>
      <c r="S495" s="38"/>
      <c r="T495" s="38"/>
      <c r="Z495" s="59" t="str">
        <f>IF(OR($M495="",NOT($O495="{array}")),"",IFERROR(MATCH(PARAMETERS!$M495,DEFAULT!$B$5:$CG$5,0),""))</f>
        <v/>
      </c>
      <c r="AA495" s="56" t="str">
        <f t="shared" si="40"/>
        <v/>
      </c>
      <c r="AB495" s="63" t="str">
        <f>IF(AND(OR($A495="G",$A495="P"),NOT($O495="{array}")),IF(VLOOKUP($K495,base!$B$2:$D$20,3,0)="S",IF(OR($O495="",ISTEXT($O495)),"","STRING!"),IF(VLOOKUP($K495,base!$B$2:$D$20,3,0)="","",IF(ISTEXT($O495),"NUMERIC!",""))),"")</f>
        <v/>
      </c>
      <c r="AC495" s="17" t="str">
        <f>IF($AA495="","",IF($B495="I",VLOOKUP($AA495,#REF!,53,0),INDEX(VALUES!$B$1:$BR$1,1,$AA495)))</f>
        <v/>
      </c>
    </row>
    <row r="496" spans="1:29" x14ac:dyDescent="0.3">
      <c r="A496" s="22"/>
      <c r="B496" s="41" t="str">
        <f t="shared" si="43"/>
        <v/>
      </c>
      <c r="C496" s="42">
        <f t="shared" si="42"/>
        <v>495</v>
      </c>
      <c r="D496" s="38"/>
      <c r="E496" s="38"/>
      <c r="F496" s="38"/>
      <c r="G496" s="38"/>
      <c r="H496" s="38"/>
      <c r="I496" s="38"/>
      <c r="J496" s="38"/>
      <c r="R496" s="38"/>
      <c r="S496" s="38"/>
      <c r="T496" s="38"/>
      <c r="Z496" s="59" t="str">
        <f>IF(OR($M496="",NOT($O496="{array}")),"",IFERROR(MATCH(PARAMETERS!$M496,DEFAULT!$B$5:$CG$5,0),""))</f>
        <v/>
      </c>
      <c r="AA496" s="56" t="str">
        <f t="shared" si="40"/>
        <v/>
      </c>
      <c r="AB496" s="63" t="str">
        <f>IF(AND(OR($A496="G",$A496="P"),NOT($O496="{array}")),IF(VLOOKUP($K496,base!$B$2:$D$20,3,0)="S",IF(OR($O496="",ISTEXT($O496)),"","STRING!"),IF(VLOOKUP($K496,base!$B$2:$D$20,3,0)="","",IF(ISTEXT($O496),"NUMERIC!",""))),"")</f>
        <v/>
      </c>
      <c r="AC496" s="17" t="str">
        <f>IF($AA496="","",IF($B496="I",VLOOKUP($AA496,#REF!,53,0),INDEX(VALUES!$B$1:$BR$1,1,$AA496)))</f>
        <v/>
      </c>
    </row>
    <row r="497" spans="1:29" x14ac:dyDescent="0.3">
      <c r="A497" s="22"/>
      <c r="B497" s="41" t="str">
        <f t="shared" si="43"/>
        <v/>
      </c>
      <c r="C497" s="42">
        <f t="shared" si="42"/>
        <v>496</v>
      </c>
      <c r="D497" s="38"/>
      <c r="E497" s="38"/>
      <c r="F497" s="38"/>
      <c r="G497" s="38"/>
      <c r="H497" s="38"/>
      <c r="I497" s="38"/>
      <c r="J497" s="38"/>
      <c r="R497" s="38"/>
      <c r="S497" s="38"/>
      <c r="T497" s="38"/>
      <c r="Z497" s="59" t="str">
        <f>IF(OR($M497="",NOT($O497="{array}")),"",IFERROR(MATCH(PARAMETERS!$M497,DEFAULT!$B$5:$CG$5,0),""))</f>
        <v/>
      </c>
      <c r="AA497" s="56" t="str">
        <f t="shared" si="40"/>
        <v/>
      </c>
      <c r="AB497" s="63" t="str">
        <f>IF(AND(OR($A497="G",$A497="P"),NOT($O497="{array}")),IF(VLOOKUP($K497,base!$B$2:$D$20,3,0)="S",IF(OR($O497="",ISTEXT($O497)),"","STRING!"),IF(VLOOKUP($K497,base!$B$2:$D$20,3,0)="","",IF(ISTEXT($O497),"NUMERIC!",""))),"")</f>
        <v/>
      </c>
      <c r="AC497" s="17" t="str">
        <f>IF($AA497="","",IF($B497="I",VLOOKUP($AA497,#REF!,53,0),INDEX(VALUES!$B$1:$BR$1,1,$AA497)))</f>
        <v/>
      </c>
    </row>
    <row r="498" spans="1:29" ht="18" thickBot="1" x14ac:dyDescent="0.35">
      <c r="A498" s="22"/>
      <c r="B498" s="41" t="str">
        <f t="shared" si="43"/>
        <v/>
      </c>
      <c r="C498" s="42">
        <f t="shared" si="42"/>
        <v>497</v>
      </c>
      <c r="D498" s="38"/>
      <c r="E498" s="38"/>
      <c r="F498" s="38"/>
      <c r="G498" s="38"/>
      <c r="H498" s="38"/>
      <c r="I498" s="38"/>
      <c r="J498" s="38"/>
      <c r="R498" s="38"/>
      <c r="S498" s="38"/>
      <c r="T498" s="38"/>
      <c r="Z498" s="59" t="str">
        <f>IF(OR($M498="",NOT($O498="{array}")),"",IFERROR(MATCH(PARAMETERS!$M498,DEFAULT!$B$5:$CG$5,0),""))</f>
        <v/>
      </c>
      <c r="AA498" s="56" t="str">
        <f t="shared" si="40"/>
        <v/>
      </c>
      <c r="AB498" s="63" t="str">
        <f>IF(AND(OR($A498="G",$A498="P"),NOT($O498="{array}")),IF(VLOOKUP($K498,base!$B$2:$D$20,3,0)="S",IF(OR($O498="",ISTEXT($O498)),"","STRING!"),IF(VLOOKUP($K498,base!$B$2:$D$20,3,0)="","",IF(ISTEXT($O498),"NUMERIC!",""))),"")</f>
        <v/>
      </c>
      <c r="AC498" s="17" t="str">
        <f>IF($AA498="","",IF($B498="I",VLOOKUP($AA498,#REF!,53,0),INDEX(VALUES!$B$1:$BR$1,1,$AA498)))</f>
        <v/>
      </c>
    </row>
    <row r="499" spans="1:29" s="25" customFormat="1" ht="18" thickTop="1" x14ac:dyDescent="0.3">
      <c r="A499" s="35"/>
      <c r="B499" s="25" t="str">
        <f>IF($A499="","",IF($A499="G",IF(NOT($Z499=""),"A",IF(NOT($AA499=""),"V","")),IF($A499="P",IF(NOT($Z499=""),"A",IF(NOT($AA499=""),"I","")))))</f>
        <v/>
      </c>
      <c r="D499" s="44"/>
      <c r="E499" s="44"/>
      <c r="F499" s="44"/>
      <c r="G499" s="44"/>
      <c r="H499" s="44"/>
      <c r="I499" s="44"/>
      <c r="J499" s="44"/>
      <c r="M499" s="47"/>
      <c r="O499" s="45"/>
      <c r="Q499" s="52"/>
      <c r="R499" s="44"/>
      <c r="S499" s="44"/>
      <c r="T499" s="44"/>
      <c r="X499" s="46"/>
      <c r="Z499" s="60"/>
      <c r="AA499" s="61"/>
      <c r="AB499" s="64"/>
    </row>
    <row r="500" spans="1:29" x14ac:dyDescent="0.3">
      <c r="M500" s="20" t="s">
        <v>1783</v>
      </c>
      <c r="N500" s="20" t="s">
        <v>1777</v>
      </c>
    </row>
    <row r="501" spans="1:29" x14ac:dyDescent="0.3">
      <c r="N501" s="219" t="s">
        <v>1778</v>
      </c>
    </row>
    <row r="502" spans="1:29" x14ac:dyDescent="0.3">
      <c r="N502" s="204" t="s">
        <v>1779</v>
      </c>
    </row>
    <row r="503" spans="1:29" x14ac:dyDescent="0.3">
      <c r="M503" s="20" t="s">
        <v>1782</v>
      </c>
      <c r="N503" s="152" t="s">
        <v>1780</v>
      </c>
    </row>
    <row r="504" spans="1:29" x14ac:dyDescent="0.3">
      <c r="N504" s="220" t="s">
        <v>1781</v>
      </c>
    </row>
  </sheetData>
  <phoneticPr fontId="7" type="noConversion"/>
  <conditionalFormatting sqref="A458:A498 A2:A456">
    <cfRule type="cellIs" dxfId="3" priority="53" stopIfTrue="1" operator="equal">
      <formula>"G"</formula>
    </cfRule>
    <cfRule type="cellIs" dxfId="2" priority="54" stopIfTrue="1" operator="equal">
      <formula>"P"</formula>
    </cfRule>
  </conditionalFormatting>
  <conditionalFormatting sqref="A180:A181">
    <cfRule type="cellIs" dxfId="1" priority="1" stopIfTrue="1" operator="equal">
      <formula>"G"</formula>
    </cfRule>
    <cfRule type="cellIs" dxfId="0" priority="2" stopIfTrue="1" operator="equal">
      <formula>"P"</formula>
    </cfRule>
  </conditionalFormatting>
  <dataValidations count="8">
    <dataValidation type="list" allowBlank="1" showInputMessage="1" showErrorMessage="1" sqref="Q2:Q68 D458:J498 Q458:Q498 Q70:Q456 D2:J456">
      <formula1>"x"</formula1>
    </dataValidation>
    <dataValidation type="list" allowBlank="1" showInputMessage="1" showErrorMessage="1" sqref="R458:R498 R2:R456">
      <formula1>Stakeholder</formula1>
    </dataValidation>
    <dataValidation type="list" allowBlank="1" showInputMessage="1" sqref="S458:T498 S2:T456">
      <formula1>read_write</formula1>
    </dataValidation>
    <dataValidation type="list" allowBlank="1" showInputMessage="1" showErrorMessage="1" sqref="K458:K498 K2:K456">
      <formula1>"String,Length,Angle,RealNum,ColorRGB,Integer,Boolean,Material,LineType,FillPattern,PenColor,LightSwitch,Intensity,Separator,Title,Optionset,Itemlist"</formula1>
    </dataValidation>
    <dataValidation type="list" allowBlank="1" showInputMessage="1" showErrorMessage="1" sqref="L458:L498 L2:L456">
      <formula1>"info,model,logic,internal"</formula1>
    </dataValidation>
    <dataValidation type="list" allowBlank="1" showInputMessage="1" sqref="O458:O498 O254:O456 O2:O246">
      <formula1>"empty,{array}"</formula1>
    </dataValidation>
    <dataValidation type="custom" allowBlank="1" showInputMessage="1" showErrorMessage="1" sqref="C458:C498 C2:C456">
      <formula1>"x"</formula1>
    </dataValidation>
    <dataValidation type="list" allowBlank="1" showInputMessage="1" sqref="A458:A498 A2:A456">
      <formula1>"G,P"</formula1>
    </dataValidation>
  </dataValidations>
  <pageMargins left="0.7" right="0.7" top="0.78740157499999996" bottom="0.78740157499999996" header="0.3" footer="0.3"/>
  <pageSetup paperSize="9" orientation="portrait" horizontalDpi="4294967293" verticalDpi="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/>
  <dimension ref="A1:CH157"/>
  <sheetViews>
    <sheetView zoomScaleNormal="100" workbookViewId="0">
      <pane ySplit="1452" activePane="bottomLeft"/>
      <selection activeCell="H1" sqref="H1:I1048576"/>
      <selection pane="bottomLeft" activeCell="G8" sqref="G8:G17"/>
    </sheetView>
  </sheetViews>
  <sheetFormatPr baseColWidth="10" defaultColWidth="11.44140625" defaultRowHeight="13.8" x14ac:dyDescent="0.3"/>
  <cols>
    <col min="1" max="1" width="17.6640625" style="23" customWidth="1"/>
    <col min="2" max="6" width="7" style="17" bestFit="1" customWidth="1"/>
    <col min="7" max="7" width="17.33203125" style="17" customWidth="1"/>
    <col min="8" max="9" width="13" style="17" customWidth="1"/>
    <col min="10" max="10" width="24" style="17" customWidth="1"/>
    <col min="11" max="11" width="15.88671875" style="17" customWidth="1"/>
    <col min="12" max="12" width="7.88671875" style="17" customWidth="1"/>
    <col min="13" max="13" width="11.88671875" style="17" customWidth="1"/>
    <col min="14" max="14" width="9.88671875" style="17" customWidth="1"/>
    <col min="15" max="15" width="13.5546875" style="17" customWidth="1"/>
    <col min="16" max="17" width="7.88671875" style="17" customWidth="1"/>
    <col min="18" max="19" width="11" style="17" customWidth="1"/>
    <col min="20" max="20" width="18.109375" style="17" customWidth="1"/>
    <col min="21" max="21" width="21.33203125" style="17" customWidth="1"/>
    <col min="22" max="23" width="22.44140625" style="17" customWidth="1"/>
    <col min="24" max="25" width="11" style="17" customWidth="1"/>
    <col min="26" max="26" width="18.33203125" style="17" customWidth="1"/>
    <col min="27" max="27" width="22.6640625" style="17" customWidth="1"/>
    <col min="28" max="28" width="12.109375" style="17" customWidth="1"/>
    <col min="29" max="29" width="15.109375" style="17" customWidth="1"/>
    <col min="30" max="30" width="20.44140625" style="17" customWidth="1"/>
    <col min="31" max="31" width="15.109375" style="17" customWidth="1"/>
    <col min="32" max="32" width="17.5546875" style="17" bestFit="1" customWidth="1"/>
    <col min="33" max="33" width="15.109375" style="17" customWidth="1"/>
    <col min="34" max="34" width="17.6640625" style="17" bestFit="1" customWidth="1"/>
    <col min="35" max="35" width="11.6640625" style="17" customWidth="1"/>
    <col min="36" max="37" width="15.109375" style="17" customWidth="1"/>
    <col min="38" max="38" width="18" style="17" customWidth="1"/>
    <col min="39" max="54" width="7.88671875" style="17" customWidth="1"/>
    <col min="55" max="55" width="20.6640625" style="17" bestFit="1" customWidth="1"/>
    <col min="56" max="56" width="2.109375" style="17" bestFit="1" customWidth="1"/>
    <col min="57" max="57" width="20.6640625" style="17" bestFit="1" customWidth="1"/>
    <col min="58" max="58" width="2.109375" style="17" bestFit="1" customWidth="1"/>
    <col min="59" max="59" width="20.6640625" style="17" bestFit="1" customWidth="1"/>
    <col min="60" max="60" width="2.109375" style="17" bestFit="1" customWidth="1"/>
    <col min="61" max="61" width="20.6640625" style="17" bestFit="1" customWidth="1"/>
    <col min="62" max="62" width="2.109375" style="17" bestFit="1" customWidth="1"/>
    <col min="63" max="64" width="20.6640625" style="17" bestFit="1" customWidth="1"/>
    <col min="65" max="65" width="21.44140625" style="17" bestFit="1" customWidth="1"/>
    <col min="66" max="66" width="22.5546875" style="17" bestFit="1" customWidth="1"/>
    <col min="67" max="67" width="9.5546875" style="17" customWidth="1"/>
    <col min="68" max="68" width="18.44140625" style="17" customWidth="1"/>
    <col min="69" max="69" width="25.109375" style="17" customWidth="1"/>
    <col min="70" max="70" width="7.44140625" style="17" customWidth="1"/>
    <col min="71" max="72" width="25.109375" style="17" customWidth="1"/>
    <col min="73" max="73" width="15.44140625" style="17" customWidth="1"/>
    <col min="74" max="74" width="19.33203125" style="17" customWidth="1"/>
    <col min="75" max="75" width="20.6640625" style="17" bestFit="1" customWidth="1"/>
    <col min="76" max="76" width="15.5546875" style="17" customWidth="1"/>
    <col min="77" max="77" width="21.5546875" style="17" customWidth="1"/>
    <col min="78" max="78" width="15.5546875" style="17" customWidth="1"/>
    <col min="79" max="79" width="21.5546875" style="17" customWidth="1"/>
    <col min="80" max="80" width="15.5546875" style="17" customWidth="1"/>
    <col min="81" max="81" width="21.5546875" style="17" customWidth="1"/>
    <col min="82" max="82" width="15.5546875" style="17" customWidth="1"/>
    <col min="83" max="83" width="21.5546875" style="17" customWidth="1"/>
    <col min="84" max="84" width="15.5546875" style="17" customWidth="1"/>
    <col min="85" max="85" width="25.6640625" style="17" customWidth="1"/>
    <col min="86" max="86" width="36" style="29" customWidth="1"/>
    <col min="87" max="16384" width="11.44140625" style="14"/>
  </cols>
  <sheetData>
    <row r="1" spans="1:86" x14ac:dyDescent="0.3">
      <c r="A1" s="27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  <c r="T1" s="34"/>
      <c r="U1" s="34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  <c r="AW1" s="34"/>
      <c r="AX1" s="34"/>
      <c r="AY1" s="34"/>
      <c r="AZ1" s="34"/>
      <c r="BA1" s="34"/>
      <c r="BB1" s="34"/>
      <c r="BC1" s="34"/>
      <c r="BD1" s="34"/>
      <c r="BE1" s="34"/>
      <c r="BF1" s="34"/>
      <c r="BG1" s="34"/>
      <c r="BH1" s="34"/>
      <c r="BI1" s="34"/>
      <c r="BJ1" s="34"/>
      <c r="BK1" s="34"/>
      <c r="BL1" s="34"/>
      <c r="BM1" s="34"/>
      <c r="BN1" s="34"/>
      <c r="BO1" s="34"/>
      <c r="BP1" s="34"/>
      <c r="BQ1" s="34"/>
      <c r="BR1" s="34"/>
      <c r="BS1" s="34"/>
      <c r="BT1" s="34"/>
      <c r="BU1" s="34"/>
      <c r="BV1" s="34"/>
      <c r="BW1" s="34"/>
      <c r="BX1" s="34"/>
      <c r="BY1" s="34"/>
      <c r="BZ1" s="34"/>
      <c r="CA1" s="34"/>
      <c r="CB1" s="34"/>
      <c r="CC1" s="34"/>
      <c r="CD1" s="34"/>
      <c r="CE1" s="34"/>
      <c r="CF1" s="34"/>
      <c r="CG1" s="34"/>
      <c r="CH1" s="268" t="s">
        <v>88</v>
      </c>
    </row>
    <row r="2" spans="1:86" x14ac:dyDescent="0.3">
      <c r="A2" s="27" t="s">
        <v>146</v>
      </c>
      <c r="B2" s="34" t="str">
        <f t="shared" ref="B2:AG2" si="0">IF(B$3="-","-",IF(B$3=A$3,A$2+1,1))</f>
        <v>-</v>
      </c>
      <c r="C2" s="34" t="str">
        <f t="shared" si="0"/>
        <v>-</v>
      </c>
      <c r="D2" s="34" t="str">
        <f t="shared" si="0"/>
        <v>-</v>
      </c>
      <c r="E2" s="34" t="str">
        <f t="shared" si="0"/>
        <v>-</v>
      </c>
      <c r="F2" s="34" t="str">
        <f t="shared" si="0"/>
        <v>-</v>
      </c>
      <c r="G2" s="34" t="str">
        <f t="shared" si="0"/>
        <v>-</v>
      </c>
      <c r="H2" s="34" t="str">
        <f t="shared" si="0"/>
        <v>-</v>
      </c>
      <c r="I2" s="34" t="str">
        <f t="shared" si="0"/>
        <v>-</v>
      </c>
      <c r="J2" s="34" t="str">
        <f t="shared" si="0"/>
        <v>-</v>
      </c>
      <c r="K2" s="34" t="str">
        <f t="shared" si="0"/>
        <v>-</v>
      </c>
      <c r="L2" s="34" t="str">
        <f t="shared" si="0"/>
        <v>-</v>
      </c>
      <c r="M2" s="34" t="str">
        <f t="shared" si="0"/>
        <v>-</v>
      </c>
      <c r="N2" s="34" t="str">
        <f t="shared" si="0"/>
        <v>-</v>
      </c>
      <c r="O2" s="34" t="str">
        <f t="shared" si="0"/>
        <v>-</v>
      </c>
      <c r="P2" s="34" t="str">
        <f t="shared" si="0"/>
        <v>-</v>
      </c>
      <c r="Q2" s="34" t="str">
        <f t="shared" si="0"/>
        <v>-</v>
      </c>
      <c r="R2" s="34" t="str">
        <f t="shared" si="0"/>
        <v>-</v>
      </c>
      <c r="S2" s="34" t="str">
        <f t="shared" si="0"/>
        <v>-</v>
      </c>
      <c r="T2" s="34" t="str">
        <f t="shared" si="0"/>
        <v>-</v>
      </c>
      <c r="U2" s="34" t="str">
        <f t="shared" si="0"/>
        <v>-</v>
      </c>
      <c r="V2" s="34" t="str">
        <f t="shared" si="0"/>
        <v>-</v>
      </c>
      <c r="W2" s="34" t="str">
        <f t="shared" si="0"/>
        <v>-</v>
      </c>
      <c r="X2" s="34" t="str">
        <f t="shared" si="0"/>
        <v>-</v>
      </c>
      <c r="Y2" s="34" t="str">
        <f t="shared" si="0"/>
        <v>-</v>
      </c>
      <c r="Z2" s="34" t="str">
        <f t="shared" si="0"/>
        <v>-</v>
      </c>
      <c r="AA2" s="34" t="str">
        <f t="shared" si="0"/>
        <v>-</v>
      </c>
      <c r="AB2" s="34" t="str">
        <f t="shared" si="0"/>
        <v>-</v>
      </c>
      <c r="AC2" s="34" t="str">
        <f t="shared" si="0"/>
        <v>-</v>
      </c>
      <c r="AD2" s="34" t="str">
        <f t="shared" si="0"/>
        <v>-</v>
      </c>
      <c r="AE2" s="34" t="str">
        <f t="shared" si="0"/>
        <v>-</v>
      </c>
      <c r="AF2" s="34" t="str">
        <f t="shared" si="0"/>
        <v>-</v>
      </c>
      <c r="AG2" s="34" t="str">
        <f t="shared" si="0"/>
        <v>-</v>
      </c>
      <c r="AH2" s="34" t="str">
        <f t="shared" ref="AH2:BM2" si="1">IF(AH$3="-","-",IF(AH$3=AG$3,AG$2+1,1))</f>
        <v>-</v>
      </c>
      <c r="AI2" s="34" t="str">
        <f t="shared" si="1"/>
        <v>-</v>
      </c>
      <c r="AJ2" s="34" t="str">
        <f t="shared" si="1"/>
        <v>-</v>
      </c>
      <c r="AK2" s="34" t="str">
        <f t="shared" si="1"/>
        <v>-</v>
      </c>
      <c r="AL2" s="34" t="str">
        <f t="shared" si="1"/>
        <v>-</v>
      </c>
      <c r="AM2" s="34" t="str">
        <f t="shared" si="1"/>
        <v>-</v>
      </c>
      <c r="AN2" s="34" t="str">
        <f t="shared" si="1"/>
        <v>-</v>
      </c>
      <c r="AO2" s="34" t="str">
        <f t="shared" si="1"/>
        <v>-</v>
      </c>
      <c r="AP2" s="34" t="str">
        <f t="shared" si="1"/>
        <v>-</v>
      </c>
      <c r="AQ2" s="34" t="str">
        <f t="shared" si="1"/>
        <v>-</v>
      </c>
      <c r="AR2" s="34" t="str">
        <f t="shared" si="1"/>
        <v>-</v>
      </c>
      <c r="AS2" s="34" t="str">
        <f t="shared" si="1"/>
        <v>-</v>
      </c>
      <c r="AT2" s="34" t="str">
        <f t="shared" si="1"/>
        <v>-</v>
      </c>
      <c r="AU2" s="34" t="str">
        <f t="shared" si="1"/>
        <v>-</v>
      </c>
      <c r="AV2" s="34" t="str">
        <f t="shared" si="1"/>
        <v>-</v>
      </c>
      <c r="AW2" s="34" t="str">
        <f t="shared" si="1"/>
        <v>-</v>
      </c>
      <c r="AX2" s="34" t="str">
        <f t="shared" si="1"/>
        <v>-</v>
      </c>
      <c r="AY2" s="34" t="str">
        <f t="shared" si="1"/>
        <v>-</v>
      </c>
      <c r="AZ2" s="34" t="str">
        <f t="shared" si="1"/>
        <v>-</v>
      </c>
      <c r="BA2" s="34" t="str">
        <f t="shared" si="1"/>
        <v>-</v>
      </c>
      <c r="BB2" s="34" t="str">
        <f t="shared" si="1"/>
        <v>-</v>
      </c>
      <c r="BC2" s="34" t="str">
        <f t="shared" si="1"/>
        <v>-</v>
      </c>
      <c r="BD2" s="34" t="str">
        <f t="shared" si="1"/>
        <v>-</v>
      </c>
      <c r="BE2" s="34" t="str">
        <f t="shared" si="1"/>
        <v>-</v>
      </c>
      <c r="BF2" s="34" t="str">
        <f t="shared" si="1"/>
        <v>-</v>
      </c>
      <c r="BG2" s="34" t="str">
        <f t="shared" si="1"/>
        <v>-</v>
      </c>
      <c r="BH2" s="34" t="str">
        <f t="shared" si="1"/>
        <v>-</v>
      </c>
      <c r="BI2" s="34" t="str">
        <f t="shared" si="1"/>
        <v>-</v>
      </c>
      <c r="BJ2" s="34" t="str">
        <f t="shared" si="1"/>
        <v>-</v>
      </c>
      <c r="BK2" s="34" t="str">
        <f t="shared" si="1"/>
        <v>-</v>
      </c>
      <c r="BL2" s="34" t="str">
        <f t="shared" si="1"/>
        <v>-</v>
      </c>
      <c r="BM2" s="34" t="str">
        <f t="shared" si="1"/>
        <v>-</v>
      </c>
      <c r="BN2" s="34" t="str">
        <f t="shared" ref="BN2:CG2" si="2">IF(BN$3="-","-",IF(BN$3=BM$3,BM$2+1,1))</f>
        <v>-</v>
      </c>
      <c r="BO2" s="34" t="str">
        <f t="shared" si="2"/>
        <v>-</v>
      </c>
      <c r="BP2" s="34" t="str">
        <f t="shared" si="2"/>
        <v>-</v>
      </c>
      <c r="BQ2" s="34" t="str">
        <f t="shared" si="2"/>
        <v>-</v>
      </c>
      <c r="BR2" s="34" t="str">
        <f t="shared" si="2"/>
        <v>-</v>
      </c>
      <c r="BS2" s="34" t="str">
        <f t="shared" si="2"/>
        <v>-</v>
      </c>
      <c r="BT2" s="34" t="str">
        <f t="shared" si="2"/>
        <v>-</v>
      </c>
      <c r="BU2" s="34" t="str">
        <f t="shared" si="2"/>
        <v>-</v>
      </c>
      <c r="BV2" s="34" t="str">
        <f t="shared" si="2"/>
        <v>-</v>
      </c>
      <c r="BW2" s="34" t="str">
        <f t="shared" si="2"/>
        <v>-</v>
      </c>
      <c r="BX2" s="34" t="str">
        <f t="shared" si="2"/>
        <v>-</v>
      </c>
      <c r="BY2" s="34" t="str">
        <f t="shared" si="2"/>
        <v>-</v>
      </c>
      <c r="BZ2" s="34" t="str">
        <f t="shared" si="2"/>
        <v>-</v>
      </c>
      <c r="CA2" s="34" t="str">
        <f t="shared" si="2"/>
        <v>-</v>
      </c>
      <c r="CB2" s="34" t="str">
        <f t="shared" si="2"/>
        <v>-</v>
      </c>
      <c r="CC2" s="34" t="str">
        <f t="shared" si="2"/>
        <v>-</v>
      </c>
      <c r="CD2" s="34" t="str">
        <f t="shared" si="2"/>
        <v>-</v>
      </c>
      <c r="CE2" s="34" t="str">
        <f t="shared" si="2"/>
        <v>-</v>
      </c>
      <c r="CF2" s="34" t="str">
        <f t="shared" si="2"/>
        <v>-</v>
      </c>
      <c r="CG2" s="34" t="str">
        <f t="shared" si="2"/>
        <v>-</v>
      </c>
      <c r="CH2" s="268"/>
    </row>
    <row r="3" spans="1:86" x14ac:dyDescent="0.3">
      <c r="A3" s="27" t="s">
        <v>147</v>
      </c>
      <c r="B3" s="50" t="str">
        <f t="shared" ref="B3:AG3" si="3">IF(B$5="",A$3,IFERROR(MATCH(B$5,prodArrayNames,0),"-"))</f>
        <v>-</v>
      </c>
      <c r="C3" s="50" t="str">
        <f t="shared" si="3"/>
        <v>-</v>
      </c>
      <c r="D3" s="50" t="str">
        <f t="shared" si="3"/>
        <v>-</v>
      </c>
      <c r="E3" s="50" t="str">
        <f t="shared" si="3"/>
        <v>-</v>
      </c>
      <c r="F3" s="50" t="str">
        <f t="shared" si="3"/>
        <v>-</v>
      </c>
      <c r="G3" s="50" t="str">
        <f t="shared" si="3"/>
        <v>-</v>
      </c>
      <c r="H3" s="50" t="str">
        <f t="shared" si="3"/>
        <v>-</v>
      </c>
      <c r="I3" s="50" t="str">
        <f t="shared" si="3"/>
        <v>-</v>
      </c>
      <c r="J3" s="50" t="str">
        <f t="shared" si="3"/>
        <v>-</v>
      </c>
      <c r="K3" s="50" t="str">
        <f t="shared" si="3"/>
        <v>-</v>
      </c>
      <c r="L3" s="50" t="str">
        <f t="shared" si="3"/>
        <v>-</v>
      </c>
      <c r="M3" s="50" t="str">
        <f t="shared" si="3"/>
        <v>-</v>
      </c>
      <c r="N3" s="50" t="str">
        <f t="shared" si="3"/>
        <v>-</v>
      </c>
      <c r="O3" s="50" t="str">
        <f t="shared" si="3"/>
        <v>-</v>
      </c>
      <c r="P3" s="50" t="str">
        <f t="shared" si="3"/>
        <v>-</v>
      </c>
      <c r="Q3" s="50" t="str">
        <f t="shared" si="3"/>
        <v>-</v>
      </c>
      <c r="R3" s="50" t="str">
        <f t="shared" si="3"/>
        <v>-</v>
      </c>
      <c r="S3" s="50" t="str">
        <f t="shared" si="3"/>
        <v>-</v>
      </c>
      <c r="T3" s="50" t="str">
        <f t="shared" si="3"/>
        <v>-</v>
      </c>
      <c r="U3" s="50" t="str">
        <f t="shared" si="3"/>
        <v>-</v>
      </c>
      <c r="V3" s="50" t="str">
        <f t="shared" si="3"/>
        <v>-</v>
      </c>
      <c r="W3" s="50" t="str">
        <f t="shared" si="3"/>
        <v>-</v>
      </c>
      <c r="X3" s="50" t="str">
        <f t="shared" si="3"/>
        <v>-</v>
      </c>
      <c r="Y3" s="50" t="str">
        <f t="shared" si="3"/>
        <v>-</v>
      </c>
      <c r="Z3" s="50" t="str">
        <f t="shared" si="3"/>
        <v>-</v>
      </c>
      <c r="AA3" s="50" t="str">
        <f t="shared" si="3"/>
        <v>-</v>
      </c>
      <c r="AB3" s="50" t="str">
        <f t="shared" si="3"/>
        <v>-</v>
      </c>
      <c r="AC3" s="50" t="str">
        <f t="shared" si="3"/>
        <v>-</v>
      </c>
      <c r="AD3" s="50" t="str">
        <f t="shared" si="3"/>
        <v>-</v>
      </c>
      <c r="AE3" s="50" t="str">
        <f t="shared" si="3"/>
        <v>-</v>
      </c>
      <c r="AF3" s="50" t="str">
        <f t="shared" si="3"/>
        <v>-</v>
      </c>
      <c r="AG3" s="50" t="str">
        <f t="shared" si="3"/>
        <v>-</v>
      </c>
      <c r="AH3" s="50" t="str">
        <f t="shared" ref="AH3:BM3" si="4">IF(AH$5="",AG$3,IFERROR(MATCH(AH$5,prodArrayNames,0),"-"))</f>
        <v>-</v>
      </c>
      <c r="AI3" s="50" t="str">
        <f t="shared" si="4"/>
        <v>-</v>
      </c>
      <c r="AJ3" s="50" t="str">
        <f t="shared" si="4"/>
        <v>-</v>
      </c>
      <c r="AK3" s="50" t="str">
        <f t="shared" si="4"/>
        <v>-</v>
      </c>
      <c r="AL3" s="50" t="str">
        <f t="shared" si="4"/>
        <v>-</v>
      </c>
      <c r="AM3" s="50" t="str">
        <f t="shared" si="4"/>
        <v>-</v>
      </c>
      <c r="AN3" s="50" t="str">
        <f t="shared" si="4"/>
        <v>-</v>
      </c>
      <c r="AO3" s="50" t="str">
        <f t="shared" si="4"/>
        <v>-</v>
      </c>
      <c r="AP3" s="50" t="str">
        <f t="shared" si="4"/>
        <v>-</v>
      </c>
      <c r="AQ3" s="50" t="str">
        <f t="shared" si="4"/>
        <v>-</v>
      </c>
      <c r="AR3" s="50" t="str">
        <f t="shared" si="4"/>
        <v>-</v>
      </c>
      <c r="AS3" s="50" t="str">
        <f t="shared" si="4"/>
        <v>-</v>
      </c>
      <c r="AT3" s="50" t="str">
        <f t="shared" si="4"/>
        <v>-</v>
      </c>
      <c r="AU3" s="50" t="str">
        <f t="shared" si="4"/>
        <v>-</v>
      </c>
      <c r="AV3" s="50" t="str">
        <f t="shared" si="4"/>
        <v>-</v>
      </c>
      <c r="AW3" s="50" t="str">
        <f t="shared" si="4"/>
        <v>-</v>
      </c>
      <c r="AX3" s="50" t="str">
        <f t="shared" si="4"/>
        <v>-</v>
      </c>
      <c r="AY3" s="50" t="str">
        <f t="shared" si="4"/>
        <v>-</v>
      </c>
      <c r="AZ3" s="50" t="str">
        <f t="shared" si="4"/>
        <v>-</v>
      </c>
      <c r="BA3" s="50" t="str">
        <f t="shared" si="4"/>
        <v>-</v>
      </c>
      <c r="BB3" s="50" t="str">
        <f t="shared" si="4"/>
        <v>-</v>
      </c>
      <c r="BC3" s="50" t="str">
        <f t="shared" si="4"/>
        <v>-</v>
      </c>
      <c r="BD3" s="50" t="str">
        <f t="shared" si="4"/>
        <v>-</v>
      </c>
      <c r="BE3" s="50" t="str">
        <f t="shared" si="4"/>
        <v>-</v>
      </c>
      <c r="BF3" s="50" t="str">
        <f t="shared" si="4"/>
        <v>-</v>
      </c>
      <c r="BG3" s="50" t="str">
        <f t="shared" si="4"/>
        <v>-</v>
      </c>
      <c r="BH3" s="50" t="str">
        <f t="shared" si="4"/>
        <v>-</v>
      </c>
      <c r="BI3" s="50" t="str">
        <f t="shared" si="4"/>
        <v>-</v>
      </c>
      <c r="BJ3" s="50" t="str">
        <f t="shared" si="4"/>
        <v>-</v>
      </c>
      <c r="BK3" s="50" t="str">
        <f t="shared" si="4"/>
        <v>-</v>
      </c>
      <c r="BL3" s="50" t="str">
        <f t="shared" si="4"/>
        <v>-</v>
      </c>
      <c r="BM3" s="50" t="str">
        <f t="shared" si="4"/>
        <v>-</v>
      </c>
      <c r="BN3" s="50" t="str">
        <f t="shared" ref="BN3:CG3" si="5">IF(BN$5="",BM$3,IFERROR(MATCH(BN$5,prodArrayNames,0),"-"))</f>
        <v>-</v>
      </c>
      <c r="BO3" s="50" t="str">
        <f t="shared" si="5"/>
        <v>-</v>
      </c>
      <c r="BP3" s="50" t="str">
        <f t="shared" si="5"/>
        <v>-</v>
      </c>
      <c r="BQ3" s="50" t="str">
        <f t="shared" si="5"/>
        <v>-</v>
      </c>
      <c r="BR3" s="50" t="str">
        <f t="shared" si="5"/>
        <v>-</v>
      </c>
      <c r="BS3" s="50" t="str">
        <f t="shared" si="5"/>
        <v>-</v>
      </c>
      <c r="BT3" s="50" t="str">
        <f t="shared" si="5"/>
        <v>-</v>
      </c>
      <c r="BU3" s="50" t="str">
        <f t="shared" si="5"/>
        <v>-</v>
      </c>
      <c r="BV3" s="50" t="str">
        <f t="shared" si="5"/>
        <v>-</v>
      </c>
      <c r="BW3" s="50" t="str">
        <f t="shared" si="5"/>
        <v>-</v>
      </c>
      <c r="BX3" s="50" t="str">
        <f t="shared" si="5"/>
        <v>-</v>
      </c>
      <c r="BY3" s="50" t="str">
        <f t="shared" si="5"/>
        <v>-</v>
      </c>
      <c r="BZ3" s="50" t="str">
        <f t="shared" si="5"/>
        <v>-</v>
      </c>
      <c r="CA3" s="50" t="str">
        <f t="shared" si="5"/>
        <v>-</v>
      </c>
      <c r="CB3" s="50" t="str">
        <f t="shared" si="5"/>
        <v>-</v>
      </c>
      <c r="CC3" s="50" t="str">
        <f t="shared" si="5"/>
        <v>-</v>
      </c>
      <c r="CD3" s="50" t="str">
        <f t="shared" si="5"/>
        <v>-</v>
      </c>
      <c r="CE3" s="50" t="str">
        <f t="shared" si="5"/>
        <v>-</v>
      </c>
      <c r="CF3" s="50" t="str">
        <f t="shared" si="5"/>
        <v>-</v>
      </c>
      <c r="CG3" s="50" t="str">
        <f t="shared" si="5"/>
        <v>-</v>
      </c>
      <c r="CH3" s="268"/>
    </row>
    <row r="4" spans="1:86" ht="14.4" thickBot="1" x14ac:dyDescent="0.35">
      <c r="A4" s="27" t="s">
        <v>149</v>
      </c>
      <c r="B4" s="51" t="str">
        <f t="shared" ref="B4:AK4" si="6">IF(OR(B$5="",B$5="empty",B$5="[indexname]"),"",MID(DEC2HEX(CODE(B$5)+2^6*CODE(MID(B$5&amp;makeGUID,2,1))+2^8*CODE(MID(B$5&amp;makeGUID,3,1))+2^10*CODE(MID(B$5&amp;makeGUID,4,1))+2^12*CODE(MID(B$5&amp;makeGUID,5,1))+2^14*CODE(MID(B$5&amp;makeGUID,6,1))+2^16*CODE(MID(B$5&amp;makeGUID,7,1))+2^18*CODE(MID(B$5&amp;makeGUID,8,1))+2^20*CODE(MID(B$5&amp;makeGUID,9,1))+2^22*CODE(MID(B$5&amp;makeGUID,10,1))+2^24*CODE(MID(B$5&amp;makeGUID,11,1))),1,8)&amp;"-"&amp;MID(2^6*CODE(MID(B$5&amp;makeGUID,12,1))+2^8*CODE(MID(B$5&amp;makeGUID,13,1))+2^10*CODE(MID(B$5&amp;makeGUID,14,1))+2^12*CODE(MID(B$5&amp;makeGUID,15,1)),1,4)&amp;"-"&amp;MID(2^14*CODE(MID(B$5&amp;makeGUID,16,1))+2^16*CODE(MID(B$5&amp;makeGUID,17,1))+2^18*CODE(MID(B$5&amp;makeGUID,18,1))+2^20*CODE(MID(B$5&amp;makeGUID,19,1)),1,4)&amp;"-")</f>
        <v>8D98F8E9-5020-1272-</v>
      </c>
      <c r="C4" s="51" t="str">
        <f t="shared" si="6"/>
        <v/>
      </c>
      <c r="D4" s="51" t="str">
        <f t="shared" si="6"/>
        <v/>
      </c>
      <c r="E4" s="51" t="str">
        <f t="shared" si="6"/>
        <v/>
      </c>
      <c r="F4" s="51" t="str">
        <f t="shared" si="6"/>
        <v>80FF2C22-5522-1364-</v>
      </c>
      <c r="G4" s="51" t="str">
        <f t="shared" si="6"/>
        <v/>
      </c>
      <c r="H4" s="51" t="str">
        <f t="shared" si="6"/>
        <v>79D1C0DF-6133-1553-</v>
      </c>
      <c r="I4" s="51" t="str">
        <f t="shared" si="6"/>
        <v>607621DF-4017-1123-</v>
      </c>
      <c r="J4" s="51" t="str">
        <f t="shared" si="6"/>
        <v/>
      </c>
      <c r="K4" s="51" t="str">
        <f t="shared" si="6"/>
        <v/>
      </c>
      <c r="L4" s="51" t="str">
        <f t="shared" si="6"/>
        <v/>
      </c>
      <c r="M4" s="51" t="str">
        <f t="shared" si="6"/>
        <v/>
      </c>
      <c r="N4" s="51" t="str">
        <f t="shared" si="6"/>
        <v/>
      </c>
      <c r="O4" s="51" t="str">
        <f t="shared" si="6"/>
        <v/>
      </c>
      <c r="P4" s="51" t="str">
        <f t="shared" si="6"/>
        <v/>
      </c>
      <c r="Q4" s="51" t="str">
        <f t="shared" si="6"/>
        <v/>
      </c>
      <c r="R4" s="51" t="str">
        <f t="shared" si="6"/>
        <v/>
      </c>
      <c r="S4" s="51" t="str">
        <f t="shared" si="6"/>
        <v/>
      </c>
      <c r="T4" s="51" t="str">
        <f t="shared" si="6"/>
        <v/>
      </c>
      <c r="U4" s="51" t="str">
        <f t="shared" si="6"/>
        <v/>
      </c>
      <c r="V4" s="51" t="str">
        <f t="shared" si="6"/>
        <v/>
      </c>
      <c r="W4" s="51" t="str">
        <f t="shared" si="6"/>
        <v/>
      </c>
      <c r="X4" s="51" t="str">
        <f t="shared" si="6"/>
        <v/>
      </c>
      <c r="Y4" s="51" t="str">
        <f t="shared" si="6"/>
        <v/>
      </c>
      <c r="Z4" s="51" t="str">
        <f t="shared" si="6"/>
        <v/>
      </c>
      <c r="AA4" s="51" t="str">
        <f t="shared" si="6"/>
        <v/>
      </c>
      <c r="AB4" s="51" t="str">
        <f t="shared" si="6"/>
        <v/>
      </c>
      <c r="AC4" s="51" t="str">
        <f t="shared" si="6"/>
        <v/>
      </c>
      <c r="AD4" s="51" t="str">
        <f t="shared" si="6"/>
        <v/>
      </c>
      <c r="AE4" s="51" t="str">
        <f t="shared" si="6"/>
        <v/>
      </c>
      <c r="AF4" s="51" t="str">
        <f t="shared" si="6"/>
        <v/>
      </c>
      <c r="AG4" s="51" t="str">
        <f t="shared" si="6"/>
        <v/>
      </c>
      <c r="AH4" s="51" t="str">
        <f t="shared" si="6"/>
        <v/>
      </c>
      <c r="AI4" s="51" t="str">
        <f t="shared" si="6"/>
        <v/>
      </c>
      <c r="AJ4" s="51" t="str">
        <f t="shared" si="6"/>
        <v/>
      </c>
      <c r="AK4" s="51" t="str">
        <f t="shared" si="6"/>
        <v/>
      </c>
      <c r="AL4" s="51" t="str">
        <f t="shared" ref="AL4:BQ4" si="7">IF(OR(AL$5="",AL$5="empty",AL$5="[indexname]"),"",MID(DEC2HEX(CODE(AL$5)+2^6*CODE(MID(AL$5&amp;makeGUID,2,1))+2^8*CODE(MID(AL$5&amp;makeGUID,3,1))+2^10*CODE(MID(AL$5&amp;makeGUID,4,1))+2^12*CODE(MID(AL$5&amp;makeGUID,5,1))+2^14*CODE(MID(AL$5&amp;makeGUID,6,1))+2^16*CODE(MID(AL$5&amp;makeGUID,7,1))+2^18*CODE(MID(AL$5&amp;makeGUID,8,1))+2^20*CODE(MID(AL$5&amp;makeGUID,9,1))+2^22*CODE(MID(AL$5&amp;makeGUID,10,1))+2^24*CODE(MID(AL$5&amp;makeGUID,11,1))),1,8)&amp;"-"&amp;MID(2^6*CODE(MID(AL$5&amp;makeGUID,12,1))+2^8*CODE(MID(AL$5&amp;makeGUID,13,1))+2^10*CODE(MID(AL$5&amp;makeGUID,14,1))+2^12*CODE(MID(AL$5&amp;makeGUID,15,1)),1,4)&amp;"-"&amp;MID(2^14*CODE(MID(AL$5&amp;makeGUID,16,1))+2^16*CODE(MID(AL$5&amp;makeGUID,17,1))+2^18*CODE(MID(AL$5&amp;makeGUID,18,1))+2^20*CODE(MID(AL$5&amp;makeGUID,19,1)),1,4)&amp;"-")</f>
        <v/>
      </c>
      <c r="AM4" s="51" t="str">
        <f t="shared" si="7"/>
        <v/>
      </c>
      <c r="AN4" s="51" t="str">
        <f t="shared" si="7"/>
        <v/>
      </c>
      <c r="AO4" s="51" t="str">
        <f t="shared" si="7"/>
        <v/>
      </c>
      <c r="AP4" s="51" t="str">
        <f t="shared" si="7"/>
        <v/>
      </c>
      <c r="AQ4" s="51" t="str">
        <f t="shared" si="7"/>
        <v/>
      </c>
      <c r="AR4" s="51" t="str">
        <f t="shared" si="7"/>
        <v/>
      </c>
      <c r="AS4" s="51" t="str">
        <f t="shared" si="7"/>
        <v/>
      </c>
      <c r="AT4" s="51" t="str">
        <f t="shared" si="7"/>
        <v/>
      </c>
      <c r="AU4" s="51" t="str">
        <f t="shared" si="7"/>
        <v/>
      </c>
      <c r="AV4" s="51" t="str">
        <f t="shared" si="7"/>
        <v/>
      </c>
      <c r="AW4" s="51" t="str">
        <f t="shared" si="7"/>
        <v/>
      </c>
      <c r="AX4" s="51" t="str">
        <f t="shared" si="7"/>
        <v/>
      </c>
      <c r="AY4" s="51" t="str">
        <f t="shared" si="7"/>
        <v/>
      </c>
      <c r="AZ4" s="51" t="str">
        <f t="shared" si="7"/>
        <v/>
      </c>
      <c r="BA4" s="51" t="str">
        <f t="shared" si="7"/>
        <v/>
      </c>
      <c r="BB4" s="51" t="str">
        <f t="shared" si="7"/>
        <v/>
      </c>
      <c r="BC4" s="51" t="str">
        <f t="shared" si="7"/>
        <v>8A28CA24-5822-1288-</v>
      </c>
      <c r="BD4" s="51" t="str">
        <f t="shared" si="7"/>
        <v/>
      </c>
      <c r="BE4" s="51" t="str">
        <f t="shared" si="7"/>
        <v>8A28CA24-5822-1238-</v>
      </c>
      <c r="BF4" s="51" t="str">
        <f t="shared" si="7"/>
        <v/>
      </c>
      <c r="BG4" s="51" t="str">
        <f t="shared" si="7"/>
        <v>81A8CA24-3946-1028-</v>
      </c>
      <c r="BH4" s="51" t="str">
        <f t="shared" si="7"/>
        <v/>
      </c>
      <c r="BI4" s="51" t="str">
        <f t="shared" si="7"/>
        <v>81A8CA24-4880-1272-</v>
      </c>
      <c r="BJ4" s="51" t="str">
        <f t="shared" si="7"/>
        <v/>
      </c>
      <c r="BK4" s="51" t="str">
        <f t="shared" si="7"/>
        <v>8AA8CA24-5926-1008-</v>
      </c>
      <c r="BL4" s="51" t="str">
        <f t="shared" si="7"/>
        <v>8AA8CA24-5926-1247-</v>
      </c>
      <c r="BM4" s="51" t="str">
        <f t="shared" si="7"/>
        <v>8AA8CA24-5926-1473-</v>
      </c>
      <c r="BN4" s="51" t="str">
        <f t="shared" si="7"/>
        <v>8AA8CA24-5926-1473-</v>
      </c>
      <c r="BO4" s="51" t="str">
        <f t="shared" si="7"/>
        <v>81CC0224-5585-1532-</v>
      </c>
      <c r="BP4" s="51" t="str">
        <f t="shared" si="7"/>
        <v/>
      </c>
      <c r="BQ4" s="51" t="str">
        <f t="shared" si="7"/>
        <v/>
      </c>
      <c r="BR4" s="51" t="str">
        <f t="shared" ref="BR4:CG4" si="8">IF(OR(BR$5="",BR$5="empty",BR$5="[indexname]"),"",MID(DEC2HEX(CODE(BR$5)+2^6*CODE(MID(BR$5&amp;makeGUID,2,1))+2^8*CODE(MID(BR$5&amp;makeGUID,3,1))+2^10*CODE(MID(BR$5&amp;makeGUID,4,1))+2^12*CODE(MID(BR$5&amp;makeGUID,5,1))+2^14*CODE(MID(BR$5&amp;makeGUID,6,1))+2^16*CODE(MID(BR$5&amp;makeGUID,7,1))+2^18*CODE(MID(BR$5&amp;makeGUID,8,1))+2^20*CODE(MID(BR$5&amp;makeGUID,9,1))+2^22*CODE(MID(BR$5&amp;makeGUID,10,1))+2^24*CODE(MID(BR$5&amp;makeGUID,11,1))),1,8)&amp;"-"&amp;MID(2^6*CODE(MID(BR$5&amp;makeGUID,12,1))+2^8*CODE(MID(BR$5&amp;makeGUID,13,1))+2^10*CODE(MID(BR$5&amp;makeGUID,14,1))+2^12*CODE(MID(BR$5&amp;makeGUID,15,1)),1,4)&amp;"-"&amp;MID(2^14*CODE(MID(BR$5&amp;makeGUID,16,1))+2^16*CODE(MID(BR$5&amp;makeGUID,17,1))+2^18*CODE(MID(BR$5&amp;makeGUID,18,1))+2^20*CODE(MID(BR$5&amp;makeGUID,19,1)),1,4)&amp;"-")</f>
        <v>90A8CA24-5905-1442-</v>
      </c>
      <c r="BS4" s="51" t="str">
        <f t="shared" si="8"/>
        <v/>
      </c>
      <c r="BT4" s="51" t="str">
        <f t="shared" si="8"/>
        <v/>
      </c>
      <c r="BU4" s="51" t="str">
        <f t="shared" si="8"/>
        <v>830C7624-3938-1028-</v>
      </c>
      <c r="BV4" s="51" t="str">
        <f t="shared" si="8"/>
        <v/>
      </c>
      <c r="BW4" s="51" t="str">
        <f t="shared" si="8"/>
        <v>8A44A473-5758-1516-</v>
      </c>
      <c r="BX4" s="51" t="str">
        <f t="shared" si="8"/>
        <v>90547624-3946-1028-</v>
      </c>
      <c r="BY4" s="51" t="str">
        <f t="shared" si="8"/>
        <v/>
      </c>
      <c r="BZ4" s="51" t="str">
        <f t="shared" si="8"/>
        <v>904BA224-3946-1028-</v>
      </c>
      <c r="CA4" s="51" t="str">
        <f t="shared" si="8"/>
        <v/>
      </c>
      <c r="CB4" s="51" t="str">
        <f t="shared" si="8"/>
        <v>97117224-5924-1164-</v>
      </c>
      <c r="CC4" s="51" t="str">
        <f t="shared" si="8"/>
        <v/>
      </c>
      <c r="CD4" s="51" t="str">
        <f t="shared" si="8"/>
        <v>60EBA224-4017-1123-</v>
      </c>
      <c r="CE4" s="51" t="str">
        <f t="shared" si="8"/>
        <v/>
      </c>
      <c r="CF4" s="51" t="str">
        <f t="shared" si="8"/>
        <v>8D223E24-3946-1028-</v>
      </c>
      <c r="CG4" s="51" t="str">
        <f t="shared" si="8"/>
        <v/>
      </c>
      <c r="CH4" s="96"/>
    </row>
    <row r="5" spans="1:86" ht="22.5" customHeight="1" thickTop="1" x14ac:dyDescent="0.3">
      <c r="A5" s="28" t="s">
        <v>87</v>
      </c>
      <c r="B5" s="95" t="s">
        <v>1771</v>
      </c>
      <c r="C5" s="95"/>
      <c r="D5" s="95"/>
      <c r="E5" s="95"/>
      <c r="F5" s="95" t="s">
        <v>2089</v>
      </c>
      <c r="G5" s="95"/>
      <c r="H5" s="95" t="s">
        <v>2221</v>
      </c>
      <c r="I5" s="95" t="s">
        <v>2222</v>
      </c>
      <c r="J5" s="95" t="s">
        <v>28</v>
      </c>
      <c r="K5" s="95" t="s">
        <v>28</v>
      </c>
      <c r="L5" s="95" t="s">
        <v>28</v>
      </c>
      <c r="M5" s="95" t="s">
        <v>28</v>
      </c>
      <c r="N5" s="95" t="s">
        <v>28</v>
      </c>
      <c r="O5" s="95" t="s">
        <v>28</v>
      </c>
      <c r="P5" s="95" t="s">
        <v>28</v>
      </c>
      <c r="Q5" s="95" t="s">
        <v>28</v>
      </c>
      <c r="R5" s="95" t="s">
        <v>28</v>
      </c>
      <c r="S5" s="95" t="s">
        <v>28</v>
      </c>
      <c r="T5" s="95" t="s">
        <v>28</v>
      </c>
      <c r="U5" s="95" t="s">
        <v>28</v>
      </c>
      <c r="V5" s="95" t="s">
        <v>28</v>
      </c>
      <c r="W5" s="95" t="s">
        <v>28</v>
      </c>
      <c r="X5" s="95" t="s">
        <v>28</v>
      </c>
      <c r="Y5" s="95" t="s">
        <v>28</v>
      </c>
      <c r="Z5" s="95" t="s">
        <v>28</v>
      </c>
      <c r="AA5" s="95" t="s">
        <v>28</v>
      </c>
      <c r="AB5" s="95" t="s">
        <v>28</v>
      </c>
      <c r="AC5" s="95" t="s">
        <v>28</v>
      </c>
      <c r="AD5" s="95" t="s">
        <v>28</v>
      </c>
      <c r="AE5" s="95" t="s">
        <v>28</v>
      </c>
      <c r="AF5" s="95" t="s">
        <v>28</v>
      </c>
      <c r="AG5" s="95" t="s">
        <v>28</v>
      </c>
      <c r="AH5" s="95" t="s">
        <v>28</v>
      </c>
      <c r="AI5" s="95" t="s">
        <v>28</v>
      </c>
      <c r="AJ5" s="95" t="s">
        <v>28</v>
      </c>
      <c r="AK5" s="95" t="s">
        <v>28</v>
      </c>
      <c r="AL5" s="95" t="s">
        <v>28</v>
      </c>
      <c r="AM5" s="95" t="s">
        <v>28</v>
      </c>
      <c r="AN5" s="95" t="s">
        <v>28</v>
      </c>
      <c r="AO5" s="95" t="s">
        <v>28</v>
      </c>
      <c r="AP5" s="95" t="s">
        <v>28</v>
      </c>
      <c r="AQ5" s="95" t="s">
        <v>28</v>
      </c>
      <c r="AR5" s="95" t="s">
        <v>28</v>
      </c>
      <c r="AS5" s="95" t="s">
        <v>28</v>
      </c>
      <c r="AT5" s="95" t="s">
        <v>28</v>
      </c>
      <c r="AU5" s="95" t="s">
        <v>28</v>
      </c>
      <c r="AV5" s="95" t="s">
        <v>28</v>
      </c>
      <c r="AW5" s="95" t="s">
        <v>28</v>
      </c>
      <c r="AX5" s="95" t="s">
        <v>28</v>
      </c>
      <c r="AY5" s="95" t="s">
        <v>28</v>
      </c>
      <c r="AZ5" s="95" t="s">
        <v>28</v>
      </c>
      <c r="BA5" s="95" t="s">
        <v>28</v>
      </c>
      <c r="BB5" s="95" t="s">
        <v>28</v>
      </c>
      <c r="BC5" s="95" t="s">
        <v>1870</v>
      </c>
      <c r="BD5" s="95"/>
      <c r="BE5" s="95" t="s">
        <v>1933</v>
      </c>
      <c r="BF5" s="95"/>
      <c r="BG5" s="95" t="s">
        <v>1871</v>
      </c>
      <c r="BH5" s="95"/>
      <c r="BI5" s="95" t="s">
        <v>1934</v>
      </c>
      <c r="BJ5" s="95"/>
      <c r="BK5" s="95" t="s">
        <v>1872</v>
      </c>
      <c r="BL5" s="95" t="s">
        <v>1931</v>
      </c>
      <c r="BM5" s="95" t="s">
        <v>1874</v>
      </c>
      <c r="BN5" s="95" t="s">
        <v>1932</v>
      </c>
      <c r="BO5" s="95" t="s">
        <v>723</v>
      </c>
      <c r="BP5" s="95"/>
      <c r="BQ5" s="95" t="s">
        <v>1853</v>
      </c>
      <c r="BR5" s="95" t="s">
        <v>1924</v>
      </c>
      <c r="BS5" s="95"/>
      <c r="BT5" s="95" t="s">
        <v>1853</v>
      </c>
      <c r="BU5" s="95" t="s">
        <v>1981</v>
      </c>
      <c r="BV5" s="225" t="s">
        <v>1853</v>
      </c>
      <c r="BW5" s="95" t="s">
        <v>943</v>
      </c>
      <c r="BX5" s="225" t="s">
        <v>204</v>
      </c>
      <c r="BY5" s="225" t="s">
        <v>1853</v>
      </c>
      <c r="BZ5" s="225" t="s">
        <v>206</v>
      </c>
      <c r="CA5" s="225" t="s">
        <v>1853</v>
      </c>
      <c r="CB5" s="225" t="s">
        <v>208</v>
      </c>
      <c r="CC5" s="225" t="s">
        <v>1853</v>
      </c>
      <c r="CD5" s="225" t="s">
        <v>199</v>
      </c>
      <c r="CE5" s="225" t="s">
        <v>1853</v>
      </c>
      <c r="CF5" s="225" t="s">
        <v>212</v>
      </c>
      <c r="CG5" s="225" t="s">
        <v>1853</v>
      </c>
      <c r="CH5" s="96" t="s">
        <v>148</v>
      </c>
    </row>
    <row r="6" spans="1:86" ht="22.5" customHeight="1" x14ac:dyDescent="0.3">
      <c r="A6" s="28" t="s">
        <v>150</v>
      </c>
      <c r="B6" s="17">
        <v>1</v>
      </c>
      <c r="C6" s="17">
        <v>1</v>
      </c>
      <c r="D6" s="17">
        <v>1</v>
      </c>
      <c r="E6" s="17">
        <v>1</v>
      </c>
      <c r="F6" s="17">
        <v>1.61</v>
      </c>
      <c r="G6" s="258">
        <v>1.06</v>
      </c>
      <c r="H6" s="257">
        <v>1.6709999999999998</v>
      </c>
      <c r="I6" s="257">
        <f t="shared" ref="I6:I25" si="9">F7-F6</f>
        <v>0.125</v>
      </c>
      <c r="K6" s="17">
        <f>1.61+0.125*INT((J7-1.61)/0.125-1)</f>
        <v>1.9850000000000001</v>
      </c>
      <c r="M6" s="257"/>
      <c r="AD6" s="221"/>
      <c r="AF6" s="221"/>
      <c r="AH6" s="221"/>
      <c r="AJ6" s="221"/>
      <c r="AL6" s="221"/>
      <c r="BC6" s="17">
        <v>0</v>
      </c>
      <c r="BD6" s="17">
        <v>0</v>
      </c>
      <c r="BE6" s="17">
        <v>0</v>
      </c>
      <c r="BF6" s="17">
        <v>0</v>
      </c>
      <c r="BG6" s="17">
        <v>0</v>
      </c>
      <c r="BH6" s="17">
        <v>0</v>
      </c>
      <c r="BI6" s="17">
        <v>0</v>
      </c>
      <c r="BJ6" s="17">
        <v>0</v>
      </c>
      <c r="BK6" s="17" t="s">
        <v>2091</v>
      </c>
      <c r="BL6" s="17" t="s">
        <v>2091</v>
      </c>
      <c r="BM6" s="17">
        <v>8.0000000000000002E-3</v>
      </c>
      <c r="BN6" s="17">
        <v>8.0000000000000002E-3</v>
      </c>
      <c r="BO6" s="17">
        <v>5.0000000000000001E-3</v>
      </c>
      <c r="BP6" s="17">
        <v>7.4999999999999997E-3</v>
      </c>
      <c r="BQ6" s="221" t="s">
        <v>1916</v>
      </c>
      <c r="BR6" s="17">
        <v>2.1000000000000001E-2</v>
      </c>
      <c r="BS6" s="17">
        <v>0.03</v>
      </c>
      <c r="BT6" s="221" t="s">
        <v>1925</v>
      </c>
      <c r="BU6" s="17">
        <v>0</v>
      </c>
      <c r="BV6" s="17" t="s">
        <v>1983</v>
      </c>
      <c r="BW6" s="17">
        <v>-9999</v>
      </c>
      <c r="BX6" s="226">
        <v>2</v>
      </c>
      <c r="BY6" s="227" t="s">
        <v>1855</v>
      </c>
      <c r="BZ6" s="226">
        <v>1</v>
      </c>
      <c r="CA6" s="227" t="s">
        <v>1856</v>
      </c>
      <c r="CB6" s="226">
        <v>91</v>
      </c>
      <c r="CC6" s="227" t="s">
        <v>1857</v>
      </c>
      <c r="CD6" s="226">
        <v>64</v>
      </c>
      <c r="CE6" s="227" t="s">
        <v>1858</v>
      </c>
      <c r="CF6" s="226">
        <v>40</v>
      </c>
      <c r="CG6" s="227" t="s">
        <v>1859</v>
      </c>
      <c r="CH6" s="96" t="s">
        <v>89</v>
      </c>
    </row>
    <row r="7" spans="1:86" ht="22.5" customHeight="1" x14ac:dyDescent="0.3">
      <c r="A7" s="28"/>
      <c r="B7" s="17">
        <v>2</v>
      </c>
      <c r="C7" s="17">
        <v>2</v>
      </c>
      <c r="D7" s="17">
        <v>2</v>
      </c>
      <c r="E7" s="17">
        <v>2</v>
      </c>
      <c r="F7" s="17">
        <v>1.7350000000000001</v>
      </c>
      <c r="G7" s="17">
        <v>1.1850000000000001</v>
      </c>
      <c r="H7" s="257">
        <v>1.7959999999999998</v>
      </c>
      <c r="I7" s="257">
        <f t="shared" si="9"/>
        <v>0.125</v>
      </c>
      <c r="J7" s="17">
        <v>2.15</v>
      </c>
      <c r="K7" s="17">
        <f>1.61+0.125*INT((J7-1.61)/0.125)-0.241-0.309</f>
        <v>1.5600000000000003</v>
      </c>
      <c r="L7" s="258">
        <f>J7-0.241-K7</f>
        <v>0.34899999999999953</v>
      </c>
      <c r="M7" s="257"/>
      <c r="AD7" s="221"/>
      <c r="AF7" s="221"/>
      <c r="AH7" s="221"/>
      <c r="AJ7" s="221"/>
      <c r="AL7" s="221"/>
      <c r="BC7" s="17">
        <v>0</v>
      </c>
      <c r="BD7" s="17">
        <v>0</v>
      </c>
      <c r="BE7" s="17">
        <v>0</v>
      </c>
      <c r="BF7" s="17">
        <v>0</v>
      </c>
      <c r="BG7" s="17">
        <v>0</v>
      </c>
      <c r="BH7" s="17">
        <v>0</v>
      </c>
      <c r="BI7" s="17">
        <v>0</v>
      </c>
      <c r="BJ7" s="17">
        <v>0</v>
      </c>
      <c r="BK7" s="17" t="s">
        <v>2092</v>
      </c>
      <c r="BL7" s="17" t="s">
        <v>2092</v>
      </c>
      <c r="BM7" s="17">
        <v>1.4999999999999999E-2</v>
      </c>
      <c r="BN7" s="17">
        <v>1.4999999999999999E-2</v>
      </c>
      <c r="BO7" s="17">
        <v>5.0000000000000001E-3</v>
      </c>
      <c r="BP7" s="17">
        <v>7.4999999999999997E-3</v>
      </c>
      <c r="BQ7" s="221" t="s">
        <v>1917</v>
      </c>
      <c r="BR7" s="17">
        <v>4.2000000000000003E-2</v>
      </c>
      <c r="BS7" s="17">
        <v>1.4999999999999999E-2</v>
      </c>
      <c r="BT7" s="221" t="s">
        <v>1926</v>
      </c>
      <c r="BU7" s="17">
        <v>0</v>
      </c>
      <c r="BV7" s="17" t="s">
        <v>1984</v>
      </c>
      <c r="BW7" s="17">
        <v>0</v>
      </c>
      <c r="BX7" s="226">
        <v>2</v>
      </c>
      <c r="BY7" s="227" t="s">
        <v>1875</v>
      </c>
      <c r="BZ7" s="226">
        <v>1</v>
      </c>
      <c r="CA7" s="227" t="s">
        <v>1864</v>
      </c>
      <c r="CB7" s="226">
        <v>91</v>
      </c>
      <c r="CC7" s="227" t="s">
        <v>1865</v>
      </c>
      <c r="CD7" s="226">
        <v>64</v>
      </c>
      <c r="CE7" s="227" t="s">
        <v>1866</v>
      </c>
      <c r="CF7" s="226">
        <v>40</v>
      </c>
      <c r="CG7" s="227" t="s">
        <v>1854</v>
      </c>
    </row>
    <row r="8" spans="1:86" ht="22.5" customHeight="1" x14ac:dyDescent="0.3">
      <c r="B8" s="17">
        <v>3</v>
      </c>
      <c r="C8" s="17">
        <v>3</v>
      </c>
      <c r="D8" s="17">
        <v>3</v>
      </c>
      <c r="E8" s="17">
        <v>3</v>
      </c>
      <c r="F8" s="17">
        <v>1.86</v>
      </c>
      <c r="G8" s="17">
        <v>1.31</v>
      </c>
      <c r="H8" s="257">
        <v>1.9209999999999998</v>
      </c>
      <c r="I8" s="257">
        <f t="shared" si="9"/>
        <v>0.125</v>
      </c>
      <c r="M8" s="257"/>
      <c r="AD8" s="221"/>
      <c r="AF8" s="221"/>
      <c r="AH8" s="221"/>
      <c r="AJ8" s="221"/>
      <c r="AL8" s="221"/>
      <c r="BC8" s="17">
        <v>0</v>
      </c>
      <c r="BD8" s="17">
        <v>0</v>
      </c>
      <c r="BE8" s="17">
        <v>0</v>
      </c>
      <c r="BF8" s="17">
        <v>0</v>
      </c>
      <c r="BG8" s="17">
        <v>0</v>
      </c>
      <c r="BH8" s="17">
        <v>0</v>
      </c>
      <c r="BI8" s="17">
        <v>0</v>
      </c>
      <c r="BJ8" s="17">
        <v>0</v>
      </c>
      <c r="BK8" s="17" t="s">
        <v>2092</v>
      </c>
      <c r="BL8" s="17" t="s">
        <v>2092</v>
      </c>
      <c r="BM8" s="17">
        <v>1.4999999999999999E-2</v>
      </c>
      <c r="BN8" s="17">
        <v>1.4999999999999999E-2</v>
      </c>
      <c r="BR8" s="17">
        <v>7.4999999999999997E-2</v>
      </c>
      <c r="BS8" s="17">
        <v>1.4999999999999999E-2</v>
      </c>
      <c r="BT8" s="221" t="s">
        <v>1927</v>
      </c>
      <c r="BU8" s="17">
        <v>0</v>
      </c>
      <c r="BV8" s="17" t="s">
        <v>1985</v>
      </c>
      <c r="BW8" s="17">
        <v>-9999</v>
      </c>
      <c r="BX8" s="226">
        <v>2</v>
      </c>
      <c r="BY8" s="227" t="s">
        <v>1876</v>
      </c>
      <c r="BZ8" s="226">
        <v>1</v>
      </c>
      <c r="CA8" s="227" t="s">
        <v>1877</v>
      </c>
      <c r="CB8" s="226">
        <v>91</v>
      </c>
      <c r="CC8" s="227" t="s">
        <v>1878</v>
      </c>
      <c r="CD8" s="226">
        <v>64</v>
      </c>
      <c r="CE8" s="227" t="s">
        <v>1879</v>
      </c>
      <c r="CF8" s="226">
        <v>62</v>
      </c>
      <c r="CG8" s="227" t="s">
        <v>1880</v>
      </c>
    </row>
    <row r="9" spans="1:86" ht="22.5" customHeight="1" x14ac:dyDescent="0.3">
      <c r="B9" s="17">
        <v>4</v>
      </c>
      <c r="C9" s="17">
        <v>4</v>
      </c>
      <c r="D9" s="17">
        <v>4</v>
      </c>
      <c r="E9" s="17">
        <v>4</v>
      </c>
      <c r="F9" s="17">
        <v>1.9850000000000001</v>
      </c>
      <c r="G9" s="17">
        <v>1.4350000000000001</v>
      </c>
      <c r="H9" s="257">
        <v>2.0459999999999998</v>
      </c>
      <c r="I9" s="257">
        <f t="shared" si="9"/>
        <v>0.12499999999999978</v>
      </c>
      <c r="M9" s="257"/>
      <c r="AD9" s="221"/>
      <c r="AF9" s="221"/>
      <c r="AH9" s="221"/>
      <c r="AJ9" s="221"/>
      <c r="AL9" s="221"/>
      <c r="BU9" s="17">
        <v>0</v>
      </c>
      <c r="BV9" s="17" t="s">
        <v>1986</v>
      </c>
      <c r="BW9" s="17">
        <v>0</v>
      </c>
      <c r="BX9" s="226">
        <v>2</v>
      </c>
      <c r="BY9" s="227" t="s">
        <v>1881</v>
      </c>
      <c r="BZ9" s="226">
        <v>1</v>
      </c>
      <c r="CA9" s="227" t="s">
        <v>1882</v>
      </c>
      <c r="CB9" s="226">
        <v>91</v>
      </c>
      <c r="CC9" s="227" t="s">
        <v>1883</v>
      </c>
      <c r="CD9" s="226">
        <v>64</v>
      </c>
      <c r="CE9" s="227" t="s">
        <v>1884</v>
      </c>
      <c r="CF9" s="226">
        <v>57</v>
      </c>
      <c r="CG9" s="227" t="s">
        <v>1885</v>
      </c>
    </row>
    <row r="10" spans="1:86" ht="22.5" customHeight="1" x14ac:dyDescent="0.3">
      <c r="B10" s="17">
        <v>5</v>
      </c>
      <c r="C10" s="17">
        <v>5</v>
      </c>
      <c r="D10" s="17">
        <v>5</v>
      </c>
      <c r="E10" s="17">
        <v>5</v>
      </c>
      <c r="F10" s="17">
        <v>2.11</v>
      </c>
      <c r="G10" s="17">
        <v>1.56</v>
      </c>
      <c r="H10" s="257">
        <v>2.1709999999999998</v>
      </c>
      <c r="I10" s="257">
        <f t="shared" si="9"/>
        <v>0.125</v>
      </c>
      <c r="M10" s="257"/>
      <c r="AD10" s="221"/>
      <c r="AF10" s="221"/>
      <c r="AH10" s="221"/>
      <c r="AJ10" s="221"/>
      <c r="AL10" s="221"/>
      <c r="BU10" s="17">
        <v>90</v>
      </c>
      <c r="BV10" s="17" t="s">
        <v>1987</v>
      </c>
      <c r="BX10" s="226">
        <v>2</v>
      </c>
      <c r="BY10" s="227" t="s">
        <v>1886</v>
      </c>
      <c r="BZ10" s="226">
        <v>1</v>
      </c>
      <c r="CA10" s="227" t="s">
        <v>1887</v>
      </c>
      <c r="CB10" s="226">
        <v>91</v>
      </c>
      <c r="CC10" s="227" t="s">
        <v>1888</v>
      </c>
      <c r="CD10" s="226">
        <v>64</v>
      </c>
      <c r="CE10" s="227" t="s">
        <v>1889</v>
      </c>
      <c r="CF10" s="226">
        <v>24</v>
      </c>
      <c r="CG10" s="227" t="s">
        <v>1890</v>
      </c>
    </row>
    <row r="11" spans="1:86" ht="22.5" customHeight="1" x14ac:dyDescent="0.3">
      <c r="B11" s="17">
        <v>6</v>
      </c>
      <c r="C11" s="17">
        <v>6</v>
      </c>
      <c r="D11" s="17">
        <v>6</v>
      </c>
      <c r="E11" s="17">
        <v>6</v>
      </c>
      <c r="F11" s="17">
        <v>2.2349999999999999</v>
      </c>
      <c r="G11" s="17">
        <v>1.6850000000000001</v>
      </c>
      <c r="H11" s="257">
        <v>2.2959999999999998</v>
      </c>
      <c r="I11" s="257">
        <f t="shared" si="9"/>
        <v>0.125</v>
      </c>
      <c r="M11" s="257"/>
      <c r="AD11" s="221"/>
      <c r="AF11" s="221"/>
      <c r="AH11" s="221"/>
      <c r="AJ11" s="221"/>
      <c r="BU11" s="17">
        <v>0</v>
      </c>
      <c r="BV11" s="17" t="s">
        <v>1988</v>
      </c>
      <c r="BX11" s="226">
        <v>2</v>
      </c>
      <c r="BY11" s="227" t="s">
        <v>1891</v>
      </c>
      <c r="BZ11" s="226">
        <v>1</v>
      </c>
      <c r="CA11" s="227" t="s">
        <v>1892</v>
      </c>
      <c r="CB11" s="226">
        <v>91</v>
      </c>
      <c r="CC11" s="227" t="s">
        <v>1893</v>
      </c>
      <c r="CD11" s="226">
        <v>64</v>
      </c>
      <c r="CE11" s="227" t="s">
        <v>1894</v>
      </c>
      <c r="CF11" s="226">
        <v>24</v>
      </c>
      <c r="CG11" s="227" t="s">
        <v>1895</v>
      </c>
    </row>
    <row r="12" spans="1:86" ht="22.5" customHeight="1" x14ac:dyDescent="0.3">
      <c r="B12" s="17">
        <v>7</v>
      </c>
      <c r="C12" s="17">
        <v>7</v>
      </c>
      <c r="D12" s="17">
        <v>7</v>
      </c>
      <c r="E12" s="17">
        <v>7</v>
      </c>
      <c r="F12" s="17">
        <v>2.36</v>
      </c>
      <c r="G12" s="17">
        <v>1.81</v>
      </c>
      <c r="H12" s="257">
        <v>2.4209999999999998</v>
      </c>
      <c r="I12" s="257">
        <f t="shared" si="9"/>
        <v>0.125</v>
      </c>
      <c r="M12" s="257"/>
      <c r="AD12" s="221"/>
      <c r="AF12" s="221"/>
      <c r="AH12" s="221"/>
      <c r="AJ12" s="221"/>
      <c r="BX12" s="226">
        <v>2</v>
      </c>
      <c r="BY12" s="227" t="s">
        <v>1978</v>
      </c>
      <c r="BZ12" s="226">
        <v>1</v>
      </c>
      <c r="CA12" s="227" t="s">
        <v>1896</v>
      </c>
      <c r="CB12" s="226">
        <v>91</v>
      </c>
      <c r="CC12" s="227" t="s">
        <v>1897</v>
      </c>
      <c r="CD12" s="226">
        <v>64</v>
      </c>
      <c r="CE12" s="227" t="s">
        <v>1898</v>
      </c>
      <c r="CF12" s="226">
        <v>24</v>
      </c>
      <c r="CG12" s="227" t="s">
        <v>1899</v>
      </c>
    </row>
    <row r="13" spans="1:86" ht="22.5" customHeight="1" x14ac:dyDescent="0.3">
      <c r="F13" s="17">
        <v>2.4849999999999999</v>
      </c>
      <c r="G13" s="17">
        <v>1.9350000000000001</v>
      </c>
      <c r="H13" s="257">
        <v>2.5459999999999998</v>
      </c>
      <c r="I13" s="257">
        <f t="shared" si="9"/>
        <v>0.125</v>
      </c>
      <c r="M13" s="257"/>
      <c r="AD13" s="221"/>
      <c r="AF13" s="221"/>
      <c r="AH13" s="221"/>
      <c r="AJ13" s="221"/>
      <c r="BX13" s="226">
        <v>2</v>
      </c>
      <c r="BY13" s="227" t="s">
        <v>1980</v>
      </c>
      <c r="BZ13" s="226">
        <v>1</v>
      </c>
      <c r="CA13" s="227" t="s">
        <v>1900</v>
      </c>
      <c r="CB13" s="226">
        <v>91</v>
      </c>
      <c r="CC13" s="227" t="s">
        <v>1901</v>
      </c>
      <c r="CD13" s="226">
        <v>64</v>
      </c>
      <c r="CE13" s="227" t="s">
        <v>1902</v>
      </c>
      <c r="CF13" s="226">
        <v>24</v>
      </c>
      <c r="CG13" s="227" t="s">
        <v>1903</v>
      </c>
    </row>
    <row r="14" spans="1:86" ht="22.5" customHeight="1" x14ac:dyDescent="0.3">
      <c r="F14" s="17">
        <v>2.61</v>
      </c>
      <c r="G14" s="17">
        <v>2.06</v>
      </c>
      <c r="H14" s="257">
        <v>2.6709999999999998</v>
      </c>
      <c r="I14" s="257">
        <f t="shared" si="9"/>
        <v>0.125</v>
      </c>
      <c r="M14" s="257"/>
      <c r="AD14" s="221"/>
      <c r="AF14" s="221"/>
      <c r="AH14" s="221"/>
      <c r="AJ14" s="221"/>
      <c r="BX14" s="226">
        <v>2</v>
      </c>
      <c r="BY14" s="227" t="s">
        <v>1979</v>
      </c>
      <c r="BZ14" s="226">
        <v>1</v>
      </c>
      <c r="CA14" s="227" t="s">
        <v>1935</v>
      </c>
      <c r="CB14" s="226">
        <v>91</v>
      </c>
      <c r="CC14" s="227" t="s">
        <v>1938</v>
      </c>
      <c r="CD14" s="226">
        <v>64</v>
      </c>
      <c r="CE14" s="227" t="s">
        <v>1943</v>
      </c>
      <c r="CF14" s="226">
        <v>24</v>
      </c>
      <c r="CG14" s="227" t="s">
        <v>1904</v>
      </c>
    </row>
    <row r="15" spans="1:86" ht="22.5" customHeight="1" x14ac:dyDescent="0.3">
      <c r="F15" s="17">
        <v>2.7349999999999999</v>
      </c>
      <c r="G15" s="17">
        <v>2.1850000000000001</v>
      </c>
      <c r="H15" s="257">
        <v>2.7959999999999998</v>
      </c>
      <c r="I15" s="257">
        <f t="shared" si="9"/>
        <v>0.125</v>
      </c>
      <c r="M15" s="257"/>
      <c r="AD15" s="221"/>
      <c r="AF15" s="221"/>
      <c r="AH15" s="221"/>
      <c r="AJ15" s="221"/>
      <c r="BX15" s="226">
        <v>2</v>
      </c>
      <c r="BY15" s="228" t="s">
        <v>2025</v>
      </c>
      <c r="BZ15" s="226">
        <v>1</v>
      </c>
      <c r="CA15" s="227" t="s">
        <v>1936</v>
      </c>
      <c r="CB15" s="226">
        <v>91</v>
      </c>
      <c r="CC15" s="227" t="s">
        <v>1939</v>
      </c>
      <c r="CD15" s="226">
        <v>64</v>
      </c>
      <c r="CE15" s="227" t="s">
        <v>1942</v>
      </c>
      <c r="CF15" s="226">
        <v>24</v>
      </c>
      <c r="CG15" s="227" t="s">
        <v>1905</v>
      </c>
    </row>
    <row r="16" spans="1:86" ht="22.5" customHeight="1" x14ac:dyDescent="0.3">
      <c r="F16" s="257">
        <f t="shared" ref="F16:F26" si="10">H15+0.064</f>
        <v>2.86</v>
      </c>
      <c r="G16" s="258">
        <f t="shared" ref="G16:G26" si="11">F16-0.241-0.309</f>
        <v>2.3099999999999996</v>
      </c>
      <c r="H16" s="257">
        <v>2.9209999999999998</v>
      </c>
      <c r="I16" s="257">
        <f t="shared" si="9"/>
        <v>0.125</v>
      </c>
      <c r="M16" s="257"/>
      <c r="AD16" s="221"/>
      <c r="AF16" s="221"/>
      <c r="AH16" s="221"/>
      <c r="AJ16" s="221"/>
      <c r="BX16" s="226">
        <v>2</v>
      </c>
      <c r="BY16" s="227" t="s">
        <v>1860</v>
      </c>
      <c r="BZ16" s="226">
        <v>1</v>
      </c>
      <c r="CA16" s="227" t="s">
        <v>1937</v>
      </c>
      <c r="CB16" s="226">
        <v>91</v>
      </c>
      <c r="CC16" s="227" t="s">
        <v>1940</v>
      </c>
      <c r="CD16" s="226">
        <v>64</v>
      </c>
      <c r="CE16" s="227" t="s">
        <v>1941</v>
      </c>
      <c r="CF16" s="226">
        <v>62</v>
      </c>
      <c r="CG16" s="227" t="s">
        <v>1906</v>
      </c>
    </row>
    <row r="17" spans="6:85" ht="22.5" customHeight="1" x14ac:dyDescent="0.3">
      <c r="F17" s="257">
        <f t="shared" si="10"/>
        <v>2.9849999999999999</v>
      </c>
      <c r="G17" s="258">
        <f t="shared" si="11"/>
        <v>2.4349999999999996</v>
      </c>
      <c r="H17" s="257">
        <v>3.0459999999999998</v>
      </c>
      <c r="I17" s="257">
        <f t="shared" si="9"/>
        <v>0.125</v>
      </c>
      <c r="AD17" s="221"/>
      <c r="AF17" s="221"/>
      <c r="AH17" s="221"/>
      <c r="AJ17" s="221"/>
      <c r="BX17" s="226">
        <v>2</v>
      </c>
      <c r="BY17" s="227" t="s">
        <v>1860</v>
      </c>
      <c r="BZ17" s="226">
        <v>1</v>
      </c>
      <c r="CA17" s="228" t="s">
        <v>2026</v>
      </c>
      <c r="CB17" s="226">
        <v>91</v>
      </c>
      <c r="CC17" s="228" t="s">
        <v>2027</v>
      </c>
      <c r="CD17" s="226">
        <v>64</v>
      </c>
      <c r="CE17" s="228" t="s">
        <v>2028</v>
      </c>
      <c r="CF17" s="226">
        <v>57</v>
      </c>
      <c r="CG17" s="227" t="s">
        <v>1907</v>
      </c>
    </row>
    <row r="18" spans="6:85" ht="22.5" customHeight="1" x14ac:dyDescent="0.3">
      <c r="F18" s="257">
        <f t="shared" si="10"/>
        <v>3.11</v>
      </c>
      <c r="G18" s="258">
        <f t="shared" si="11"/>
        <v>2.5599999999999996</v>
      </c>
      <c r="H18" s="257">
        <v>3.1709999999999998</v>
      </c>
      <c r="I18" s="257">
        <f t="shared" si="9"/>
        <v>0.125</v>
      </c>
      <c r="AD18" s="221"/>
      <c r="AF18" s="221"/>
      <c r="AH18" s="221"/>
      <c r="AJ18" s="221"/>
      <c r="BX18" s="226">
        <v>2</v>
      </c>
      <c r="BY18" s="227" t="s">
        <v>1860</v>
      </c>
      <c r="BZ18" s="226">
        <v>1</v>
      </c>
      <c r="CA18" s="227" t="s">
        <v>1861</v>
      </c>
      <c r="CB18" s="226">
        <v>91</v>
      </c>
      <c r="CC18" s="227" t="s">
        <v>1862</v>
      </c>
      <c r="CD18" s="226">
        <v>64</v>
      </c>
      <c r="CE18" s="227" t="s">
        <v>1863</v>
      </c>
      <c r="CF18" s="226">
        <v>24</v>
      </c>
      <c r="CG18" s="227" t="s">
        <v>1908</v>
      </c>
    </row>
    <row r="19" spans="6:85" ht="22.5" customHeight="1" x14ac:dyDescent="0.3">
      <c r="F19" s="257">
        <f t="shared" si="10"/>
        <v>3.2349999999999999</v>
      </c>
      <c r="G19" s="258">
        <f t="shared" si="11"/>
        <v>2.6849999999999996</v>
      </c>
      <c r="H19" s="257">
        <v>3.2959999999999998</v>
      </c>
      <c r="I19" s="257">
        <f t="shared" si="9"/>
        <v>0.125</v>
      </c>
      <c r="AD19" s="221"/>
      <c r="AF19" s="221"/>
      <c r="AH19" s="221"/>
      <c r="AJ19" s="221"/>
      <c r="BX19" s="226">
        <v>2</v>
      </c>
      <c r="BY19" s="227" t="s">
        <v>1860</v>
      </c>
      <c r="BZ19" s="226">
        <v>1</v>
      </c>
      <c r="CA19" s="227" t="s">
        <v>1861</v>
      </c>
      <c r="CB19" s="226">
        <v>91</v>
      </c>
      <c r="CC19" s="227" t="s">
        <v>1862</v>
      </c>
      <c r="CD19" s="226">
        <v>64</v>
      </c>
      <c r="CE19" s="227" t="s">
        <v>1863</v>
      </c>
      <c r="CF19" s="226">
        <v>24</v>
      </c>
      <c r="CG19" s="227" t="s">
        <v>1909</v>
      </c>
    </row>
    <row r="20" spans="6:85" ht="22.5" customHeight="1" x14ac:dyDescent="0.3">
      <c r="F20" s="257">
        <f t="shared" si="10"/>
        <v>3.36</v>
      </c>
      <c r="G20" s="258">
        <f t="shared" si="11"/>
        <v>2.8099999999999996</v>
      </c>
      <c r="H20" s="257">
        <v>3.4209999999999998</v>
      </c>
      <c r="I20" s="257">
        <f t="shared" si="9"/>
        <v>0.125</v>
      </c>
      <c r="AD20" s="221"/>
      <c r="AF20" s="221"/>
      <c r="AH20" s="221"/>
      <c r="AJ20" s="221"/>
      <c r="BX20" s="226">
        <v>2</v>
      </c>
      <c r="BY20" s="227" t="s">
        <v>1860</v>
      </c>
      <c r="BZ20" s="226">
        <v>1</v>
      </c>
      <c r="CA20" s="227" t="s">
        <v>1861</v>
      </c>
      <c r="CB20" s="226">
        <v>91</v>
      </c>
      <c r="CC20" s="227" t="s">
        <v>1862</v>
      </c>
      <c r="CD20" s="226">
        <v>64</v>
      </c>
      <c r="CE20" s="227" t="s">
        <v>1863</v>
      </c>
      <c r="CF20" s="226">
        <v>57</v>
      </c>
      <c r="CG20" s="227" t="s">
        <v>1910</v>
      </c>
    </row>
    <row r="21" spans="6:85" ht="22.5" customHeight="1" x14ac:dyDescent="0.3">
      <c r="F21" s="257">
        <f t="shared" si="10"/>
        <v>3.4849999999999999</v>
      </c>
      <c r="G21" s="258">
        <f t="shared" si="11"/>
        <v>2.9349999999999996</v>
      </c>
      <c r="H21" s="257">
        <v>3.5459999999999998</v>
      </c>
      <c r="I21" s="257">
        <f t="shared" si="9"/>
        <v>0.125</v>
      </c>
      <c r="BX21" s="226"/>
      <c r="BY21" s="226"/>
      <c r="BZ21" s="226"/>
      <c r="CA21" s="226"/>
      <c r="CB21" s="226"/>
      <c r="CC21" s="226"/>
      <c r="CD21" s="226"/>
      <c r="CE21" s="226"/>
      <c r="CF21" s="226">
        <v>57</v>
      </c>
      <c r="CG21" s="227" t="s">
        <v>1911</v>
      </c>
    </row>
    <row r="22" spans="6:85" ht="22.5" customHeight="1" x14ac:dyDescent="0.3">
      <c r="F22" s="257">
        <f t="shared" si="10"/>
        <v>3.61</v>
      </c>
      <c r="G22" s="258">
        <f t="shared" si="11"/>
        <v>3.0599999999999996</v>
      </c>
      <c r="H22" s="257">
        <v>3.6709999999999998</v>
      </c>
      <c r="I22" s="257">
        <f t="shared" si="9"/>
        <v>0.125</v>
      </c>
      <c r="BX22" s="226"/>
      <c r="BY22" s="226"/>
      <c r="BZ22" s="226"/>
      <c r="CA22" s="226"/>
      <c r="CB22" s="226"/>
      <c r="CC22" s="226"/>
      <c r="CD22" s="226"/>
      <c r="CE22" s="226"/>
      <c r="CF22" s="226">
        <v>57</v>
      </c>
      <c r="CG22" s="227" t="s">
        <v>1912</v>
      </c>
    </row>
    <row r="23" spans="6:85" ht="22.5" customHeight="1" x14ac:dyDescent="0.3">
      <c r="F23" s="257">
        <f t="shared" si="10"/>
        <v>3.7349999999999999</v>
      </c>
      <c r="G23" s="258">
        <f t="shared" si="11"/>
        <v>3.1849999999999996</v>
      </c>
      <c r="H23" s="257">
        <v>3.7959999999999998</v>
      </c>
      <c r="I23" s="257">
        <f t="shared" si="9"/>
        <v>0.125</v>
      </c>
      <c r="BX23" s="226"/>
      <c r="BY23" s="226"/>
      <c r="BZ23" s="226"/>
      <c r="CA23" s="226"/>
      <c r="CB23" s="226"/>
      <c r="CC23" s="226"/>
      <c r="CD23" s="226"/>
      <c r="CE23" s="226"/>
      <c r="CF23" s="226">
        <v>57</v>
      </c>
      <c r="CG23" s="227" t="s">
        <v>1913</v>
      </c>
    </row>
    <row r="24" spans="6:85" ht="22.5" customHeight="1" x14ac:dyDescent="0.3">
      <c r="F24" s="257">
        <f t="shared" si="10"/>
        <v>3.86</v>
      </c>
      <c r="G24" s="258">
        <f t="shared" si="11"/>
        <v>3.3099999999999996</v>
      </c>
      <c r="H24" s="257">
        <v>3.9209999999999998</v>
      </c>
      <c r="I24" s="257">
        <f t="shared" si="9"/>
        <v>0.125</v>
      </c>
      <c r="CF24" s="226">
        <v>62</v>
      </c>
      <c r="CG24" s="227" t="s">
        <v>1944</v>
      </c>
    </row>
    <row r="25" spans="6:85" ht="22.5" customHeight="1" x14ac:dyDescent="0.3">
      <c r="F25" s="257">
        <f t="shared" si="10"/>
        <v>3.9849999999999999</v>
      </c>
      <c r="G25" s="258">
        <f t="shared" si="11"/>
        <v>3.4349999999999996</v>
      </c>
      <c r="H25" s="257">
        <v>4.0460000000000003</v>
      </c>
      <c r="I25" s="257">
        <f t="shared" si="9"/>
        <v>0.12500000000000044</v>
      </c>
      <c r="CF25" s="226">
        <v>57</v>
      </c>
      <c r="CG25" s="227" t="s">
        <v>1945</v>
      </c>
    </row>
    <row r="26" spans="6:85" ht="22.5" customHeight="1" x14ac:dyDescent="0.3">
      <c r="F26" s="257">
        <f t="shared" si="10"/>
        <v>4.1100000000000003</v>
      </c>
      <c r="G26" s="258">
        <f t="shared" si="11"/>
        <v>3.56</v>
      </c>
      <c r="CF26" s="226">
        <v>24</v>
      </c>
      <c r="CG26" s="227" t="s">
        <v>1946</v>
      </c>
    </row>
    <row r="27" spans="6:85" ht="22.5" customHeight="1" x14ac:dyDescent="0.3">
      <c r="CF27" s="226">
        <v>24</v>
      </c>
      <c r="CG27" s="227" t="s">
        <v>1947</v>
      </c>
    </row>
    <row r="28" spans="6:85" ht="22.5" customHeight="1" x14ac:dyDescent="0.3">
      <c r="CF28" s="226">
        <v>57</v>
      </c>
      <c r="CG28" s="227" t="s">
        <v>1948</v>
      </c>
    </row>
    <row r="29" spans="6:85" ht="22.5" customHeight="1" x14ac:dyDescent="0.3">
      <c r="CF29" s="226">
        <v>57</v>
      </c>
      <c r="CG29" s="227" t="s">
        <v>1949</v>
      </c>
    </row>
    <row r="30" spans="6:85" ht="22.5" customHeight="1" x14ac:dyDescent="0.3">
      <c r="CF30" s="226">
        <v>57</v>
      </c>
      <c r="CG30" s="227" t="s">
        <v>1950</v>
      </c>
    </row>
    <row r="31" spans="6:85" ht="22.5" customHeight="1" x14ac:dyDescent="0.3">
      <c r="CF31" s="226">
        <v>57</v>
      </c>
      <c r="CG31" s="227" t="s">
        <v>1951</v>
      </c>
    </row>
    <row r="32" spans="6:85" ht="22.5" customHeight="1" x14ac:dyDescent="0.3">
      <c r="CF32" s="226">
        <v>40</v>
      </c>
      <c r="CG32" s="227" t="s">
        <v>2131</v>
      </c>
    </row>
    <row r="33" spans="84:85" ht="22.5" customHeight="1" x14ac:dyDescent="0.3">
      <c r="CF33" s="226">
        <v>40</v>
      </c>
      <c r="CG33" s="227" t="s">
        <v>2137</v>
      </c>
    </row>
    <row r="34" spans="84:85" ht="22.5" customHeight="1" x14ac:dyDescent="0.3">
      <c r="CF34" s="226">
        <v>40</v>
      </c>
      <c r="CG34" s="227" t="s">
        <v>2056</v>
      </c>
    </row>
    <row r="35" spans="84:85" ht="22.5" customHeight="1" x14ac:dyDescent="0.3">
      <c r="CF35" s="226">
        <v>40</v>
      </c>
      <c r="CG35" s="227" t="s">
        <v>2138</v>
      </c>
    </row>
    <row r="36" spans="84:85" ht="22.5" customHeight="1" x14ac:dyDescent="0.3">
      <c r="CF36" s="226">
        <v>40</v>
      </c>
      <c r="CG36" s="227" t="s">
        <v>2132</v>
      </c>
    </row>
    <row r="37" spans="84:85" ht="22.5" customHeight="1" x14ac:dyDescent="0.3">
      <c r="CF37" s="226">
        <v>40</v>
      </c>
      <c r="CG37" s="227" t="s">
        <v>2133</v>
      </c>
    </row>
    <row r="38" spans="84:85" ht="22.5" customHeight="1" x14ac:dyDescent="0.3">
      <c r="CF38" s="226">
        <v>40</v>
      </c>
      <c r="CG38" s="227" t="s">
        <v>2134</v>
      </c>
    </row>
    <row r="39" spans="84:85" ht="22.5" customHeight="1" x14ac:dyDescent="0.3">
      <c r="CF39" s="226">
        <v>40</v>
      </c>
      <c r="CG39" s="227" t="s">
        <v>2135</v>
      </c>
    </row>
    <row r="40" spans="84:85" ht="22.5" customHeight="1" x14ac:dyDescent="0.3">
      <c r="CF40" s="226">
        <v>40</v>
      </c>
      <c r="CG40" s="227" t="s">
        <v>2136</v>
      </c>
    </row>
    <row r="41" spans="84:85" ht="22.5" customHeight="1" x14ac:dyDescent="0.3"/>
    <row r="42" spans="84:85" ht="22.5" customHeight="1" x14ac:dyDescent="0.3"/>
    <row r="43" spans="84:85" ht="22.5" customHeight="1" x14ac:dyDescent="0.3"/>
    <row r="44" spans="84:85" ht="22.5" customHeight="1" x14ac:dyDescent="0.3"/>
    <row r="45" spans="84:85" ht="22.5" customHeight="1" x14ac:dyDescent="0.3"/>
    <row r="46" spans="84:85" ht="22.5" customHeight="1" x14ac:dyDescent="0.3"/>
    <row r="47" spans="84:85" ht="22.5" customHeight="1" x14ac:dyDescent="0.3"/>
    <row r="48" spans="84:85" ht="22.5" customHeight="1" x14ac:dyDescent="0.3"/>
    <row r="49" ht="22.5" customHeight="1" x14ac:dyDescent="0.3"/>
    <row r="50" ht="22.5" customHeight="1" x14ac:dyDescent="0.3"/>
    <row r="51" ht="22.5" customHeight="1" x14ac:dyDescent="0.3"/>
    <row r="52" ht="22.5" customHeight="1" x14ac:dyDescent="0.3"/>
    <row r="53" ht="22.5" customHeight="1" x14ac:dyDescent="0.3"/>
    <row r="54" ht="22.5" customHeight="1" x14ac:dyDescent="0.3"/>
    <row r="55" ht="22.5" customHeight="1" x14ac:dyDescent="0.3"/>
    <row r="56" ht="22.5" customHeight="1" x14ac:dyDescent="0.3"/>
    <row r="57" ht="22.5" customHeight="1" x14ac:dyDescent="0.3"/>
    <row r="58" ht="22.5" customHeight="1" x14ac:dyDescent="0.3"/>
    <row r="59" ht="22.5" customHeight="1" x14ac:dyDescent="0.3"/>
    <row r="60" ht="22.5" customHeight="1" x14ac:dyDescent="0.3"/>
    <row r="61" ht="22.5" customHeight="1" x14ac:dyDescent="0.3"/>
    <row r="62" ht="22.5" customHeight="1" x14ac:dyDescent="0.3"/>
    <row r="63" ht="22.5" customHeight="1" x14ac:dyDescent="0.3"/>
    <row r="64" ht="22.5" customHeight="1" x14ac:dyDescent="0.3"/>
    <row r="65" ht="22.5" customHeight="1" x14ac:dyDescent="0.3"/>
    <row r="66" ht="22.5" customHeight="1" x14ac:dyDescent="0.3"/>
    <row r="67" ht="22.5" customHeight="1" x14ac:dyDescent="0.3"/>
    <row r="68" ht="22.5" customHeight="1" x14ac:dyDescent="0.3"/>
    <row r="69" ht="22.5" customHeight="1" x14ac:dyDescent="0.3"/>
    <row r="70" ht="22.5" customHeight="1" x14ac:dyDescent="0.3"/>
    <row r="71" ht="22.5" customHeight="1" x14ac:dyDescent="0.3"/>
    <row r="72" ht="22.5" customHeight="1" x14ac:dyDescent="0.3"/>
    <row r="73" ht="22.5" customHeight="1" x14ac:dyDescent="0.3"/>
    <row r="74" ht="22.5" customHeight="1" x14ac:dyDescent="0.3"/>
    <row r="75" ht="22.5" customHeight="1" x14ac:dyDescent="0.3"/>
    <row r="76" ht="22.5" customHeight="1" x14ac:dyDescent="0.3"/>
    <row r="77" ht="22.5" customHeight="1" x14ac:dyDescent="0.3"/>
    <row r="78" ht="22.5" customHeight="1" x14ac:dyDescent="0.3"/>
    <row r="79" ht="22.5" customHeight="1" x14ac:dyDescent="0.3"/>
    <row r="80" ht="22.5" customHeight="1" x14ac:dyDescent="0.3"/>
    <row r="81" ht="22.5" customHeight="1" x14ac:dyDescent="0.3"/>
    <row r="82" ht="22.5" customHeight="1" x14ac:dyDescent="0.3"/>
    <row r="83" ht="22.5" customHeight="1" x14ac:dyDescent="0.3"/>
    <row r="84" ht="22.5" customHeight="1" x14ac:dyDescent="0.3"/>
    <row r="85" ht="22.5" customHeight="1" x14ac:dyDescent="0.3"/>
    <row r="86" ht="22.5" customHeight="1" x14ac:dyDescent="0.3"/>
    <row r="87" ht="22.5" customHeight="1" x14ac:dyDescent="0.3"/>
    <row r="88" ht="22.5" customHeight="1" x14ac:dyDescent="0.3"/>
    <row r="89" ht="22.5" customHeight="1" x14ac:dyDescent="0.3"/>
    <row r="90" ht="22.5" customHeight="1" x14ac:dyDescent="0.3"/>
    <row r="91" ht="22.5" customHeight="1" x14ac:dyDescent="0.3"/>
    <row r="92" ht="22.5" customHeight="1" x14ac:dyDescent="0.3"/>
    <row r="93" ht="22.5" customHeight="1" x14ac:dyDescent="0.3"/>
    <row r="94" ht="22.5" customHeight="1" x14ac:dyDescent="0.3"/>
    <row r="95" ht="22.5" customHeight="1" x14ac:dyDescent="0.3"/>
    <row r="96" ht="22.5" customHeight="1" x14ac:dyDescent="0.3"/>
    <row r="97" ht="22.5" customHeight="1" x14ac:dyDescent="0.3"/>
    <row r="98" ht="22.5" customHeight="1" x14ac:dyDescent="0.3"/>
    <row r="99" ht="22.5" customHeight="1" x14ac:dyDescent="0.3"/>
    <row r="100" ht="22.5" customHeight="1" x14ac:dyDescent="0.3"/>
    <row r="101" ht="22.5" customHeight="1" x14ac:dyDescent="0.3"/>
    <row r="102" ht="22.5" customHeight="1" x14ac:dyDescent="0.3"/>
    <row r="103" ht="22.5" customHeight="1" x14ac:dyDescent="0.3"/>
    <row r="104" ht="22.5" customHeight="1" x14ac:dyDescent="0.3"/>
    <row r="105" ht="22.5" customHeight="1" x14ac:dyDescent="0.3"/>
    <row r="106" ht="22.5" customHeight="1" x14ac:dyDescent="0.3"/>
    <row r="107" ht="22.5" customHeight="1" x14ac:dyDescent="0.3"/>
    <row r="108" ht="22.5" customHeight="1" x14ac:dyDescent="0.3"/>
    <row r="109" ht="22.5" customHeight="1" x14ac:dyDescent="0.3"/>
    <row r="110" ht="22.5" customHeight="1" x14ac:dyDescent="0.3"/>
    <row r="111" ht="22.5" customHeight="1" x14ac:dyDescent="0.3"/>
    <row r="112" ht="22.5" customHeight="1" x14ac:dyDescent="0.3"/>
    <row r="113" ht="22.5" customHeight="1" x14ac:dyDescent="0.3"/>
    <row r="114" ht="22.5" customHeight="1" x14ac:dyDescent="0.3"/>
    <row r="115" ht="22.5" customHeight="1" x14ac:dyDescent="0.3"/>
    <row r="116" ht="22.5" customHeight="1" x14ac:dyDescent="0.3"/>
    <row r="117" ht="22.5" customHeight="1" x14ac:dyDescent="0.3"/>
    <row r="118" ht="22.5" customHeight="1" x14ac:dyDescent="0.3"/>
    <row r="119" ht="22.5" customHeight="1" x14ac:dyDescent="0.3"/>
    <row r="120" ht="22.5" customHeight="1" x14ac:dyDescent="0.3"/>
    <row r="121" ht="22.5" customHeight="1" x14ac:dyDescent="0.3"/>
    <row r="122" ht="22.5" customHeight="1" x14ac:dyDescent="0.3"/>
    <row r="123" ht="22.5" customHeight="1" x14ac:dyDescent="0.3"/>
    <row r="124" ht="22.5" customHeight="1" x14ac:dyDescent="0.3"/>
    <row r="125" ht="22.5" customHeight="1" x14ac:dyDescent="0.3"/>
    <row r="126" ht="22.5" customHeight="1" x14ac:dyDescent="0.3"/>
    <row r="127" ht="22.5" customHeight="1" x14ac:dyDescent="0.3"/>
    <row r="128" ht="22.5" customHeight="1" x14ac:dyDescent="0.3"/>
    <row r="129" ht="22.5" customHeight="1" x14ac:dyDescent="0.3"/>
    <row r="130" ht="22.5" customHeight="1" x14ac:dyDescent="0.3"/>
    <row r="131" ht="22.5" customHeight="1" x14ac:dyDescent="0.3"/>
    <row r="132" ht="22.5" customHeight="1" x14ac:dyDescent="0.3"/>
    <row r="133" ht="22.5" customHeight="1" x14ac:dyDescent="0.3"/>
    <row r="134" ht="22.5" customHeight="1" x14ac:dyDescent="0.3"/>
    <row r="135" ht="22.5" customHeight="1" x14ac:dyDescent="0.3"/>
    <row r="136" ht="22.5" customHeight="1" x14ac:dyDescent="0.3"/>
    <row r="137" ht="22.5" customHeight="1" x14ac:dyDescent="0.3"/>
    <row r="138" ht="22.5" customHeight="1" x14ac:dyDescent="0.3"/>
    <row r="139" ht="22.5" customHeight="1" x14ac:dyDescent="0.3"/>
    <row r="140" ht="22.5" customHeight="1" x14ac:dyDescent="0.3"/>
    <row r="141" ht="22.5" customHeight="1" x14ac:dyDescent="0.3"/>
    <row r="142" ht="22.5" customHeight="1" x14ac:dyDescent="0.3"/>
    <row r="143" ht="22.5" customHeight="1" x14ac:dyDescent="0.3"/>
    <row r="144" ht="22.5" customHeight="1" x14ac:dyDescent="0.3"/>
    <row r="145" spans="2:86" ht="22.5" customHeight="1" x14ac:dyDescent="0.3"/>
    <row r="146" spans="2:86" ht="22.5" customHeight="1" x14ac:dyDescent="0.3"/>
    <row r="147" spans="2:86" ht="22.5" customHeight="1" x14ac:dyDescent="0.3"/>
    <row r="148" spans="2:86" ht="22.5" customHeight="1" x14ac:dyDescent="0.3"/>
    <row r="149" spans="2:86" ht="22.5" customHeight="1" x14ac:dyDescent="0.3"/>
    <row r="150" spans="2:86" ht="22.5" customHeight="1" x14ac:dyDescent="0.3"/>
    <row r="151" spans="2:86" ht="22.5" customHeight="1" x14ac:dyDescent="0.3"/>
    <row r="152" spans="2:86" ht="22.5" customHeight="1" x14ac:dyDescent="0.3"/>
    <row r="153" spans="2:86" ht="22.5" customHeight="1" x14ac:dyDescent="0.3"/>
    <row r="154" spans="2:86" ht="22.5" customHeight="1" x14ac:dyDescent="0.3"/>
    <row r="155" spans="2:86" ht="22.5" customHeight="1" x14ac:dyDescent="0.3"/>
    <row r="156" spans="2:86" ht="22.5" customHeight="1" thickBot="1" x14ac:dyDescent="0.35"/>
    <row r="157" spans="2:86" s="139" customFormat="1" ht="14.4" thickTop="1" x14ac:dyDescent="0.3">
      <c r="B157" s="35"/>
      <c r="C157" s="35"/>
      <c r="D157" s="35"/>
      <c r="E157" s="35"/>
      <c r="F157" s="35"/>
      <c r="G157" s="35"/>
      <c r="H157" s="35"/>
      <c r="I157" s="35"/>
      <c r="J157" s="35"/>
      <c r="K157" s="35"/>
      <c r="L157" s="35"/>
      <c r="M157" s="35"/>
      <c r="N157" s="35"/>
      <c r="O157" s="35"/>
      <c r="P157" s="35"/>
      <c r="Q157" s="35"/>
      <c r="R157" s="35"/>
      <c r="S157" s="35"/>
      <c r="T157" s="35"/>
      <c r="U157" s="35"/>
      <c r="V157" s="35"/>
      <c r="W157" s="35"/>
      <c r="X157" s="35"/>
      <c r="Y157" s="35"/>
      <c r="Z157" s="35"/>
      <c r="AA157" s="35"/>
      <c r="AB157" s="35"/>
      <c r="AC157" s="35"/>
      <c r="AD157" s="35"/>
      <c r="AE157" s="35"/>
      <c r="AF157" s="35"/>
      <c r="AG157" s="35"/>
      <c r="AH157" s="35"/>
      <c r="AI157" s="35"/>
      <c r="AJ157" s="35"/>
      <c r="AK157" s="35"/>
      <c r="AL157" s="35"/>
      <c r="AM157" s="35"/>
      <c r="AN157" s="35"/>
      <c r="AO157" s="35"/>
      <c r="AP157" s="35"/>
      <c r="AQ157" s="35"/>
      <c r="AR157" s="35"/>
      <c r="AS157" s="35"/>
      <c r="AT157" s="35"/>
      <c r="AU157" s="35"/>
      <c r="AV157" s="35"/>
      <c r="AW157" s="35"/>
      <c r="AX157" s="35"/>
      <c r="AY157" s="35"/>
      <c r="AZ157" s="35"/>
      <c r="BA157" s="35"/>
      <c r="BB157" s="35"/>
      <c r="BC157" s="35"/>
      <c r="BD157" s="35"/>
      <c r="BE157" s="35"/>
      <c r="BF157" s="35"/>
      <c r="BG157" s="35"/>
      <c r="BH157" s="35"/>
      <c r="BI157" s="35"/>
      <c r="BJ157" s="35"/>
      <c r="BK157" s="35"/>
      <c r="BL157" s="35"/>
      <c r="BM157" s="35"/>
      <c r="BN157" s="35"/>
      <c r="BO157" s="35"/>
      <c r="BP157" s="35"/>
      <c r="BQ157" s="35"/>
      <c r="BR157" s="35"/>
      <c r="BS157" s="35"/>
      <c r="BT157" s="35"/>
      <c r="BU157" s="35"/>
      <c r="BV157" s="35"/>
      <c r="BW157" s="35"/>
      <c r="BX157" s="35"/>
      <c r="BY157" s="35"/>
      <c r="BZ157" s="35"/>
      <c r="CA157" s="35"/>
      <c r="CB157" s="35"/>
      <c r="CC157" s="35"/>
      <c r="CD157" s="35"/>
      <c r="CE157" s="35"/>
      <c r="CF157" s="35"/>
      <c r="CG157" s="35"/>
      <c r="CH157" s="140"/>
    </row>
  </sheetData>
  <mergeCells count="1">
    <mergeCell ref="CH1:CH3"/>
  </mergeCells>
  <phoneticPr fontId="7" type="noConversion"/>
  <pageMargins left="0.7" right="0.7" top="0.78740157499999996" bottom="0.78740157499999996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/>
  <dimension ref="A1:BT97"/>
  <sheetViews>
    <sheetView showZeros="0" zoomScaleNormal="100" zoomScaleSheetLayoutView="100" workbookViewId="0">
      <selection activeCell="S20" sqref="S16:S20"/>
    </sheetView>
  </sheetViews>
  <sheetFormatPr baseColWidth="10" defaultColWidth="18.33203125" defaultRowHeight="13.8" x14ac:dyDescent="0.3"/>
  <cols>
    <col min="1" max="1" width="18.33203125" style="23"/>
    <col min="2" max="2" width="5.5546875" style="17" customWidth="1"/>
    <col min="3" max="3" width="28" style="17" customWidth="1"/>
    <col min="4" max="4" width="6" style="17" customWidth="1"/>
    <col min="5" max="5" width="21.5546875" style="17" customWidth="1"/>
    <col min="6" max="6" width="4.5546875" style="17" customWidth="1"/>
    <col min="7" max="7" width="19.5546875" style="17" bestFit="1" customWidth="1"/>
    <col min="8" max="8" width="5.88671875" style="17" customWidth="1"/>
    <col min="9" max="11" width="18.33203125" style="17"/>
    <col min="12" max="12" width="25.88671875" style="17" customWidth="1"/>
    <col min="13" max="13" width="20" style="17" customWidth="1"/>
    <col min="14" max="14" width="24.88671875" style="17" bestFit="1" customWidth="1"/>
    <col min="15" max="15" width="25.88671875" style="17" bestFit="1" customWidth="1"/>
    <col min="16" max="17" width="19.88671875" style="17" bestFit="1" customWidth="1"/>
    <col min="18" max="18" width="22" style="17" bestFit="1" customWidth="1"/>
    <col min="19" max="19" width="24.88671875" style="17" bestFit="1" customWidth="1"/>
    <col min="20" max="20" width="25.88671875" style="17" bestFit="1" customWidth="1"/>
    <col min="21" max="22" width="19.88671875" style="17" bestFit="1" customWidth="1"/>
    <col min="23" max="70" width="18.33203125" style="17"/>
    <col min="71" max="71" width="18.33203125" style="24"/>
    <col min="72" max="16384" width="18.33203125" style="14"/>
  </cols>
  <sheetData>
    <row r="1" spans="1:72" s="139" customFormat="1" x14ac:dyDescent="0.3">
      <c r="A1" s="26" t="s">
        <v>145</v>
      </c>
      <c r="B1" s="50" t="str">
        <f t="shared" ref="B1:L1" si="0">IF(B$5="","",IF(INDEX(VALUESLIST,2,COLUMN(B1)-1)="","",INDEX(VALUESLIST,2,COLUMN(B1)-1)) &amp; IF(INDEX(VALUESLIST,3,COLUMN(B1)-1)="","",DV&amp;INDEX(VALUESLIST,3,COLUMN(B1)-1)) &amp; IF(INDEX(VALUESLIST,4,COLUMN(B1)-1)="","",DV&amp;INDEX(VALUESLIST,4,COLUMN(B1)-1)) &amp; IF(INDEX(VALUESLIST,5,COLUMN(B1)-1)="","",DV&amp;INDEX(VALUESLIST,5,COLUMN(B1)-1)) &amp; IF(INDEX(VALUESLIST,6,COLUMN(B1)-1)="","",DV&amp;INDEX(VALUESLIST,6,COLUMN(B1)-1)) &amp; IF(INDEX(VALUESLIST,7,COLUMN(B1)-1)="","",DV&amp;INDEX(VALUESLIST,7,COLUMN(B1)-1)) &amp; IF(INDEX(VALUESLIST,8,COLUMN(B1)-1)="","",DV&amp;INDEX(VALUESLIST,8,COLUMN(B1)-1)) &amp; IF(INDEX(VALUESLIST,9,COLUMN(B1)-1)="","",DV&amp;INDEX(VALUESLIST,9,COLUMN(B1)-1)) &amp; IF(INDEX(VALUESLIST,10,COLUMN(B1)-1)="","",DV&amp;"..."))</f>
        <v>- | O2 | O3 | E2 | E3 | PA | FB | U2 | ...</v>
      </c>
      <c r="C1" s="50" t="str">
        <f t="shared" si="0"/>
        <v/>
      </c>
      <c r="D1" s="50" t="str">
        <f t="shared" si="0"/>
        <v>- | BO | AG | GS | SW | BA | XX</v>
      </c>
      <c r="E1" s="50" t="str">
        <f t="shared" si="0"/>
        <v/>
      </c>
      <c r="F1" s="50" t="str">
        <f t="shared" si="0"/>
        <v xml:space="preserve">  | ST | ES | AL | XX</v>
      </c>
      <c r="G1" s="50" t="str">
        <f t="shared" si="0"/>
        <v/>
      </c>
      <c r="H1" s="50" t="str">
        <f t="shared" si="0"/>
        <v xml:space="preserve">  | - | B | S | T | P | N | L | ...</v>
      </c>
      <c r="I1" s="50" t="str">
        <f t="shared" si="0"/>
        <v/>
      </c>
      <c r="J1" s="50" t="str">
        <f t="shared" si="0"/>
        <v>- | 2D | 3D</v>
      </c>
      <c r="K1" s="50" t="str">
        <f t="shared" si="0"/>
        <v>2 | 3 | 4</v>
      </c>
      <c r="L1" s="50" t="str">
        <f t="shared" si="0"/>
        <v>0,015 | 0,018 | 0,02 | 0,021 | 0,022</v>
      </c>
      <c r="M1" s="50" t="str">
        <f t="shared" ref="M1:W1" si="1">IF(M$5="","",IF(INDEX(VALUESLIST,2,COLUMN(M1)-1)="","",INDEX(VALUESLIST,2,COLUMN(M1)-1)) &amp; IF(INDEX(VALUESLIST,3,COLUMN(M1)-1)="","",DV&amp;INDEX(VALUESLIST,3,COLUMN(M1)-1)) &amp; IF(INDEX(VALUESLIST,4,COLUMN(M1)-1)="","",DV&amp;INDEX(VALUESLIST,4,COLUMN(M1)-1)) &amp; IF(INDEX(VALUESLIST,5,COLUMN(M1)-1)="","",DV&amp;INDEX(VALUESLIST,5,COLUMN(M1)-1)) &amp; IF(INDEX(VALUESLIST,6,COLUMN(M1)-1)="","",DV&amp;INDEX(VALUESLIST,6,COLUMN(M1)-1)) &amp; IF(INDEX(VALUESLIST,7,COLUMN(M1)-1)="","",DV&amp;INDEX(VALUESLIST,7,COLUMN(M1)-1)) &amp; IF(INDEX(VALUESLIST,8,COLUMN(M1)-1)="","",DV&amp;INDEX(VALUESLIST,8,COLUMN(M1)-1)) &amp; IF(INDEX(VALUESLIST,9,COLUMN(M1)-1)="","",DV&amp;INDEX(VALUESLIST,9,COLUMN(M1)-1)) &amp; IF(INDEX(VALUESLIST,10,COLUMN(M1)-1)="","",DV&amp;"..."))</f>
        <v>0,095 | 0,103 | 0,12 | 0,148 | 0,16</v>
      </c>
      <c r="N1" s="50" t="str">
        <f t="shared" si="1"/>
        <v>0,04 | 0,06</v>
      </c>
      <c r="O1" s="50" t="str">
        <f t="shared" si="1"/>
        <v>0,04 | 0,05</v>
      </c>
      <c r="P1" s="50" t="str">
        <f t="shared" si="1"/>
        <v>0,0205 | 0,0285</v>
      </c>
      <c r="Q1" s="50" t="str">
        <f t="shared" si="1"/>
        <v>0,012 | 0,013</v>
      </c>
      <c r="R1" s="50" t="str">
        <f t="shared" si="1"/>
        <v>0,237</v>
      </c>
      <c r="S1" s="50" t="str">
        <f t="shared" si="1"/>
        <v>1,185 | 1,31 | 1,435 | 1,56 | 1,685 | 1,81 | 1,935 | 2,06 | ...</v>
      </c>
      <c r="T1" s="50" t="str">
        <f t="shared" si="1"/>
        <v>0,35</v>
      </c>
      <c r="U1" s="50" t="str">
        <f t="shared" si="1"/>
        <v>0,35</v>
      </c>
      <c r="V1" s="50" t="str">
        <f t="shared" si="1"/>
        <v/>
      </c>
      <c r="W1" s="50" t="str">
        <f t="shared" si="1"/>
        <v/>
      </c>
      <c r="X1" s="50" t="str">
        <f t="shared" ref="X1:BQ1" si="2">IF(X$5="","",IF(INDEX(VALUESLIST,2,COLUMN(X1)-1)="","",INDEX(VALUESLIST,2,COLUMN(X1)-1)) &amp; IF(INDEX(VALUESLIST,3,COLUMN(X1)-1)="","",DV&amp;INDEX(VALUESLIST,3,COLUMN(X1)-1)) &amp; IF(INDEX(VALUESLIST,4,COLUMN(X1)-1)="","",DV&amp;INDEX(VALUESLIST,4,COLUMN(X1)-1)) &amp; IF(INDEX(VALUESLIST,5,COLUMN(X1)-1)="","",DV&amp;INDEX(VALUESLIST,5,COLUMN(X1)-1)) &amp; IF(INDEX(VALUESLIST,6,COLUMN(X1)-1)="","",DV&amp;INDEX(VALUESLIST,6,COLUMN(X1)-1)) &amp; IF(INDEX(VALUESLIST,7,COLUMN(X1)-1)="","",DV&amp;INDEX(VALUESLIST,7,COLUMN(X1)-1)) &amp; IF(INDEX(VALUESLIST,8,COLUMN(X1)-1)="","",DV&amp;INDEX(VALUESLIST,8,COLUMN(X1)-1)) &amp; IF(INDEX(VALUESLIST,9,COLUMN(X1)-1)="","",DV&amp;INDEX(VALUESLIST,9,COLUMN(X1)-1)) &amp; IF(INDEX(VALUESLIST,10,COLUMN(X1)-1)="","",DV&amp;"..."))</f>
        <v/>
      </c>
      <c r="Y1" s="50" t="str">
        <f t="shared" si="2"/>
        <v/>
      </c>
      <c r="Z1" s="50" t="str">
        <f t="shared" si="2"/>
        <v/>
      </c>
      <c r="AA1" s="50" t="str">
        <f t="shared" si="2"/>
        <v/>
      </c>
      <c r="AB1" s="50" t="str">
        <f t="shared" si="2"/>
        <v/>
      </c>
      <c r="AC1" s="50" t="str">
        <f t="shared" si="2"/>
        <v/>
      </c>
      <c r="AD1" s="50" t="str">
        <f t="shared" si="2"/>
        <v/>
      </c>
      <c r="AE1" s="50" t="str">
        <f t="shared" si="2"/>
        <v/>
      </c>
      <c r="AF1" s="50" t="str">
        <f t="shared" si="2"/>
        <v/>
      </c>
      <c r="AG1" s="50" t="str">
        <f t="shared" si="2"/>
        <v/>
      </c>
      <c r="AH1" s="50" t="str">
        <f t="shared" si="2"/>
        <v/>
      </c>
      <c r="AI1" s="50" t="str">
        <f t="shared" si="2"/>
        <v/>
      </c>
      <c r="AJ1" s="50" t="str">
        <f t="shared" si="2"/>
        <v/>
      </c>
      <c r="AK1" s="50" t="str">
        <f t="shared" si="2"/>
        <v/>
      </c>
      <c r="AL1" s="50" t="str">
        <f t="shared" si="2"/>
        <v/>
      </c>
      <c r="AM1" s="50" t="str">
        <f t="shared" si="2"/>
        <v/>
      </c>
      <c r="AN1" s="50" t="str">
        <f t="shared" si="2"/>
        <v/>
      </c>
      <c r="AO1" s="50" t="str">
        <f t="shared" si="2"/>
        <v/>
      </c>
      <c r="AP1" s="50" t="str">
        <f t="shared" si="2"/>
        <v/>
      </c>
      <c r="AQ1" s="50" t="str">
        <f t="shared" si="2"/>
        <v/>
      </c>
      <c r="AR1" s="50" t="str">
        <f t="shared" si="2"/>
        <v/>
      </c>
      <c r="AS1" s="50" t="str">
        <f t="shared" si="2"/>
        <v/>
      </c>
      <c r="AT1" s="50" t="str">
        <f t="shared" si="2"/>
        <v/>
      </c>
      <c r="AU1" s="50" t="str">
        <f t="shared" si="2"/>
        <v/>
      </c>
      <c r="AV1" s="50" t="str">
        <f t="shared" si="2"/>
        <v/>
      </c>
      <c r="AW1" s="50" t="str">
        <f t="shared" si="2"/>
        <v/>
      </c>
      <c r="AX1" s="50" t="str">
        <f t="shared" si="2"/>
        <v/>
      </c>
      <c r="AY1" s="50" t="str">
        <f t="shared" si="2"/>
        <v/>
      </c>
      <c r="AZ1" s="50" t="str">
        <f t="shared" si="2"/>
        <v/>
      </c>
      <c r="BA1" s="50" t="str">
        <f t="shared" si="2"/>
        <v/>
      </c>
      <c r="BB1" s="50" t="str">
        <f t="shared" si="2"/>
        <v/>
      </c>
      <c r="BC1" s="50" t="str">
        <f t="shared" si="2"/>
        <v/>
      </c>
      <c r="BD1" s="50" t="str">
        <f t="shared" si="2"/>
        <v/>
      </c>
      <c r="BE1" s="50" t="str">
        <f t="shared" si="2"/>
        <v/>
      </c>
      <c r="BF1" s="50" t="str">
        <f t="shared" si="2"/>
        <v/>
      </c>
      <c r="BG1" s="50" t="str">
        <f t="shared" si="2"/>
        <v/>
      </c>
      <c r="BH1" s="50" t="str">
        <f t="shared" si="2"/>
        <v/>
      </c>
      <c r="BI1" s="50" t="str">
        <f t="shared" si="2"/>
        <v/>
      </c>
      <c r="BJ1" s="50" t="str">
        <f t="shared" si="2"/>
        <v/>
      </c>
      <c r="BK1" s="50" t="str">
        <f t="shared" si="2"/>
        <v/>
      </c>
      <c r="BL1" s="50" t="str">
        <f t="shared" si="2"/>
        <v/>
      </c>
      <c r="BM1" s="50" t="str">
        <f t="shared" si="2"/>
        <v/>
      </c>
      <c r="BN1" s="50" t="str">
        <f t="shared" si="2"/>
        <v/>
      </c>
      <c r="BO1" s="50" t="str">
        <f t="shared" si="2"/>
        <v/>
      </c>
      <c r="BP1" s="50" t="str">
        <f t="shared" si="2"/>
        <v/>
      </c>
      <c r="BQ1" s="50" t="str">
        <f t="shared" si="2"/>
        <v/>
      </c>
      <c r="BR1" s="50" t="str">
        <f>IF(BR$5="","",IF(INDEX(VALUESLIST,2,COLUMN(BR1)-1)="","",INDEX(VALUESLIST,2,COLUMN(BR1)-1)) &amp; IF(INDEX(VALUESLIST,3,COLUMN(BR1)-1)="","",DV&amp;INDEX(VALUESLIST,3,COLUMN(BR1)-1)) &amp; IF(INDEX(VALUESLIST,4,COLUMN(BR1)-1)="","",DV&amp;INDEX(VALUESLIST,4,COLUMN(BR1)-1)) &amp; IF(INDEX(VALUESLIST,5,COLUMN(BR1)-1)="","",DV&amp;INDEX(VALUESLIST,5,COLUMN(BR1)-1)) &amp; IF(INDEX(VALUESLIST,6,COLUMN(BR1)-1)="","",DV&amp;INDEX(VALUESLIST,6,COLUMN(BR1)-1)) &amp; IF(INDEX(VALUESLIST,7,COLUMN(BR1)-1)="","",DV&amp;INDEX(VALUESLIST,7,COLUMN(BR1)-1)) &amp; IF(INDEX(VALUESLIST,8,COLUMN(BR1)-1)="","",DV&amp;INDEX(VALUESLIST,8,COLUMN(BR1)-1)) &amp; IF(INDEX(VALUESLIST,9,COLUMN(BR1)-1)="","",DV&amp;INDEX(VALUESLIST,9,COLUMN(BR1)-1)) &amp; IF(INDEX(VALUESLIST,10,COLUMN(BR1)-1)="","",DV&amp;"..."))</f>
        <v>0 | 1 | 2 | 3 | 4 | 5 | 6 | 7 | ...</v>
      </c>
      <c r="BS1" s="94" t="s">
        <v>88</v>
      </c>
    </row>
    <row r="2" spans="1:72" x14ac:dyDescent="0.3">
      <c r="A2" s="27" t="s">
        <v>146</v>
      </c>
      <c r="B2" s="34" t="str">
        <f t="shared" ref="B2:X2" si="3">IF(B$3="-","-",IF(B$3=A$3,A$2+1,1))</f>
        <v>-</v>
      </c>
      <c r="C2" s="34" t="str">
        <f t="shared" si="3"/>
        <v>-</v>
      </c>
      <c r="D2" s="34" t="str">
        <f t="shared" ref="D2" si="4">IF(D$3="-","-",IF(D$3=C$3,C$2+1,1))</f>
        <v>-</v>
      </c>
      <c r="E2" s="34" t="str">
        <f t="shared" ref="E2" si="5">IF(E$3="-","-",IF(E$3=D$3,D$2+1,1))</f>
        <v>-</v>
      </c>
      <c r="F2" s="34" t="str">
        <f t="shared" ref="F2" si="6">IF(F$3="-","-",IF(F$3=E$3,E$2+1,1))</f>
        <v>-</v>
      </c>
      <c r="G2" s="34" t="str">
        <f t="shared" ref="G2" si="7">IF(G$3="-","-",IF(G$3=F$3,F$2+1,1))</f>
        <v>-</v>
      </c>
      <c r="H2" s="34" t="str">
        <f t="shared" ref="H2:L2" si="8">IF(H$3="-","-",IF(H$3=G$3,G$2+1,1))</f>
        <v>-</v>
      </c>
      <c r="I2" s="34" t="str">
        <f t="shared" si="8"/>
        <v>-</v>
      </c>
      <c r="J2" s="34" t="str">
        <f t="shared" si="8"/>
        <v>-</v>
      </c>
      <c r="K2" s="34" t="str">
        <f t="shared" si="8"/>
        <v>-</v>
      </c>
      <c r="L2" s="34" t="str">
        <f t="shared" si="8"/>
        <v>-</v>
      </c>
      <c r="M2" s="34" t="str">
        <f t="shared" si="3"/>
        <v>-</v>
      </c>
      <c r="N2" s="34" t="str">
        <f t="shared" si="3"/>
        <v>-</v>
      </c>
      <c r="O2" s="34" t="str">
        <f t="shared" si="3"/>
        <v>-</v>
      </c>
      <c r="P2" s="34" t="str">
        <f t="shared" si="3"/>
        <v>-</v>
      </c>
      <c r="Q2" s="34" t="str">
        <f t="shared" si="3"/>
        <v>-</v>
      </c>
      <c r="R2" s="34" t="str">
        <f t="shared" si="3"/>
        <v>-</v>
      </c>
      <c r="S2" s="34" t="str">
        <f t="shared" si="3"/>
        <v>-</v>
      </c>
      <c r="T2" s="34" t="str">
        <f t="shared" si="3"/>
        <v>-</v>
      </c>
      <c r="U2" s="34" t="str">
        <f t="shared" si="3"/>
        <v>-</v>
      </c>
      <c r="V2" s="34" t="str">
        <f t="shared" si="3"/>
        <v>-</v>
      </c>
      <c r="W2" s="34" t="str">
        <f t="shared" si="3"/>
        <v>-</v>
      </c>
      <c r="X2" s="34" t="str">
        <f t="shared" si="3"/>
        <v>-</v>
      </c>
      <c r="Y2" s="34" t="str">
        <f>IF(Y$3="-","-",IF(Y$3=I$3,I$2+1,1))</f>
        <v>-</v>
      </c>
      <c r="Z2" s="34" t="str">
        <f>IF(Z$3="-","-",IF(Z$3=J$3,J$2+1,1))</f>
        <v>-</v>
      </c>
      <c r="AA2" s="34" t="str">
        <f>IF(AA$3="-","-",IF(AA$3=K$3,K$2+1,1))</f>
        <v>-</v>
      </c>
      <c r="AB2" s="34" t="str">
        <f t="shared" ref="AB2:BR2" si="9">IF(AB$3="-","-",IF(AB$3=AA$3,AA$2+1,1))</f>
        <v>-</v>
      </c>
      <c r="AC2" s="34" t="str">
        <f t="shared" si="9"/>
        <v>-</v>
      </c>
      <c r="AD2" s="34" t="str">
        <f t="shared" si="9"/>
        <v>-</v>
      </c>
      <c r="AE2" s="34" t="str">
        <f t="shared" si="9"/>
        <v>-</v>
      </c>
      <c r="AF2" s="34" t="str">
        <f t="shared" si="9"/>
        <v>-</v>
      </c>
      <c r="AG2" s="34" t="str">
        <f t="shared" si="9"/>
        <v>-</v>
      </c>
      <c r="AH2" s="34" t="str">
        <f t="shared" si="9"/>
        <v>-</v>
      </c>
      <c r="AI2" s="34" t="str">
        <f t="shared" si="9"/>
        <v>-</v>
      </c>
      <c r="AJ2" s="34" t="str">
        <f t="shared" si="9"/>
        <v>-</v>
      </c>
      <c r="AK2" s="34" t="str">
        <f t="shared" si="9"/>
        <v>-</v>
      </c>
      <c r="AL2" s="34" t="str">
        <f t="shared" si="9"/>
        <v>-</v>
      </c>
      <c r="AM2" s="34" t="str">
        <f t="shared" si="9"/>
        <v>-</v>
      </c>
      <c r="AN2" s="34" t="str">
        <f t="shared" si="9"/>
        <v>-</v>
      </c>
      <c r="AO2" s="34" t="str">
        <f t="shared" si="9"/>
        <v>-</v>
      </c>
      <c r="AP2" s="34" t="str">
        <f t="shared" si="9"/>
        <v>-</v>
      </c>
      <c r="AQ2" s="34" t="str">
        <f t="shared" si="9"/>
        <v>-</v>
      </c>
      <c r="AR2" s="34" t="str">
        <f t="shared" si="9"/>
        <v>-</v>
      </c>
      <c r="AS2" s="34" t="str">
        <f t="shared" si="9"/>
        <v>-</v>
      </c>
      <c r="AT2" s="34" t="str">
        <f t="shared" si="9"/>
        <v>-</v>
      </c>
      <c r="AU2" s="34" t="str">
        <f t="shared" si="9"/>
        <v>-</v>
      </c>
      <c r="AV2" s="34" t="str">
        <f t="shared" si="9"/>
        <v>-</v>
      </c>
      <c r="AW2" s="34" t="str">
        <f t="shared" si="9"/>
        <v>-</v>
      </c>
      <c r="AX2" s="34" t="str">
        <f t="shared" si="9"/>
        <v>-</v>
      </c>
      <c r="AY2" s="34" t="str">
        <f t="shared" si="9"/>
        <v>-</v>
      </c>
      <c r="AZ2" s="34" t="str">
        <f t="shared" si="9"/>
        <v>-</v>
      </c>
      <c r="BA2" s="34" t="str">
        <f t="shared" si="9"/>
        <v>-</v>
      </c>
      <c r="BB2" s="34" t="str">
        <f t="shared" si="9"/>
        <v>-</v>
      </c>
      <c r="BC2" s="34" t="str">
        <f t="shared" si="9"/>
        <v>-</v>
      </c>
      <c r="BD2" s="34" t="str">
        <f t="shared" si="9"/>
        <v>-</v>
      </c>
      <c r="BE2" s="34" t="str">
        <f t="shared" si="9"/>
        <v>-</v>
      </c>
      <c r="BF2" s="34" t="str">
        <f t="shared" si="9"/>
        <v>-</v>
      </c>
      <c r="BG2" s="34" t="str">
        <f t="shared" si="9"/>
        <v>-</v>
      </c>
      <c r="BH2" s="34" t="str">
        <f t="shared" si="9"/>
        <v>-</v>
      </c>
      <c r="BI2" s="34" t="str">
        <f t="shared" si="9"/>
        <v>-</v>
      </c>
      <c r="BJ2" s="34" t="str">
        <f t="shared" si="9"/>
        <v>-</v>
      </c>
      <c r="BK2" s="34" t="str">
        <f t="shared" si="9"/>
        <v>-</v>
      </c>
      <c r="BL2" s="34" t="str">
        <f t="shared" si="9"/>
        <v>-</v>
      </c>
      <c r="BM2" s="34" t="str">
        <f t="shared" si="9"/>
        <v>-</v>
      </c>
      <c r="BN2" s="34" t="str">
        <f t="shared" si="9"/>
        <v>-</v>
      </c>
      <c r="BO2" s="34" t="str">
        <f t="shared" si="9"/>
        <v>-</v>
      </c>
      <c r="BP2" s="34" t="str">
        <f t="shared" si="9"/>
        <v>-</v>
      </c>
      <c r="BQ2" s="34" t="str">
        <f t="shared" si="9"/>
        <v>-</v>
      </c>
      <c r="BR2" s="34" t="str">
        <f t="shared" si="9"/>
        <v>-</v>
      </c>
      <c r="BS2" s="94"/>
    </row>
    <row r="3" spans="1:72" x14ac:dyDescent="0.3">
      <c r="A3" s="27" t="s">
        <v>147</v>
      </c>
      <c r="B3" s="50" t="str">
        <f t="shared" ref="B3:L3" si="10">IF(B$5="",A$3,IFERROR(MATCH(B$5,prodArrayNames,0),"-"))</f>
        <v>-</v>
      </c>
      <c r="C3" s="50" t="str">
        <f>IF(C$5="",B$3,IFERROR(MATCH(C$5,prodArrayNames,0),"-"))</f>
        <v>-</v>
      </c>
      <c r="D3" s="50" t="str">
        <f>IF(D$5="",C$3,IFERROR(MATCH(D$5,prodArrayNames,0),"-"))</f>
        <v>-</v>
      </c>
      <c r="E3" s="50" t="str">
        <f>IF(E$5="",D$3,IFERROR(MATCH(E$5,prodArrayNames,0),"-"))</f>
        <v>-</v>
      </c>
      <c r="F3" s="50" t="str">
        <f>IF(F$5="",E$3,IFERROR(MATCH(F$5,prodArrayNames,0),"-"))</f>
        <v>-</v>
      </c>
      <c r="G3" s="50" t="str">
        <f>IF(G$5="",F$3,IFERROR(MATCH(G$5,prodArrayNames,0),"-"))</f>
        <v>-</v>
      </c>
      <c r="H3" s="50" t="str">
        <f t="shared" si="10"/>
        <v>-</v>
      </c>
      <c r="I3" s="50" t="str">
        <f t="shared" si="10"/>
        <v>-</v>
      </c>
      <c r="J3" s="50" t="str">
        <f t="shared" si="10"/>
        <v>-</v>
      </c>
      <c r="K3" s="50" t="str">
        <f t="shared" si="10"/>
        <v>-</v>
      </c>
      <c r="L3" s="50" t="str">
        <f t="shared" si="10"/>
        <v>-</v>
      </c>
      <c r="M3" s="50" t="str">
        <f t="shared" ref="M3:X3" si="11">IF(M$5="",L$3,IFERROR(MATCH(M$5,prodArrayNames,0),"-"))</f>
        <v>-</v>
      </c>
      <c r="N3" s="50" t="str">
        <f t="shared" si="11"/>
        <v>-</v>
      </c>
      <c r="O3" s="50" t="str">
        <f t="shared" si="11"/>
        <v>-</v>
      </c>
      <c r="P3" s="50" t="str">
        <f t="shared" si="11"/>
        <v>-</v>
      </c>
      <c r="Q3" s="50" t="str">
        <f t="shared" si="11"/>
        <v>-</v>
      </c>
      <c r="R3" s="50" t="str">
        <f t="shared" si="11"/>
        <v>-</v>
      </c>
      <c r="S3" s="50" t="str">
        <f t="shared" si="11"/>
        <v>-</v>
      </c>
      <c r="T3" s="50" t="str">
        <f t="shared" si="11"/>
        <v>-</v>
      </c>
      <c r="U3" s="50" t="str">
        <f t="shared" si="11"/>
        <v>-</v>
      </c>
      <c r="V3" s="50" t="str">
        <f t="shared" si="11"/>
        <v>-</v>
      </c>
      <c r="W3" s="50" t="str">
        <f t="shared" si="11"/>
        <v>-</v>
      </c>
      <c r="X3" s="50" t="str">
        <f t="shared" si="11"/>
        <v>-</v>
      </c>
      <c r="Y3" s="50" t="str">
        <f>IF(Y$5="",I$3,IFERROR(MATCH(Y$5,prodArrayNames,0),"-"))</f>
        <v>-</v>
      </c>
      <c r="Z3" s="50" t="str">
        <f>IF(Z$5="",J$3,IFERROR(MATCH(Z$5,prodArrayNames,0),"-"))</f>
        <v>-</v>
      </c>
      <c r="AA3" s="50" t="str">
        <f>IF(AA$5="",K$3,IFERROR(MATCH(AA$5,prodArrayNames,0),"-"))</f>
        <v>-</v>
      </c>
      <c r="AB3" s="50" t="str">
        <f t="shared" ref="AB3:BR3" si="12">IF(AB$5="",AA$3,IFERROR(MATCH(AB$5,prodArrayNames,0),"-"))</f>
        <v>-</v>
      </c>
      <c r="AC3" s="50" t="str">
        <f t="shared" si="12"/>
        <v>-</v>
      </c>
      <c r="AD3" s="50" t="str">
        <f t="shared" si="12"/>
        <v>-</v>
      </c>
      <c r="AE3" s="50" t="str">
        <f t="shared" si="12"/>
        <v>-</v>
      </c>
      <c r="AF3" s="50" t="str">
        <f t="shared" si="12"/>
        <v>-</v>
      </c>
      <c r="AG3" s="50" t="str">
        <f t="shared" si="12"/>
        <v>-</v>
      </c>
      <c r="AH3" s="50" t="str">
        <f t="shared" si="12"/>
        <v>-</v>
      </c>
      <c r="AI3" s="50" t="str">
        <f t="shared" si="12"/>
        <v>-</v>
      </c>
      <c r="AJ3" s="50" t="str">
        <f t="shared" si="12"/>
        <v>-</v>
      </c>
      <c r="AK3" s="50" t="str">
        <f t="shared" si="12"/>
        <v>-</v>
      </c>
      <c r="AL3" s="50" t="str">
        <f t="shared" si="12"/>
        <v>-</v>
      </c>
      <c r="AM3" s="50" t="str">
        <f t="shared" si="12"/>
        <v>-</v>
      </c>
      <c r="AN3" s="50" t="str">
        <f t="shared" si="12"/>
        <v>-</v>
      </c>
      <c r="AO3" s="50" t="str">
        <f t="shared" si="12"/>
        <v>-</v>
      </c>
      <c r="AP3" s="50" t="str">
        <f t="shared" si="12"/>
        <v>-</v>
      </c>
      <c r="AQ3" s="50" t="str">
        <f t="shared" si="12"/>
        <v>-</v>
      </c>
      <c r="AR3" s="50" t="str">
        <f t="shared" si="12"/>
        <v>-</v>
      </c>
      <c r="AS3" s="50" t="str">
        <f t="shared" si="12"/>
        <v>-</v>
      </c>
      <c r="AT3" s="50" t="str">
        <f t="shared" si="12"/>
        <v>-</v>
      </c>
      <c r="AU3" s="50" t="str">
        <f t="shared" si="12"/>
        <v>-</v>
      </c>
      <c r="AV3" s="50" t="str">
        <f t="shared" si="12"/>
        <v>-</v>
      </c>
      <c r="AW3" s="50" t="str">
        <f t="shared" si="12"/>
        <v>-</v>
      </c>
      <c r="AX3" s="50" t="str">
        <f t="shared" si="12"/>
        <v>-</v>
      </c>
      <c r="AY3" s="50" t="str">
        <f t="shared" si="12"/>
        <v>-</v>
      </c>
      <c r="AZ3" s="50" t="str">
        <f t="shared" si="12"/>
        <v>-</v>
      </c>
      <c r="BA3" s="50" t="str">
        <f t="shared" si="12"/>
        <v>-</v>
      </c>
      <c r="BB3" s="50" t="str">
        <f t="shared" si="12"/>
        <v>-</v>
      </c>
      <c r="BC3" s="50" t="str">
        <f t="shared" si="12"/>
        <v>-</v>
      </c>
      <c r="BD3" s="50" t="str">
        <f t="shared" si="12"/>
        <v>-</v>
      </c>
      <c r="BE3" s="50" t="str">
        <f t="shared" si="12"/>
        <v>-</v>
      </c>
      <c r="BF3" s="50" t="str">
        <f t="shared" si="12"/>
        <v>-</v>
      </c>
      <c r="BG3" s="50" t="str">
        <f t="shared" si="12"/>
        <v>-</v>
      </c>
      <c r="BH3" s="50" t="str">
        <f t="shared" si="12"/>
        <v>-</v>
      </c>
      <c r="BI3" s="50" t="str">
        <f t="shared" si="12"/>
        <v>-</v>
      </c>
      <c r="BJ3" s="50" t="str">
        <f t="shared" si="12"/>
        <v>-</v>
      </c>
      <c r="BK3" s="50" t="str">
        <f t="shared" si="12"/>
        <v>-</v>
      </c>
      <c r="BL3" s="50" t="str">
        <f t="shared" si="12"/>
        <v>-</v>
      </c>
      <c r="BM3" s="50" t="str">
        <f t="shared" si="12"/>
        <v>-</v>
      </c>
      <c r="BN3" s="50" t="str">
        <f t="shared" si="12"/>
        <v>-</v>
      </c>
      <c r="BO3" s="50" t="str">
        <f t="shared" si="12"/>
        <v>-</v>
      </c>
      <c r="BP3" s="50" t="str">
        <f t="shared" si="12"/>
        <v>-</v>
      </c>
      <c r="BQ3" s="50" t="str">
        <f t="shared" si="12"/>
        <v>-</v>
      </c>
      <c r="BR3" s="50" t="str">
        <f t="shared" si="12"/>
        <v>-</v>
      </c>
      <c r="BS3" s="94"/>
    </row>
    <row r="4" spans="1:72" ht="14.4" thickBot="1" x14ac:dyDescent="0.35">
      <c r="A4" s="141"/>
      <c r="B4" s="54"/>
      <c r="C4" s="54"/>
      <c r="D4" s="54"/>
      <c r="E4" s="54"/>
      <c r="F4" s="54"/>
      <c r="G4" s="54"/>
      <c r="H4" s="54"/>
      <c r="I4" s="54"/>
      <c r="J4" s="54"/>
      <c r="K4" s="54"/>
      <c r="L4" s="54"/>
      <c r="M4" s="54"/>
      <c r="N4" s="54"/>
      <c r="O4" s="54"/>
      <c r="P4" s="54"/>
      <c r="Q4" s="54"/>
      <c r="R4" s="54"/>
      <c r="S4" s="54"/>
      <c r="T4" s="54"/>
      <c r="U4" s="54"/>
      <c r="V4" s="54"/>
      <c r="W4" s="54"/>
      <c r="X4" s="54"/>
      <c r="Y4" s="54"/>
      <c r="Z4" s="54"/>
      <c r="AA4" s="54"/>
      <c r="AB4" s="54"/>
      <c r="AC4" s="54"/>
      <c r="AD4" s="54"/>
      <c r="AE4" s="54"/>
      <c r="AF4" s="54"/>
      <c r="AG4" s="54"/>
      <c r="AH4" s="54"/>
      <c r="AI4" s="54"/>
      <c r="AJ4" s="54"/>
      <c r="AK4" s="54"/>
      <c r="AL4" s="54"/>
      <c r="AM4" s="54"/>
      <c r="AN4" s="54"/>
      <c r="AO4" s="54"/>
      <c r="AP4" s="54"/>
      <c r="AQ4" s="54"/>
      <c r="AR4" s="54"/>
      <c r="AS4" s="54"/>
      <c r="AT4" s="54"/>
      <c r="AU4" s="54"/>
      <c r="AV4" s="54"/>
      <c r="AW4" s="54"/>
      <c r="AX4" s="54"/>
      <c r="AY4" s="54"/>
      <c r="AZ4" s="54"/>
      <c r="BA4" s="54"/>
      <c r="BB4" s="54"/>
      <c r="BC4" s="54"/>
      <c r="BD4" s="54"/>
      <c r="BE4" s="54"/>
      <c r="BF4" s="54"/>
      <c r="BG4" s="54"/>
      <c r="BH4" s="54"/>
      <c r="BI4" s="54"/>
      <c r="BJ4" s="54"/>
      <c r="BK4" s="54"/>
      <c r="BL4" s="54"/>
      <c r="BM4" s="54"/>
      <c r="BN4" s="54"/>
      <c r="BO4" s="54"/>
      <c r="BP4" s="54"/>
      <c r="BQ4" s="54"/>
      <c r="BR4" s="54"/>
      <c r="BS4" s="94"/>
    </row>
    <row r="5" spans="1:72" ht="22.5" customHeight="1" thickTop="1" x14ac:dyDescent="0.3">
      <c r="A5" s="28" t="s">
        <v>87</v>
      </c>
      <c r="B5" s="95" t="s">
        <v>2042</v>
      </c>
      <c r="C5" s="95"/>
      <c r="D5" s="95" t="s">
        <v>2096</v>
      </c>
      <c r="E5" s="95"/>
      <c r="F5" s="95" t="s">
        <v>2044</v>
      </c>
      <c r="G5" s="95"/>
      <c r="H5" s="95" t="s">
        <v>2048</v>
      </c>
      <c r="I5" s="95"/>
      <c r="J5" s="95" t="s">
        <v>2045</v>
      </c>
      <c r="K5" s="95" t="s">
        <v>2046</v>
      </c>
      <c r="L5" s="95" t="s">
        <v>2047</v>
      </c>
      <c r="M5" s="95" t="s">
        <v>2049</v>
      </c>
      <c r="N5" s="95" t="s">
        <v>2053</v>
      </c>
      <c r="O5" s="95" t="s">
        <v>2055</v>
      </c>
      <c r="P5" s="95" t="s">
        <v>886</v>
      </c>
      <c r="Q5" s="95" t="s">
        <v>888</v>
      </c>
      <c r="R5" s="95" t="s">
        <v>2223</v>
      </c>
      <c r="S5" s="95" t="s">
        <v>2224</v>
      </c>
      <c r="T5" s="95" t="s">
        <v>2093</v>
      </c>
      <c r="U5" s="95" t="s">
        <v>2094</v>
      </c>
      <c r="V5" s="95" t="s">
        <v>28</v>
      </c>
      <c r="W5" s="95" t="s">
        <v>28</v>
      </c>
      <c r="X5" s="95" t="s">
        <v>28</v>
      </c>
      <c r="Y5" s="95" t="s">
        <v>28</v>
      </c>
      <c r="Z5" s="95" t="s">
        <v>28</v>
      </c>
      <c r="AA5" s="95" t="s">
        <v>28</v>
      </c>
      <c r="AB5" s="95" t="s">
        <v>28</v>
      </c>
      <c r="AC5" s="95" t="s">
        <v>28</v>
      </c>
      <c r="AD5" s="95" t="s">
        <v>28</v>
      </c>
      <c r="AE5" s="95" t="s">
        <v>28</v>
      </c>
      <c r="AF5" s="95" t="s">
        <v>28</v>
      </c>
      <c r="AG5" s="95" t="s">
        <v>28</v>
      </c>
      <c r="AH5" s="95" t="s">
        <v>28</v>
      </c>
      <c r="AI5" s="95" t="s">
        <v>28</v>
      </c>
      <c r="AJ5" s="95" t="s">
        <v>28</v>
      </c>
      <c r="AK5" s="95" t="s">
        <v>28</v>
      </c>
      <c r="AL5" s="95" t="s">
        <v>28</v>
      </c>
      <c r="AM5" s="95" t="s">
        <v>28</v>
      </c>
      <c r="AN5" s="95" t="s">
        <v>28</v>
      </c>
      <c r="AO5" s="95" t="s">
        <v>28</v>
      </c>
      <c r="AP5" s="95" t="s">
        <v>28</v>
      </c>
      <c r="AQ5" s="95" t="s">
        <v>28</v>
      </c>
      <c r="AR5" s="95" t="s">
        <v>28</v>
      </c>
      <c r="AS5" s="95" t="s">
        <v>28</v>
      </c>
      <c r="AT5" s="95" t="s">
        <v>28</v>
      </c>
      <c r="AU5" s="95" t="s">
        <v>28</v>
      </c>
      <c r="AV5" s="95" t="s">
        <v>28</v>
      </c>
      <c r="AW5" s="95" t="s">
        <v>28</v>
      </c>
      <c r="AX5" s="95" t="s">
        <v>28</v>
      </c>
      <c r="AY5" s="95" t="s">
        <v>28</v>
      </c>
      <c r="AZ5" s="95" t="s">
        <v>28</v>
      </c>
      <c r="BA5" s="95" t="s">
        <v>28</v>
      </c>
      <c r="BB5" s="95" t="s">
        <v>28</v>
      </c>
      <c r="BC5" s="95" t="s">
        <v>28</v>
      </c>
      <c r="BD5" s="95" t="s">
        <v>28</v>
      </c>
      <c r="BE5" s="95" t="s">
        <v>28</v>
      </c>
      <c r="BF5" s="95" t="s">
        <v>28</v>
      </c>
      <c r="BG5" s="95" t="s">
        <v>28</v>
      </c>
      <c r="BH5" s="95" t="s">
        <v>28</v>
      </c>
      <c r="BI5" s="95" t="s">
        <v>28</v>
      </c>
      <c r="BJ5" s="95" t="s">
        <v>28</v>
      </c>
      <c r="BK5" s="95" t="s">
        <v>28</v>
      </c>
      <c r="BL5" s="95" t="s">
        <v>28</v>
      </c>
      <c r="BM5" s="95" t="s">
        <v>28</v>
      </c>
      <c r="BN5" s="95" t="s">
        <v>28</v>
      </c>
      <c r="BO5" s="95" t="s">
        <v>28</v>
      </c>
      <c r="BP5" s="95" t="s">
        <v>28</v>
      </c>
      <c r="BQ5" s="95" t="s">
        <v>28</v>
      </c>
      <c r="BR5" s="95" t="s">
        <v>243</v>
      </c>
      <c r="BS5" s="94" t="s">
        <v>148</v>
      </c>
      <c r="BT5" s="15"/>
    </row>
    <row r="6" spans="1:72" ht="22.5" customHeight="1" x14ac:dyDescent="0.3">
      <c r="A6" s="28" t="s">
        <v>13</v>
      </c>
      <c r="B6" s="17" t="s">
        <v>2067</v>
      </c>
      <c r="C6" s="17" t="s">
        <v>134</v>
      </c>
      <c r="D6" s="17" t="s">
        <v>2067</v>
      </c>
      <c r="E6" s="17" t="s">
        <v>134</v>
      </c>
      <c r="F6" s="17" t="s">
        <v>122</v>
      </c>
      <c r="G6" s="17" t="s">
        <v>134</v>
      </c>
      <c r="H6" s="17" t="s">
        <v>122</v>
      </c>
      <c r="I6" s="17" t="s">
        <v>134</v>
      </c>
      <c r="J6" s="17" t="s">
        <v>2067</v>
      </c>
      <c r="K6" s="17">
        <v>2</v>
      </c>
      <c r="L6" s="17">
        <v>1.4999999999999999E-2</v>
      </c>
      <c r="M6" s="17">
        <v>9.5000000000000001E-2</v>
      </c>
      <c r="N6" s="17">
        <v>0.04</v>
      </c>
      <c r="O6" s="17">
        <v>0.04</v>
      </c>
      <c r="P6" s="17">
        <v>2.0500000000000001E-2</v>
      </c>
      <c r="Q6" s="17">
        <v>1.2E-2</v>
      </c>
      <c r="R6" s="17">
        <v>0.23699999999999999</v>
      </c>
      <c r="S6" s="17">
        <f t="shared" ref="S6:S8" si="13">S7-0.125</f>
        <v>1.1850000000000001</v>
      </c>
      <c r="T6" s="17">
        <v>0.35</v>
      </c>
      <c r="U6" s="17">
        <v>0.35</v>
      </c>
      <c r="BR6" s="17">
        <v>0</v>
      </c>
      <c r="BS6" s="94" t="s">
        <v>89</v>
      </c>
    </row>
    <row r="7" spans="1:72" ht="22.5" customHeight="1" x14ac:dyDescent="0.3">
      <c r="A7" s="28"/>
      <c r="B7" s="17" t="s">
        <v>2084</v>
      </c>
      <c r="C7" s="17" t="s">
        <v>2153</v>
      </c>
      <c r="D7" s="17" t="s">
        <v>2142</v>
      </c>
      <c r="E7" s="17" t="s">
        <v>2110</v>
      </c>
      <c r="F7" s="17" t="s">
        <v>2064</v>
      </c>
      <c r="G7" s="17" t="s">
        <v>2057</v>
      </c>
      <c r="H7" s="17" t="s">
        <v>2067</v>
      </c>
      <c r="I7" s="17" t="s">
        <v>2068</v>
      </c>
      <c r="J7" s="17" t="s">
        <v>2080</v>
      </c>
      <c r="K7" s="17">
        <v>3</v>
      </c>
      <c r="L7" s="17">
        <v>1.7999999999999999E-2</v>
      </c>
      <c r="M7" s="17">
        <v>0.10299999999999999</v>
      </c>
      <c r="N7" s="17">
        <v>0.06</v>
      </c>
      <c r="O7" s="17">
        <v>0.05</v>
      </c>
      <c r="P7" s="17">
        <v>2.8500000000000001E-2</v>
      </c>
      <c r="Q7" s="17">
        <v>1.2999999999999999E-2</v>
      </c>
      <c r="S7" s="17">
        <f>S8-0.125</f>
        <v>1.31</v>
      </c>
      <c r="BR7" s="17">
        <v>1</v>
      </c>
      <c r="BS7" s="33"/>
    </row>
    <row r="8" spans="1:72" ht="22.5" customHeight="1" x14ac:dyDescent="0.3">
      <c r="B8" s="17" t="s">
        <v>2085</v>
      </c>
      <c r="C8" s="17" t="s">
        <v>2154</v>
      </c>
      <c r="D8" s="17" t="s">
        <v>2145</v>
      </c>
      <c r="E8" s="17" t="s">
        <v>2111</v>
      </c>
      <c r="F8" s="17" t="s">
        <v>2065</v>
      </c>
      <c r="G8" s="17" t="s">
        <v>2062</v>
      </c>
      <c r="H8" s="17" t="s">
        <v>48</v>
      </c>
      <c r="I8" s="17" t="s">
        <v>2125</v>
      </c>
      <c r="J8" s="17" t="s">
        <v>1481</v>
      </c>
      <c r="K8" s="17">
        <v>4</v>
      </c>
      <c r="L8" s="17">
        <v>0.02</v>
      </c>
      <c r="M8" s="17">
        <v>0.12</v>
      </c>
      <c r="S8" s="17">
        <f t="shared" si="13"/>
        <v>1.4350000000000001</v>
      </c>
      <c r="BR8" s="17">
        <v>2</v>
      </c>
      <c r="BS8" s="33"/>
    </row>
    <row r="9" spans="1:72" ht="22.5" customHeight="1" x14ac:dyDescent="0.3">
      <c r="B9" s="17" t="s">
        <v>2086</v>
      </c>
      <c r="C9" s="17" t="s">
        <v>2101</v>
      </c>
      <c r="D9" s="17" t="s">
        <v>104</v>
      </c>
      <c r="E9" s="17" t="s">
        <v>2112</v>
      </c>
      <c r="F9" s="17" t="s">
        <v>2066</v>
      </c>
      <c r="G9" s="17" t="s">
        <v>2063</v>
      </c>
      <c r="H9" s="17" t="s">
        <v>19</v>
      </c>
      <c r="I9" s="17" t="s">
        <v>2126</v>
      </c>
      <c r="L9" s="17">
        <v>2.1000000000000001E-2</v>
      </c>
      <c r="M9" s="17">
        <v>0.14799999999999999</v>
      </c>
      <c r="S9" s="17">
        <f>S10-0.125</f>
        <v>1.56</v>
      </c>
      <c r="BR9" s="17">
        <v>3</v>
      </c>
    </row>
    <row r="10" spans="1:72" ht="22.5" customHeight="1" x14ac:dyDescent="0.3">
      <c r="B10" s="17" t="s">
        <v>2087</v>
      </c>
      <c r="C10" s="17" t="s">
        <v>2083</v>
      </c>
      <c r="D10" s="17" t="s">
        <v>2143</v>
      </c>
      <c r="E10" s="17" t="s">
        <v>2113</v>
      </c>
      <c r="F10" s="17" t="s">
        <v>2098</v>
      </c>
      <c r="G10" s="17" t="s">
        <v>2099</v>
      </c>
      <c r="H10" s="17" t="s">
        <v>2127</v>
      </c>
      <c r="I10" s="17" t="s">
        <v>2128</v>
      </c>
      <c r="L10" s="17">
        <v>2.1999999999999999E-2</v>
      </c>
      <c r="M10" s="17">
        <v>0.16</v>
      </c>
      <c r="S10" s="17">
        <v>1.6850000000000001</v>
      </c>
      <c r="BR10" s="17">
        <v>4</v>
      </c>
    </row>
    <row r="11" spans="1:72" ht="22.5" customHeight="1" x14ac:dyDescent="0.3">
      <c r="B11" s="17" t="s">
        <v>2149</v>
      </c>
      <c r="C11" s="17" t="s">
        <v>2088</v>
      </c>
      <c r="D11" s="17" t="s">
        <v>2144</v>
      </c>
      <c r="E11" s="17" t="s">
        <v>2114</v>
      </c>
      <c r="H11" s="17" t="s">
        <v>85</v>
      </c>
      <c r="I11" s="17" t="s">
        <v>2129</v>
      </c>
      <c r="S11" s="17">
        <f>S10+0.125</f>
        <v>1.81</v>
      </c>
      <c r="BR11" s="17">
        <v>5</v>
      </c>
    </row>
    <row r="12" spans="1:72" ht="22.5" customHeight="1" x14ac:dyDescent="0.3">
      <c r="B12" s="17" t="s">
        <v>2150</v>
      </c>
      <c r="C12" s="17" t="s">
        <v>2059</v>
      </c>
      <c r="D12" s="17" t="s">
        <v>2098</v>
      </c>
      <c r="E12" s="17" t="s">
        <v>2155</v>
      </c>
      <c r="H12" s="17" t="s">
        <v>2079</v>
      </c>
      <c r="I12" s="17" t="s">
        <v>2078</v>
      </c>
      <c r="S12" s="17">
        <f t="shared" ref="S12:S15" si="14">S11+0.125</f>
        <v>1.9350000000000001</v>
      </c>
      <c r="BR12" s="17">
        <v>6</v>
      </c>
    </row>
    <row r="13" spans="1:72" ht="22.5" customHeight="1" x14ac:dyDescent="0.3">
      <c r="B13" s="17" t="s">
        <v>2104</v>
      </c>
      <c r="C13" s="17" t="s">
        <v>2102</v>
      </c>
      <c r="H13" s="17" t="s">
        <v>2069</v>
      </c>
      <c r="I13" s="17" t="s">
        <v>2070</v>
      </c>
      <c r="S13" s="17">
        <f t="shared" si="14"/>
        <v>2.06</v>
      </c>
      <c r="BR13" s="17">
        <v>7</v>
      </c>
    </row>
    <row r="14" spans="1:72" ht="22.5" customHeight="1" x14ac:dyDescent="0.3">
      <c r="B14" s="17" t="s">
        <v>2105</v>
      </c>
      <c r="C14" s="17" t="s">
        <v>2103</v>
      </c>
      <c r="H14" s="17" t="s">
        <v>2060</v>
      </c>
      <c r="I14" s="17" t="s">
        <v>2071</v>
      </c>
      <c r="S14" s="17">
        <f t="shared" si="14"/>
        <v>2.1850000000000001</v>
      </c>
      <c r="BR14" s="17">
        <v>8</v>
      </c>
    </row>
    <row r="15" spans="1:72" ht="22.5" customHeight="1" x14ac:dyDescent="0.3">
      <c r="B15" s="17" t="s">
        <v>2108</v>
      </c>
      <c r="C15" s="17" t="s">
        <v>2106</v>
      </c>
      <c r="H15" s="17" t="s">
        <v>2072</v>
      </c>
      <c r="I15" s="17" t="s">
        <v>2073</v>
      </c>
      <c r="S15" s="17">
        <f t="shared" si="14"/>
        <v>2.31</v>
      </c>
    </row>
    <row r="16" spans="1:72" ht="22.5" customHeight="1" x14ac:dyDescent="0.3">
      <c r="B16" s="17" t="s">
        <v>2109</v>
      </c>
      <c r="C16" s="17" t="s">
        <v>2107</v>
      </c>
      <c r="H16" s="17" t="s">
        <v>29</v>
      </c>
      <c r="I16" s="17" t="s">
        <v>2077</v>
      </c>
    </row>
    <row r="17" spans="2:9" ht="22.5" customHeight="1" x14ac:dyDescent="0.3">
      <c r="B17" s="17" t="s">
        <v>2146</v>
      </c>
      <c r="C17" s="17" t="s">
        <v>2147</v>
      </c>
      <c r="H17" s="17" t="s">
        <v>2061</v>
      </c>
      <c r="I17" s="17" t="s">
        <v>2075</v>
      </c>
    </row>
    <row r="18" spans="2:9" ht="22.5" customHeight="1" x14ac:dyDescent="0.3">
      <c r="B18" s="17" t="s">
        <v>2151</v>
      </c>
      <c r="C18" s="17" t="s">
        <v>2148</v>
      </c>
      <c r="H18" s="17" t="s">
        <v>61</v>
      </c>
      <c r="I18" s="17" t="s">
        <v>2076</v>
      </c>
    </row>
    <row r="19" spans="2:9" ht="22.5" customHeight="1" x14ac:dyDescent="0.3">
      <c r="B19" s="17" t="s">
        <v>2152</v>
      </c>
      <c r="C19" s="17" t="s">
        <v>2058</v>
      </c>
      <c r="H19" s="17" t="s">
        <v>84</v>
      </c>
      <c r="I19" s="17" t="s">
        <v>2074</v>
      </c>
    </row>
    <row r="20" spans="2:9" ht="22.5" customHeight="1" x14ac:dyDescent="0.3">
      <c r="H20" s="17" t="s">
        <v>2100</v>
      </c>
      <c r="I20" s="17" t="s">
        <v>2130</v>
      </c>
    </row>
    <row r="21" spans="2:9" ht="22.5" customHeight="1" x14ac:dyDescent="0.3"/>
    <row r="22" spans="2:9" ht="22.5" customHeight="1" x14ac:dyDescent="0.3"/>
    <row r="23" spans="2:9" ht="22.5" customHeight="1" x14ac:dyDescent="0.3"/>
    <row r="24" spans="2:9" ht="22.5" customHeight="1" x14ac:dyDescent="0.3"/>
    <row r="25" spans="2:9" ht="22.5" customHeight="1" x14ac:dyDescent="0.3"/>
    <row r="26" spans="2:9" ht="22.5" customHeight="1" x14ac:dyDescent="0.3"/>
    <row r="27" spans="2:9" ht="22.5" customHeight="1" x14ac:dyDescent="0.3"/>
    <row r="28" spans="2:9" ht="22.5" customHeight="1" x14ac:dyDescent="0.3"/>
    <row r="29" spans="2:9" ht="22.5" customHeight="1" x14ac:dyDescent="0.3"/>
    <row r="30" spans="2:9" ht="22.5" customHeight="1" x14ac:dyDescent="0.3"/>
    <row r="31" spans="2:9" ht="22.5" customHeight="1" x14ac:dyDescent="0.3"/>
    <row r="32" spans="2:9" ht="22.5" customHeight="1" x14ac:dyDescent="0.3"/>
    <row r="33" ht="22.5" customHeight="1" x14ac:dyDescent="0.3"/>
    <row r="34" ht="22.5" customHeight="1" x14ac:dyDescent="0.3"/>
    <row r="35" ht="22.5" customHeight="1" x14ac:dyDescent="0.3"/>
    <row r="36" ht="22.5" customHeight="1" x14ac:dyDescent="0.3"/>
    <row r="37" ht="22.5" customHeight="1" x14ac:dyDescent="0.3"/>
    <row r="38" ht="22.5" customHeight="1" x14ac:dyDescent="0.3"/>
    <row r="39" ht="22.5" customHeight="1" x14ac:dyDescent="0.3"/>
    <row r="40" ht="22.5" customHeight="1" x14ac:dyDescent="0.3"/>
    <row r="41" ht="22.5" customHeight="1" x14ac:dyDescent="0.3"/>
    <row r="42" ht="22.5" customHeight="1" x14ac:dyDescent="0.3"/>
    <row r="43" ht="22.5" customHeight="1" x14ac:dyDescent="0.3"/>
    <row r="44" ht="22.5" customHeight="1" x14ac:dyDescent="0.3"/>
    <row r="45" ht="22.5" customHeight="1" x14ac:dyDescent="0.3"/>
    <row r="46" ht="22.5" customHeight="1" x14ac:dyDescent="0.3"/>
    <row r="47" ht="22.5" customHeight="1" x14ac:dyDescent="0.3"/>
    <row r="48" ht="22.5" customHeight="1" x14ac:dyDescent="0.3"/>
    <row r="49" ht="22.5" customHeight="1" x14ac:dyDescent="0.3"/>
    <row r="50" ht="22.5" customHeight="1" x14ac:dyDescent="0.3"/>
    <row r="51" ht="22.5" customHeight="1" x14ac:dyDescent="0.3"/>
    <row r="52" ht="22.5" customHeight="1" x14ac:dyDescent="0.3"/>
    <row r="53" ht="22.5" customHeight="1" x14ac:dyDescent="0.3"/>
    <row r="54" ht="22.5" customHeight="1" x14ac:dyDescent="0.3"/>
    <row r="55" ht="22.5" customHeight="1" x14ac:dyDescent="0.3"/>
    <row r="56" ht="22.5" customHeight="1" x14ac:dyDescent="0.3"/>
    <row r="57" ht="22.5" customHeight="1" x14ac:dyDescent="0.3"/>
    <row r="58" ht="22.5" customHeight="1" x14ac:dyDescent="0.3"/>
    <row r="59" ht="22.5" customHeight="1" x14ac:dyDescent="0.3"/>
    <row r="60" ht="22.5" customHeight="1" x14ac:dyDescent="0.3"/>
    <row r="61" ht="22.5" customHeight="1" x14ac:dyDescent="0.3"/>
    <row r="62" ht="22.5" customHeight="1" x14ac:dyDescent="0.3"/>
    <row r="63" ht="22.5" customHeight="1" x14ac:dyDescent="0.3"/>
    <row r="64" ht="22.5" customHeight="1" x14ac:dyDescent="0.3"/>
    <row r="65" ht="22.5" customHeight="1" x14ac:dyDescent="0.3"/>
    <row r="66" ht="22.5" customHeight="1" x14ac:dyDescent="0.3"/>
    <row r="67" ht="22.5" customHeight="1" x14ac:dyDescent="0.3"/>
    <row r="68" ht="22.5" customHeight="1" x14ac:dyDescent="0.3"/>
    <row r="69" ht="22.5" customHeight="1" x14ac:dyDescent="0.3"/>
    <row r="70" ht="22.5" customHeight="1" x14ac:dyDescent="0.3"/>
    <row r="71" ht="22.5" customHeight="1" x14ac:dyDescent="0.3"/>
    <row r="72" ht="22.5" customHeight="1" x14ac:dyDescent="0.3"/>
    <row r="73" ht="22.5" customHeight="1" x14ac:dyDescent="0.3"/>
    <row r="74" ht="22.5" customHeight="1" x14ac:dyDescent="0.3"/>
    <row r="75" ht="22.5" customHeight="1" x14ac:dyDescent="0.3"/>
    <row r="76" ht="22.5" customHeight="1" x14ac:dyDescent="0.3"/>
    <row r="77" ht="22.5" customHeight="1" x14ac:dyDescent="0.3"/>
    <row r="78" ht="22.5" customHeight="1" x14ac:dyDescent="0.3"/>
    <row r="79" ht="22.5" customHeight="1" x14ac:dyDescent="0.3"/>
    <row r="80" ht="22.5" customHeight="1" x14ac:dyDescent="0.3"/>
    <row r="81" ht="22.5" customHeight="1" x14ac:dyDescent="0.3"/>
    <row r="82" ht="22.5" customHeight="1" x14ac:dyDescent="0.3"/>
    <row r="83" ht="22.5" customHeight="1" x14ac:dyDescent="0.3"/>
    <row r="84" ht="22.5" customHeight="1" x14ac:dyDescent="0.3"/>
    <row r="85" ht="22.5" customHeight="1" x14ac:dyDescent="0.3"/>
    <row r="86" ht="22.5" customHeight="1" x14ac:dyDescent="0.3"/>
    <row r="87" ht="22.5" customHeight="1" x14ac:dyDescent="0.3"/>
    <row r="88" ht="22.5" customHeight="1" x14ac:dyDescent="0.3"/>
    <row r="89" ht="22.5" customHeight="1" x14ac:dyDescent="0.3"/>
    <row r="90" ht="22.5" customHeight="1" x14ac:dyDescent="0.3"/>
    <row r="91" ht="22.5" customHeight="1" x14ac:dyDescent="0.3"/>
    <row r="92" ht="22.5" customHeight="1" x14ac:dyDescent="0.3"/>
    <row r="93" ht="22.5" customHeight="1" x14ac:dyDescent="0.3"/>
    <row r="94" ht="22.5" customHeight="1" x14ac:dyDescent="0.3"/>
    <row r="95" ht="22.5" customHeight="1" x14ac:dyDescent="0.3"/>
    <row r="96" ht="22.5" customHeight="1" thickBot="1" x14ac:dyDescent="0.35"/>
    <row r="97" spans="2:70" ht="14.4" thickTop="1" x14ac:dyDescent="0.3">
      <c r="B97" s="35"/>
      <c r="C97" s="35"/>
      <c r="D97" s="35"/>
      <c r="E97" s="35"/>
      <c r="F97" s="35"/>
      <c r="G97" s="35"/>
      <c r="H97" s="35"/>
      <c r="I97" s="35"/>
      <c r="J97" s="35"/>
      <c r="K97" s="35"/>
      <c r="L97" s="35"/>
      <c r="M97" s="35"/>
      <c r="N97" s="35"/>
      <c r="O97" s="35"/>
      <c r="P97" s="35"/>
      <c r="Q97" s="35"/>
      <c r="R97" s="35"/>
      <c r="S97" s="35"/>
      <c r="T97" s="35"/>
      <c r="U97" s="35"/>
      <c r="V97" s="35"/>
      <c r="W97" s="35"/>
      <c r="X97" s="35"/>
      <c r="Y97" s="35"/>
      <c r="Z97" s="35"/>
      <c r="AA97" s="35"/>
      <c r="AB97" s="35"/>
      <c r="AC97" s="35"/>
      <c r="AD97" s="35"/>
      <c r="AE97" s="35"/>
      <c r="AF97" s="35"/>
      <c r="AG97" s="35"/>
      <c r="AH97" s="35"/>
      <c r="AI97" s="35"/>
      <c r="AJ97" s="35"/>
      <c r="AK97" s="35"/>
      <c r="AL97" s="35"/>
      <c r="AM97" s="35"/>
      <c r="AN97" s="35"/>
      <c r="AO97" s="35"/>
      <c r="AP97" s="35"/>
      <c r="AQ97" s="35"/>
      <c r="AR97" s="35"/>
      <c r="AS97" s="35"/>
      <c r="AT97" s="35"/>
      <c r="AU97" s="35"/>
      <c r="AV97" s="35"/>
      <c r="AW97" s="35"/>
      <c r="AX97" s="35"/>
      <c r="AY97" s="35"/>
      <c r="AZ97" s="35"/>
      <c r="BA97" s="35"/>
      <c r="BB97" s="35"/>
      <c r="BC97" s="35"/>
      <c r="BD97" s="35"/>
      <c r="BE97" s="35"/>
      <c r="BF97" s="35"/>
      <c r="BG97" s="35"/>
      <c r="BH97" s="35"/>
      <c r="BI97" s="35"/>
      <c r="BJ97" s="35"/>
      <c r="BK97" s="35"/>
      <c r="BL97" s="35"/>
      <c r="BM97" s="35"/>
      <c r="BN97" s="35"/>
      <c r="BO97" s="35"/>
      <c r="BP97" s="35"/>
      <c r="BQ97" s="35"/>
      <c r="BR97" s="36"/>
    </row>
  </sheetData>
  <phoneticPr fontId="7" type="noConversion"/>
  <pageMargins left="0.7" right="0.7" top="0.78740157499999996" bottom="0.78740157499999996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"/>
  <dimension ref="A1:E59"/>
  <sheetViews>
    <sheetView zoomScale="110" zoomScaleNormal="110" workbookViewId="0">
      <selection activeCell="E5" sqref="E5"/>
    </sheetView>
  </sheetViews>
  <sheetFormatPr baseColWidth="10" defaultRowHeight="14.4" x14ac:dyDescent="0.3"/>
  <cols>
    <col min="1" max="1" width="14.33203125" customWidth="1"/>
    <col min="2" max="2" width="8.33203125" style="108" customWidth="1"/>
    <col min="3" max="4" width="38.109375" customWidth="1"/>
  </cols>
  <sheetData>
    <row r="1" spans="1:5" s="110" customFormat="1" ht="25.8" x14ac:dyDescent="0.5">
      <c r="A1" s="111" t="s">
        <v>161</v>
      </c>
      <c r="B1" s="113"/>
      <c r="C1" s="110" t="s">
        <v>160</v>
      </c>
    </row>
    <row r="2" spans="1:5" s="110" customFormat="1" x14ac:dyDescent="0.3">
      <c r="B2" s="113"/>
      <c r="C2" s="146" t="s">
        <v>171</v>
      </c>
      <c r="D2" s="146" t="s">
        <v>2229</v>
      </c>
    </row>
    <row r="3" spans="1:5" s="114" customFormat="1" x14ac:dyDescent="0.3">
      <c r="A3" s="143" t="s">
        <v>169</v>
      </c>
      <c r="B3" s="144" t="s">
        <v>170</v>
      </c>
      <c r="C3" s="145">
        <v>1</v>
      </c>
      <c r="D3" s="145">
        <v>4</v>
      </c>
    </row>
    <row r="4" spans="1:5" s="115" customFormat="1" ht="15.6" x14ac:dyDescent="0.3">
      <c r="A4" s="117" t="str">
        <f>"! --- "&amp;INDEX(MLtextDivisions,1)</f>
        <v>! --- User Interface - UI_xxxFIELD text</v>
      </c>
      <c r="B4" s="116"/>
    </row>
    <row r="5" spans="1:5" s="115" customFormat="1" x14ac:dyDescent="0.3">
      <c r="A5" s="122" t="s">
        <v>2253</v>
      </c>
      <c r="B5" s="116">
        <v>1</v>
      </c>
      <c r="C5" t="s">
        <v>2254</v>
      </c>
      <c r="D5" t="s">
        <v>2279</v>
      </c>
      <c r="E5" s="263" t="str">
        <f>IF(LEN($C5)-LEN(D5)&lt;0,TEXT(LEN(D5)/LEN($C5),"0 %")&amp;" ("&amp;LEN(D5)-LEN($C5)&amp;")","")</f>
        <v>118 % (2)</v>
      </c>
    </row>
    <row r="6" spans="1:5" s="115" customFormat="1" x14ac:dyDescent="0.3">
      <c r="A6" s="122" t="s">
        <v>2253</v>
      </c>
      <c r="B6" s="116">
        <v>2</v>
      </c>
      <c r="C6" t="s">
        <v>2255</v>
      </c>
      <c r="D6" t="s">
        <v>2280</v>
      </c>
      <c r="E6" s="263" t="str">
        <f t="shared" ref="E6:E59" si="0">IF(LEN($C6)-LEN(D6)&lt;0,TEXT(LEN(D6)/LEN($C6),"0 %")&amp;" ("&amp;LEN(D6)-LEN($C6)&amp;")","")</f>
        <v/>
      </c>
    </row>
    <row r="7" spans="1:5" s="115" customFormat="1" x14ac:dyDescent="0.3">
      <c r="A7" s="122" t="s">
        <v>2253</v>
      </c>
      <c r="B7" s="116">
        <v>3</v>
      </c>
      <c r="C7" t="s">
        <v>2256</v>
      </c>
      <c r="D7" t="s">
        <v>2281</v>
      </c>
      <c r="E7" s="263" t="str">
        <f t="shared" si="0"/>
        <v/>
      </c>
    </row>
    <row r="8" spans="1:5" s="115" customFormat="1" x14ac:dyDescent="0.3">
      <c r="A8" s="122" t="s">
        <v>2253</v>
      </c>
      <c r="B8" s="116">
        <v>4</v>
      </c>
      <c r="C8" t="s">
        <v>2257</v>
      </c>
      <c r="D8" t="s">
        <v>2282</v>
      </c>
      <c r="E8" s="263" t="str">
        <f t="shared" si="0"/>
        <v/>
      </c>
    </row>
    <row r="9" spans="1:5" s="115" customFormat="1" x14ac:dyDescent="0.3">
      <c r="A9" s="122" t="s">
        <v>2253</v>
      </c>
      <c r="B9" s="116">
        <v>5</v>
      </c>
      <c r="C9" t="s">
        <v>2258</v>
      </c>
      <c r="D9" t="s">
        <v>2258</v>
      </c>
      <c r="E9" s="263" t="str">
        <f t="shared" si="0"/>
        <v/>
      </c>
    </row>
    <row r="10" spans="1:5" s="115" customFormat="1" x14ac:dyDescent="0.3">
      <c r="A10" s="122" t="s">
        <v>2253</v>
      </c>
      <c r="B10" s="116">
        <v>6</v>
      </c>
      <c r="C10" t="s">
        <v>2259</v>
      </c>
      <c r="D10" t="s">
        <v>2259</v>
      </c>
      <c r="E10" s="263" t="str">
        <f t="shared" si="0"/>
        <v/>
      </c>
    </row>
    <row r="11" spans="1:5" s="115" customFormat="1" x14ac:dyDescent="0.3">
      <c r="A11" s="122" t="s">
        <v>2253</v>
      </c>
      <c r="B11" s="116">
        <v>7</v>
      </c>
      <c r="C11" t="s">
        <v>2260</v>
      </c>
      <c r="D11" t="s">
        <v>2260</v>
      </c>
      <c r="E11" s="263" t="str">
        <f t="shared" si="0"/>
        <v/>
      </c>
    </row>
    <row r="12" spans="1:5" s="115" customFormat="1" x14ac:dyDescent="0.3">
      <c r="A12" s="122" t="s">
        <v>2253</v>
      </c>
      <c r="B12" s="116">
        <v>8</v>
      </c>
      <c r="C12" t="s">
        <v>2261</v>
      </c>
      <c r="D12" t="s">
        <v>2261</v>
      </c>
      <c r="E12" s="263" t="str">
        <f t="shared" si="0"/>
        <v/>
      </c>
    </row>
    <row r="13" spans="1:5" s="115" customFormat="1" x14ac:dyDescent="0.3">
      <c r="A13" s="122" t="s">
        <v>2253</v>
      </c>
      <c r="B13" s="116">
        <v>9</v>
      </c>
      <c r="C13" t="s">
        <v>2262</v>
      </c>
      <c r="D13" t="s">
        <v>2262</v>
      </c>
      <c r="E13" s="263" t="str">
        <f t="shared" si="0"/>
        <v/>
      </c>
    </row>
    <row r="14" spans="1:5" s="115" customFormat="1" x14ac:dyDescent="0.3">
      <c r="A14" s="122" t="s">
        <v>2253</v>
      </c>
      <c r="B14" s="116">
        <v>10</v>
      </c>
      <c r="C14" t="s">
        <v>2263</v>
      </c>
      <c r="D14" t="s">
        <v>2263</v>
      </c>
      <c r="E14" s="263" t="str">
        <f t="shared" si="0"/>
        <v/>
      </c>
    </row>
    <row r="15" spans="1:5" s="115" customFormat="1" x14ac:dyDescent="0.3">
      <c r="A15" s="122" t="s">
        <v>2253</v>
      </c>
      <c r="B15" s="116">
        <v>11</v>
      </c>
      <c r="C15" t="s">
        <v>2264</v>
      </c>
      <c r="D15" t="s">
        <v>2283</v>
      </c>
      <c r="E15" s="263" t="str">
        <f t="shared" si="0"/>
        <v/>
      </c>
    </row>
    <row r="16" spans="1:5" s="115" customFormat="1" x14ac:dyDescent="0.3">
      <c r="A16" s="122" t="s">
        <v>2253</v>
      </c>
      <c r="B16" s="116">
        <v>12</v>
      </c>
      <c r="C16" t="s">
        <v>2265</v>
      </c>
      <c r="D16" t="s">
        <v>2265</v>
      </c>
      <c r="E16" s="263" t="str">
        <f t="shared" si="0"/>
        <v/>
      </c>
    </row>
    <row r="17" spans="1:5" s="115" customFormat="1" x14ac:dyDescent="0.3">
      <c r="A17" s="122" t="s">
        <v>2253</v>
      </c>
      <c r="B17" s="116">
        <v>13</v>
      </c>
      <c r="C17" t="s">
        <v>2266</v>
      </c>
      <c r="D17" t="s">
        <v>2266</v>
      </c>
      <c r="E17" s="263" t="str">
        <f t="shared" si="0"/>
        <v/>
      </c>
    </row>
    <row r="18" spans="1:5" s="115" customFormat="1" x14ac:dyDescent="0.3">
      <c r="A18" s="122" t="s">
        <v>2253</v>
      </c>
      <c r="B18" s="116">
        <v>14</v>
      </c>
      <c r="C18" t="s">
        <v>2267</v>
      </c>
      <c r="D18" t="s">
        <v>2267</v>
      </c>
      <c r="E18" s="263" t="str">
        <f t="shared" si="0"/>
        <v/>
      </c>
    </row>
    <row r="19" spans="1:5" s="115" customFormat="1" x14ac:dyDescent="0.3">
      <c r="A19" s="122" t="s">
        <v>2253</v>
      </c>
      <c r="B19" s="116">
        <v>15</v>
      </c>
      <c r="C19" t="s">
        <v>2268</v>
      </c>
      <c r="D19" t="s">
        <v>2268</v>
      </c>
      <c r="E19" s="263" t="str">
        <f t="shared" si="0"/>
        <v/>
      </c>
    </row>
    <row r="20" spans="1:5" s="115" customFormat="1" x14ac:dyDescent="0.3">
      <c r="A20" s="122" t="s">
        <v>2253</v>
      </c>
      <c r="B20" s="116">
        <v>16</v>
      </c>
      <c r="C20" t="s">
        <v>2269</v>
      </c>
      <c r="D20" t="s">
        <v>2269</v>
      </c>
      <c r="E20" s="263" t="str">
        <f t="shared" si="0"/>
        <v/>
      </c>
    </row>
    <row r="21" spans="1:5" s="115" customFormat="1" x14ac:dyDescent="0.3">
      <c r="A21" s="122" t="s">
        <v>2253</v>
      </c>
      <c r="B21" s="116">
        <v>17</v>
      </c>
      <c r="C21" t="s">
        <v>2270</v>
      </c>
      <c r="D21" t="s">
        <v>2270</v>
      </c>
      <c r="E21" s="263" t="str">
        <f t="shared" si="0"/>
        <v/>
      </c>
    </row>
    <row r="22" spans="1:5" s="115" customFormat="1" x14ac:dyDescent="0.3">
      <c r="A22" s="122" t="s">
        <v>2253</v>
      </c>
      <c r="B22" s="116">
        <v>18</v>
      </c>
      <c r="C22" t="s">
        <v>673</v>
      </c>
      <c r="D22" t="s">
        <v>2284</v>
      </c>
      <c r="E22" s="263" t="str">
        <f t="shared" si="0"/>
        <v/>
      </c>
    </row>
    <row r="23" spans="1:5" s="115" customFormat="1" x14ac:dyDescent="0.3">
      <c r="A23" s="122" t="s">
        <v>2253</v>
      </c>
      <c r="B23" s="116">
        <v>19</v>
      </c>
      <c r="C23" t="s">
        <v>764</v>
      </c>
      <c r="D23" t="s">
        <v>2285</v>
      </c>
      <c r="E23" s="263" t="str">
        <f t="shared" si="0"/>
        <v/>
      </c>
    </row>
    <row r="24" spans="1:5" s="115" customFormat="1" x14ac:dyDescent="0.3">
      <c r="A24" s="122"/>
      <c r="B24" s="116"/>
      <c r="C24"/>
      <c r="D24"/>
      <c r="E24" s="263" t="str">
        <f t="shared" si="0"/>
        <v/>
      </c>
    </row>
    <row r="25" spans="1:5" ht="15.6" x14ac:dyDescent="0.3">
      <c r="A25" s="118" t="str">
        <f>"! --- "&amp;INDEX(MLtextDivisions,2)</f>
        <v>! --- User Interface - Tooltip text</v>
      </c>
      <c r="E25" s="263" t="str">
        <f t="shared" si="0"/>
        <v/>
      </c>
    </row>
    <row r="26" spans="1:5" s="123" customFormat="1" x14ac:dyDescent="0.3">
      <c r="A26" s="122" t="s">
        <v>2271</v>
      </c>
      <c r="B26" s="122">
        <v>1</v>
      </c>
      <c r="C26" s="123" t="s">
        <v>2039</v>
      </c>
      <c r="D26" s="123" t="s">
        <v>2039</v>
      </c>
      <c r="E26" s="263" t="str">
        <f t="shared" si="0"/>
        <v/>
      </c>
    </row>
    <row r="27" spans="1:5" s="123" customFormat="1" x14ac:dyDescent="0.3">
      <c r="A27" s="122" t="s">
        <v>2271</v>
      </c>
      <c r="B27" s="122">
        <v>2</v>
      </c>
      <c r="C27" s="123" t="s">
        <v>885</v>
      </c>
      <c r="D27" s="123" t="s">
        <v>885</v>
      </c>
      <c r="E27" s="263" t="str">
        <f t="shared" si="0"/>
        <v/>
      </c>
    </row>
    <row r="28" spans="1:5" s="123" customFormat="1" x14ac:dyDescent="0.3">
      <c r="A28" s="122" t="s">
        <v>2271</v>
      </c>
      <c r="B28" s="122">
        <v>3</v>
      </c>
      <c r="C28" s="123" t="s">
        <v>874</v>
      </c>
      <c r="D28" s="123" t="s">
        <v>874</v>
      </c>
      <c r="E28" s="263" t="str">
        <f t="shared" si="0"/>
        <v/>
      </c>
    </row>
    <row r="29" spans="1:5" s="123" customFormat="1" x14ac:dyDescent="0.3">
      <c r="A29" s="122" t="s">
        <v>2271</v>
      </c>
      <c r="B29" s="122">
        <v>4</v>
      </c>
      <c r="C29" s="123" t="s">
        <v>882</v>
      </c>
      <c r="D29" s="123" t="s">
        <v>882</v>
      </c>
      <c r="E29" s="263" t="str">
        <f t="shared" si="0"/>
        <v/>
      </c>
    </row>
    <row r="30" spans="1:5" s="123" customFormat="1" x14ac:dyDescent="0.3">
      <c r="A30" s="122" t="s">
        <v>2271</v>
      </c>
      <c r="B30" s="122">
        <v>5</v>
      </c>
      <c r="C30" s="123" t="s">
        <v>878</v>
      </c>
      <c r="D30" s="123" t="s">
        <v>878</v>
      </c>
      <c r="E30" s="263" t="str">
        <f t="shared" si="0"/>
        <v/>
      </c>
    </row>
    <row r="31" spans="1:5" s="123" customFormat="1" x14ac:dyDescent="0.3">
      <c r="A31" s="122" t="s">
        <v>2271</v>
      </c>
      <c r="B31" s="122">
        <v>6</v>
      </c>
      <c r="C31" s="123" t="s">
        <v>2226</v>
      </c>
      <c r="D31" s="123" t="s">
        <v>2277</v>
      </c>
      <c r="E31" s="263" t="str">
        <f t="shared" si="0"/>
        <v/>
      </c>
    </row>
    <row r="32" spans="1:5" s="123" customFormat="1" x14ac:dyDescent="0.3">
      <c r="A32" s="122" t="s">
        <v>2271</v>
      </c>
      <c r="B32" s="122">
        <v>7</v>
      </c>
      <c r="C32" s="123" t="s">
        <v>2228</v>
      </c>
      <c r="D32" s="123" t="s">
        <v>2228</v>
      </c>
      <c r="E32" s="263" t="str">
        <f t="shared" si="0"/>
        <v/>
      </c>
    </row>
    <row r="33" spans="1:5" s="123" customFormat="1" x14ac:dyDescent="0.3">
      <c r="A33" s="122" t="s">
        <v>2271</v>
      </c>
      <c r="B33" s="122">
        <v>8</v>
      </c>
      <c r="C33" s="123" t="s">
        <v>2081</v>
      </c>
      <c r="D33" s="123" t="s">
        <v>2081</v>
      </c>
      <c r="E33" s="263" t="str">
        <f t="shared" si="0"/>
        <v/>
      </c>
    </row>
    <row r="34" spans="1:5" s="123" customFormat="1" x14ac:dyDescent="0.3">
      <c r="A34" s="122" t="s">
        <v>2271</v>
      </c>
      <c r="B34" s="122">
        <v>9</v>
      </c>
      <c r="C34" s="123" t="s">
        <v>2095</v>
      </c>
      <c r="D34" s="123" t="s">
        <v>2095</v>
      </c>
      <c r="E34" s="263" t="str">
        <f t="shared" si="0"/>
        <v/>
      </c>
    </row>
    <row r="35" spans="1:5" s="123" customFormat="1" x14ac:dyDescent="0.3">
      <c r="A35" s="122" t="s">
        <v>2271</v>
      </c>
      <c r="B35" s="122">
        <v>10</v>
      </c>
      <c r="C35" s="123" t="s">
        <v>2272</v>
      </c>
      <c r="D35" s="123" t="s">
        <v>2272</v>
      </c>
      <c r="E35" s="263" t="str">
        <f t="shared" si="0"/>
        <v/>
      </c>
    </row>
    <row r="36" spans="1:5" s="123" customFormat="1" x14ac:dyDescent="0.3">
      <c r="A36" s="122" t="s">
        <v>2271</v>
      </c>
      <c r="B36" s="122">
        <v>11</v>
      </c>
      <c r="C36" s="123" t="s">
        <v>2097</v>
      </c>
      <c r="D36" s="123" t="s">
        <v>2097</v>
      </c>
      <c r="E36" s="263" t="str">
        <f t="shared" si="0"/>
        <v/>
      </c>
    </row>
    <row r="37" spans="1:5" s="123" customFormat="1" x14ac:dyDescent="0.3">
      <c r="A37" s="122" t="s">
        <v>2271</v>
      </c>
      <c r="B37" s="122">
        <v>12</v>
      </c>
      <c r="C37" s="123" t="s">
        <v>2273</v>
      </c>
      <c r="D37" s="123" t="s">
        <v>2273</v>
      </c>
      <c r="E37" s="263" t="str">
        <f t="shared" si="0"/>
        <v/>
      </c>
    </row>
    <row r="38" spans="1:5" s="123" customFormat="1" x14ac:dyDescent="0.3">
      <c r="A38" s="122" t="s">
        <v>2271</v>
      </c>
      <c r="B38" s="122">
        <v>13</v>
      </c>
      <c r="C38" s="123" t="s">
        <v>2227</v>
      </c>
      <c r="D38" s="123" t="s">
        <v>2227</v>
      </c>
      <c r="E38" s="263" t="str">
        <f t="shared" si="0"/>
        <v/>
      </c>
    </row>
    <row r="39" spans="1:5" s="123" customFormat="1" x14ac:dyDescent="0.3">
      <c r="A39" s="122" t="s">
        <v>2271</v>
      </c>
      <c r="B39" s="122">
        <v>14</v>
      </c>
      <c r="C39" s="123" t="s">
        <v>872</v>
      </c>
      <c r="D39" s="123" t="s">
        <v>872</v>
      </c>
      <c r="E39" s="263" t="str">
        <f t="shared" si="0"/>
        <v/>
      </c>
    </row>
    <row r="40" spans="1:5" s="123" customFormat="1" x14ac:dyDescent="0.3">
      <c r="A40" s="122" t="s">
        <v>2271</v>
      </c>
      <c r="B40" s="122">
        <v>15</v>
      </c>
      <c r="C40" s="123" t="s">
        <v>2274</v>
      </c>
      <c r="D40" s="123" t="s">
        <v>2274</v>
      </c>
      <c r="E40" s="263" t="str">
        <f t="shared" si="0"/>
        <v/>
      </c>
    </row>
    <row r="41" spans="1:5" s="123" customFormat="1" x14ac:dyDescent="0.3">
      <c r="A41" s="122" t="s">
        <v>2271</v>
      </c>
      <c r="B41" s="122">
        <v>16</v>
      </c>
      <c r="C41" s="123" t="s">
        <v>1249</v>
      </c>
      <c r="D41" s="123" t="s">
        <v>1249</v>
      </c>
      <c r="E41" s="263" t="str">
        <f t="shared" si="0"/>
        <v/>
      </c>
    </row>
    <row r="42" spans="1:5" s="123" customFormat="1" x14ac:dyDescent="0.3">
      <c r="A42" s="122" t="s">
        <v>2271</v>
      </c>
      <c r="B42" s="122">
        <v>17</v>
      </c>
      <c r="C42" s="123" t="s">
        <v>883</v>
      </c>
      <c r="D42" s="123" t="s">
        <v>883</v>
      </c>
      <c r="E42" s="263" t="str">
        <f t="shared" si="0"/>
        <v/>
      </c>
    </row>
    <row r="43" spans="1:5" s="123" customFormat="1" x14ac:dyDescent="0.3">
      <c r="A43" s="122" t="s">
        <v>2271</v>
      </c>
      <c r="B43" s="122">
        <v>18</v>
      </c>
      <c r="C43" s="123" t="s">
        <v>2043</v>
      </c>
      <c r="D43" s="123" t="s">
        <v>2043</v>
      </c>
      <c r="E43" s="263" t="str">
        <f t="shared" si="0"/>
        <v/>
      </c>
    </row>
    <row r="44" spans="1:5" s="123" customFormat="1" x14ac:dyDescent="0.3">
      <c r="A44" s="122" t="s">
        <v>2271</v>
      </c>
      <c r="B44" s="122">
        <v>19</v>
      </c>
      <c r="C44" s="123" t="s">
        <v>2275</v>
      </c>
      <c r="D44" s="123" t="s">
        <v>2275</v>
      </c>
      <c r="E44" s="263" t="str">
        <f t="shared" si="0"/>
        <v/>
      </c>
    </row>
    <row r="45" spans="1:5" s="123" customFormat="1" x14ac:dyDescent="0.3">
      <c r="A45" s="122" t="s">
        <v>2271</v>
      </c>
      <c r="B45" s="122">
        <v>20</v>
      </c>
      <c r="C45" s="123" t="s">
        <v>2276</v>
      </c>
      <c r="D45" s="123" t="s">
        <v>2276</v>
      </c>
      <c r="E45" s="263" t="str">
        <f t="shared" si="0"/>
        <v/>
      </c>
    </row>
    <row r="46" spans="1:5" s="123" customFormat="1" x14ac:dyDescent="0.3">
      <c r="A46" s="122" t="s">
        <v>2271</v>
      </c>
      <c r="B46" s="122">
        <v>21</v>
      </c>
      <c r="C46" s="123" t="s">
        <v>887</v>
      </c>
      <c r="D46" s="123" t="s">
        <v>887</v>
      </c>
      <c r="E46" s="263" t="str">
        <f t="shared" si="0"/>
        <v/>
      </c>
    </row>
    <row r="47" spans="1:5" s="123" customFormat="1" x14ac:dyDescent="0.3">
      <c r="A47" s="122" t="s">
        <v>2271</v>
      </c>
      <c r="B47" s="122">
        <v>22</v>
      </c>
      <c r="C47" s="123" t="s">
        <v>889</v>
      </c>
      <c r="D47" s="123" t="s">
        <v>889</v>
      </c>
      <c r="E47" s="263" t="str">
        <f t="shared" si="0"/>
        <v/>
      </c>
    </row>
    <row r="48" spans="1:5" s="123" customFormat="1" x14ac:dyDescent="0.3">
      <c r="A48" s="122"/>
      <c r="B48" s="122"/>
      <c r="E48" s="263" t="str">
        <f t="shared" si="0"/>
        <v/>
      </c>
    </row>
    <row r="49" spans="1:5" ht="15.6" x14ac:dyDescent="0.3">
      <c r="A49" s="118" t="str">
        <f>"! --- "&amp;INDEX(MLtextDivisions,3)</f>
        <v>! --- Parameter Script - VALUES</v>
      </c>
      <c r="E49" s="263" t="str">
        <f t="shared" si="0"/>
        <v/>
      </c>
    </row>
    <row r="50" spans="1:5" s="123" customFormat="1" x14ac:dyDescent="0.3">
      <c r="A50" s="122"/>
      <c r="B50" s="122"/>
      <c r="E50" s="263" t="str">
        <f t="shared" si="0"/>
        <v/>
      </c>
    </row>
    <row r="51" spans="1:5" ht="15.6" x14ac:dyDescent="0.3">
      <c r="A51" s="118" t="str">
        <f>"! --- "&amp;INDEX(MLtextDivisions,4)</f>
        <v>! --- Common Text</v>
      </c>
      <c r="E51" s="263" t="str">
        <f t="shared" si="0"/>
        <v/>
      </c>
    </row>
    <row r="52" spans="1:5" s="115" customFormat="1" x14ac:dyDescent="0.3">
      <c r="A52" s="122" t="s">
        <v>2230</v>
      </c>
      <c r="B52" s="116">
        <v>1</v>
      </c>
      <c r="C52" s="115" t="s">
        <v>2242</v>
      </c>
      <c r="D52" t="s">
        <v>2244</v>
      </c>
      <c r="E52" s="263" t="str">
        <f t="shared" si="0"/>
        <v/>
      </c>
    </row>
    <row r="53" spans="1:5" s="115" customFormat="1" x14ac:dyDescent="0.3">
      <c r="A53" s="122" t="s">
        <v>2230</v>
      </c>
      <c r="B53" s="116">
        <v>2</v>
      </c>
      <c r="C53" t="s">
        <v>2243</v>
      </c>
      <c r="D53" t="s">
        <v>2245</v>
      </c>
      <c r="E53" s="263" t="str">
        <f t="shared" si="0"/>
        <v>121 % (6)</v>
      </c>
    </row>
    <row r="54" spans="1:5" x14ac:dyDescent="0.3">
      <c r="A54" s="122" t="s">
        <v>2246</v>
      </c>
      <c r="B54" s="260">
        <v>1</v>
      </c>
      <c r="C54" t="s">
        <v>2057</v>
      </c>
      <c r="D54" t="s">
        <v>2247</v>
      </c>
      <c r="E54" s="263" t="str">
        <f t="shared" si="0"/>
        <v/>
      </c>
    </row>
    <row r="55" spans="1:5" x14ac:dyDescent="0.3">
      <c r="A55" s="122" t="s">
        <v>2246</v>
      </c>
      <c r="B55" s="260">
        <v>2</v>
      </c>
      <c r="C55" t="s">
        <v>2063</v>
      </c>
      <c r="D55" t="s">
        <v>2063</v>
      </c>
      <c r="E55" s="263" t="str">
        <f t="shared" si="0"/>
        <v/>
      </c>
    </row>
    <row r="56" spans="1:5" x14ac:dyDescent="0.3">
      <c r="A56" s="122" t="s">
        <v>2246</v>
      </c>
      <c r="B56" s="260">
        <v>3</v>
      </c>
      <c r="C56" t="s">
        <v>2248</v>
      </c>
      <c r="D56" t="s">
        <v>2249</v>
      </c>
      <c r="E56" s="263" t="str">
        <f t="shared" si="0"/>
        <v/>
      </c>
    </row>
    <row r="57" spans="1:5" x14ac:dyDescent="0.3">
      <c r="A57" s="122" t="s">
        <v>2246</v>
      </c>
      <c r="B57" s="260">
        <v>4</v>
      </c>
      <c r="C57" t="s">
        <v>2250</v>
      </c>
      <c r="D57" t="s">
        <v>2251</v>
      </c>
      <c r="E57" s="263" t="str">
        <f t="shared" si="0"/>
        <v/>
      </c>
    </row>
    <row r="58" spans="1:5" s="123" customFormat="1" ht="15.6" x14ac:dyDescent="0.3">
      <c r="A58" s="121"/>
      <c r="B58" s="122"/>
      <c r="E58" s="263" t="str">
        <f t="shared" si="0"/>
        <v/>
      </c>
    </row>
    <row r="59" spans="1:5" ht="15.6" x14ac:dyDescent="0.3">
      <c r="A59" s="118" t="str">
        <f>"! --- END"</f>
        <v>! --- END</v>
      </c>
      <c r="E59" s="263" t="str">
        <f t="shared" si="0"/>
        <v/>
      </c>
    </row>
  </sheetData>
  <sortState ref="A27:D49">
    <sortCondition ref="A5"/>
    <sortCondition ref="B5"/>
  </sortState>
  <pageMargins left="0.7" right="0.7" top="0.78740157499999996" bottom="0.78740157499999996" header="0.3" footer="0.3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3"/>
  <dimension ref="A1:X68"/>
  <sheetViews>
    <sheetView zoomScaleNormal="100" workbookViewId="0">
      <selection activeCell="K6" sqref="K6"/>
    </sheetView>
  </sheetViews>
  <sheetFormatPr baseColWidth="10" defaultColWidth="11.44140625" defaultRowHeight="21" customHeight="1" x14ac:dyDescent="0.25"/>
  <cols>
    <col min="1" max="1" width="9" style="3" customWidth="1"/>
    <col min="2" max="2" width="12.88671875" style="3" customWidth="1"/>
    <col min="3" max="3" width="11.44140625" style="3"/>
    <col min="4" max="4" width="2.88671875" style="5" customWidth="1"/>
    <col min="5" max="5" width="8.88671875" style="3" customWidth="1"/>
    <col min="6" max="6" width="3" style="5" customWidth="1"/>
    <col min="7" max="7" width="34.109375" style="3" customWidth="1"/>
    <col min="8" max="8" width="11.109375" style="3" customWidth="1"/>
    <col min="9" max="11" width="11.44140625" style="3"/>
    <col min="12" max="12" width="14.33203125" style="3" customWidth="1"/>
    <col min="13" max="13" width="11.44140625" style="3"/>
    <col min="14" max="14" width="13" style="3" customWidth="1"/>
    <col min="15" max="15" width="16.6640625" style="3" customWidth="1"/>
    <col min="16" max="16" width="3.44140625" style="5" customWidth="1"/>
    <col min="17" max="17" width="37.6640625" style="3" customWidth="1"/>
    <col min="18" max="18" width="33.109375" style="3" customWidth="1"/>
    <col min="19" max="20" width="14.44140625" style="3" customWidth="1"/>
    <col min="21" max="21" width="23.33203125" style="3" customWidth="1"/>
    <col min="22" max="22" width="15" style="3" customWidth="1"/>
    <col min="23" max="23" width="38.6640625" style="3" customWidth="1"/>
    <col min="24" max="24" width="21.5546875" style="3" customWidth="1"/>
    <col min="25" max="16384" width="11.44140625" style="3"/>
  </cols>
  <sheetData>
    <row r="1" spans="1:24" s="7" customFormat="1" ht="42.75" customHeight="1" x14ac:dyDescent="0.3">
      <c r="A1" s="10" t="s">
        <v>10</v>
      </c>
      <c r="B1" s="11" t="s">
        <v>11</v>
      </c>
      <c r="C1" s="10" t="str">
        <f>"-&gt; GSM"</f>
        <v>-&gt; GSM</v>
      </c>
      <c r="D1" s="12"/>
      <c r="E1" s="269" t="str">
        <f>"-&gt; PROPERTY-CONTEXT"</f>
        <v>-&gt; PROPERTY-CONTEXT</v>
      </c>
      <c r="F1" s="269"/>
      <c r="G1" s="269"/>
      <c r="H1" s="10" t="s">
        <v>12</v>
      </c>
      <c r="I1" s="10" t="s">
        <v>63</v>
      </c>
      <c r="J1" s="10" t="s">
        <v>83</v>
      </c>
      <c r="K1" s="10" t="s">
        <v>106</v>
      </c>
      <c r="L1" s="10" t="s">
        <v>111</v>
      </c>
      <c r="M1" s="10" t="s">
        <v>13</v>
      </c>
      <c r="N1" s="11" t="s">
        <v>14</v>
      </c>
      <c r="O1" s="10" t="s">
        <v>15</v>
      </c>
      <c r="P1" s="12"/>
      <c r="Q1" s="10" t="s">
        <v>16</v>
      </c>
      <c r="R1" s="10" t="s">
        <v>17</v>
      </c>
      <c r="S1" s="270" t="s">
        <v>125</v>
      </c>
      <c r="T1" s="270"/>
      <c r="U1" s="10" t="s">
        <v>139</v>
      </c>
      <c r="V1" s="10" t="s">
        <v>144</v>
      </c>
      <c r="W1" s="10" t="s">
        <v>175</v>
      </c>
      <c r="X1" s="10" t="s">
        <v>176</v>
      </c>
    </row>
    <row r="2" spans="1:24" ht="17.25" customHeight="1" x14ac:dyDescent="0.25">
      <c r="A2" s="13" t="str">
        <f>CHAR(10)</f>
        <v xml:space="preserve">
</v>
      </c>
      <c r="B2" s="14" t="s">
        <v>18</v>
      </c>
      <c r="C2" s="14" t="str">
        <f>B2</f>
        <v>String</v>
      </c>
      <c r="D2" s="15" t="s">
        <v>19</v>
      </c>
      <c r="E2" s="14" t="s">
        <v>18</v>
      </c>
      <c r="F2" s="15" t="s">
        <v>19</v>
      </c>
      <c r="G2" s="16" t="s">
        <v>20</v>
      </c>
      <c r="H2" s="14" t="s">
        <v>21</v>
      </c>
      <c r="I2" s="5" t="s">
        <v>9</v>
      </c>
      <c r="J2" s="5" t="s">
        <v>84</v>
      </c>
      <c r="K2" s="14" t="s">
        <v>103</v>
      </c>
      <c r="L2" s="14" t="s">
        <v>112</v>
      </c>
      <c r="M2" s="14"/>
      <c r="N2" s="17">
        <v>3</v>
      </c>
      <c r="O2" s="18" t="s">
        <v>22</v>
      </c>
      <c r="P2" s="15"/>
      <c r="Q2" s="16" t="s">
        <v>23</v>
      </c>
      <c r="R2" s="8" t="str">
        <f>TB&amp;TB&amp;TB&amp;TB&amp;"&lt;Availability&gt;"&amp;CRLF&amp;TB&amp;TB&amp;TB&amp;TB&amp;TB&amp;"&lt;ClassId&gt;"&amp;base!$Q$6&amp;"&lt;/ClassId&gt;"&amp;CRLF&amp;TB&amp;TB&amp;TB&amp;TB&amp;TB&amp;"&lt;PropertyAvailability/&gt;"&amp;CRLF&amp;TB&amp;TB&amp;TB&amp;TB&amp;TB&amp;"&lt;AvailabilityItems/&gt;"&amp;CRLF&amp;TB&amp;TB&amp;TB&amp;TB&amp;"&lt;/Availability&gt;"&amp;CRLF</f>
        <v xml:space="preserve">                &lt;Availability&gt;
                    &lt;ClassId&gt;52132DF7-B99F-4187-A93D-EA1B568D1A80&lt;/ClassId&gt;
                    &lt;PropertyAvailability/&gt;
                    &lt;AvailabilityItems/&gt;
                &lt;/Availability&gt;
</v>
      </c>
      <c r="S2" s="3" t="s">
        <v>98</v>
      </c>
      <c r="T2" s="3" t="s">
        <v>18</v>
      </c>
      <c r="U2" s="3" t="s">
        <v>136</v>
      </c>
      <c r="V2" s="3" t="s">
        <v>193</v>
      </c>
      <c r="W2" s="3" t="s">
        <v>173</v>
      </c>
      <c r="X2" s="3" t="s">
        <v>177</v>
      </c>
    </row>
    <row r="3" spans="1:24" ht="17.25" customHeight="1" x14ac:dyDescent="0.25">
      <c r="A3" s="13" t="str">
        <f>CHAR(34)</f>
        <v>"</v>
      </c>
      <c r="B3" s="14" t="s">
        <v>24</v>
      </c>
      <c r="C3" s="14" t="str">
        <f t="shared" ref="C3:C18" si="0">B3</f>
        <v>Length</v>
      </c>
      <c r="D3" s="15">
        <v>2</v>
      </c>
      <c r="E3" s="19" t="s">
        <v>25</v>
      </c>
      <c r="F3" s="15">
        <v>2</v>
      </c>
      <c r="G3" s="16" t="s">
        <v>26</v>
      </c>
      <c r="H3" s="14" t="s">
        <v>27</v>
      </c>
      <c r="J3" s="5" t="s">
        <v>85</v>
      </c>
      <c r="K3" s="14" t="s">
        <v>108</v>
      </c>
      <c r="L3" s="14" t="s">
        <v>102</v>
      </c>
      <c r="M3" s="14" t="s">
        <v>91</v>
      </c>
      <c r="N3" s="17" t="str">
        <f>"#,"&amp;MID("0000000000",1,N2)</f>
        <v>#,000</v>
      </c>
      <c r="O3" s="18"/>
      <c r="P3" s="15" t="s">
        <v>29</v>
      </c>
      <c r="Q3" s="16" t="s">
        <v>30</v>
      </c>
      <c r="R3" s="8" t="e">
        <f>TB&amp;TB&amp;TB&amp;TB&amp;"&lt;Availability&gt;"&amp;CRLF&amp;TB&amp;TB&amp;TB&amp;TB&amp;TB&amp;"&lt;ClassId&gt;"&amp;base!$Q$6&amp;"&lt;/ClassId&gt;"&amp;CRLF&amp;TB&amp;TB&amp;TB&amp;TB&amp;TB&amp;"&lt;PropertyAvailability/&gt;"&amp;CRLF&amp;TB&amp;TB&amp;TB&amp;TB&amp;TB&amp;"&lt;AvailabilityItems&gt;"&amp;CRLF&amp;base!$R$4&amp;TB&amp;TB&amp;TB&amp;TB&amp;TB&amp;"&lt;/AvailabilityItems&gt;"&amp;CRLF&amp;TB&amp;TB&amp;TB&amp;TB&amp;"&lt;/Availability&gt;"</f>
        <v>#REF!</v>
      </c>
      <c r="S3" s="3" t="s">
        <v>99</v>
      </c>
      <c r="T3" s="3" t="s">
        <v>44</v>
      </c>
      <c r="U3" s="3" t="s">
        <v>137</v>
      </c>
      <c r="W3" s="3" t="s">
        <v>174</v>
      </c>
    </row>
    <row r="4" spans="1:24" ht="17.25" customHeight="1" x14ac:dyDescent="0.25">
      <c r="A4" s="13" t="str">
        <f>"    "</f>
        <v xml:space="preserve">    </v>
      </c>
      <c r="B4" s="14" t="s">
        <v>31</v>
      </c>
      <c r="C4" s="14" t="str">
        <f t="shared" si="0"/>
        <v>Angle</v>
      </c>
      <c r="D4" s="15">
        <v>2</v>
      </c>
      <c r="E4" s="19" t="s">
        <v>25</v>
      </c>
      <c r="F4" s="15">
        <v>2</v>
      </c>
      <c r="G4" s="16"/>
      <c r="H4" s="14" t="s">
        <v>32</v>
      </c>
      <c r="K4" s="14" t="s">
        <v>104</v>
      </c>
      <c r="L4" s="14" t="s">
        <v>113</v>
      </c>
      <c r="M4" s="14" t="s">
        <v>33</v>
      </c>
      <c r="N4" s="17"/>
      <c r="O4" s="18"/>
      <c r="P4" s="15" t="s">
        <v>34</v>
      </c>
      <c r="Q4" s="16" t="s">
        <v>35</v>
      </c>
      <c r="R4" s="8" t="e">
        <f>IF(INDEX('PROJECT SETTINGS'!#REF!,ROW()-ROW(base!$R$3),1)="",base!$R5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5)</f>
        <v>#REF!</v>
      </c>
      <c r="S4" s="3" t="s">
        <v>117</v>
      </c>
      <c r="T4" s="3" t="s">
        <v>47</v>
      </c>
      <c r="U4" s="3" t="s">
        <v>138</v>
      </c>
      <c r="W4" s="3" t="s">
        <v>172</v>
      </c>
    </row>
    <row r="5" spans="1:24" ht="17.25" customHeight="1" x14ac:dyDescent="0.25">
      <c r="A5" s="13" t="str">
        <f>CHAR(9)</f>
        <v xml:space="preserve">	</v>
      </c>
      <c r="B5" s="14" t="s">
        <v>36</v>
      </c>
      <c r="C5" s="14" t="str">
        <f t="shared" si="0"/>
        <v>RealNum</v>
      </c>
      <c r="D5" s="15">
        <v>2</v>
      </c>
      <c r="E5" s="19" t="s">
        <v>25</v>
      </c>
      <c r="F5" s="15">
        <v>2</v>
      </c>
      <c r="G5" s="16" t="s">
        <v>37</v>
      </c>
      <c r="H5" s="14" t="s">
        <v>38</v>
      </c>
      <c r="K5" s="14" t="s">
        <v>201</v>
      </c>
      <c r="L5" s="14" t="s">
        <v>114</v>
      </c>
      <c r="M5" s="14"/>
      <c r="N5" s="14"/>
      <c r="O5" s="18" t="s">
        <v>39</v>
      </c>
      <c r="P5" s="15"/>
      <c r="Q5" s="16" t="s">
        <v>40</v>
      </c>
      <c r="R5" s="8" t="e">
        <f>IF(INDEX('PROJECT SETTINGS'!#REF!,ROW()-ROW(base!$R$3),1)="",base!$R6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6)</f>
        <v>#REF!</v>
      </c>
      <c r="S5" s="3" t="s">
        <v>100</v>
      </c>
      <c r="T5" s="3" t="s">
        <v>100</v>
      </c>
      <c r="W5" s="3" t="s">
        <v>178</v>
      </c>
    </row>
    <row r="6" spans="1:24" ht="17.25" customHeight="1" x14ac:dyDescent="0.25">
      <c r="A6" s="62" t="str">
        <f>CHAR(9)</f>
        <v xml:space="preserve">	</v>
      </c>
      <c r="B6" s="14" t="s">
        <v>41</v>
      </c>
      <c r="C6" s="14" t="str">
        <f t="shared" si="0"/>
        <v>ColorRGB</v>
      </c>
      <c r="D6" s="15">
        <v>2</v>
      </c>
      <c r="E6" s="14"/>
      <c r="F6" s="15"/>
      <c r="G6" s="16"/>
      <c r="H6" s="14"/>
      <c r="I6" s="14"/>
      <c r="J6" s="14"/>
      <c r="K6" s="14" t="s">
        <v>184</v>
      </c>
      <c r="L6" s="14" t="s">
        <v>115</v>
      </c>
      <c r="M6" s="14"/>
      <c r="N6" s="14"/>
      <c r="O6" s="18" t="s">
        <v>42</v>
      </c>
      <c r="P6" s="15"/>
      <c r="Q6" s="16" t="s">
        <v>43</v>
      </c>
      <c r="R6" s="8" t="e">
        <f>IF(INDEX('PROJECT SETTINGS'!#REF!,ROW()-ROW(base!$R$3),1)="",base!$R7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7)</f>
        <v>#REF!</v>
      </c>
      <c r="S6" s="3" t="s">
        <v>118</v>
      </c>
      <c r="T6" s="3" t="s">
        <v>36</v>
      </c>
    </row>
    <row r="7" spans="1:24" ht="17.25" customHeight="1" x14ac:dyDescent="0.25">
      <c r="A7" s="62" t="str">
        <f>CHAR(13)&amp;CHAR(10)</f>
        <v xml:space="preserve">_x000D_
</v>
      </c>
      <c r="B7" s="14" t="s">
        <v>44</v>
      </c>
      <c r="C7" s="14" t="str">
        <f t="shared" si="0"/>
        <v>Integer</v>
      </c>
      <c r="D7" s="15">
        <v>1</v>
      </c>
      <c r="E7" s="14" t="s">
        <v>44</v>
      </c>
      <c r="F7" s="15">
        <v>1</v>
      </c>
      <c r="G7" s="16" t="s">
        <v>26</v>
      </c>
      <c r="H7" s="14"/>
      <c r="I7" s="14"/>
      <c r="J7" s="14"/>
      <c r="K7" s="14"/>
      <c r="L7" s="14"/>
      <c r="M7" s="14"/>
      <c r="N7" s="14"/>
      <c r="O7" s="18" t="s">
        <v>45</v>
      </c>
      <c r="P7" s="15"/>
      <c r="Q7" s="16" t="s">
        <v>46</v>
      </c>
      <c r="R7" s="8" t="e">
        <f>IF(INDEX('PROJECT SETTINGS'!#REF!,ROW()-ROW(base!$R$3),1)="",base!$R8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8)</f>
        <v>#REF!</v>
      </c>
      <c r="S7" s="3" t="s">
        <v>129</v>
      </c>
      <c r="T7" s="3" t="s">
        <v>31</v>
      </c>
    </row>
    <row r="8" spans="1:24" ht="17.25" customHeight="1" x14ac:dyDescent="0.25">
      <c r="A8" s="14" t="str">
        <f>" | "</f>
        <v xml:space="preserve"> | </v>
      </c>
      <c r="B8" s="14" t="s">
        <v>47</v>
      </c>
      <c r="C8" s="14" t="str">
        <f t="shared" si="0"/>
        <v>Boolean</v>
      </c>
      <c r="D8" s="15">
        <v>1</v>
      </c>
      <c r="E8" s="14" t="s">
        <v>47</v>
      </c>
      <c r="F8" s="15" t="s">
        <v>48</v>
      </c>
      <c r="G8" s="16" t="s">
        <v>49</v>
      </c>
      <c r="H8" s="14"/>
      <c r="I8" s="14"/>
      <c r="J8" s="14"/>
      <c r="K8" s="14"/>
      <c r="L8" s="14"/>
      <c r="M8" s="14"/>
      <c r="N8" s="14"/>
      <c r="O8" s="14"/>
      <c r="P8" s="15"/>
      <c r="Q8" s="20"/>
      <c r="R8" s="8" t="e">
        <f>IF(INDEX('PROJECT SETTINGS'!#REF!,ROW()-ROW(base!$R$3),1)="",base!$R9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9)</f>
        <v>#REF!</v>
      </c>
      <c r="S8" s="3" t="s">
        <v>130</v>
      </c>
      <c r="T8" s="3" t="s">
        <v>24</v>
      </c>
    </row>
    <row r="9" spans="1:24" ht="17.25" customHeight="1" x14ac:dyDescent="0.25">
      <c r="A9" s="14"/>
      <c r="B9" s="14" t="s">
        <v>50</v>
      </c>
      <c r="C9" s="14" t="str">
        <f t="shared" si="0"/>
        <v>Material</v>
      </c>
      <c r="D9" s="15">
        <v>1</v>
      </c>
      <c r="E9" s="14"/>
      <c r="F9" s="15"/>
      <c r="G9" s="16"/>
      <c r="H9" s="14"/>
      <c r="I9" s="14"/>
      <c r="J9" s="14"/>
      <c r="K9" s="14"/>
      <c r="L9" s="14"/>
      <c r="M9" s="14"/>
      <c r="N9" s="14"/>
      <c r="O9" s="10" t="s">
        <v>131</v>
      </c>
      <c r="P9" s="15"/>
      <c r="Q9" s="14" t="str">
        <f>"aZBycXDWevFUgtHSirJQkpLNmo1!2+3§4$5%6&amp;7/8(9)0="</f>
        <v>aZBycXDWevFUgtHSirJQkpLNmo1!2+3§4$5%6&amp;7/8(9)0=</v>
      </c>
      <c r="R9" s="8" t="e">
        <f>IF(INDEX('PROJECT SETTINGS'!#REF!,ROW()-ROW(base!$R$3),1)="",base!$R10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10)</f>
        <v>#REF!</v>
      </c>
      <c r="S9" s="3" t="s">
        <v>102</v>
      </c>
      <c r="T9" s="3" t="s">
        <v>102</v>
      </c>
    </row>
    <row r="10" spans="1:24" ht="17.25" customHeight="1" x14ac:dyDescent="0.25">
      <c r="A10" s="14"/>
      <c r="B10" s="14" t="s">
        <v>51</v>
      </c>
      <c r="C10" s="14" t="str">
        <f t="shared" si="0"/>
        <v>LineType</v>
      </c>
      <c r="D10" s="15">
        <v>1</v>
      </c>
      <c r="E10" s="14"/>
      <c r="F10" s="15"/>
      <c r="G10" s="16"/>
      <c r="H10" s="14"/>
      <c r="I10" s="14"/>
      <c r="J10" s="14"/>
      <c r="K10" s="14"/>
      <c r="L10" s="14"/>
      <c r="M10" s="14"/>
      <c r="N10" s="14"/>
      <c r="O10" s="14"/>
      <c r="P10" s="15"/>
      <c r="Q10" s="16" t="str">
        <f>"-"&amp;MID(DEC2HEX(CODE('PROJECT SETTINGS'!$B$1)+2^6*CODE(MID('PROJECT SETTINGS'!$B$1&amp;makeGUID,2,1))+2^8*CODE(MID('PROJECT SETTINGS'!$B$1&amp;makeGUID,3,1))+2^10*CODE(MID('PROJECT SETTINGS'!$B$1&amp;makeGUID,4,1))+2^12*CODE(MID('PROJECT SETTINGS'!$B$1&amp;makeGUID,5,1))+2^14*CODE(MID('PROJECT SETTINGS'!$B$1&amp;makeGUID,6,1))+2^16*CODE(MID('PROJECT SETTINGS'!$B$1&amp;makeGUID,7,1))+2^18*CODE(MID('PROJECT SETTINGS'!$B$1&amp;makeGUID,8,1))+2^20*CODE(MID('PROJECT SETTINGS'!$B$1&amp;makeGUID,9,1))+2^22*CODE(MID('PROJECT SETTINGS'!$B$1&amp;makeGUID,10,1))+2^24*CODE(MID('PROJECT SETTINGS'!$B$1&amp;makeGUID,11,1)))&amp;DEC2HEX(2^6*CODE(MID('PROJECT SETTINGS'!$B$1&amp;makeGUID,26,1))&amp;2^6*CODE(MID('PROJECT SETTINGS'!$B$1&amp;makeGUID,28,1))),1,12)</f>
        <v>-92424BA22982</v>
      </c>
      <c r="R10" s="8" t="e">
        <f>IF(INDEX('PROJECT SETTINGS'!#REF!,ROW()-ROW(base!$R$3),1)="",base!$R11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11)</f>
        <v>#REF!</v>
      </c>
      <c r="S10" s="3" t="s">
        <v>101</v>
      </c>
      <c r="T10" s="3" t="s">
        <v>112</v>
      </c>
    </row>
    <row r="11" spans="1:24" ht="17.25" customHeight="1" x14ac:dyDescent="0.25">
      <c r="A11" s="14"/>
      <c r="B11" s="14" t="s">
        <v>52</v>
      </c>
      <c r="C11" s="14" t="str">
        <f t="shared" si="0"/>
        <v>FillPattern</v>
      </c>
      <c r="D11" s="15">
        <v>1</v>
      </c>
      <c r="E11" s="14"/>
      <c r="F11" s="15"/>
      <c r="G11" s="16"/>
      <c r="H11" s="14"/>
      <c r="I11" s="14"/>
      <c r="J11" s="14"/>
      <c r="K11" s="14"/>
      <c r="L11" s="14"/>
      <c r="M11" s="14"/>
      <c r="N11" s="14"/>
      <c r="O11" s="14"/>
      <c r="P11" s="15"/>
      <c r="Q11" s="14"/>
      <c r="R11" s="8" t="e">
        <f>IF(INDEX('PROJECT SETTINGS'!#REF!,ROW()-ROW(base!$R$3),1)="",base!$R12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12)</f>
        <v>#REF!</v>
      </c>
      <c r="S11" s="3" t="s">
        <v>95</v>
      </c>
      <c r="T11" s="3" t="s">
        <v>113</v>
      </c>
    </row>
    <row r="12" spans="1:24" ht="17.25" customHeight="1" x14ac:dyDescent="0.25">
      <c r="A12" s="14"/>
      <c r="B12" s="14" t="s">
        <v>53</v>
      </c>
      <c r="C12" s="14" t="str">
        <f t="shared" si="0"/>
        <v>PenColor</v>
      </c>
      <c r="D12" s="15">
        <v>1</v>
      </c>
      <c r="E12" s="14"/>
      <c r="F12" s="15"/>
      <c r="G12" s="16"/>
      <c r="H12" s="14"/>
      <c r="I12" s="14"/>
      <c r="J12" s="14"/>
      <c r="K12" s="14"/>
      <c r="L12" s="14"/>
      <c r="M12" s="14"/>
      <c r="N12" s="14"/>
      <c r="O12" s="14"/>
      <c r="P12" s="15"/>
      <c r="Q12" s="14"/>
      <c r="R12" s="8" t="e">
        <f>IF(INDEX('PROJECT SETTINGS'!#REF!,ROW()-ROW(base!$R$3),1)="",base!$R13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13)</f>
        <v>#REF!</v>
      </c>
      <c r="S12" s="3" t="s">
        <v>105</v>
      </c>
      <c r="T12" s="3" t="s">
        <v>114</v>
      </c>
    </row>
    <row r="13" spans="1:24" ht="17.25" customHeight="1" x14ac:dyDescent="0.25">
      <c r="A13" s="14"/>
      <c r="B13" s="14" t="s">
        <v>185</v>
      </c>
      <c r="C13" s="14" t="str">
        <f t="shared" si="0"/>
        <v>BuildingMat</v>
      </c>
      <c r="D13" s="15">
        <v>1</v>
      </c>
      <c r="E13" s="14"/>
      <c r="F13" s="15"/>
      <c r="G13" s="16"/>
      <c r="H13" s="14"/>
      <c r="I13" s="14"/>
      <c r="J13" s="14"/>
      <c r="K13" s="14"/>
      <c r="L13" s="14"/>
      <c r="M13" s="14"/>
      <c r="N13" s="14"/>
      <c r="O13" s="14"/>
      <c r="P13" s="15"/>
      <c r="Q13" s="14"/>
      <c r="R13" s="8" t="e">
        <f>IF(INDEX('PROJECT SETTINGS'!#REF!,ROW()-ROW(base!$R$3),1)="",base!$R14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14)</f>
        <v>#REF!</v>
      </c>
      <c r="S13" s="3" t="s">
        <v>116</v>
      </c>
      <c r="T13" s="3" t="str">
        <f>""</f>
        <v/>
      </c>
    </row>
    <row r="14" spans="1:24" ht="17.25" customHeight="1" x14ac:dyDescent="0.25">
      <c r="A14" s="14"/>
      <c r="B14" s="14" t="s">
        <v>186</v>
      </c>
      <c r="C14" s="14" t="str">
        <f t="shared" si="0"/>
        <v>Profile</v>
      </c>
      <c r="D14" s="15">
        <v>1</v>
      </c>
      <c r="E14" s="14"/>
      <c r="F14" s="15"/>
      <c r="G14" s="16"/>
      <c r="H14" s="14"/>
      <c r="I14" s="14"/>
      <c r="J14" s="14"/>
      <c r="K14" s="14"/>
      <c r="L14" s="14"/>
      <c r="M14" s="14"/>
      <c r="N14" s="14"/>
      <c r="O14" s="14"/>
      <c r="P14" s="15"/>
      <c r="Q14" s="14"/>
      <c r="R14" s="8" t="e">
        <f>IF(INDEX('PROJECT SETTINGS'!#REF!,ROW()-ROW(base!$R$3),1)="",base!$R15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15)</f>
        <v>#REF!</v>
      </c>
      <c r="S14" s="3" t="s">
        <v>121</v>
      </c>
      <c r="T14" s="3" t="s">
        <v>126</v>
      </c>
    </row>
    <row r="15" spans="1:24" ht="17.25" customHeight="1" x14ac:dyDescent="0.25">
      <c r="A15" s="14"/>
      <c r="B15" s="14" t="s">
        <v>54</v>
      </c>
      <c r="C15" s="14" t="str">
        <f t="shared" si="0"/>
        <v>LightSwitch</v>
      </c>
      <c r="D15" s="15">
        <v>1</v>
      </c>
      <c r="E15" s="14"/>
      <c r="F15" s="15"/>
      <c r="G15" s="16"/>
      <c r="H15" s="14"/>
      <c r="I15" s="14"/>
      <c r="J15" s="14"/>
      <c r="K15" s="14"/>
      <c r="L15" s="14"/>
      <c r="M15" s="14"/>
      <c r="N15" s="14"/>
      <c r="O15" s="14"/>
      <c r="P15" s="15"/>
      <c r="Q15" s="14"/>
      <c r="R15" s="8" t="e">
        <f>IF(INDEX('PROJECT SETTINGS'!#REF!,ROW()-ROW(base!$R$3),1)="",base!$R16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16)</f>
        <v>#REF!</v>
      </c>
      <c r="S15" s="3" t="s">
        <v>119</v>
      </c>
      <c r="T15" s="3" t="s">
        <v>127</v>
      </c>
    </row>
    <row r="16" spans="1:24" ht="17.25" customHeight="1" x14ac:dyDescent="0.25">
      <c r="A16" s="14"/>
      <c r="B16" s="14" t="s">
        <v>55</v>
      </c>
      <c r="C16" s="14" t="str">
        <f t="shared" si="0"/>
        <v>Intensity</v>
      </c>
      <c r="D16" s="15">
        <v>1</v>
      </c>
      <c r="E16" s="14"/>
      <c r="F16" s="15"/>
      <c r="G16" s="16"/>
      <c r="H16" s="14"/>
      <c r="I16" s="14"/>
      <c r="J16" s="14"/>
      <c r="K16" s="14"/>
      <c r="L16" s="14"/>
      <c r="M16" s="14"/>
      <c r="N16" s="14"/>
      <c r="O16" s="14"/>
      <c r="P16" s="15"/>
      <c r="Q16" s="14"/>
      <c r="R16" s="8" t="e">
        <f>IF(INDEX('PROJECT SETTINGS'!#REF!,ROW()-ROW(base!$R$3),1)="",base!$R17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17)</f>
        <v>#REF!</v>
      </c>
      <c r="S16" s="3" t="s">
        <v>120</v>
      </c>
      <c r="T16" s="3" t="s">
        <v>128</v>
      </c>
    </row>
    <row r="17" spans="1:20" ht="17.25" customHeight="1" x14ac:dyDescent="0.25">
      <c r="A17" s="14"/>
      <c r="B17" s="14" t="s">
        <v>56</v>
      </c>
      <c r="C17" s="14" t="str">
        <f t="shared" si="0"/>
        <v>Separator</v>
      </c>
      <c r="D17" s="15"/>
      <c r="E17" s="14"/>
      <c r="F17" s="15"/>
      <c r="G17" s="16"/>
      <c r="H17" s="14"/>
      <c r="I17" s="14"/>
      <c r="J17" s="14"/>
      <c r="K17" s="14"/>
      <c r="L17" s="14"/>
      <c r="M17" s="14"/>
      <c r="N17" s="14"/>
      <c r="O17" s="14"/>
      <c r="P17" s="15"/>
      <c r="Q17" s="14"/>
      <c r="R17" s="8" t="e">
        <f>IF(INDEX('PROJECT SETTINGS'!#REF!,ROW()-ROW(base!$R$3),1)="",base!$R18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18)</f>
        <v>#REF!</v>
      </c>
      <c r="S17" s="3" t="s">
        <v>123</v>
      </c>
      <c r="T17" s="3" t="s">
        <v>124</v>
      </c>
    </row>
    <row r="18" spans="1:20" ht="17.25" customHeight="1" x14ac:dyDescent="0.25">
      <c r="A18" s="14"/>
      <c r="B18" s="14" t="s">
        <v>57</v>
      </c>
      <c r="C18" s="14" t="str">
        <f t="shared" si="0"/>
        <v>Title</v>
      </c>
      <c r="D18" s="15"/>
      <c r="E18" s="14"/>
      <c r="F18" s="15"/>
      <c r="G18" s="16"/>
      <c r="H18" s="14"/>
      <c r="I18" s="14"/>
      <c r="J18" s="14"/>
      <c r="K18" s="14"/>
      <c r="L18" s="14"/>
      <c r="M18" s="14"/>
      <c r="N18" s="14"/>
      <c r="O18" s="14"/>
      <c r="P18" s="15"/>
      <c r="Q18" s="14"/>
      <c r="R18" s="8" t="e">
        <f>IF(INDEX('PROJECT SETTINGS'!#REF!,ROW()-ROW(base!$R$3),1)="",base!$R19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19)</f>
        <v>#REF!</v>
      </c>
    </row>
    <row r="19" spans="1:20" ht="17.25" customHeight="1" x14ac:dyDescent="0.25">
      <c r="B19" s="14" t="s">
        <v>58</v>
      </c>
      <c r="C19" s="14"/>
      <c r="D19" s="15"/>
      <c r="E19" s="14" t="s">
        <v>18</v>
      </c>
      <c r="F19" s="15" t="s">
        <v>34</v>
      </c>
      <c r="G19" s="16" t="s">
        <v>59</v>
      </c>
      <c r="K19" s="14"/>
      <c r="L19" s="14"/>
      <c r="R19" s="8" t="e">
        <f>IF(INDEX('PROJECT SETTINGS'!#REF!,ROW()-ROW(base!$R$3),1)="",base!$R20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20)</f>
        <v>#REF!</v>
      </c>
    </row>
    <row r="20" spans="1:20" ht="17.25" customHeight="1" x14ac:dyDescent="0.25">
      <c r="B20" s="14" t="s">
        <v>60</v>
      </c>
      <c r="C20" s="14"/>
      <c r="D20" s="15"/>
      <c r="E20" s="14" t="s">
        <v>18</v>
      </c>
      <c r="F20" s="15" t="s">
        <v>61</v>
      </c>
      <c r="G20" s="16" t="s">
        <v>62</v>
      </c>
      <c r="K20" s="14"/>
      <c r="R20" s="8" t="e">
        <f>IF(INDEX('PROJECT SETTINGS'!#REF!,ROW()-ROW(base!$R$3),1)="",base!$R21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21)</f>
        <v>#REF!</v>
      </c>
    </row>
    <row r="21" spans="1:20" ht="17.25" customHeight="1" x14ac:dyDescent="0.25">
      <c r="R21" s="8" t="e">
        <f>IF(INDEX('PROJECT SETTINGS'!#REF!,ROW()-ROW(base!$R$3),1)="",base!$R22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22)</f>
        <v>#REF!</v>
      </c>
    </row>
    <row r="22" spans="1:20" ht="17.25" customHeight="1" x14ac:dyDescent="0.25">
      <c r="R22" s="8" t="e">
        <f>IF(INDEX('PROJECT SETTINGS'!#REF!,ROW()-ROW(base!$R$3),1)="",base!$R23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23)</f>
        <v>#REF!</v>
      </c>
    </row>
    <row r="23" spans="1:20" ht="17.25" customHeight="1" x14ac:dyDescent="0.25">
      <c r="R23" s="8" t="e">
        <f>IF(INDEX('PROJECT SETTINGS'!#REF!,ROW()-ROW(base!$R$3),1)="",base!$R24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24)</f>
        <v>#REF!</v>
      </c>
    </row>
    <row r="24" spans="1:20" ht="17.25" customHeight="1" x14ac:dyDescent="0.25">
      <c r="R24" s="8" t="e">
        <f>IF(INDEX('PROJECT SETTINGS'!#REF!,ROW()-ROW(base!$R$3),1)="",base!$R25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25)</f>
        <v>#REF!</v>
      </c>
    </row>
    <row r="25" spans="1:20" ht="17.25" customHeight="1" x14ac:dyDescent="0.25">
      <c r="R25" s="8" t="e">
        <f>IF(INDEX('PROJECT SETTINGS'!#REF!,ROW()-ROW(base!$R$3),1)="",base!$R26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26)</f>
        <v>#REF!</v>
      </c>
    </row>
    <row r="26" spans="1:20" ht="17.25" customHeight="1" x14ac:dyDescent="0.25">
      <c r="R26" s="8" t="e">
        <f>IF(INDEX('PROJECT SETTINGS'!#REF!,ROW()-ROW(base!$R$3),1)="",base!$R27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27)</f>
        <v>#REF!</v>
      </c>
    </row>
    <row r="27" spans="1:20" ht="17.25" customHeight="1" x14ac:dyDescent="0.25">
      <c r="R27" s="8" t="e">
        <f>IF(INDEX('PROJECT SETTINGS'!#REF!,ROW()-ROW(base!$R$3),1)="",base!$R28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28)</f>
        <v>#REF!</v>
      </c>
    </row>
    <row r="28" spans="1:20" ht="17.25" customHeight="1" x14ac:dyDescent="0.25">
      <c r="R28" s="8" t="e">
        <f>IF(INDEX('PROJECT SETTINGS'!#REF!,ROW()-ROW(base!$R$3),1)="",base!$R29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29)</f>
        <v>#REF!</v>
      </c>
    </row>
    <row r="29" spans="1:20" ht="17.25" customHeight="1" x14ac:dyDescent="0.25">
      <c r="R29" s="8" t="e">
        <f>IF(INDEX('PROJECT SETTINGS'!#REF!,ROW()-ROW(base!$R$3),1)="",base!$R30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30)</f>
        <v>#REF!</v>
      </c>
    </row>
    <row r="30" spans="1:20" ht="17.25" customHeight="1" x14ac:dyDescent="0.25">
      <c r="R30" s="8" t="e">
        <f>IF(INDEX('PROJECT SETTINGS'!#REF!,ROW()-ROW(base!$R$3),1)="",base!$R31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31)</f>
        <v>#REF!</v>
      </c>
    </row>
    <row r="31" spans="1:20" ht="17.25" customHeight="1" x14ac:dyDescent="0.25">
      <c r="R31" s="8" t="e">
        <f>IF(INDEX('PROJECT SETTINGS'!#REF!,ROW()-ROW(base!$R$3),1)="",base!$R32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32)</f>
        <v>#REF!</v>
      </c>
    </row>
    <row r="32" spans="1:20" ht="17.25" customHeight="1" x14ac:dyDescent="0.25">
      <c r="R32" s="8" t="e">
        <f>IF(INDEX('PROJECT SETTINGS'!#REF!,ROW()-ROW(base!$R$3),1)="",base!$R33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33)</f>
        <v>#REF!</v>
      </c>
    </row>
    <row r="33" spans="18:18" ht="17.25" customHeight="1" x14ac:dyDescent="0.25">
      <c r="R33" s="8" t="e">
        <f>IF(INDEX('PROJECT SETTINGS'!#REF!,ROW()-ROW(base!$R$3),1)="",base!$R34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34)</f>
        <v>#REF!</v>
      </c>
    </row>
    <row r="34" spans="18:18" ht="17.25" customHeight="1" x14ac:dyDescent="0.25">
      <c r="R34" s="8" t="e">
        <f>IF(INDEX('PROJECT SETTINGS'!#REF!,ROW()-ROW(base!$R$3),1)="",base!$R35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35)</f>
        <v>#REF!</v>
      </c>
    </row>
    <row r="35" spans="18:18" ht="17.25" customHeight="1" x14ac:dyDescent="0.25">
      <c r="R35" s="8" t="e">
        <f>IF(INDEX('PROJECT SETTINGS'!#REF!,ROW()-ROW(base!$R$3),1)="",base!$R36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36)</f>
        <v>#REF!</v>
      </c>
    </row>
    <row r="36" spans="18:18" ht="17.25" customHeight="1" x14ac:dyDescent="0.25">
      <c r="R36" s="8" t="e">
        <f>IF(INDEX('PROJECT SETTINGS'!#REF!,ROW()-ROW(base!$R$3),1)="",base!$R37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37)</f>
        <v>#REF!</v>
      </c>
    </row>
    <row r="37" spans="18:18" ht="17.25" customHeight="1" x14ac:dyDescent="0.25">
      <c r="R37" s="8" t="e">
        <f>IF(INDEX('PROJECT SETTINGS'!#REF!,ROW()-ROW(base!$R$3),1)="",base!$R38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38)</f>
        <v>#REF!</v>
      </c>
    </row>
    <row r="38" spans="18:18" ht="17.25" customHeight="1" x14ac:dyDescent="0.25">
      <c r="R38" s="8" t="e">
        <f>IF(INDEX('PROJECT SETTINGS'!#REF!,ROW()-ROW(base!$R$3),1)="",base!$R39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39)</f>
        <v>#REF!</v>
      </c>
    </row>
    <row r="39" spans="18:18" ht="17.25" customHeight="1" x14ac:dyDescent="0.25">
      <c r="R39" s="8" t="e">
        <f>IF(INDEX('PROJECT SETTINGS'!#REF!,ROW()-ROW(base!$R$3),1)="",base!$R40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40)</f>
        <v>#REF!</v>
      </c>
    </row>
    <row r="40" spans="18:18" ht="17.25" customHeight="1" x14ac:dyDescent="0.25">
      <c r="R40" s="8" t="e">
        <f>IF(INDEX('PROJECT SETTINGS'!#REF!,ROW()-ROW(base!$R$3),1)="",base!$R41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41)</f>
        <v>#REF!</v>
      </c>
    </row>
    <row r="41" spans="18:18" ht="17.25" customHeight="1" x14ac:dyDescent="0.25">
      <c r="R41" s="8" t="e">
        <f>IF(INDEX('PROJECT SETTINGS'!#REF!,ROW()-ROW(base!$R$3),1)="",base!$R42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42)</f>
        <v>#REF!</v>
      </c>
    </row>
    <row r="42" spans="18:18" ht="17.25" customHeight="1" x14ac:dyDescent="0.25">
      <c r="R42" s="8" t="e">
        <f>IF(INDEX('PROJECT SETTINGS'!#REF!,ROW()-ROW(base!$R$3),1)="",base!$R43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43)</f>
        <v>#REF!</v>
      </c>
    </row>
    <row r="43" spans="18:18" ht="17.25" customHeight="1" x14ac:dyDescent="0.25">
      <c r="R43" s="8" t="e">
        <f>IF(INDEX('PROJECT SETTINGS'!#REF!,ROW()-ROW(base!$R$3),1)="",base!$R44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44)</f>
        <v>#REF!</v>
      </c>
    </row>
    <row r="44" spans="18:18" ht="17.25" customHeight="1" x14ac:dyDescent="0.25">
      <c r="R44" s="8" t="e">
        <f>IF(INDEX('PROJECT SETTINGS'!#REF!,ROW()-ROW(base!$R$3),1)="",base!$R45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45)</f>
        <v>#REF!</v>
      </c>
    </row>
    <row r="45" spans="18:18" ht="17.25" customHeight="1" x14ac:dyDescent="0.25">
      <c r="R45" s="8" t="e">
        <f>IF(INDEX('PROJECT SETTINGS'!#REF!,ROW()-ROW(base!$R$3),1)="",base!$R46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46)</f>
        <v>#REF!</v>
      </c>
    </row>
    <row r="46" spans="18:18" ht="17.25" customHeight="1" x14ac:dyDescent="0.25">
      <c r="R46" s="8" t="e">
        <f>IF(INDEX('PROJECT SETTINGS'!#REF!,ROW()-ROW(base!$R$3),1)="",base!$R47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47)</f>
        <v>#REF!</v>
      </c>
    </row>
    <row r="47" spans="18:18" ht="17.25" customHeight="1" x14ac:dyDescent="0.25">
      <c r="R47" s="8" t="e">
        <f>IF(INDEX('PROJECT SETTINGS'!#REF!,ROW()-ROW(base!$R$3),1)="",base!$R48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48)</f>
        <v>#REF!</v>
      </c>
    </row>
    <row r="48" spans="18:18" ht="17.25" customHeight="1" x14ac:dyDescent="0.25">
      <c r="R48" s="8" t="e">
        <f>IF(INDEX('PROJECT SETTINGS'!#REF!,ROW()-ROW(base!$R$3),1)="",base!$R49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49)</f>
        <v>#REF!</v>
      </c>
    </row>
    <row r="49" spans="18:20" ht="17.25" customHeight="1" x14ac:dyDescent="0.25">
      <c r="R49" s="8" t="e">
        <f>IF(INDEX('PROJECT SETTINGS'!#REF!,ROW()-ROW(base!$R$3),1)="",base!$R50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50)</f>
        <v>#REF!</v>
      </c>
    </row>
    <row r="50" spans="18:20" ht="17.25" customHeight="1" x14ac:dyDescent="0.25">
      <c r="R50" s="8" t="e">
        <f>IF(INDEX('PROJECT SETTINGS'!#REF!,ROW()-ROW(base!$R$3),1)="",base!$R51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51)</f>
        <v>#REF!</v>
      </c>
    </row>
    <row r="51" spans="18:20" ht="17.25" customHeight="1" x14ac:dyDescent="0.25">
      <c r="R51" s="8" t="e">
        <f>IF(INDEX('PROJECT SETTINGS'!#REF!,ROW()-ROW(base!$R$3),1)="",base!$R52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52)</f>
        <v>#REF!</v>
      </c>
    </row>
    <row r="52" spans="18:20" ht="17.25" customHeight="1" x14ac:dyDescent="0.25">
      <c r="R52" s="8" t="e">
        <f>IF(INDEX('PROJECT SETTINGS'!#REF!,ROW()-ROW(base!$R$3),1)="",base!$R53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53)</f>
        <v>#REF!</v>
      </c>
    </row>
    <row r="53" spans="18:20" ht="17.25" customHeight="1" x14ac:dyDescent="0.25">
      <c r="R53" s="8" t="e">
        <f>IF(INDEX('PROJECT SETTINGS'!#REF!,ROW()-ROW(base!$R$3),1)="",base!$R54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54)</f>
        <v>#REF!</v>
      </c>
    </row>
    <row r="54" spans="18:20" ht="17.25" customHeight="1" x14ac:dyDescent="0.25">
      <c r="R54" s="8" t="e">
        <f>IF(INDEX('PROJECT SETTINGS'!#REF!,ROW()-ROW(base!$R$3),1)="",base!$R55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55)</f>
        <v>#REF!</v>
      </c>
    </row>
    <row r="55" spans="18:20" ht="17.25" customHeight="1" x14ac:dyDescent="0.25">
      <c r="R55" s="8" t="e">
        <f>IF(INDEX('PROJECT SETTINGS'!#REF!,ROW()-ROW(base!$R$3),1)="",base!$R56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56)</f>
        <v>#REF!</v>
      </c>
    </row>
    <row r="56" spans="18:20" ht="17.25" customHeight="1" thickBot="1" x14ac:dyDescent="0.3">
      <c r="R56" s="8" t="e">
        <f>IF(INDEX('PROJECT SETTINGS'!#REF!,ROW()-ROW(base!$R$3),1)="",base!$R57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57)</f>
        <v>#REF!</v>
      </c>
    </row>
    <row r="57" spans="18:20" ht="21" customHeight="1" thickTop="1" x14ac:dyDescent="0.25">
      <c r="R57" s="9"/>
      <c r="S57" s="9"/>
      <c r="T57" s="9"/>
    </row>
    <row r="58" spans="18:20" ht="21" customHeight="1" x14ac:dyDescent="0.25">
      <c r="R58" s="8"/>
    </row>
    <row r="59" spans="18:20" ht="21" customHeight="1" x14ac:dyDescent="0.25">
      <c r="R59" s="8"/>
    </row>
    <row r="60" spans="18:20" ht="21" customHeight="1" x14ac:dyDescent="0.25">
      <c r="R60" s="8"/>
    </row>
    <row r="61" spans="18:20" ht="21" customHeight="1" x14ac:dyDescent="0.25">
      <c r="R61" s="8"/>
    </row>
    <row r="62" spans="18:20" ht="21" customHeight="1" x14ac:dyDescent="0.25">
      <c r="R62" s="8"/>
    </row>
    <row r="63" spans="18:20" ht="21" customHeight="1" x14ac:dyDescent="0.25">
      <c r="R63" s="8"/>
    </row>
    <row r="64" spans="18:20" ht="21" customHeight="1" x14ac:dyDescent="0.25">
      <c r="R64" s="8"/>
    </row>
    <row r="65" spans="18:18" ht="21" customHeight="1" x14ac:dyDescent="0.25">
      <c r="R65" s="8"/>
    </row>
    <row r="66" spans="18:18" ht="21" customHeight="1" x14ac:dyDescent="0.25">
      <c r="R66" s="8"/>
    </row>
    <row r="67" spans="18:18" ht="21" customHeight="1" x14ac:dyDescent="0.25">
      <c r="R67" s="8"/>
    </row>
    <row r="68" spans="18:18" ht="21" customHeight="1" x14ac:dyDescent="0.25">
      <c r="R68" s="8"/>
    </row>
  </sheetData>
  <mergeCells count="2">
    <mergeCell ref="E1:G1"/>
    <mergeCell ref="S1:T1"/>
  </mergeCells>
  <phoneticPr fontId="7" type="noConversion"/>
  <pageMargins left="0.7" right="0.7" top="0.78740157499999996" bottom="0.78740157499999996" header="0.3" footer="0.3"/>
  <pageSetup paperSize="9"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5"/>
  <dimension ref="A1:G204"/>
  <sheetViews>
    <sheetView showZeros="0" workbookViewId="0">
      <pane ySplit="5352" topLeftCell="A13"/>
      <selection activeCell="F3" sqref="F3:F4"/>
      <selection pane="bottomLeft" activeCell="B27" sqref="B27"/>
    </sheetView>
  </sheetViews>
  <sheetFormatPr baseColWidth="10" defaultColWidth="11.44140625" defaultRowHeight="13.8" outlineLevelRow="1" x14ac:dyDescent="0.25"/>
  <cols>
    <col min="1" max="1" width="20" style="75" bestFit="1" customWidth="1"/>
    <col min="2" max="2" width="20.44140625" style="73" customWidth="1"/>
    <col min="3" max="4" width="4.5546875" style="74" customWidth="1"/>
    <col min="5" max="5" width="4.5546875" style="75" customWidth="1"/>
    <col min="6" max="6" width="18" style="72" customWidth="1"/>
    <col min="7" max="7" width="10.5546875" style="82" customWidth="1"/>
    <col min="8" max="16384" width="11.44140625" style="49"/>
  </cols>
  <sheetData>
    <row r="1" spans="1:7" ht="43.5" customHeight="1" thickBot="1" x14ac:dyDescent="0.3">
      <c r="A1" s="271" t="str">
        <f>'RAW IMPORT'!A1</f>
        <v>Produkt</v>
      </c>
      <c r="B1" s="271">
        <f>'RAW IMPORT'!B1</f>
        <v>0</v>
      </c>
      <c r="C1" s="104" t="str">
        <f>'RAW IMPORT'!C1</f>
        <v>Breite</v>
      </c>
      <c r="D1" s="104" t="str">
        <f>'RAW IMPORT'!D1</f>
        <v>Tiefe</v>
      </c>
      <c r="E1" s="104">
        <f>'RAW IMPORT'!E1</f>
        <v>0</v>
      </c>
      <c r="F1" s="83" t="s">
        <v>142</v>
      </c>
      <c r="G1" s="83"/>
    </row>
    <row r="2" spans="1:7" ht="55.8" outlineLevel="1" thickTop="1" x14ac:dyDescent="0.25">
      <c r="A2" s="92" t="str">
        <f>A12</f>
        <v>Typ</v>
      </c>
      <c r="B2" s="93" t="str">
        <f>B12</f>
        <v>Name</v>
      </c>
      <c r="C2" s="149" t="str">
        <f>C1</f>
        <v>Breite</v>
      </c>
      <c r="D2" s="149" t="str">
        <f>D1</f>
        <v>Tiefe</v>
      </c>
      <c r="E2" s="150">
        <f>E1</f>
        <v>0</v>
      </c>
      <c r="F2" s="151" t="s">
        <v>151</v>
      </c>
      <c r="G2" s="105" t="s">
        <v>183</v>
      </c>
    </row>
    <row r="3" spans="1:7" s="78" customFormat="1" ht="14.4" outlineLevel="1" x14ac:dyDescent="0.25">
      <c r="A3" s="88"/>
      <c r="B3" s="77"/>
      <c r="C3" s="76"/>
      <c r="D3" s="128"/>
      <c r="E3" s="89"/>
      <c r="F3" s="107"/>
      <c r="G3" s="106">
        <v>0</v>
      </c>
    </row>
    <row r="4" spans="1:7" s="78" customFormat="1" ht="14.4" outlineLevel="1" x14ac:dyDescent="0.25">
      <c r="A4" s="88"/>
      <c r="B4" s="76"/>
      <c r="C4" s="77"/>
      <c r="D4" s="77"/>
      <c r="E4" s="89"/>
      <c r="F4" s="107"/>
      <c r="G4" s="106">
        <v>0</v>
      </c>
    </row>
    <row r="5" spans="1:7" s="78" customFormat="1" ht="14.4" outlineLevel="1" x14ac:dyDescent="0.25">
      <c r="A5" s="88"/>
      <c r="B5" s="76"/>
      <c r="C5" s="76"/>
      <c r="D5" s="128"/>
      <c r="E5" s="89"/>
      <c r="F5" s="107"/>
      <c r="G5" s="106">
        <v>0</v>
      </c>
    </row>
    <row r="6" spans="1:7" s="78" customFormat="1" ht="14.4" outlineLevel="1" x14ac:dyDescent="0.25">
      <c r="A6" s="88"/>
      <c r="B6" s="76"/>
      <c r="C6" s="76"/>
      <c r="D6" s="128"/>
      <c r="E6" s="89"/>
      <c r="F6" s="107"/>
      <c r="G6" s="106">
        <v>0</v>
      </c>
    </row>
    <row r="7" spans="1:7" s="78" customFormat="1" ht="14.4" outlineLevel="1" x14ac:dyDescent="0.25">
      <c r="A7" s="88"/>
      <c r="B7" s="76"/>
      <c r="C7" s="76"/>
      <c r="D7" s="128"/>
      <c r="E7" s="89"/>
      <c r="F7" s="107"/>
      <c r="G7" s="106">
        <v>0</v>
      </c>
    </row>
    <row r="8" spans="1:7" s="78" customFormat="1" ht="14.4" outlineLevel="1" x14ac:dyDescent="0.25">
      <c r="A8" s="88"/>
      <c r="B8" s="76"/>
      <c r="C8" s="76"/>
      <c r="D8" s="128"/>
      <c r="E8" s="89"/>
      <c r="F8" s="107"/>
      <c r="G8" s="106">
        <v>0</v>
      </c>
    </row>
    <row r="9" spans="1:7" s="78" customFormat="1" ht="14.4" outlineLevel="1" x14ac:dyDescent="0.25">
      <c r="A9" s="88"/>
      <c r="B9" s="76"/>
      <c r="C9" s="76"/>
      <c r="D9" s="128"/>
      <c r="E9" s="89"/>
      <c r="F9" s="107"/>
      <c r="G9" s="106">
        <v>0</v>
      </c>
    </row>
    <row r="10" spans="1:7" s="78" customFormat="1" ht="14.4" outlineLevel="1" x14ac:dyDescent="0.25">
      <c r="A10" s="88"/>
      <c r="B10" s="76"/>
      <c r="C10" s="76"/>
      <c r="D10" s="128"/>
      <c r="E10" s="89"/>
      <c r="F10" s="107"/>
      <c r="G10" s="106">
        <v>0</v>
      </c>
    </row>
    <row r="11" spans="1:7" s="78" customFormat="1" ht="15" outlineLevel="1" thickBot="1" x14ac:dyDescent="0.3">
      <c r="A11" s="88"/>
      <c r="B11" s="76"/>
      <c r="C11" s="76"/>
      <c r="D11" s="128"/>
      <c r="E11" s="89"/>
      <c r="F11" s="107"/>
      <c r="G11" s="106">
        <v>0</v>
      </c>
    </row>
    <row r="12" spans="1:7" ht="15.75" customHeight="1" thickTop="1" thickBot="1" x14ac:dyDescent="0.3">
      <c r="A12" s="124" t="str">
        <f>'RAW IMPORT'!A2</f>
        <v>Typ</v>
      </c>
      <c r="B12" s="125" t="str">
        <f>'RAW IMPORT'!B2</f>
        <v>Name</v>
      </c>
      <c r="C12" s="126">
        <f>'RAW IMPORT'!C2</f>
        <v>0</v>
      </c>
      <c r="D12" s="129">
        <f>'RAW IMPORT'!D2</f>
        <v>0</v>
      </c>
      <c r="E12" s="127">
        <f>'RAW IMPORT'!E2</f>
        <v>0</v>
      </c>
      <c r="F12" s="101"/>
      <c r="G12" s="49"/>
    </row>
    <row r="13" spans="1:7" s="72" customFormat="1" ht="15" customHeight="1" thickTop="1" x14ac:dyDescent="0.25">
      <c r="A13" s="68">
        <f>'RAW IMPORT'!A3</f>
        <v>0</v>
      </c>
      <c r="B13" s="69">
        <f>'RAW IMPORT'!B3</f>
        <v>0</v>
      </c>
      <c r="C13" s="71">
        <f>'RAW IMPORT'!C3</f>
        <v>0</v>
      </c>
      <c r="D13" s="81">
        <f>'RAW IMPORT'!D3</f>
        <v>0</v>
      </c>
      <c r="E13" s="81">
        <f>'RAW IMPORT'!E3</f>
        <v>0</v>
      </c>
      <c r="F13" s="103"/>
      <c r="G13" s="67"/>
    </row>
    <row r="14" spans="1:7" ht="15" customHeight="1" x14ac:dyDescent="0.25">
      <c r="A14" s="68">
        <f>'RAW IMPORT'!A4</f>
        <v>0</v>
      </c>
      <c r="B14" s="69">
        <f>'RAW IMPORT'!B4</f>
        <v>0</v>
      </c>
      <c r="C14" s="71">
        <f>'RAW IMPORT'!C4</f>
        <v>0</v>
      </c>
      <c r="D14" s="81">
        <f>'RAW IMPORT'!D4</f>
        <v>0</v>
      </c>
      <c r="E14" s="81">
        <f>'RAW IMPORT'!E4</f>
        <v>0</v>
      </c>
      <c r="F14" s="103"/>
      <c r="G14" s="67"/>
    </row>
    <row r="15" spans="1:7" ht="15" customHeight="1" x14ac:dyDescent="0.25">
      <c r="A15" s="68">
        <f>'RAW IMPORT'!A5</f>
        <v>0</v>
      </c>
      <c r="B15" s="69">
        <f>'RAW IMPORT'!B5</f>
        <v>0</v>
      </c>
      <c r="C15" s="71">
        <f>'RAW IMPORT'!C5</f>
        <v>0</v>
      </c>
      <c r="D15" s="81">
        <f>'RAW IMPORT'!D5</f>
        <v>0</v>
      </c>
      <c r="E15" s="81">
        <f>'RAW IMPORT'!E5</f>
        <v>0</v>
      </c>
      <c r="F15" s="103"/>
      <c r="G15" s="67"/>
    </row>
    <row r="16" spans="1:7" ht="15" customHeight="1" x14ac:dyDescent="0.25">
      <c r="A16" s="68">
        <f>'RAW IMPORT'!A6</f>
        <v>0</v>
      </c>
      <c r="B16" s="69">
        <f>'RAW IMPORT'!B6</f>
        <v>0</v>
      </c>
      <c r="C16" s="71">
        <f>'RAW IMPORT'!C6</f>
        <v>0</v>
      </c>
      <c r="D16" s="81">
        <f>'RAW IMPORT'!D6</f>
        <v>0</v>
      </c>
      <c r="E16" s="81">
        <f>'RAW IMPORT'!E6</f>
        <v>0</v>
      </c>
      <c r="F16" s="103"/>
      <c r="G16" s="67"/>
    </row>
    <row r="17" spans="1:7" ht="15" customHeight="1" x14ac:dyDescent="0.25">
      <c r="A17" s="68">
        <f>'RAW IMPORT'!A7</f>
        <v>0</v>
      </c>
      <c r="B17" s="69">
        <f>'RAW IMPORT'!B7</f>
        <v>0</v>
      </c>
      <c r="C17" s="71">
        <f>'RAW IMPORT'!C7</f>
        <v>0</v>
      </c>
      <c r="D17" s="81">
        <f>'RAW IMPORT'!D7</f>
        <v>0</v>
      </c>
      <c r="E17" s="81">
        <f>'RAW IMPORT'!E7</f>
        <v>0</v>
      </c>
      <c r="F17" s="103"/>
      <c r="G17" s="67"/>
    </row>
    <row r="18" spans="1:7" ht="15" customHeight="1" x14ac:dyDescent="0.25">
      <c r="A18" s="68">
        <f>'RAW IMPORT'!A8</f>
        <v>0</v>
      </c>
      <c r="B18" s="69">
        <f>'RAW IMPORT'!B8</f>
        <v>0</v>
      </c>
      <c r="C18" s="71">
        <f>'RAW IMPORT'!C8</f>
        <v>0</v>
      </c>
      <c r="D18" s="81">
        <f>'RAW IMPORT'!D8</f>
        <v>0</v>
      </c>
      <c r="E18" s="81">
        <f>'RAW IMPORT'!E8</f>
        <v>0</v>
      </c>
      <c r="F18" s="103"/>
      <c r="G18" s="67"/>
    </row>
    <row r="19" spans="1:7" ht="15" customHeight="1" x14ac:dyDescent="0.25">
      <c r="A19" s="68">
        <f>'RAW IMPORT'!A9</f>
        <v>0</v>
      </c>
      <c r="B19" s="69">
        <f>'RAW IMPORT'!B9</f>
        <v>0</v>
      </c>
      <c r="C19" s="71">
        <f>'RAW IMPORT'!C9</f>
        <v>0</v>
      </c>
      <c r="D19" s="81">
        <f>'RAW IMPORT'!D9</f>
        <v>0</v>
      </c>
      <c r="E19" s="81">
        <f>'RAW IMPORT'!E9</f>
        <v>0</v>
      </c>
      <c r="F19" s="103"/>
      <c r="G19" s="67"/>
    </row>
    <row r="20" spans="1:7" ht="15" customHeight="1" x14ac:dyDescent="0.25">
      <c r="A20" s="68">
        <f>'RAW IMPORT'!A10</f>
        <v>0</v>
      </c>
      <c r="B20" s="69">
        <f>'RAW IMPORT'!B10</f>
        <v>0</v>
      </c>
      <c r="C20" s="71">
        <f>'RAW IMPORT'!C10</f>
        <v>0</v>
      </c>
      <c r="D20" s="81">
        <f>'RAW IMPORT'!D10</f>
        <v>0</v>
      </c>
      <c r="E20" s="81">
        <f>'RAW IMPORT'!E10</f>
        <v>0</v>
      </c>
      <c r="F20" s="103"/>
      <c r="G20" s="67"/>
    </row>
    <row r="21" spans="1:7" ht="15" customHeight="1" x14ac:dyDescent="0.25">
      <c r="A21" s="68">
        <f>'RAW IMPORT'!A11</f>
        <v>0</v>
      </c>
      <c r="B21" s="69">
        <f>'RAW IMPORT'!B11</f>
        <v>0</v>
      </c>
      <c r="C21" s="71">
        <f>'RAW IMPORT'!C11</f>
        <v>0</v>
      </c>
      <c r="D21" s="81">
        <f>'RAW IMPORT'!D11</f>
        <v>0</v>
      </c>
      <c r="E21" s="81">
        <f>'RAW IMPORT'!E11</f>
        <v>0</v>
      </c>
      <c r="F21" s="103"/>
      <c r="G21" s="67"/>
    </row>
    <row r="22" spans="1:7" ht="15" customHeight="1" x14ac:dyDescent="0.25">
      <c r="A22" s="68">
        <f>'RAW IMPORT'!A12</f>
        <v>0</v>
      </c>
      <c r="B22" s="69">
        <f>'RAW IMPORT'!B12</f>
        <v>0</v>
      </c>
      <c r="C22" s="71">
        <f>'RAW IMPORT'!C12</f>
        <v>0</v>
      </c>
      <c r="D22" s="81">
        <f>'RAW IMPORT'!D12</f>
        <v>0</v>
      </c>
      <c r="E22" s="81">
        <f>'RAW IMPORT'!E12</f>
        <v>0</v>
      </c>
      <c r="F22" s="103"/>
      <c r="G22" s="67"/>
    </row>
    <row r="23" spans="1:7" ht="15" customHeight="1" x14ac:dyDescent="0.25">
      <c r="A23" s="68">
        <f>'RAW IMPORT'!A13</f>
        <v>0</v>
      </c>
      <c r="B23" s="69">
        <f>'RAW IMPORT'!B13</f>
        <v>0</v>
      </c>
      <c r="C23" s="71">
        <f>'RAW IMPORT'!C13</f>
        <v>0</v>
      </c>
      <c r="D23" s="81">
        <f>'RAW IMPORT'!D13</f>
        <v>0</v>
      </c>
      <c r="E23" s="81">
        <f>'RAW IMPORT'!E13</f>
        <v>0</v>
      </c>
      <c r="F23" s="103"/>
      <c r="G23" s="67"/>
    </row>
    <row r="24" spans="1:7" ht="15" customHeight="1" x14ac:dyDescent="0.25">
      <c r="A24" s="68">
        <f>'RAW IMPORT'!A14</f>
        <v>0</v>
      </c>
      <c r="B24" s="69">
        <f>'RAW IMPORT'!B14</f>
        <v>0</v>
      </c>
      <c r="C24" s="71">
        <f>'RAW IMPORT'!C14</f>
        <v>0</v>
      </c>
      <c r="D24" s="81">
        <f>'RAW IMPORT'!D14</f>
        <v>0</v>
      </c>
      <c r="E24" s="81">
        <f>'RAW IMPORT'!E14</f>
        <v>0</v>
      </c>
      <c r="F24" s="103"/>
      <c r="G24" s="67"/>
    </row>
    <row r="25" spans="1:7" ht="15" customHeight="1" x14ac:dyDescent="0.25">
      <c r="A25" s="68">
        <f>'RAW IMPORT'!A15</f>
        <v>0</v>
      </c>
      <c r="B25" s="69">
        <f>'RAW IMPORT'!B15</f>
        <v>0</v>
      </c>
      <c r="C25" s="71">
        <f>'RAW IMPORT'!C15</f>
        <v>0</v>
      </c>
      <c r="D25" s="81">
        <f>'RAW IMPORT'!D15</f>
        <v>0</v>
      </c>
      <c r="E25" s="81">
        <f>'RAW IMPORT'!E15</f>
        <v>0</v>
      </c>
      <c r="F25" s="103"/>
      <c r="G25" s="67"/>
    </row>
    <row r="26" spans="1:7" ht="15" customHeight="1" x14ac:dyDescent="0.25">
      <c r="A26" s="68">
        <f>'RAW IMPORT'!A16</f>
        <v>0</v>
      </c>
      <c r="B26" s="69">
        <f>'RAW IMPORT'!B16</f>
        <v>0</v>
      </c>
      <c r="C26" s="71">
        <f>'RAW IMPORT'!C16</f>
        <v>0</v>
      </c>
      <c r="D26" s="81">
        <f>'RAW IMPORT'!D16</f>
        <v>0</v>
      </c>
      <c r="E26" s="81">
        <f>'RAW IMPORT'!E16</f>
        <v>0</v>
      </c>
      <c r="F26" s="103"/>
      <c r="G26" s="67"/>
    </row>
    <row r="27" spans="1:7" ht="15" customHeight="1" x14ac:dyDescent="0.25">
      <c r="A27" s="68">
        <f>'RAW IMPORT'!A17</f>
        <v>0</v>
      </c>
      <c r="B27" s="69">
        <f>'RAW IMPORT'!B17</f>
        <v>0</v>
      </c>
      <c r="C27" s="71">
        <f>'RAW IMPORT'!C17</f>
        <v>0</v>
      </c>
      <c r="D27" s="81">
        <f>'RAW IMPORT'!D17</f>
        <v>0</v>
      </c>
      <c r="E27" s="81">
        <f>'RAW IMPORT'!E17</f>
        <v>0</v>
      </c>
      <c r="F27" s="103"/>
      <c r="G27" s="67"/>
    </row>
    <row r="28" spans="1:7" ht="15" customHeight="1" x14ac:dyDescent="0.25">
      <c r="A28" s="68">
        <f>'RAW IMPORT'!A18</f>
        <v>0</v>
      </c>
      <c r="B28" s="69">
        <f>'RAW IMPORT'!B18</f>
        <v>0</v>
      </c>
      <c r="C28" s="71">
        <f>'RAW IMPORT'!C18</f>
        <v>0</v>
      </c>
      <c r="D28" s="81">
        <f>'RAW IMPORT'!D18</f>
        <v>0</v>
      </c>
      <c r="E28" s="81">
        <f>'RAW IMPORT'!E18</f>
        <v>0</v>
      </c>
      <c r="F28" s="103"/>
      <c r="G28" s="67"/>
    </row>
    <row r="29" spans="1:7" ht="15" customHeight="1" x14ac:dyDescent="0.25">
      <c r="A29" s="68">
        <f>'RAW IMPORT'!A19</f>
        <v>0</v>
      </c>
      <c r="B29" s="69">
        <f>'RAW IMPORT'!B19</f>
        <v>0</v>
      </c>
      <c r="C29" s="71">
        <f>'RAW IMPORT'!C19</f>
        <v>0</v>
      </c>
      <c r="D29" s="81">
        <f>'RAW IMPORT'!D19</f>
        <v>0</v>
      </c>
      <c r="E29" s="81">
        <f>'RAW IMPORT'!E19</f>
        <v>0</v>
      </c>
      <c r="F29" s="103"/>
      <c r="G29" s="67"/>
    </row>
    <row r="30" spans="1:7" ht="15" customHeight="1" x14ac:dyDescent="0.25">
      <c r="A30" s="68">
        <f>'RAW IMPORT'!A20</f>
        <v>0</v>
      </c>
      <c r="B30" s="69">
        <f>'RAW IMPORT'!B20</f>
        <v>0</v>
      </c>
      <c r="C30" s="71">
        <f>'RAW IMPORT'!C20</f>
        <v>0</v>
      </c>
      <c r="D30" s="81">
        <f>'RAW IMPORT'!D20</f>
        <v>0</v>
      </c>
      <c r="E30" s="81">
        <f>'RAW IMPORT'!E20</f>
        <v>0</v>
      </c>
      <c r="F30" s="103"/>
      <c r="G30" s="67"/>
    </row>
    <row r="31" spans="1:7" ht="15" customHeight="1" x14ac:dyDescent="0.25">
      <c r="A31" s="68">
        <f>'RAW IMPORT'!A21</f>
        <v>0</v>
      </c>
      <c r="B31" s="69">
        <f>'RAW IMPORT'!B21</f>
        <v>0</v>
      </c>
      <c r="C31" s="71">
        <f>'RAW IMPORT'!C21</f>
        <v>0</v>
      </c>
      <c r="D31" s="81">
        <f>'RAW IMPORT'!D21</f>
        <v>0</v>
      </c>
      <c r="E31" s="81">
        <f>'RAW IMPORT'!E21</f>
        <v>0</v>
      </c>
      <c r="F31" s="103"/>
      <c r="G31" s="67"/>
    </row>
    <row r="32" spans="1:7" ht="15" customHeight="1" x14ac:dyDescent="0.25">
      <c r="A32" s="68">
        <f>'RAW IMPORT'!A22</f>
        <v>0</v>
      </c>
      <c r="B32" s="69">
        <f>'RAW IMPORT'!B22</f>
        <v>0</v>
      </c>
      <c r="C32" s="71">
        <f>'RAW IMPORT'!C22</f>
        <v>0</v>
      </c>
      <c r="D32" s="81">
        <f>'RAW IMPORT'!D22</f>
        <v>0</v>
      </c>
      <c r="E32" s="81">
        <f>'RAW IMPORT'!E22</f>
        <v>0</v>
      </c>
      <c r="F32" s="103"/>
      <c r="G32" s="67"/>
    </row>
    <row r="33" spans="1:7" ht="15" customHeight="1" x14ac:dyDescent="0.25">
      <c r="A33" s="68">
        <f>'RAW IMPORT'!A23</f>
        <v>0</v>
      </c>
      <c r="B33" s="69">
        <f>'RAW IMPORT'!B23</f>
        <v>0</v>
      </c>
      <c r="C33" s="71">
        <f>'RAW IMPORT'!C23</f>
        <v>0</v>
      </c>
      <c r="D33" s="81">
        <f>'RAW IMPORT'!D23</f>
        <v>0</v>
      </c>
      <c r="E33" s="81">
        <f>'RAW IMPORT'!E23</f>
        <v>0</v>
      </c>
      <c r="F33" s="103"/>
      <c r="G33" s="67"/>
    </row>
    <row r="34" spans="1:7" ht="15" customHeight="1" x14ac:dyDescent="0.25">
      <c r="A34" s="68">
        <f>'RAW IMPORT'!A24</f>
        <v>0</v>
      </c>
      <c r="B34" s="69">
        <f>'RAW IMPORT'!B24</f>
        <v>0</v>
      </c>
      <c r="C34" s="71">
        <f>'RAW IMPORT'!C24</f>
        <v>0</v>
      </c>
      <c r="D34" s="81">
        <f>'RAW IMPORT'!D24</f>
        <v>0</v>
      </c>
      <c r="E34" s="81">
        <f>'RAW IMPORT'!E24</f>
        <v>0</v>
      </c>
      <c r="F34" s="103"/>
      <c r="G34" s="67"/>
    </row>
    <row r="35" spans="1:7" ht="15" customHeight="1" x14ac:dyDescent="0.25">
      <c r="A35" s="68">
        <f>'RAW IMPORT'!A25</f>
        <v>0</v>
      </c>
      <c r="B35" s="69">
        <f>'RAW IMPORT'!B25</f>
        <v>0</v>
      </c>
      <c r="C35" s="71">
        <f>'RAW IMPORT'!C25</f>
        <v>0</v>
      </c>
      <c r="D35" s="81">
        <f>'RAW IMPORT'!D25</f>
        <v>0</v>
      </c>
      <c r="E35" s="81">
        <f>'RAW IMPORT'!E25</f>
        <v>0</v>
      </c>
      <c r="F35" s="103"/>
      <c r="G35" s="67"/>
    </row>
    <row r="36" spans="1:7" ht="15" customHeight="1" x14ac:dyDescent="0.25">
      <c r="A36" s="68">
        <f>'RAW IMPORT'!A26</f>
        <v>0</v>
      </c>
      <c r="B36" s="69">
        <f>'RAW IMPORT'!B26</f>
        <v>0</v>
      </c>
      <c r="C36" s="71">
        <f>'RAW IMPORT'!C26</f>
        <v>0</v>
      </c>
      <c r="D36" s="81">
        <f>'RAW IMPORT'!D26</f>
        <v>0</v>
      </c>
      <c r="E36" s="81">
        <f>'RAW IMPORT'!E26</f>
        <v>0</v>
      </c>
      <c r="F36" s="103"/>
      <c r="G36" s="67"/>
    </row>
    <row r="37" spans="1:7" ht="15" customHeight="1" x14ac:dyDescent="0.25">
      <c r="A37" s="68">
        <f>'RAW IMPORT'!A27</f>
        <v>0</v>
      </c>
      <c r="B37" s="69">
        <f>'RAW IMPORT'!B27</f>
        <v>0</v>
      </c>
      <c r="C37" s="71">
        <f>'RAW IMPORT'!C27</f>
        <v>0</v>
      </c>
      <c r="D37" s="81">
        <f>'RAW IMPORT'!D27</f>
        <v>0</v>
      </c>
      <c r="E37" s="81">
        <f>'RAW IMPORT'!E27</f>
        <v>0</v>
      </c>
      <c r="F37" s="103"/>
      <c r="G37" s="67"/>
    </row>
    <row r="38" spans="1:7" ht="15" customHeight="1" x14ac:dyDescent="0.25">
      <c r="A38" s="68">
        <f>'RAW IMPORT'!A28</f>
        <v>0</v>
      </c>
      <c r="B38" s="69">
        <f>'RAW IMPORT'!B28</f>
        <v>0</v>
      </c>
      <c r="C38" s="71">
        <f>'RAW IMPORT'!C28</f>
        <v>0</v>
      </c>
      <c r="D38" s="81">
        <f>'RAW IMPORT'!D28</f>
        <v>0</v>
      </c>
      <c r="E38" s="81">
        <f>'RAW IMPORT'!E28</f>
        <v>0</v>
      </c>
      <c r="F38" s="103"/>
      <c r="G38" s="67"/>
    </row>
    <row r="39" spans="1:7" ht="15" customHeight="1" x14ac:dyDescent="0.25">
      <c r="A39" s="68">
        <f>'RAW IMPORT'!A29</f>
        <v>0</v>
      </c>
      <c r="B39" s="69">
        <f>'RAW IMPORT'!B29</f>
        <v>0</v>
      </c>
      <c r="C39" s="71">
        <f>'RAW IMPORT'!C29</f>
        <v>0</v>
      </c>
      <c r="D39" s="81">
        <f>'RAW IMPORT'!D29</f>
        <v>0</v>
      </c>
      <c r="E39" s="81">
        <f>'RAW IMPORT'!E29</f>
        <v>0</v>
      </c>
      <c r="F39" s="103"/>
      <c r="G39" s="67"/>
    </row>
    <row r="40" spans="1:7" ht="15" customHeight="1" x14ac:dyDescent="0.25">
      <c r="A40" s="68">
        <f>'RAW IMPORT'!A30</f>
        <v>0</v>
      </c>
      <c r="B40" s="69">
        <f>'RAW IMPORT'!B30</f>
        <v>0</v>
      </c>
      <c r="C40" s="71">
        <f>'RAW IMPORT'!C30</f>
        <v>0</v>
      </c>
      <c r="D40" s="81">
        <f>'RAW IMPORT'!D30</f>
        <v>0</v>
      </c>
      <c r="E40" s="81">
        <f>'RAW IMPORT'!E30</f>
        <v>0</v>
      </c>
      <c r="F40" s="103"/>
      <c r="G40" s="67"/>
    </row>
    <row r="41" spans="1:7" ht="15" customHeight="1" x14ac:dyDescent="0.25">
      <c r="A41" s="68">
        <f>'RAW IMPORT'!A31</f>
        <v>0</v>
      </c>
      <c r="B41" s="69">
        <f>'RAW IMPORT'!B31</f>
        <v>0</v>
      </c>
      <c r="C41" s="71">
        <f>'RAW IMPORT'!C31</f>
        <v>0</v>
      </c>
      <c r="D41" s="81">
        <f>'RAW IMPORT'!D31</f>
        <v>0</v>
      </c>
      <c r="E41" s="81">
        <f>'RAW IMPORT'!E31</f>
        <v>0</v>
      </c>
      <c r="F41" s="103"/>
      <c r="G41" s="67"/>
    </row>
    <row r="42" spans="1:7" ht="15" customHeight="1" x14ac:dyDescent="0.25">
      <c r="A42" s="68">
        <f>'RAW IMPORT'!A32</f>
        <v>0</v>
      </c>
      <c r="B42" s="69">
        <f>'RAW IMPORT'!B32</f>
        <v>0</v>
      </c>
      <c r="C42" s="71">
        <f>'RAW IMPORT'!C32</f>
        <v>0</v>
      </c>
      <c r="D42" s="81">
        <f>'RAW IMPORT'!D32</f>
        <v>0</v>
      </c>
      <c r="E42" s="81">
        <f>'RAW IMPORT'!E32</f>
        <v>0</v>
      </c>
      <c r="F42" s="103"/>
      <c r="G42" s="67"/>
    </row>
    <row r="43" spans="1:7" ht="15" customHeight="1" x14ac:dyDescent="0.25">
      <c r="A43" s="68">
        <f>'RAW IMPORT'!A33</f>
        <v>0</v>
      </c>
      <c r="B43" s="69">
        <f>'RAW IMPORT'!B33</f>
        <v>0</v>
      </c>
      <c r="C43" s="71">
        <f>'RAW IMPORT'!C33</f>
        <v>0</v>
      </c>
      <c r="D43" s="81">
        <f>'RAW IMPORT'!D33</f>
        <v>0</v>
      </c>
      <c r="E43" s="81">
        <f>'RAW IMPORT'!E33</f>
        <v>0</v>
      </c>
      <c r="F43" s="103"/>
      <c r="G43" s="67"/>
    </row>
    <row r="44" spans="1:7" ht="15" customHeight="1" x14ac:dyDescent="0.25">
      <c r="A44" s="68">
        <f>'RAW IMPORT'!A34</f>
        <v>0</v>
      </c>
      <c r="B44" s="69">
        <f>'RAW IMPORT'!B34</f>
        <v>0</v>
      </c>
      <c r="C44" s="71">
        <f>'RAW IMPORT'!C34</f>
        <v>0</v>
      </c>
      <c r="D44" s="81">
        <f>'RAW IMPORT'!D34</f>
        <v>0</v>
      </c>
      <c r="E44" s="81">
        <f>'RAW IMPORT'!E34</f>
        <v>0</v>
      </c>
      <c r="F44" s="103"/>
      <c r="G44" s="67"/>
    </row>
    <row r="45" spans="1:7" ht="15" customHeight="1" x14ac:dyDescent="0.25">
      <c r="A45" s="68">
        <f>'RAW IMPORT'!A35</f>
        <v>0</v>
      </c>
      <c r="B45" s="69">
        <f>'RAW IMPORT'!B35</f>
        <v>0</v>
      </c>
      <c r="C45" s="71">
        <f>'RAW IMPORT'!C35</f>
        <v>0</v>
      </c>
      <c r="D45" s="81">
        <f>'RAW IMPORT'!D35</f>
        <v>0</v>
      </c>
      <c r="E45" s="81">
        <f>'RAW IMPORT'!E35</f>
        <v>0</v>
      </c>
      <c r="F45" s="103"/>
      <c r="G45" s="67"/>
    </row>
    <row r="46" spans="1:7" ht="15" customHeight="1" x14ac:dyDescent="0.25">
      <c r="A46" s="68">
        <f>'RAW IMPORT'!A36</f>
        <v>0</v>
      </c>
      <c r="B46" s="69">
        <f>'RAW IMPORT'!B36</f>
        <v>0</v>
      </c>
      <c r="C46" s="71">
        <f>'RAW IMPORT'!C36</f>
        <v>0</v>
      </c>
      <c r="D46" s="81">
        <f>'RAW IMPORT'!D36</f>
        <v>0</v>
      </c>
      <c r="E46" s="81">
        <f>'RAW IMPORT'!E36</f>
        <v>0</v>
      </c>
      <c r="F46" s="103"/>
      <c r="G46" s="67"/>
    </row>
    <row r="47" spans="1:7" ht="15" customHeight="1" x14ac:dyDescent="0.25">
      <c r="A47" s="68">
        <f>'RAW IMPORT'!A37</f>
        <v>0</v>
      </c>
      <c r="B47" s="69">
        <f>'RAW IMPORT'!B37</f>
        <v>0</v>
      </c>
      <c r="C47" s="71">
        <f>'RAW IMPORT'!C37</f>
        <v>0</v>
      </c>
      <c r="D47" s="81">
        <f>'RAW IMPORT'!D37</f>
        <v>0</v>
      </c>
      <c r="E47" s="81">
        <f>'RAW IMPORT'!E37</f>
        <v>0</v>
      </c>
      <c r="F47" s="103"/>
      <c r="G47" s="67"/>
    </row>
    <row r="48" spans="1:7" ht="15" customHeight="1" x14ac:dyDescent="0.25">
      <c r="A48" s="68">
        <f>'RAW IMPORT'!A38</f>
        <v>0</v>
      </c>
      <c r="B48" s="69">
        <f>'RAW IMPORT'!B38</f>
        <v>0</v>
      </c>
      <c r="C48" s="71">
        <f>'RAW IMPORT'!C38</f>
        <v>0</v>
      </c>
      <c r="D48" s="81">
        <f>'RAW IMPORT'!D38</f>
        <v>0</v>
      </c>
      <c r="E48" s="81">
        <f>'RAW IMPORT'!E38</f>
        <v>0</v>
      </c>
      <c r="F48" s="103"/>
      <c r="G48" s="67"/>
    </row>
    <row r="49" spans="1:7" ht="15" customHeight="1" x14ac:dyDescent="0.25">
      <c r="A49" s="68">
        <f>'RAW IMPORT'!A39</f>
        <v>0</v>
      </c>
      <c r="B49" s="69">
        <f>'RAW IMPORT'!B39</f>
        <v>0</v>
      </c>
      <c r="C49" s="71">
        <f>'RAW IMPORT'!C39</f>
        <v>0</v>
      </c>
      <c r="D49" s="81">
        <f>'RAW IMPORT'!D39</f>
        <v>0</v>
      </c>
      <c r="E49" s="81">
        <f>'RAW IMPORT'!E39</f>
        <v>0</v>
      </c>
      <c r="F49" s="103"/>
      <c r="G49" s="67"/>
    </row>
    <row r="50" spans="1:7" ht="15" customHeight="1" x14ac:dyDescent="0.25">
      <c r="A50" s="68">
        <f>'RAW IMPORT'!A40</f>
        <v>0</v>
      </c>
      <c r="B50" s="69">
        <f>'RAW IMPORT'!B40</f>
        <v>0</v>
      </c>
      <c r="C50" s="71">
        <f>'RAW IMPORT'!C40</f>
        <v>0</v>
      </c>
      <c r="D50" s="81">
        <f>'RAW IMPORT'!D40</f>
        <v>0</v>
      </c>
      <c r="E50" s="81">
        <f>'RAW IMPORT'!E40</f>
        <v>0</v>
      </c>
      <c r="F50" s="103"/>
      <c r="G50" s="67"/>
    </row>
    <row r="51" spans="1:7" ht="15" customHeight="1" x14ac:dyDescent="0.25">
      <c r="A51" s="68">
        <f>'RAW IMPORT'!A41</f>
        <v>0</v>
      </c>
      <c r="B51" s="69">
        <f>'RAW IMPORT'!B41</f>
        <v>0</v>
      </c>
      <c r="C51" s="71">
        <f>'RAW IMPORT'!C41</f>
        <v>0</v>
      </c>
      <c r="D51" s="81">
        <f>'RAW IMPORT'!D41</f>
        <v>0</v>
      </c>
      <c r="E51" s="81">
        <f>'RAW IMPORT'!E41</f>
        <v>0</v>
      </c>
      <c r="F51" s="103"/>
      <c r="G51" s="67"/>
    </row>
    <row r="52" spans="1:7" ht="15" customHeight="1" x14ac:dyDescent="0.25">
      <c r="A52" s="68">
        <f>'RAW IMPORT'!A42</f>
        <v>0</v>
      </c>
      <c r="B52" s="69">
        <f>'RAW IMPORT'!B42</f>
        <v>0</v>
      </c>
      <c r="C52" s="71">
        <f>'RAW IMPORT'!C42</f>
        <v>0</v>
      </c>
      <c r="D52" s="81">
        <f>'RAW IMPORT'!D42</f>
        <v>0</v>
      </c>
      <c r="E52" s="81">
        <f>'RAW IMPORT'!E42</f>
        <v>0</v>
      </c>
      <c r="F52" s="103"/>
      <c r="G52" s="67"/>
    </row>
    <row r="53" spans="1:7" ht="15" customHeight="1" x14ac:dyDescent="0.25">
      <c r="A53" s="68">
        <f>'RAW IMPORT'!A43</f>
        <v>0</v>
      </c>
      <c r="B53" s="69">
        <f>'RAW IMPORT'!B43</f>
        <v>0</v>
      </c>
      <c r="C53" s="71">
        <f>'RAW IMPORT'!C43</f>
        <v>0</v>
      </c>
      <c r="D53" s="81">
        <f>'RAW IMPORT'!D43</f>
        <v>0</v>
      </c>
      <c r="E53" s="81">
        <f>'RAW IMPORT'!E43</f>
        <v>0</v>
      </c>
      <c r="F53" s="103"/>
      <c r="G53" s="67"/>
    </row>
    <row r="54" spans="1:7" ht="15" customHeight="1" x14ac:dyDescent="0.25">
      <c r="A54" s="68">
        <f>'RAW IMPORT'!A44</f>
        <v>0</v>
      </c>
      <c r="B54" s="69">
        <f>'RAW IMPORT'!B44</f>
        <v>0</v>
      </c>
      <c r="C54" s="71">
        <f>'RAW IMPORT'!C44</f>
        <v>0</v>
      </c>
      <c r="D54" s="81">
        <f>'RAW IMPORT'!D44</f>
        <v>0</v>
      </c>
      <c r="E54" s="81">
        <f>'RAW IMPORT'!E44</f>
        <v>0</v>
      </c>
      <c r="F54" s="103"/>
      <c r="G54" s="67"/>
    </row>
    <row r="55" spans="1:7" ht="15" customHeight="1" x14ac:dyDescent="0.25">
      <c r="A55" s="68">
        <f>'RAW IMPORT'!A45</f>
        <v>0</v>
      </c>
      <c r="B55" s="69">
        <f>'RAW IMPORT'!B45</f>
        <v>0</v>
      </c>
      <c r="C55" s="71">
        <f>'RAW IMPORT'!C45</f>
        <v>0</v>
      </c>
      <c r="D55" s="81">
        <f>'RAW IMPORT'!D45</f>
        <v>0</v>
      </c>
      <c r="E55" s="81">
        <f>'RAW IMPORT'!E45</f>
        <v>0</v>
      </c>
      <c r="F55" s="103"/>
      <c r="G55" s="67"/>
    </row>
    <row r="56" spans="1:7" ht="15" customHeight="1" x14ac:dyDescent="0.25">
      <c r="A56" s="68">
        <f>'RAW IMPORT'!A46</f>
        <v>0</v>
      </c>
      <c r="B56" s="69">
        <f>'RAW IMPORT'!B46</f>
        <v>0</v>
      </c>
      <c r="C56" s="71">
        <f>'RAW IMPORT'!C46</f>
        <v>0</v>
      </c>
      <c r="D56" s="81">
        <f>'RAW IMPORT'!D46</f>
        <v>0</v>
      </c>
      <c r="E56" s="81">
        <f>'RAW IMPORT'!E46</f>
        <v>0</v>
      </c>
      <c r="F56" s="103"/>
      <c r="G56" s="67"/>
    </row>
    <row r="57" spans="1:7" ht="15" customHeight="1" x14ac:dyDescent="0.25">
      <c r="A57" s="68">
        <f>'RAW IMPORT'!A47</f>
        <v>0</v>
      </c>
      <c r="B57" s="69">
        <f>'RAW IMPORT'!B47</f>
        <v>0</v>
      </c>
      <c r="C57" s="71">
        <f>'RAW IMPORT'!C47</f>
        <v>0</v>
      </c>
      <c r="D57" s="81">
        <f>'RAW IMPORT'!D47</f>
        <v>0</v>
      </c>
      <c r="E57" s="81">
        <f>'RAW IMPORT'!E47</f>
        <v>0</v>
      </c>
      <c r="F57" s="103"/>
      <c r="G57" s="67"/>
    </row>
    <row r="58" spans="1:7" ht="15" customHeight="1" x14ac:dyDescent="0.25">
      <c r="A58" s="68">
        <f>'RAW IMPORT'!A48</f>
        <v>0</v>
      </c>
      <c r="B58" s="69">
        <f>'RAW IMPORT'!B48</f>
        <v>0</v>
      </c>
      <c r="C58" s="71">
        <f>'RAW IMPORT'!C48</f>
        <v>0</v>
      </c>
      <c r="D58" s="81">
        <f>'RAW IMPORT'!D48</f>
        <v>0</v>
      </c>
      <c r="E58" s="81">
        <f>'RAW IMPORT'!E48</f>
        <v>0</v>
      </c>
      <c r="F58" s="103"/>
      <c r="G58" s="67"/>
    </row>
    <row r="59" spans="1:7" ht="15" customHeight="1" x14ac:dyDescent="0.25">
      <c r="A59" s="68">
        <f>'RAW IMPORT'!A49</f>
        <v>0</v>
      </c>
      <c r="B59" s="69">
        <f>'RAW IMPORT'!B49</f>
        <v>0</v>
      </c>
      <c r="C59" s="71">
        <f>'RAW IMPORT'!C49</f>
        <v>0</v>
      </c>
      <c r="D59" s="81">
        <f>'RAW IMPORT'!D49</f>
        <v>0</v>
      </c>
      <c r="E59" s="81">
        <f>'RAW IMPORT'!E49</f>
        <v>0</v>
      </c>
      <c r="F59" s="103"/>
      <c r="G59" s="67"/>
    </row>
    <row r="60" spans="1:7" ht="15" customHeight="1" x14ac:dyDescent="0.25">
      <c r="A60" s="68">
        <f>'RAW IMPORT'!A50</f>
        <v>0</v>
      </c>
      <c r="B60" s="69">
        <f>'RAW IMPORT'!B50</f>
        <v>0</v>
      </c>
      <c r="C60" s="71">
        <f>'RAW IMPORT'!C50</f>
        <v>0</v>
      </c>
      <c r="D60" s="81">
        <f>'RAW IMPORT'!D50</f>
        <v>0</v>
      </c>
      <c r="E60" s="81">
        <f>'RAW IMPORT'!E50</f>
        <v>0</v>
      </c>
      <c r="F60" s="103"/>
      <c r="G60" s="67"/>
    </row>
    <row r="61" spans="1:7" ht="15" customHeight="1" x14ac:dyDescent="0.25">
      <c r="A61" s="68">
        <f>'RAW IMPORT'!A51</f>
        <v>0</v>
      </c>
      <c r="B61" s="69">
        <f>'RAW IMPORT'!B51</f>
        <v>0</v>
      </c>
      <c r="C61" s="71">
        <f>'RAW IMPORT'!C51</f>
        <v>0</v>
      </c>
      <c r="D61" s="81">
        <f>'RAW IMPORT'!D51</f>
        <v>0</v>
      </c>
      <c r="E61" s="81">
        <f>'RAW IMPORT'!E51</f>
        <v>0</v>
      </c>
      <c r="F61" s="103"/>
      <c r="G61" s="67"/>
    </row>
    <row r="62" spans="1:7" ht="15" customHeight="1" x14ac:dyDescent="0.25">
      <c r="A62" s="68">
        <f>'RAW IMPORT'!A52</f>
        <v>0</v>
      </c>
      <c r="B62" s="69">
        <f>'RAW IMPORT'!B52</f>
        <v>0</v>
      </c>
      <c r="C62" s="71">
        <f>'RAW IMPORT'!C52</f>
        <v>0</v>
      </c>
      <c r="D62" s="81">
        <f>'RAW IMPORT'!D52</f>
        <v>0</v>
      </c>
      <c r="E62" s="81">
        <f>'RAW IMPORT'!E52</f>
        <v>0</v>
      </c>
      <c r="F62" s="103"/>
      <c r="G62" s="67"/>
    </row>
    <row r="63" spans="1:7" ht="15" customHeight="1" x14ac:dyDescent="0.25">
      <c r="A63" s="68">
        <f>'RAW IMPORT'!A53</f>
        <v>0</v>
      </c>
      <c r="B63" s="69">
        <f>'RAW IMPORT'!B53</f>
        <v>0</v>
      </c>
      <c r="C63" s="71">
        <f>'RAW IMPORT'!C53</f>
        <v>0</v>
      </c>
      <c r="D63" s="81">
        <f>'RAW IMPORT'!D53</f>
        <v>0</v>
      </c>
      <c r="E63" s="81">
        <f>'RAW IMPORT'!E53</f>
        <v>0</v>
      </c>
      <c r="F63" s="103"/>
      <c r="G63" s="67"/>
    </row>
    <row r="64" spans="1:7" ht="15" customHeight="1" x14ac:dyDescent="0.25">
      <c r="A64" s="68">
        <f>'RAW IMPORT'!A54</f>
        <v>0</v>
      </c>
      <c r="B64" s="69">
        <f>'RAW IMPORT'!B54</f>
        <v>0</v>
      </c>
      <c r="C64" s="71">
        <f>'RAW IMPORT'!C54</f>
        <v>0</v>
      </c>
      <c r="D64" s="81">
        <f>'RAW IMPORT'!D54</f>
        <v>0</v>
      </c>
      <c r="E64" s="81">
        <f>'RAW IMPORT'!E54</f>
        <v>0</v>
      </c>
      <c r="F64" s="103"/>
      <c r="G64" s="67"/>
    </row>
    <row r="65" spans="1:7" ht="15" customHeight="1" x14ac:dyDescent="0.25">
      <c r="A65" s="68">
        <f>'RAW IMPORT'!A55</f>
        <v>0</v>
      </c>
      <c r="B65" s="69">
        <f>'RAW IMPORT'!B55</f>
        <v>0</v>
      </c>
      <c r="C65" s="71">
        <f>'RAW IMPORT'!C55</f>
        <v>0</v>
      </c>
      <c r="D65" s="81">
        <f>'RAW IMPORT'!D55</f>
        <v>0</v>
      </c>
      <c r="E65" s="81">
        <f>'RAW IMPORT'!E55</f>
        <v>0</v>
      </c>
      <c r="F65" s="103"/>
      <c r="G65" s="67"/>
    </row>
    <row r="66" spans="1:7" ht="15" customHeight="1" x14ac:dyDescent="0.25">
      <c r="A66" s="68">
        <f>'RAW IMPORT'!A56</f>
        <v>0</v>
      </c>
      <c r="B66" s="69">
        <f>'RAW IMPORT'!B56</f>
        <v>0</v>
      </c>
      <c r="C66" s="71">
        <f>'RAW IMPORT'!C56</f>
        <v>0</v>
      </c>
      <c r="D66" s="81">
        <f>'RAW IMPORT'!D56</f>
        <v>0</v>
      </c>
      <c r="E66" s="81">
        <f>'RAW IMPORT'!E56</f>
        <v>0</v>
      </c>
      <c r="F66" s="103"/>
      <c r="G66" s="67"/>
    </row>
    <row r="67" spans="1:7" ht="15" customHeight="1" x14ac:dyDescent="0.25">
      <c r="A67" s="68">
        <f>'RAW IMPORT'!A57</f>
        <v>0</v>
      </c>
      <c r="B67" s="69">
        <f>'RAW IMPORT'!B57</f>
        <v>0</v>
      </c>
      <c r="C67" s="71">
        <f>'RAW IMPORT'!C57</f>
        <v>0</v>
      </c>
      <c r="D67" s="81">
        <f>'RAW IMPORT'!D57</f>
        <v>0</v>
      </c>
      <c r="E67" s="81">
        <f>'RAW IMPORT'!E57</f>
        <v>0</v>
      </c>
      <c r="F67" s="103"/>
      <c r="G67" s="67"/>
    </row>
    <row r="68" spans="1:7" ht="15" customHeight="1" x14ac:dyDescent="0.25">
      <c r="A68" s="68">
        <f>'RAW IMPORT'!A58</f>
        <v>0</v>
      </c>
      <c r="B68" s="69">
        <f>'RAW IMPORT'!B58</f>
        <v>0</v>
      </c>
      <c r="C68" s="71">
        <f>'RAW IMPORT'!C58</f>
        <v>0</v>
      </c>
      <c r="D68" s="81">
        <f>'RAW IMPORT'!D58</f>
        <v>0</v>
      </c>
      <c r="E68" s="81">
        <f>'RAW IMPORT'!E58</f>
        <v>0</v>
      </c>
      <c r="F68" s="103"/>
      <c r="G68" s="67"/>
    </row>
    <row r="69" spans="1:7" ht="15" customHeight="1" x14ac:dyDescent="0.25">
      <c r="A69" s="68">
        <f>'RAW IMPORT'!A59</f>
        <v>0</v>
      </c>
      <c r="B69" s="69">
        <f>'RAW IMPORT'!B59</f>
        <v>0</v>
      </c>
      <c r="C69" s="71">
        <f>'RAW IMPORT'!C59</f>
        <v>0</v>
      </c>
      <c r="D69" s="81">
        <f>'RAW IMPORT'!D59</f>
        <v>0</v>
      </c>
      <c r="E69" s="81">
        <f>'RAW IMPORT'!E59</f>
        <v>0</v>
      </c>
      <c r="F69" s="103"/>
      <c r="G69" s="67"/>
    </row>
    <row r="70" spans="1:7" ht="15" customHeight="1" x14ac:dyDescent="0.25">
      <c r="A70" s="68">
        <f>'RAW IMPORT'!A60</f>
        <v>0</v>
      </c>
      <c r="B70" s="69">
        <f>'RAW IMPORT'!B60</f>
        <v>0</v>
      </c>
      <c r="C70" s="71">
        <f>'RAW IMPORT'!C60</f>
        <v>0</v>
      </c>
      <c r="D70" s="81">
        <f>'RAW IMPORT'!D60</f>
        <v>0</v>
      </c>
      <c r="E70" s="81">
        <f>'RAW IMPORT'!E60</f>
        <v>0</v>
      </c>
      <c r="F70" s="103"/>
      <c r="G70" s="67"/>
    </row>
    <row r="71" spans="1:7" ht="15" customHeight="1" x14ac:dyDescent="0.25">
      <c r="A71" s="68">
        <f>'RAW IMPORT'!A61</f>
        <v>0</v>
      </c>
      <c r="B71" s="69">
        <f>'RAW IMPORT'!B61</f>
        <v>0</v>
      </c>
      <c r="C71" s="71">
        <f>'RAW IMPORT'!C61</f>
        <v>0</v>
      </c>
      <c r="D71" s="81">
        <f>'RAW IMPORT'!D61</f>
        <v>0</v>
      </c>
      <c r="E71" s="81">
        <f>'RAW IMPORT'!E61</f>
        <v>0</v>
      </c>
      <c r="F71" s="103"/>
      <c r="G71" s="67"/>
    </row>
    <row r="72" spans="1:7" ht="15" customHeight="1" x14ac:dyDescent="0.25">
      <c r="A72" s="68">
        <f>'RAW IMPORT'!A62</f>
        <v>0</v>
      </c>
      <c r="B72" s="69">
        <f>'RAW IMPORT'!B62</f>
        <v>0</v>
      </c>
      <c r="C72" s="71">
        <f>'RAW IMPORT'!C62</f>
        <v>0</v>
      </c>
      <c r="D72" s="81">
        <f>'RAW IMPORT'!D62</f>
        <v>0</v>
      </c>
      <c r="E72" s="81">
        <f>'RAW IMPORT'!E62</f>
        <v>0</v>
      </c>
      <c r="F72" s="103"/>
      <c r="G72" s="67"/>
    </row>
    <row r="73" spans="1:7" ht="15" customHeight="1" x14ac:dyDescent="0.25">
      <c r="A73" s="68">
        <f>'RAW IMPORT'!A63</f>
        <v>0</v>
      </c>
      <c r="B73" s="69">
        <f>'RAW IMPORT'!B63</f>
        <v>0</v>
      </c>
      <c r="C73" s="71">
        <f>'RAW IMPORT'!C63</f>
        <v>0</v>
      </c>
      <c r="D73" s="81">
        <f>'RAW IMPORT'!D63</f>
        <v>0</v>
      </c>
      <c r="E73" s="81">
        <f>'RAW IMPORT'!E63</f>
        <v>0</v>
      </c>
      <c r="F73" s="103"/>
      <c r="G73" s="67"/>
    </row>
    <row r="74" spans="1:7" ht="15" customHeight="1" x14ac:dyDescent="0.25">
      <c r="A74" s="68">
        <f>'RAW IMPORT'!A64</f>
        <v>0</v>
      </c>
      <c r="B74" s="69">
        <f>'RAW IMPORT'!B64</f>
        <v>0</v>
      </c>
      <c r="C74" s="71">
        <f>'RAW IMPORT'!C64</f>
        <v>0</v>
      </c>
      <c r="D74" s="81">
        <f>'RAW IMPORT'!D64</f>
        <v>0</v>
      </c>
      <c r="E74" s="81">
        <f>'RAW IMPORT'!E64</f>
        <v>0</v>
      </c>
      <c r="F74" s="103"/>
      <c r="G74" s="67"/>
    </row>
    <row r="75" spans="1:7" ht="15" customHeight="1" x14ac:dyDescent="0.25">
      <c r="A75" s="68">
        <f>'RAW IMPORT'!A65</f>
        <v>0</v>
      </c>
      <c r="B75" s="69">
        <f>'RAW IMPORT'!B65</f>
        <v>0</v>
      </c>
      <c r="C75" s="71">
        <f>'RAW IMPORT'!C65</f>
        <v>0</v>
      </c>
      <c r="D75" s="81">
        <f>'RAW IMPORT'!D65</f>
        <v>0</v>
      </c>
      <c r="E75" s="81">
        <f>'RAW IMPORT'!E65</f>
        <v>0</v>
      </c>
      <c r="F75" s="103"/>
      <c r="G75" s="67"/>
    </row>
    <row r="76" spans="1:7" ht="15" customHeight="1" x14ac:dyDescent="0.25">
      <c r="A76" s="68">
        <f>'RAW IMPORT'!A66</f>
        <v>0</v>
      </c>
      <c r="B76" s="69">
        <f>'RAW IMPORT'!B66</f>
        <v>0</v>
      </c>
      <c r="C76" s="71">
        <f>'RAW IMPORT'!C66</f>
        <v>0</v>
      </c>
      <c r="D76" s="81">
        <f>'RAW IMPORT'!D66</f>
        <v>0</v>
      </c>
      <c r="E76" s="81">
        <f>'RAW IMPORT'!E66</f>
        <v>0</v>
      </c>
      <c r="F76" s="103"/>
      <c r="G76" s="67"/>
    </row>
    <row r="77" spans="1:7" ht="15" customHeight="1" x14ac:dyDescent="0.25">
      <c r="A77" s="68">
        <f>'RAW IMPORT'!A67</f>
        <v>0</v>
      </c>
      <c r="B77" s="69">
        <f>'RAW IMPORT'!B67</f>
        <v>0</v>
      </c>
      <c r="C77" s="71">
        <f>'RAW IMPORT'!C67</f>
        <v>0</v>
      </c>
      <c r="D77" s="81">
        <f>'RAW IMPORT'!D67</f>
        <v>0</v>
      </c>
      <c r="E77" s="81">
        <f>'RAW IMPORT'!E67</f>
        <v>0</v>
      </c>
      <c r="F77" s="103"/>
      <c r="G77" s="67"/>
    </row>
    <row r="78" spans="1:7" ht="15" customHeight="1" x14ac:dyDescent="0.25">
      <c r="A78" s="68">
        <f>'RAW IMPORT'!A68</f>
        <v>0</v>
      </c>
      <c r="B78" s="69">
        <f>'RAW IMPORT'!B68</f>
        <v>0</v>
      </c>
      <c r="C78" s="71">
        <f>'RAW IMPORT'!C68</f>
        <v>0</v>
      </c>
      <c r="D78" s="81">
        <f>'RAW IMPORT'!D68</f>
        <v>0</v>
      </c>
      <c r="E78" s="81">
        <f>'RAW IMPORT'!E68</f>
        <v>0</v>
      </c>
      <c r="F78" s="103"/>
      <c r="G78" s="67"/>
    </row>
    <row r="79" spans="1:7" ht="15" customHeight="1" x14ac:dyDescent="0.25">
      <c r="A79" s="68">
        <f>'RAW IMPORT'!A69</f>
        <v>0</v>
      </c>
      <c r="B79" s="69">
        <f>'RAW IMPORT'!B69</f>
        <v>0</v>
      </c>
      <c r="C79" s="71">
        <f>'RAW IMPORT'!C69</f>
        <v>0</v>
      </c>
      <c r="D79" s="81">
        <f>'RAW IMPORT'!D69</f>
        <v>0</v>
      </c>
      <c r="E79" s="81">
        <f>'RAW IMPORT'!E69</f>
        <v>0</v>
      </c>
      <c r="F79" s="103"/>
      <c r="G79" s="67"/>
    </row>
    <row r="80" spans="1:7" ht="15" customHeight="1" x14ac:dyDescent="0.25">
      <c r="A80" s="68">
        <f>'RAW IMPORT'!A70</f>
        <v>0</v>
      </c>
      <c r="B80" s="69">
        <f>'RAW IMPORT'!B70</f>
        <v>0</v>
      </c>
      <c r="C80" s="71">
        <f>'RAW IMPORT'!C70</f>
        <v>0</v>
      </c>
      <c r="D80" s="81">
        <f>'RAW IMPORT'!D70</f>
        <v>0</v>
      </c>
      <c r="E80" s="81">
        <f>'RAW IMPORT'!E70</f>
        <v>0</v>
      </c>
      <c r="F80" s="103"/>
      <c r="G80" s="67"/>
    </row>
    <row r="81" spans="1:7" ht="15" customHeight="1" x14ac:dyDescent="0.25">
      <c r="A81" s="68">
        <f>'RAW IMPORT'!A71</f>
        <v>0</v>
      </c>
      <c r="B81" s="69">
        <f>'RAW IMPORT'!B71</f>
        <v>0</v>
      </c>
      <c r="C81" s="71">
        <f>'RAW IMPORT'!C71</f>
        <v>0</v>
      </c>
      <c r="D81" s="81">
        <f>'RAW IMPORT'!D71</f>
        <v>0</v>
      </c>
      <c r="E81" s="81">
        <f>'RAW IMPORT'!E71</f>
        <v>0</v>
      </c>
      <c r="F81" s="103"/>
      <c r="G81" s="67"/>
    </row>
    <row r="82" spans="1:7" ht="15" customHeight="1" x14ac:dyDescent="0.25">
      <c r="A82" s="68">
        <f>'RAW IMPORT'!A72</f>
        <v>0</v>
      </c>
      <c r="B82" s="69">
        <f>'RAW IMPORT'!B72</f>
        <v>0</v>
      </c>
      <c r="C82" s="71">
        <f>'RAW IMPORT'!C72</f>
        <v>0</v>
      </c>
      <c r="D82" s="81">
        <f>'RAW IMPORT'!D72</f>
        <v>0</v>
      </c>
      <c r="E82" s="81">
        <f>'RAW IMPORT'!E72</f>
        <v>0</v>
      </c>
      <c r="F82" s="103"/>
      <c r="G82" s="67"/>
    </row>
    <row r="83" spans="1:7" ht="15" customHeight="1" x14ac:dyDescent="0.25">
      <c r="A83" s="68">
        <f>'RAW IMPORT'!A73</f>
        <v>0</v>
      </c>
      <c r="B83" s="69">
        <f>'RAW IMPORT'!B73</f>
        <v>0</v>
      </c>
      <c r="C83" s="71">
        <f>'RAW IMPORT'!C73</f>
        <v>0</v>
      </c>
      <c r="D83" s="81">
        <f>'RAW IMPORT'!D73</f>
        <v>0</v>
      </c>
      <c r="E83" s="81">
        <f>'RAW IMPORT'!E73</f>
        <v>0</v>
      </c>
      <c r="F83" s="103"/>
      <c r="G83" s="67"/>
    </row>
    <row r="84" spans="1:7" ht="15" customHeight="1" x14ac:dyDescent="0.25">
      <c r="A84" s="68">
        <f>'RAW IMPORT'!A74</f>
        <v>0</v>
      </c>
      <c r="B84" s="69">
        <f>'RAW IMPORT'!B74</f>
        <v>0</v>
      </c>
      <c r="C84" s="71">
        <f>'RAW IMPORT'!C74</f>
        <v>0</v>
      </c>
      <c r="D84" s="81">
        <f>'RAW IMPORT'!D74</f>
        <v>0</v>
      </c>
      <c r="E84" s="81">
        <f>'RAW IMPORT'!E74</f>
        <v>0</v>
      </c>
      <c r="F84" s="103"/>
      <c r="G84" s="67"/>
    </row>
    <row r="85" spans="1:7" ht="15" customHeight="1" x14ac:dyDescent="0.25">
      <c r="A85" s="68">
        <f>'RAW IMPORT'!A75</f>
        <v>0</v>
      </c>
      <c r="B85" s="69">
        <f>'RAW IMPORT'!B75</f>
        <v>0</v>
      </c>
      <c r="C85" s="71">
        <f>'RAW IMPORT'!C75</f>
        <v>0</v>
      </c>
      <c r="D85" s="81">
        <f>'RAW IMPORT'!D75</f>
        <v>0</v>
      </c>
      <c r="E85" s="81">
        <f>'RAW IMPORT'!E75</f>
        <v>0</v>
      </c>
      <c r="F85" s="103"/>
      <c r="G85" s="67"/>
    </row>
    <row r="86" spans="1:7" ht="15" customHeight="1" x14ac:dyDescent="0.25">
      <c r="A86" s="68">
        <f>'RAW IMPORT'!A76</f>
        <v>0</v>
      </c>
      <c r="B86" s="69">
        <f>'RAW IMPORT'!B76</f>
        <v>0</v>
      </c>
      <c r="C86" s="71">
        <f>'RAW IMPORT'!C76</f>
        <v>0</v>
      </c>
      <c r="D86" s="81">
        <f>'RAW IMPORT'!D76</f>
        <v>0</v>
      </c>
      <c r="E86" s="81">
        <f>'RAW IMPORT'!E76</f>
        <v>0</v>
      </c>
      <c r="F86" s="103"/>
      <c r="G86" s="67"/>
    </row>
    <row r="87" spans="1:7" ht="15" customHeight="1" x14ac:dyDescent="0.25">
      <c r="A87" s="68">
        <f>'RAW IMPORT'!A77</f>
        <v>0</v>
      </c>
      <c r="B87" s="69">
        <f>'RAW IMPORT'!B77</f>
        <v>0</v>
      </c>
      <c r="C87" s="71">
        <f>'RAW IMPORT'!C77</f>
        <v>0</v>
      </c>
      <c r="D87" s="81">
        <f>'RAW IMPORT'!D77</f>
        <v>0</v>
      </c>
      <c r="E87" s="81">
        <f>'RAW IMPORT'!E77</f>
        <v>0</v>
      </c>
      <c r="F87" s="103"/>
      <c r="G87" s="67"/>
    </row>
    <row r="88" spans="1:7" ht="15" customHeight="1" x14ac:dyDescent="0.25">
      <c r="A88" s="68">
        <f>'RAW IMPORT'!A78</f>
        <v>0</v>
      </c>
      <c r="B88" s="69">
        <f>'RAW IMPORT'!B78</f>
        <v>0</v>
      </c>
      <c r="C88" s="71">
        <f>'RAW IMPORT'!C78</f>
        <v>0</v>
      </c>
      <c r="D88" s="81">
        <f>'RAW IMPORT'!D78</f>
        <v>0</v>
      </c>
      <c r="E88" s="81">
        <f>'RAW IMPORT'!E78</f>
        <v>0</v>
      </c>
      <c r="F88" s="103"/>
      <c r="G88" s="67"/>
    </row>
    <row r="89" spans="1:7" ht="15" customHeight="1" x14ac:dyDescent="0.25">
      <c r="A89" s="68">
        <f>'RAW IMPORT'!A79</f>
        <v>0</v>
      </c>
      <c r="B89" s="69">
        <f>'RAW IMPORT'!B79</f>
        <v>0</v>
      </c>
      <c r="C89" s="71">
        <f>'RAW IMPORT'!C79</f>
        <v>0</v>
      </c>
      <c r="D89" s="81">
        <f>'RAW IMPORT'!D79</f>
        <v>0</v>
      </c>
      <c r="E89" s="81">
        <f>'RAW IMPORT'!E79</f>
        <v>0</v>
      </c>
      <c r="F89" s="103"/>
      <c r="G89" s="67"/>
    </row>
    <row r="90" spans="1:7" ht="15" customHeight="1" x14ac:dyDescent="0.25">
      <c r="A90" s="68">
        <f>'RAW IMPORT'!A80</f>
        <v>0</v>
      </c>
      <c r="B90" s="69">
        <f>'RAW IMPORT'!B80</f>
        <v>0</v>
      </c>
      <c r="C90" s="71">
        <f>'RAW IMPORT'!C80</f>
        <v>0</v>
      </c>
      <c r="D90" s="81">
        <f>'RAW IMPORT'!D80</f>
        <v>0</v>
      </c>
      <c r="E90" s="81">
        <f>'RAW IMPORT'!E80</f>
        <v>0</v>
      </c>
      <c r="F90" s="103"/>
      <c r="G90" s="67"/>
    </row>
    <row r="91" spans="1:7" ht="15" customHeight="1" x14ac:dyDescent="0.25">
      <c r="A91" s="68">
        <f>'RAW IMPORT'!A81</f>
        <v>0</v>
      </c>
      <c r="B91" s="69">
        <f>'RAW IMPORT'!B81</f>
        <v>0</v>
      </c>
      <c r="C91" s="71">
        <f>'RAW IMPORT'!C81</f>
        <v>0</v>
      </c>
      <c r="D91" s="81">
        <f>'RAW IMPORT'!D81</f>
        <v>0</v>
      </c>
      <c r="E91" s="81">
        <f>'RAW IMPORT'!E81</f>
        <v>0</v>
      </c>
      <c r="F91" s="103"/>
      <c r="G91" s="67"/>
    </row>
    <row r="92" spans="1:7" ht="15" customHeight="1" x14ac:dyDescent="0.25">
      <c r="A92" s="68">
        <f>'RAW IMPORT'!A82</f>
        <v>0</v>
      </c>
      <c r="B92" s="69">
        <f>'RAW IMPORT'!B82</f>
        <v>0</v>
      </c>
      <c r="C92" s="71">
        <f>'RAW IMPORT'!C82</f>
        <v>0</v>
      </c>
      <c r="D92" s="81">
        <f>'RAW IMPORT'!D82</f>
        <v>0</v>
      </c>
      <c r="E92" s="81">
        <f>'RAW IMPORT'!E82</f>
        <v>0</v>
      </c>
      <c r="F92" s="103"/>
      <c r="G92" s="67"/>
    </row>
    <row r="93" spans="1:7" ht="15" customHeight="1" x14ac:dyDescent="0.25">
      <c r="A93" s="68">
        <f>'RAW IMPORT'!A83</f>
        <v>0</v>
      </c>
      <c r="B93" s="69">
        <f>'RAW IMPORT'!B83</f>
        <v>0</v>
      </c>
      <c r="C93" s="71">
        <f>'RAW IMPORT'!C83</f>
        <v>0</v>
      </c>
      <c r="D93" s="81">
        <f>'RAW IMPORT'!D83</f>
        <v>0</v>
      </c>
      <c r="E93" s="81">
        <f>'RAW IMPORT'!E83</f>
        <v>0</v>
      </c>
      <c r="F93" s="103"/>
      <c r="G93" s="67"/>
    </row>
    <row r="94" spans="1:7" ht="15" customHeight="1" x14ac:dyDescent="0.25">
      <c r="A94" s="68">
        <f>'RAW IMPORT'!A84</f>
        <v>0</v>
      </c>
      <c r="B94" s="69">
        <f>'RAW IMPORT'!B84</f>
        <v>0</v>
      </c>
      <c r="C94" s="71">
        <f>'RAW IMPORT'!C84</f>
        <v>0</v>
      </c>
      <c r="D94" s="81">
        <f>'RAW IMPORT'!D84</f>
        <v>0</v>
      </c>
      <c r="E94" s="81">
        <f>'RAW IMPORT'!E84</f>
        <v>0</v>
      </c>
      <c r="F94" s="103"/>
      <c r="G94" s="67"/>
    </row>
    <row r="95" spans="1:7" ht="15" customHeight="1" x14ac:dyDescent="0.25">
      <c r="A95" s="68">
        <f>'RAW IMPORT'!A85</f>
        <v>0</v>
      </c>
      <c r="B95" s="69">
        <f>'RAW IMPORT'!B85</f>
        <v>0</v>
      </c>
      <c r="C95" s="71">
        <f>'RAW IMPORT'!C85</f>
        <v>0</v>
      </c>
      <c r="D95" s="81">
        <f>'RAW IMPORT'!D85</f>
        <v>0</v>
      </c>
      <c r="E95" s="81">
        <f>'RAW IMPORT'!E85</f>
        <v>0</v>
      </c>
      <c r="F95" s="103"/>
      <c r="G95" s="67"/>
    </row>
    <row r="96" spans="1:7" ht="15" customHeight="1" x14ac:dyDescent="0.25">
      <c r="A96" s="68">
        <f>'RAW IMPORT'!A86</f>
        <v>0</v>
      </c>
      <c r="B96" s="69">
        <f>'RAW IMPORT'!B86</f>
        <v>0</v>
      </c>
      <c r="C96" s="71">
        <f>'RAW IMPORT'!C86</f>
        <v>0</v>
      </c>
      <c r="D96" s="81">
        <f>'RAW IMPORT'!D86</f>
        <v>0</v>
      </c>
      <c r="E96" s="81">
        <f>'RAW IMPORT'!E86</f>
        <v>0</v>
      </c>
      <c r="F96" s="103"/>
      <c r="G96" s="67"/>
    </row>
    <row r="97" spans="1:7" ht="15" customHeight="1" x14ac:dyDescent="0.25">
      <c r="A97" s="68">
        <f>'RAW IMPORT'!A87</f>
        <v>0</v>
      </c>
      <c r="B97" s="69">
        <f>'RAW IMPORT'!B87</f>
        <v>0</v>
      </c>
      <c r="C97" s="71">
        <f>'RAW IMPORT'!C87</f>
        <v>0</v>
      </c>
      <c r="D97" s="81">
        <f>'RAW IMPORT'!D87</f>
        <v>0</v>
      </c>
      <c r="E97" s="81">
        <f>'RAW IMPORT'!E87</f>
        <v>0</v>
      </c>
      <c r="F97" s="103"/>
      <c r="G97" s="67"/>
    </row>
    <row r="98" spans="1:7" ht="15" customHeight="1" x14ac:dyDescent="0.25">
      <c r="A98" s="68">
        <f>'RAW IMPORT'!A88</f>
        <v>0</v>
      </c>
      <c r="B98" s="69">
        <f>'RAW IMPORT'!B88</f>
        <v>0</v>
      </c>
      <c r="C98" s="71">
        <f>'RAW IMPORT'!C88</f>
        <v>0</v>
      </c>
      <c r="D98" s="81">
        <f>'RAW IMPORT'!D88</f>
        <v>0</v>
      </c>
      <c r="E98" s="81">
        <f>'RAW IMPORT'!E88</f>
        <v>0</v>
      </c>
      <c r="F98" s="103"/>
      <c r="G98" s="67"/>
    </row>
    <row r="99" spans="1:7" ht="15" customHeight="1" x14ac:dyDescent="0.25">
      <c r="A99" s="68">
        <f>'RAW IMPORT'!A89</f>
        <v>0</v>
      </c>
      <c r="B99" s="69">
        <f>'RAW IMPORT'!B89</f>
        <v>0</v>
      </c>
      <c r="C99" s="71">
        <f>'RAW IMPORT'!C89</f>
        <v>0</v>
      </c>
      <c r="D99" s="81">
        <f>'RAW IMPORT'!D89</f>
        <v>0</v>
      </c>
      <c r="E99" s="81">
        <f>'RAW IMPORT'!E89</f>
        <v>0</v>
      </c>
      <c r="F99" s="103"/>
      <c r="G99" s="67"/>
    </row>
    <row r="100" spans="1:7" ht="15" customHeight="1" x14ac:dyDescent="0.25">
      <c r="A100" s="68">
        <f>'RAW IMPORT'!A90</f>
        <v>0</v>
      </c>
      <c r="B100" s="69">
        <f>'RAW IMPORT'!B90</f>
        <v>0</v>
      </c>
      <c r="C100" s="71">
        <f>'RAW IMPORT'!C90</f>
        <v>0</v>
      </c>
      <c r="D100" s="81">
        <f>'RAW IMPORT'!D90</f>
        <v>0</v>
      </c>
      <c r="E100" s="81">
        <f>'RAW IMPORT'!E90</f>
        <v>0</v>
      </c>
      <c r="F100" s="103"/>
      <c r="G100" s="67"/>
    </row>
    <row r="101" spans="1:7" x14ac:dyDescent="0.25">
      <c r="A101" s="68">
        <f>'RAW IMPORT'!A91</f>
        <v>0</v>
      </c>
      <c r="B101" s="69">
        <f>'RAW IMPORT'!B91</f>
        <v>0</v>
      </c>
      <c r="C101" s="71">
        <f>'RAW IMPORT'!C91</f>
        <v>0</v>
      </c>
      <c r="D101" s="81">
        <f>'RAW IMPORT'!D91</f>
        <v>0</v>
      </c>
      <c r="E101" s="81">
        <f>'RAW IMPORT'!E91</f>
        <v>0</v>
      </c>
      <c r="F101" s="103"/>
      <c r="G101" s="67"/>
    </row>
    <row r="102" spans="1:7" ht="15.75" customHeight="1" x14ac:dyDescent="0.25">
      <c r="A102" s="68">
        <f>'RAW IMPORT'!A92</f>
        <v>0</v>
      </c>
      <c r="B102" s="69">
        <f>'RAW IMPORT'!B92</f>
        <v>0</v>
      </c>
      <c r="C102" s="71">
        <f>'RAW IMPORT'!C92</f>
        <v>0</v>
      </c>
      <c r="D102" s="81">
        <f>'RAW IMPORT'!D92</f>
        <v>0</v>
      </c>
      <c r="E102" s="81">
        <f>'RAW IMPORT'!E92</f>
        <v>0</v>
      </c>
      <c r="F102" s="103"/>
      <c r="G102" s="67"/>
    </row>
    <row r="103" spans="1:7" ht="15.75" customHeight="1" x14ac:dyDescent="0.25">
      <c r="A103" s="68">
        <f>'RAW IMPORT'!A93</f>
        <v>0</v>
      </c>
      <c r="B103" s="69">
        <f>'RAW IMPORT'!B93</f>
        <v>0</v>
      </c>
      <c r="C103" s="71">
        <f>'RAW IMPORT'!C93</f>
        <v>0</v>
      </c>
      <c r="D103" s="81">
        <f>'RAW IMPORT'!D93</f>
        <v>0</v>
      </c>
      <c r="E103" s="81">
        <f>'RAW IMPORT'!E93</f>
        <v>0</v>
      </c>
      <c r="F103" s="103"/>
      <c r="G103" s="67"/>
    </row>
    <row r="104" spans="1:7" ht="15.75" customHeight="1" x14ac:dyDescent="0.25">
      <c r="A104" s="68">
        <f>'RAW IMPORT'!A94</f>
        <v>0</v>
      </c>
      <c r="B104" s="69">
        <f>'RAW IMPORT'!B94</f>
        <v>0</v>
      </c>
      <c r="C104" s="71">
        <f>'RAW IMPORT'!C94</f>
        <v>0</v>
      </c>
      <c r="D104" s="81">
        <f>'RAW IMPORT'!D94</f>
        <v>0</v>
      </c>
      <c r="E104" s="81">
        <f>'RAW IMPORT'!E94</f>
        <v>0</v>
      </c>
      <c r="F104" s="103"/>
      <c r="G104" s="67"/>
    </row>
    <row r="105" spans="1:7" ht="15.75" customHeight="1" x14ac:dyDescent="0.25">
      <c r="A105" s="68">
        <f>'RAW IMPORT'!A95</f>
        <v>0</v>
      </c>
      <c r="B105" s="69">
        <f>'RAW IMPORT'!B95</f>
        <v>0</v>
      </c>
      <c r="C105" s="71">
        <f>'RAW IMPORT'!C95</f>
        <v>0</v>
      </c>
      <c r="D105" s="81">
        <f>'RAW IMPORT'!D95</f>
        <v>0</v>
      </c>
      <c r="E105" s="81">
        <f>'RAW IMPORT'!E95</f>
        <v>0</v>
      </c>
      <c r="F105" s="103"/>
      <c r="G105" s="67"/>
    </row>
    <row r="106" spans="1:7" ht="15.75" customHeight="1" x14ac:dyDescent="0.25">
      <c r="A106" s="68">
        <f>'RAW IMPORT'!A96</f>
        <v>0</v>
      </c>
      <c r="B106" s="69">
        <f>'RAW IMPORT'!B96</f>
        <v>0</v>
      </c>
      <c r="C106" s="71">
        <f>'RAW IMPORT'!C96</f>
        <v>0</v>
      </c>
      <c r="D106" s="81">
        <f>'RAW IMPORT'!D96</f>
        <v>0</v>
      </c>
      <c r="E106" s="81">
        <f>'RAW IMPORT'!E96</f>
        <v>0</v>
      </c>
      <c r="F106" s="103"/>
      <c r="G106" s="67"/>
    </row>
    <row r="107" spans="1:7" ht="15.75" customHeight="1" x14ac:dyDescent="0.25">
      <c r="A107" s="68">
        <f>'RAW IMPORT'!A97</f>
        <v>0</v>
      </c>
      <c r="B107" s="69">
        <f>'RAW IMPORT'!B97</f>
        <v>0</v>
      </c>
      <c r="C107" s="71">
        <f>'RAW IMPORT'!C97</f>
        <v>0</v>
      </c>
      <c r="D107" s="81">
        <f>'RAW IMPORT'!D97</f>
        <v>0</v>
      </c>
      <c r="E107" s="81">
        <f>'RAW IMPORT'!E97</f>
        <v>0</v>
      </c>
      <c r="F107" s="103"/>
      <c r="G107" s="67"/>
    </row>
    <row r="108" spans="1:7" ht="15.75" customHeight="1" x14ac:dyDescent="0.25">
      <c r="A108" s="68">
        <f>'RAW IMPORT'!A98</f>
        <v>0</v>
      </c>
      <c r="B108" s="69">
        <f>'RAW IMPORT'!B98</f>
        <v>0</v>
      </c>
      <c r="C108" s="71">
        <f>'RAW IMPORT'!C98</f>
        <v>0</v>
      </c>
      <c r="D108" s="81">
        <f>'RAW IMPORT'!D98</f>
        <v>0</v>
      </c>
      <c r="E108" s="81">
        <f>'RAW IMPORT'!E98</f>
        <v>0</v>
      </c>
      <c r="F108" s="103"/>
      <c r="G108" s="67"/>
    </row>
    <row r="109" spans="1:7" ht="15.75" customHeight="1" x14ac:dyDescent="0.25">
      <c r="A109" s="68">
        <f>'RAW IMPORT'!A99</f>
        <v>0</v>
      </c>
      <c r="B109" s="69">
        <f>'RAW IMPORT'!B99</f>
        <v>0</v>
      </c>
      <c r="C109" s="71">
        <f>'RAW IMPORT'!C99</f>
        <v>0</v>
      </c>
      <c r="D109" s="81">
        <f>'RAW IMPORT'!D99</f>
        <v>0</v>
      </c>
      <c r="E109" s="81">
        <f>'RAW IMPORT'!E99</f>
        <v>0</v>
      </c>
      <c r="F109" s="103"/>
      <c r="G109" s="67"/>
    </row>
    <row r="110" spans="1:7" ht="15.75" customHeight="1" x14ac:dyDescent="0.25">
      <c r="A110" s="68">
        <f>'RAW IMPORT'!A100</f>
        <v>0</v>
      </c>
      <c r="B110" s="69">
        <f>'RAW IMPORT'!B100</f>
        <v>0</v>
      </c>
      <c r="C110" s="71">
        <f>'RAW IMPORT'!C100</f>
        <v>0</v>
      </c>
      <c r="D110" s="81">
        <f>'RAW IMPORT'!D100</f>
        <v>0</v>
      </c>
      <c r="E110" s="81">
        <f>'RAW IMPORT'!E100</f>
        <v>0</v>
      </c>
      <c r="F110" s="103"/>
      <c r="G110" s="67"/>
    </row>
    <row r="111" spans="1:7" ht="15.75" customHeight="1" x14ac:dyDescent="0.25">
      <c r="A111" s="68">
        <f>'RAW IMPORT'!A101</f>
        <v>0</v>
      </c>
      <c r="B111" s="69">
        <f>'RAW IMPORT'!B101</f>
        <v>0</v>
      </c>
      <c r="C111" s="71">
        <f>'RAW IMPORT'!C101</f>
        <v>0</v>
      </c>
      <c r="D111" s="81">
        <f>'RAW IMPORT'!D101</f>
        <v>0</v>
      </c>
      <c r="E111" s="81">
        <f>'RAW IMPORT'!E101</f>
        <v>0</v>
      </c>
      <c r="F111" s="103"/>
      <c r="G111" s="67"/>
    </row>
    <row r="112" spans="1:7" ht="15.75" customHeight="1" x14ac:dyDescent="0.25">
      <c r="A112" s="68">
        <f>'RAW IMPORT'!A102</f>
        <v>0</v>
      </c>
      <c r="B112" s="69">
        <f>'RAW IMPORT'!B102</f>
        <v>0</v>
      </c>
      <c r="C112" s="71">
        <f>'RAW IMPORT'!C102</f>
        <v>0</v>
      </c>
      <c r="D112" s="81">
        <f>'RAW IMPORT'!D102</f>
        <v>0</v>
      </c>
      <c r="E112" s="81">
        <f>'RAW IMPORT'!E102</f>
        <v>0</v>
      </c>
      <c r="F112" s="103"/>
      <c r="G112" s="67"/>
    </row>
    <row r="113" spans="1:7" ht="15.75" customHeight="1" x14ac:dyDescent="0.25">
      <c r="A113" s="68">
        <f>'RAW IMPORT'!A103</f>
        <v>0</v>
      </c>
      <c r="B113" s="69">
        <f>'RAW IMPORT'!B103</f>
        <v>0</v>
      </c>
      <c r="C113" s="71">
        <f>'RAW IMPORT'!C103</f>
        <v>0</v>
      </c>
      <c r="D113" s="81">
        <f>'RAW IMPORT'!D103</f>
        <v>0</v>
      </c>
      <c r="E113" s="81">
        <f>'RAW IMPORT'!E103</f>
        <v>0</v>
      </c>
      <c r="F113" s="103"/>
      <c r="G113" s="67"/>
    </row>
    <row r="114" spans="1:7" ht="15.75" customHeight="1" x14ac:dyDescent="0.25">
      <c r="A114" s="68">
        <f>'RAW IMPORT'!A104</f>
        <v>0</v>
      </c>
      <c r="B114" s="69">
        <f>'RAW IMPORT'!B104</f>
        <v>0</v>
      </c>
      <c r="C114" s="71">
        <f>'RAW IMPORT'!C104</f>
        <v>0</v>
      </c>
      <c r="D114" s="81">
        <f>'RAW IMPORT'!D104</f>
        <v>0</v>
      </c>
      <c r="E114" s="81">
        <f>'RAW IMPORT'!E104</f>
        <v>0</v>
      </c>
      <c r="F114" s="103"/>
      <c r="G114" s="67"/>
    </row>
    <row r="115" spans="1:7" ht="15.75" customHeight="1" x14ac:dyDescent="0.25">
      <c r="A115" s="68">
        <f>'RAW IMPORT'!A105</f>
        <v>0</v>
      </c>
      <c r="B115" s="69">
        <f>'RAW IMPORT'!B105</f>
        <v>0</v>
      </c>
      <c r="C115" s="71">
        <f>'RAW IMPORT'!C105</f>
        <v>0</v>
      </c>
      <c r="D115" s="81">
        <f>'RAW IMPORT'!D105</f>
        <v>0</v>
      </c>
      <c r="E115" s="81">
        <f>'RAW IMPORT'!E105</f>
        <v>0</v>
      </c>
      <c r="F115" s="103"/>
      <c r="G115" s="67"/>
    </row>
    <row r="116" spans="1:7" ht="15.75" customHeight="1" x14ac:dyDescent="0.25">
      <c r="A116" s="68">
        <f>'RAW IMPORT'!A106</f>
        <v>0</v>
      </c>
      <c r="B116" s="69">
        <f>'RAW IMPORT'!B106</f>
        <v>0</v>
      </c>
      <c r="C116" s="71">
        <f>'RAW IMPORT'!C106</f>
        <v>0</v>
      </c>
      <c r="D116" s="81">
        <f>'RAW IMPORT'!D106</f>
        <v>0</v>
      </c>
      <c r="E116" s="81">
        <f>'RAW IMPORT'!E106</f>
        <v>0</v>
      </c>
      <c r="F116" s="103"/>
      <c r="G116" s="67"/>
    </row>
    <row r="117" spans="1:7" ht="15.75" customHeight="1" x14ac:dyDescent="0.25">
      <c r="A117" s="68">
        <f>'RAW IMPORT'!A107</f>
        <v>0</v>
      </c>
      <c r="B117" s="69">
        <f>'RAW IMPORT'!B107</f>
        <v>0</v>
      </c>
      <c r="C117" s="71">
        <f>'RAW IMPORT'!C107</f>
        <v>0</v>
      </c>
      <c r="D117" s="81">
        <f>'RAW IMPORT'!D107</f>
        <v>0</v>
      </c>
      <c r="E117" s="81">
        <f>'RAW IMPORT'!E107</f>
        <v>0</v>
      </c>
      <c r="F117" s="103"/>
      <c r="G117" s="67"/>
    </row>
    <row r="118" spans="1:7" ht="15.75" customHeight="1" x14ac:dyDescent="0.25">
      <c r="A118" s="68">
        <f>'RAW IMPORT'!A108</f>
        <v>0</v>
      </c>
      <c r="B118" s="69">
        <f>'RAW IMPORT'!B108</f>
        <v>0</v>
      </c>
      <c r="C118" s="71">
        <f>'RAW IMPORT'!C108</f>
        <v>0</v>
      </c>
      <c r="D118" s="81">
        <f>'RAW IMPORT'!D108</f>
        <v>0</v>
      </c>
      <c r="E118" s="81">
        <f>'RAW IMPORT'!E108</f>
        <v>0</v>
      </c>
      <c r="F118" s="103"/>
      <c r="G118" s="67"/>
    </row>
    <row r="119" spans="1:7" x14ac:dyDescent="0.25">
      <c r="A119" s="68">
        <f>'RAW IMPORT'!A109</f>
        <v>0</v>
      </c>
      <c r="B119" s="69">
        <f>'RAW IMPORT'!B109</f>
        <v>0</v>
      </c>
      <c r="C119" s="71">
        <f>'RAW IMPORT'!C109</f>
        <v>0</v>
      </c>
      <c r="D119" s="81">
        <f>'RAW IMPORT'!D109</f>
        <v>0</v>
      </c>
      <c r="E119" s="81">
        <f>'RAW IMPORT'!E109</f>
        <v>0</v>
      </c>
      <c r="F119" s="103"/>
      <c r="G119" s="67"/>
    </row>
    <row r="120" spans="1:7" x14ac:dyDescent="0.25">
      <c r="A120" s="68">
        <f>'RAW IMPORT'!A110</f>
        <v>0</v>
      </c>
      <c r="B120" s="69">
        <f>'RAW IMPORT'!B110</f>
        <v>0</v>
      </c>
      <c r="C120" s="71">
        <f>'RAW IMPORT'!C110</f>
        <v>0</v>
      </c>
      <c r="D120" s="81">
        <f>'RAW IMPORT'!D110</f>
        <v>0</v>
      </c>
      <c r="E120" s="81">
        <f>'RAW IMPORT'!E110</f>
        <v>0</v>
      </c>
      <c r="F120" s="103"/>
      <c r="G120" s="67"/>
    </row>
    <row r="121" spans="1:7" x14ac:dyDescent="0.25">
      <c r="A121" s="68">
        <f>'RAW IMPORT'!A111</f>
        <v>0</v>
      </c>
      <c r="B121" s="69">
        <f>'RAW IMPORT'!B111</f>
        <v>0</v>
      </c>
      <c r="C121" s="71">
        <f>'RAW IMPORT'!C111</f>
        <v>0</v>
      </c>
      <c r="D121" s="81">
        <f>'RAW IMPORT'!D111</f>
        <v>0</v>
      </c>
      <c r="E121" s="81">
        <f>'RAW IMPORT'!E111</f>
        <v>0</v>
      </c>
      <c r="F121" s="103"/>
      <c r="G121" s="67"/>
    </row>
    <row r="122" spans="1:7" ht="14.4" thickBot="1" x14ac:dyDescent="0.3">
      <c r="A122" s="97">
        <f>'RAW IMPORT'!A112</f>
        <v>0</v>
      </c>
      <c r="B122" s="98">
        <f>'RAW IMPORT'!B112</f>
        <v>0</v>
      </c>
      <c r="C122" s="99">
        <f>'RAW IMPORT'!C112</f>
        <v>0</v>
      </c>
      <c r="D122" s="120">
        <f>'RAW IMPORT'!D112</f>
        <v>0</v>
      </c>
      <c r="E122" s="90">
        <f>'RAW IMPORT'!E112</f>
        <v>0</v>
      </c>
      <c r="F122" s="103"/>
      <c r="G122" s="67"/>
    </row>
    <row r="123" spans="1:7" ht="14.4" thickTop="1" x14ac:dyDescent="0.25">
      <c r="A123" s="101"/>
      <c r="B123" s="101"/>
      <c r="C123" s="102"/>
      <c r="D123" s="102"/>
      <c r="E123" s="102"/>
    </row>
    <row r="124" spans="1:7" x14ac:dyDescent="0.25">
      <c r="A124" s="67"/>
      <c r="B124" s="67"/>
      <c r="C124" s="91"/>
      <c r="D124" s="119"/>
      <c r="E124" s="91"/>
      <c r="F124" s="67"/>
      <c r="G124" s="67"/>
    </row>
    <row r="125" spans="1:7" x14ac:dyDescent="0.25">
      <c r="A125" s="67"/>
      <c r="B125" s="67"/>
      <c r="C125" s="91"/>
      <c r="D125" s="119"/>
      <c r="E125" s="91"/>
      <c r="F125" s="67"/>
      <c r="G125" s="67"/>
    </row>
    <row r="126" spans="1:7" x14ac:dyDescent="0.25">
      <c r="A126" s="67"/>
      <c r="B126" s="67"/>
      <c r="C126" s="91"/>
      <c r="D126" s="119"/>
      <c r="E126" s="91"/>
      <c r="F126" s="67"/>
      <c r="G126" s="67"/>
    </row>
    <row r="127" spans="1:7" x14ac:dyDescent="0.25">
      <c r="A127" s="67"/>
      <c r="B127" s="67"/>
      <c r="C127" s="91"/>
      <c r="D127" s="119"/>
      <c r="E127" s="91"/>
      <c r="F127" s="67"/>
      <c r="G127" s="67"/>
    </row>
    <row r="128" spans="1:7" x14ac:dyDescent="0.25">
      <c r="A128" s="67"/>
      <c r="B128" s="67"/>
      <c r="C128" s="91"/>
      <c r="D128" s="119"/>
      <c r="E128" s="91"/>
      <c r="F128" s="67"/>
      <c r="G128" s="67"/>
    </row>
    <row r="129" spans="1:7" x14ac:dyDescent="0.25">
      <c r="A129" s="66"/>
      <c r="B129" s="67"/>
      <c r="C129" s="91"/>
      <c r="D129" s="119"/>
      <c r="E129" s="91"/>
      <c r="F129" s="67"/>
      <c r="G129" s="67"/>
    </row>
    <row r="130" spans="1:7" x14ac:dyDescent="0.25">
      <c r="A130" s="66"/>
      <c r="B130" s="67"/>
      <c r="C130" s="91"/>
      <c r="D130" s="119"/>
      <c r="E130" s="91"/>
      <c r="F130" s="67"/>
      <c r="G130" s="67"/>
    </row>
    <row r="131" spans="1:7" x14ac:dyDescent="0.25">
      <c r="A131" s="66"/>
      <c r="B131" s="67"/>
      <c r="C131" s="91"/>
      <c r="D131" s="119"/>
      <c r="E131" s="91"/>
      <c r="F131" s="67"/>
      <c r="G131" s="67"/>
    </row>
    <row r="132" spans="1:7" x14ac:dyDescent="0.25">
      <c r="A132" s="66"/>
      <c r="B132" s="67"/>
      <c r="C132" s="91"/>
      <c r="D132" s="119"/>
      <c r="E132" s="91"/>
      <c r="F132" s="67"/>
      <c r="G132" s="67"/>
    </row>
    <row r="133" spans="1:7" x14ac:dyDescent="0.25">
      <c r="A133" s="66"/>
      <c r="B133" s="67"/>
      <c r="C133" s="91"/>
      <c r="D133" s="119"/>
      <c r="E133" s="91"/>
      <c r="F133" s="67"/>
      <c r="G133" s="67"/>
    </row>
    <row r="134" spans="1:7" x14ac:dyDescent="0.25">
      <c r="A134" s="66"/>
      <c r="B134" s="67"/>
      <c r="C134" s="91"/>
      <c r="D134" s="119"/>
      <c r="E134" s="91"/>
      <c r="F134" s="67"/>
      <c r="G134" s="67"/>
    </row>
    <row r="135" spans="1:7" x14ac:dyDescent="0.25">
      <c r="A135" s="66"/>
      <c r="B135" s="67"/>
      <c r="C135" s="91"/>
      <c r="D135" s="119"/>
      <c r="E135" s="91"/>
      <c r="F135" s="67"/>
      <c r="G135" s="67"/>
    </row>
    <row r="136" spans="1:7" x14ac:dyDescent="0.25">
      <c r="A136" s="66"/>
      <c r="B136" s="67"/>
      <c r="C136" s="91"/>
      <c r="D136" s="119"/>
      <c r="E136" s="91"/>
      <c r="F136" s="67"/>
      <c r="G136" s="67"/>
    </row>
    <row r="137" spans="1:7" x14ac:dyDescent="0.25">
      <c r="A137" s="66"/>
      <c r="B137" s="67"/>
      <c r="C137" s="91"/>
      <c r="D137" s="119"/>
      <c r="E137" s="91"/>
      <c r="F137" s="67"/>
      <c r="G137" s="67"/>
    </row>
    <row r="138" spans="1:7" x14ac:dyDescent="0.25">
      <c r="A138" s="66"/>
      <c r="B138" s="67"/>
      <c r="C138" s="91"/>
      <c r="D138" s="119"/>
      <c r="E138" s="91"/>
      <c r="F138" s="67"/>
      <c r="G138" s="67"/>
    </row>
    <row r="139" spans="1:7" x14ac:dyDescent="0.25">
      <c r="A139" s="66"/>
      <c r="B139" s="67"/>
      <c r="C139" s="91"/>
      <c r="D139" s="119"/>
      <c r="E139" s="91"/>
      <c r="F139" s="67"/>
      <c r="G139" s="67"/>
    </row>
    <row r="140" spans="1:7" x14ac:dyDescent="0.25">
      <c r="A140" s="66"/>
      <c r="B140" s="67"/>
      <c r="C140" s="91"/>
      <c r="D140" s="119"/>
      <c r="E140" s="91"/>
      <c r="F140" s="67"/>
      <c r="G140" s="67"/>
    </row>
    <row r="141" spans="1:7" x14ac:dyDescent="0.25">
      <c r="A141" s="66"/>
      <c r="B141" s="67"/>
      <c r="C141" s="91"/>
      <c r="D141" s="119"/>
      <c r="E141" s="91"/>
      <c r="F141" s="67"/>
      <c r="G141" s="67"/>
    </row>
    <row r="142" spans="1:7" x14ac:dyDescent="0.25">
      <c r="A142" s="66"/>
      <c r="B142" s="67"/>
      <c r="C142" s="91"/>
      <c r="D142" s="119"/>
      <c r="E142" s="91"/>
      <c r="F142" s="67"/>
      <c r="G142" s="67"/>
    </row>
    <row r="143" spans="1:7" x14ac:dyDescent="0.25">
      <c r="A143" s="66"/>
      <c r="B143" s="67"/>
      <c r="C143" s="91"/>
      <c r="D143" s="119"/>
      <c r="E143" s="91"/>
      <c r="F143" s="67"/>
      <c r="G143" s="67"/>
    </row>
    <row r="144" spans="1:7" x14ac:dyDescent="0.25">
      <c r="A144" s="66"/>
      <c r="B144" s="67"/>
      <c r="C144" s="91"/>
      <c r="D144" s="119"/>
      <c r="E144" s="91"/>
      <c r="F144" s="67"/>
      <c r="G144" s="67"/>
    </row>
    <row r="145" spans="1:7" x14ac:dyDescent="0.25">
      <c r="A145" s="66"/>
      <c r="B145" s="67"/>
      <c r="C145" s="91"/>
      <c r="D145" s="119"/>
      <c r="E145" s="91"/>
      <c r="F145" s="67"/>
      <c r="G145" s="67"/>
    </row>
    <row r="146" spans="1:7" x14ac:dyDescent="0.25">
      <c r="A146" s="66"/>
      <c r="B146" s="67"/>
      <c r="C146" s="91"/>
      <c r="D146" s="119"/>
      <c r="E146" s="91"/>
      <c r="F146" s="67"/>
      <c r="G146" s="67"/>
    </row>
    <row r="147" spans="1:7" x14ac:dyDescent="0.25">
      <c r="A147" s="66"/>
      <c r="B147" s="67"/>
      <c r="C147" s="91"/>
      <c r="D147" s="119"/>
      <c r="E147" s="91"/>
      <c r="F147" s="67"/>
      <c r="G147" s="67"/>
    </row>
    <row r="148" spans="1:7" x14ac:dyDescent="0.25">
      <c r="A148" s="66"/>
      <c r="B148" s="67"/>
      <c r="C148" s="91"/>
      <c r="D148" s="119"/>
      <c r="E148" s="91"/>
      <c r="F148" s="67"/>
      <c r="G148" s="67"/>
    </row>
    <row r="149" spans="1:7" x14ac:dyDescent="0.25">
      <c r="A149" s="66"/>
      <c r="B149" s="67"/>
      <c r="C149" s="91"/>
      <c r="D149" s="119"/>
      <c r="E149" s="91"/>
      <c r="F149" s="67"/>
      <c r="G149" s="67"/>
    </row>
    <row r="150" spans="1:7" x14ac:dyDescent="0.25">
      <c r="A150" s="66"/>
      <c r="B150" s="67"/>
      <c r="C150" s="91"/>
      <c r="D150" s="119"/>
      <c r="E150" s="91"/>
      <c r="F150" s="67"/>
      <c r="G150" s="67"/>
    </row>
    <row r="151" spans="1:7" x14ac:dyDescent="0.25">
      <c r="A151" s="66"/>
      <c r="B151" s="67"/>
      <c r="C151" s="91"/>
      <c r="D151" s="119"/>
      <c r="E151" s="91"/>
      <c r="F151" s="67"/>
      <c r="G151" s="67"/>
    </row>
    <row r="152" spans="1:7" x14ac:dyDescent="0.25">
      <c r="A152" s="66"/>
      <c r="B152" s="67"/>
      <c r="C152" s="91"/>
      <c r="D152" s="119"/>
      <c r="E152" s="91"/>
      <c r="F152" s="67"/>
      <c r="G152" s="67"/>
    </row>
    <row r="153" spans="1:7" x14ac:dyDescent="0.25">
      <c r="A153" s="66"/>
      <c r="B153" s="67"/>
      <c r="C153" s="91"/>
      <c r="D153" s="119"/>
      <c r="E153" s="91"/>
      <c r="F153" s="67"/>
      <c r="G153" s="67"/>
    </row>
    <row r="154" spans="1:7" x14ac:dyDescent="0.25">
      <c r="A154" s="66"/>
      <c r="B154" s="67"/>
      <c r="C154" s="91"/>
      <c r="D154" s="119"/>
      <c r="E154" s="91"/>
      <c r="F154" s="67"/>
      <c r="G154" s="67"/>
    </row>
    <row r="155" spans="1:7" x14ac:dyDescent="0.25">
      <c r="A155" s="66"/>
      <c r="B155" s="67"/>
      <c r="C155" s="91"/>
      <c r="D155" s="119"/>
      <c r="E155" s="91"/>
      <c r="F155" s="67"/>
      <c r="G155" s="67"/>
    </row>
    <row r="156" spans="1:7" x14ac:dyDescent="0.25">
      <c r="A156" s="66"/>
      <c r="B156" s="67"/>
      <c r="C156" s="91"/>
      <c r="D156" s="119"/>
      <c r="E156" s="91"/>
      <c r="F156" s="67"/>
      <c r="G156" s="67"/>
    </row>
    <row r="157" spans="1:7" x14ac:dyDescent="0.25">
      <c r="A157" s="66"/>
      <c r="B157" s="67"/>
      <c r="C157" s="91"/>
      <c r="D157" s="119"/>
      <c r="E157" s="91"/>
      <c r="F157" s="67"/>
      <c r="G157" s="67"/>
    </row>
    <row r="158" spans="1:7" x14ac:dyDescent="0.25">
      <c r="A158" s="66"/>
      <c r="B158" s="67"/>
      <c r="C158" s="91"/>
      <c r="D158" s="119"/>
      <c r="E158" s="91"/>
      <c r="F158" s="67"/>
      <c r="G158" s="67"/>
    </row>
    <row r="159" spans="1:7" x14ac:dyDescent="0.25">
      <c r="A159" s="66"/>
      <c r="B159" s="67"/>
      <c r="C159" s="91"/>
      <c r="D159" s="119"/>
      <c r="E159" s="91"/>
      <c r="F159" s="67"/>
      <c r="G159" s="67"/>
    </row>
    <row r="160" spans="1:7" x14ac:dyDescent="0.25">
      <c r="A160" s="66"/>
      <c r="B160" s="67"/>
      <c r="C160" s="91"/>
      <c r="D160" s="119"/>
      <c r="E160" s="91"/>
      <c r="F160" s="67"/>
      <c r="G160" s="67"/>
    </row>
    <row r="161" spans="1:7" x14ac:dyDescent="0.25">
      <c r="A161" s="66"/>
      <c r="B161" s="67"/>
      <c r="C161" s="91"/>
      <c r="D161" s="119"/>
      <c r="E161" s="91"/>
      <c r="F161" s="67"/>
      <c r="G161" s="67"/>
    </row>
    <row r="162" spans="1:7" x14ac:dyDescent="0.25">
      <c r="A162" s="66"/>
      <c r="B162" s="67"/>
      <c r="C162" s="91"/>
      <c r="D162" s="119"/>
      <c r="E162" s="91"/>
      <c r="F162" s="67"/>
      <c r="G162" s="67"/>
    </row>
    <row r="163" spans="1:7" x14ac:dyDescent="0.25">
      <c r="A163" s="66"/>
      <c r="B163" s="67"/>
      <c r="C163" s="91"/>
      <c r="D163" s="119"/>
      <c r="E163" s="91"/>
      <c r="F163" s="67"/>
      <c r="G163" s="67"/>
    </row>
    <row r="164" spans="1:7" x14ac:dyDescent="0.25">
      <c r="A164" s="66"/>
      <c r="B164" s="67"/>
      <c r="C164" s="91"/>
      <c r="D164" s="119"/>
      <c r="E164" s="91"/>
      <c r="F164" s="67"/>
      <c r="G164" s="67"/>
    </row>
    <row r="165" spans="1:7" x14ac:dyDescent="0.25">
      <c r="A165" s="66"/>
      <c r="B165" s="67"/>
      <c r="C165" s="91"/>
      <c r="D165" s="119"/>
      <c r="E165" s="91"/>
      <c r="F165" s="67"/>
      <c r="G165" s="67"/>
    </row>
    <row r="166" spans="1:7" x14ac:dyDescent="0.25">
      <c r="A166" s="66"/>
      <c r="B166" s="67"/>
      <c r="C166" s="91"/>
      <c r="D166" s="119"/>
      <c r="E166" s="91"/>
      <c r="F166" s="67"/>
      <c r="G166" s="67"/>
    </row>
    <row r="167" spans="1:7" x14ac:dyDescent="0.25">
      <c r="A167" s="66"/>
      <c r="B167" s="67"/>
      <c r="C167" s="91"/>
      <c r="D167" s="119"/>
      <c r="E167" s="91"/>
      <c r="F167" s="67"/>
      <c r="G167" s="67"/>
    </row>
    <row r="168" spans="1:7" x14ac:dyDescent="0.25">
      <c r="A168" s="66"/>
      <c r="B168" s="67"/>
      <c r="C168" s="91"/>
      <c r="D168" s="119"/>
      <c r="E168" s="91"/>
      <c r="F168" s="67"/>
      <c r="G168" s="67"/>
    </row>
    <row r="169" spans="1:7" x14ac:dyDescent="0.25">
      <c r="A169" s="66"/>
      <c r="B169" s="67"/>
      <c r="C169" s="91"/>
      <c r="D169" s="119"/>
      <c r="E169" s="91"/>
      <c r="F169" s="67"/>
      <c r="G169" s="67"/>
    </row>
    <row r="170" spans="1:7" x14ac:dyDescent="0.25">
      <c r="A170" s="66"/>
      <c r="B170" s="67"/>
      <c r="C170" s="91"/>
      <c r="D170" s="119"/>
      <c r="E170" s="91"/>
      <c r="F170" s="67"/>
      <c r="G170" s="67"/>
    </row>
    <row r="171" spans="1:7" x14ac:dyDescent="0.25">
      <c r="A171" s="66"/>
      <c r="B171" s="67"/>
      <c r="C171" s="91"/>
      <c r="D171" s="119"/>
      <c r="E171" s="91"/>
      <c r="F171" s="67"/>
      <c r="G171" s="67"/>
    </row>
    <row r="172" spans="1:7" x14ac:dyDescent="0.25">
      <c r="A172" s="66"/>
      <c r="B172" s="67"/>
      <c r="C172" s="91"/>
      <c r="D172" s="119"/>
      <c r="E172" s="91"/>
      <c r="F172" s="67"/>
      <c r="G172" s="67"/>
    </row>
    <row r="173" spans="1:7" x14ac:dyDescent="0.25">
      <c r="A173" s="66"/>
      <c r="B173" s="67"/>
      <c r="C173" s="91"/>
      <c r="D173" s="119"/>
      <c r="E173" s="91"/>
      <c r="F173" s="67"/>
      <c r="G173" s="67"/>
    </row>
    <row r="174" spans="1:7" x14ac:dyDescent="0.25">
      <c r="A174" s="66"/>
      <c r="B174" s="67"/>
      <c r="C174" s="91"/>
      <c r="D174" s="119"/>
      <c r="E174" s="91"/>
      <c r="F174" s="67"/>
      <c r="G174" s="67"/>
    </row>
    <row r="175" spans="1:7" x14ac:dyDescent="0.25">
      <c r="A175" s="66"/>
      <c r="B175" s="67"/>
      <c r="C175" s="91"/>
      <c r="D175" s="119"/>
      <c r="E175" s="91"/>
      <c r="F175" s="67"/>
      <c r="G175" s="67"/>
    </row>
    <row r="176" spans="1:7" x14ac:dyDescent="0.25">
      <c r="A176" s="66"/>
      <c r="B176" s="67"/>
      <c r="C176" s="91"/>
      <c r="D176" s="119"/>
      <c r="E176" s="91"/>
      <c r="F176" s="67"/>
      <c r="G176" s="67"/>
    </row>
    <row r="177" spans="1:7" x14ac:dyDescent="0.25">
      <c r="A177" s="66"/>
      <c r="B177" s="67"/>
      <c r="C177" s="91"/>
      <c r="D177" s="119"/>
      <c r="E177" s="91"/>
      <c r="F177" s="67"/>
      <c r="G177" s="67"/>
    </row>
    <row r="178" spans="1:7" x14ac:dyDescent="0.25">
      <c r="A178" s="66"/>
      <c r="B178" s="67"/>
      <c r="C178" s="91"/>
      <c r="D178" s="119"/>
      <c r="E178" s="91"/>
      <c r="F178" s="67"/>
      <c r="G178" s="67"/>
    </row>
    <row r="179" spans="1:7" x14ac:dyDescent="0.25">
      <c r="A179" s="66"/>
      <c r="B179" s="67"/>
      <c r="C179" s="91"/>
      <c r="D179" s="119"/>
      <c r="E179" s="91"/>
      <c r="F179" s="67"/>
      <c r="G179" s="67"/>
    </row>
    <row r="180" spans="1:7" x14ac:dyDescent="0.25">
      <c r="A180" s="66"/>
      <c r="B180" s="67"/>
      <c r="C180" s="91"/>
      <c r="D180" s="119"/>
      <c r="E180" s="91"/>
      <c r="F180" s="67"/>
      <c r="G180" s="67"/>
    </row>
    <row r="181" spans="1:7" x14ac:dyDescent="0.25">
      <c r="A181" s="66"/>
      <c r="B181" s="67"/>
      <c r="C181" s="91"/>
      <c r="D181" s="119"/>
      <c r="E181" s="91"/>
      <c r="F181" s="67"/>
      <c r="G181" s="67"/>
    </row>
    <row r="182" spans="1:7" x14ac:dyDescent="0.25">
      <c r="A182" s="66"/>
      <c r="B182" s="67"/>
      <c r="C182" s="91"/>
      <c r="D182" s="119"/>
      <c r="E182" s="91"/>
      <c r="F182" s="67"/>
      <c r="G182" s="67"/>
    </row>
    <row r="183" spans="1:7" x14ac:dyDescent="0.25">
      <c r="A183" s="66"/>
      <c r="B183" s="67"/>
      <c r="C183" s="91"/>
      <c r="D183" s="119"/>
      <c r="E183" s="91"/>
      <c r="F183" s="67"/>
      <c r="G183" s="67"/>
    </row>
    <row r="184" spans="1:7" x14ac:dyDescent="0.25">
      <c r="A184" s="66"/>
      <c r="B184" s="67"/>
      <c r="C184" s="91"/>
      <c r="D184" s="119"/>
      <c r="E184" s="91"/>
      <c r="F184" s="67"/>
      <c r="G184" s="67"/>
    </row>
    <row r="185" spans="1:7" x14ac:dyDescent="0.25">
      <c r="A185" s="66"/>
      <c r="B185" s="67"/>
      <c r="C185" s="91"/>
      <c r="D185" s="119"/>
      <c r="E185" s="91"/>
      <c r="F185" s="67"/>
      <c r="G185" s="67"/>
    </row>
    <row r="186" spans="1:7" x14ac:dyDescent="0.25">
      <c r="A186" s="66"/>
      <c r="B186" s="67"/>
      <c r="C186" s="91"/>
      <c r="D186" s="119"/>
      <c r="E186" s="91"/>
      <c r="F186" s="67"/>
      <c r="G186" s="67"/>
    </row>
    <row r="187" spans="1:7" x14ac:dyDescent="0.25">
      <c r="A187" s="66"/>
      <c r="B187" s="67"/>
      <c r="C187" s="91"/>
      <c r="D187" s="119"/>
      <c r="E187" s="91"/>
      <c r="F187" s="67"/>
      <c r="G187" s="67"/>
    </row>
    <row r="188" spans="1:7" x14ac:dyDescent="0.25">
      <c r="A188" s="66"/>
      <c r="B188" s="67"/>
      <c r="C188" s="91"/>
      <c r="D188" s="119"/>
      <c r="E188" s="91"/>
      <c r="F188" s="67"/>
      <c r="G188" s="67"/>
    </row>
    <row r="189" spans="1:7" x14ac:dyDescent="0.25">
      <c r="A189" s="66"/>
      <c r="B189" s="67"/>
      <c r="C189" s="91"/>
      <c r="D189" s="119"/>
      <c r="E189" s="91"/>
      <c r="F189" s="67"/>
      <c r="G189" s="67"/>
    </row>
    <row r="190" spans="1:7" x14ac:dyDescent="0.25">
      <c r="A190" s="66"/>
      <c r="B190" s="67"/>
      <c r="C190" s="91"/>
      <c r="D190" s="119"/>
      <c r="E190" s="91"/>
      <c r="F190" s="67"/>
      <c r="G190" s="67"/>
    </row>
    <row r="191" spans="1:7" x14ac:dyDescent="0.25">
      <c r="A191" s="66"/>
      <c r="B191" s="67"/>
      <c r="C191" s="91"/>
      <c r="D191" s="119"/>
      <c r="E191" s="91"/>
      <c r="F191" s="67"/>
      <c r="G191" s="67"/>
    </row>
    <row r="192" spans="1:7" x14ac:dyDescent="0.25">
      <c r="A192" s="66"/>
      <c r="B192" s="67"/>
      <c r="C192" s="91"/>
      <c r="D192" s="119"/>
      <c r="E192" s="91"/>
      <c r="F192" s="67"/>
      <c r="G192" s="67"/>
    </row>
    <row r="193" spans="1:7" x14ac:dyDescent="0.25">
      <c r="A193" s="66"/>
      <c r="B193" s="67"/>
      <c r="C193" s="91"/>
      <c r="D193" s="119"/>
      <c r="E193" s="91"/>
      <c r="F193" s="67"/>
      <c r="G193" s="67"/>
    </row>
    <row r="194" spans="1:7" x14ac:dyDescent="0.25">
      <c r="A194" s="66"/>
      <c r="B194" s="67"/>
      <c r="C194" s="91"/>
      <c r="D194" s="119"/>
      <c r="E194" s="91"/>
      <c r="F194" s="67"/>
      <c r="G194" s="67"/>
    </row>
    <row r="195" spans="1:7" x14ac:dyDescent="0.25">
      <c r="A195" s="66"/>
      <c r="B195" s="67"/>
      <c r="C195" s="91"/>
      <c r="D195" s="119"/>
      <c r="E195" s="91"/>
      <c r="F195" s="67"/>
      <c r="G195" s="67"/>
    </row>
    <row r="196" spans="1:7" x14ac:dyDescent="0.25">
      <c r="A196" s="66"/>
      <c r="B196" s="67"/>
      <c r="C196" s="91"/>
      <c r="D196" s="119"/>
      <c r="E196" s="91"/>
      <c r="F196" s="67"/>
      <c r="G196" s="67"/>
    </row>
    <row r="197" spans="1:7" x14ac:dyDescent="0.25">
      <c r="A197" s="66"/>
      <c r="B197" s="67"/>
      <c r="C197" s="91"/>
      <c r="D197" s="119"/>
      <c r="E197" s="91"/>
      <c r="F197" s="67"/>
      <c r="G197" s="67"/>
    </row>
    <row r="198" spans="1:7" x14ac:dyDescent="0.25">
      <c r="A198" s="66"/>
      <c r="B198" s="67"/>
      <c r="C198" s="91"/>
      <c r="D198" s="119"/>
      <c r="E198" s="91"/>
      <c r="F198" s="67"/>
      <c r="G198" s="67"/>
    </row>
    <row r="199" spans="1:7" x14ac:dyDescent="0.25">
      <c r="A199" s="66"/>
      <c r="B199" s="67"/>
      <c r="C199" s="91"/>
      <c r="D199" s="119"/>
      <c r="E199" s="91"/>
      <c r="F199" s="67"/>
      <c r="G199" s="67"/>
    </row>
    <row r="200" spans="1:7" x14ac:dyDescent="0.25">
      <c r="A200" s="66"/>
      <c r="B200" s="67"/>
      <c r="C200" s="91"/>
      <c r="D200" s="119"/>
      <c r="E200" s="91"/>
      <c r="F200" s="67"/>
      <c r="G200" s="67"/>
    </row>
    <row r="201" spans="1:7" x14ac:dyDescent="0.25">
      <c r="A201" s="66"/>
      <c r="B201" s="67"/>
      <c r="C201" s="91"/>
      <c r="D201" s="119"/>
      <c r="E201" s="91"/>
      <c r="F201" s="67"/>
      <c r="G201" s="67"/>
    </row>
    <row r="202" spans="1:7" x14ac:dyDescent="0.25">
      <c r="A202" s="66"/>
      <c r="B202" s="67"/>
      <c r="C202" s="91"/>
      <c r="D202" s="119"/>
      <c r="E202" s="91"/>
      <c r="F202" s="67"/>
      <c r="G202" s="67"/>
    </row>
    <row r="203" spans="1:7" x14ac:dyDescent="0.25">
      <c r="A203" s="66"/>
      <c r="B203" s="67"/>
      <c r="C203" s="91"/>
      <c r="D203" s="119"/>
      <c r="E203" s="91"/>
      <c r="F203" s="67"/>
      <c r="G203" s="67"/>
    </row>
    <row r="204" spans="1:7" x14ac:dyDescent="0.25">
      <c r="A204" s="100"/>
      <c r="B204" s="69"/>
      <c r="C204" s="70"/>
      <c r="D204" s="70"/>
      <c r="E204" s="100"/>
    </row>
  </sheetData>
  <mergeCells count="1">
    <mergeCell ref="A1:B1"/>
  </mergeCells>
  <pageMargins left="0.7" right="0.7" top="0.78740157499999996" bottom="0.78740157499999996" header="0.3" footer="0.3"/>
  <pageSetup paperSize="9"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6"/>
  <dimension ref="A1:I127"/>
  <sheetViews>
    <sheetView zoomScale="115" zoomScaleNormal="115" workbookViewId="0">
      <pane ySplit="4368" activePane="bottomLeft"/>
      <selection activeCell="A2" sqref="A2"/>
      <selection pane="bottomLeft" activeCell="C3" sqref="C3:D3"/>
    </sheetView>
  </sheetViews>
  <sheetFormatPr baseColWidth="10" defaultColWidth="11.44140625" defaultRowHeight="13.8" x14ac:dyDescent="0.25"/>
  <cols>
    <col min="1" max="1" width="24.44140625" style="75" bestFit="1" customWidth="1"/>
    <col min="2" max="2" width="27.109375" style="73" bestFit="1" customWidth="1"/>
    <col min="3" max="3" width="7.44140625" style="134" customWidth="1"/>
    <col min="4" max="5" width="7.44140625" style="137" customWidth="1"/>
    <col min="6" max="6" width="6.6640625" style="49" customWidth="1"/>
    <col min="7" max="7" width="7.44140625" style="49" customWidth="1"/>
    <col min="8" max="8" width="11.44140625" style="49"/>
    <col min="9" max="9" width="11" style="49" customWidth="1"/>
    <col min="10" max="16384" width="11.44140625" style="49"/>
  </cols>
  <sheetData>
    <row r="1" spans="1:9" ht="159" customHeight="1" x14ac:dyDescent="0.25">
      <c r="A1" s="272" t="s">
        <v>96</v>
      </c>
      <c r="B1" s="273"/>
      <c r="C1" s="130" t="s">
        <v>143</v>
      </c>
      <c r="D1" s="138" t="s">
        <v>192</v>
      </c>
      <c r="E1" s="138"/>
    </row>
    <row r="2" spans="1:9" ht="15.75" customHeight="1" thickBot="1" x14ac:dyDescent="0.3">
      <c r="A2" s="79" t="s">
        <v>245</v>
      </c>
      <c r="B2" s="80" t="s">
        <v>191</v>
      </c>
      <c r="C2" s="131"/>
      <c r="D2" s="132"/>
      <c r="E2" s="132"/>
    </row>
    <row r="3" spans="1:9" s="72" customFormat="1" ht="14.4" thickTop="1" x14ac:dyDescent="0.25">
      <c r="A3" s="68"/>
      <c r="B3" s="69"/>
      <c r="C3" s="133"/>
      <c r="D3" s="87"/>
      <c r="E3" s="87"/>
    </row>
    <row r="4" spans="1:9" x14ac:dyDescent="0.25">
      <c r="A4" s="142"/>
      <c r="D4" s="87"/>
      <c r="E4" s="87"/>
      <c r="I4" s="82"/>
    </row>
    <row r="5" spans="1:9" x14ac:dyDescent="0.25">
      <c r="A5" s="142"/>
      <c r="D5" s="87"/>
      <c r="E5" s="87"/>
      <c r="I5" s="82"/>
    </row>
    <row r="6" spans="1:9" x14ac:dyDescent="0.25">
      <c r="A6" s="68"/>
      <c r="D6" s="87"/>
      <c r="E6" s="87"/>
      <c r="I6" s="82"/>
    </row>
    <row r="7" spans="1:9" x14ac:dyDescent="0.25">
      <c r="A7" s="68"/>
      <c r="D7" s="87"/>
      <c r="E7" s="87"/>
      <c r="I7" s="82"/>
    </row>
    <row r="8" spans="1:9" x14ac:dyDescent="0.25">
      <c r="A8" s="68"/>
      <c r="D8" s="87"/>
      <c r="E8" s="87"/>
      <c r="I8" s="82"/>
    </row>
    <row r="9" spans="1:9" x14ac:dyDescent="0.25">
      <c r="A9" s="68"/>
      <c r="D9" s="87"/>
      <c r="E9" s="87"/>
      <c r="I9" s="82"/>
    </row>
    <row r="10" spans="1:9" x14ac:dyDescent="0.25">
      <c r="A10" s="68"/>
      <c r="D10" s="87"/>
      <c r="E10" s="87"/>
      <c r="I10" s="82"/>
    </row>
    <row r="11" spans="1:9" x14ac:dyDescent="0.25">
      <c r="A11" s="68"/>
      <c r="D11" s="87"/>
      <c r="E11" s="87"/>
      <c r="I11" s="82"/>
    </row>
    <row r="12" spans="1:9" x14ac:dyDescent="0.25">
      <c r="A12" s="68"/>
      <c r="D12" s="87"/>
      <c r="E12" s="87"/>
      <c r="I12" s="82"/>
    </row>
    <row r="13" spans="1:9" x14ac:dyDescent="0.25">
      <c r="A13" s="68"/>
      <c r="D13" s="87"/>
      <c r="E13" s="87"/>
      <c r="I13" s="82"/>
    </row>
    <row r="14" spans="1:9" x14ac:dyDescent="0.25">
      <c r="A14" s="68"/>
      <c r="D14" s="87"/>
      <c r="E14" s="87"/>
      <c r="I14" s="82"/>
    </row>
    <row r="15" spans="1:9" x14ac:dyDescent="0.25">
      <c r="A15" s="68"/>
      <c r="D15" s="87"/>
      <c r="E15" s="87"/>
      <c r="I15" s="82"/>
    </row>
    <row r="16" spans="1:9" x14ac:dyDescent="0.25">
      <c r="A16" s="87"/>
      <c r="B16" s="86"/>
      <c r="D16" s="87"/>
      <c r="E16" s="87"/>
      <c r="I16" s="82"/>
    </row>
    <row r="17" spans="1:9" x14ac:dyDescent="0.25">
      <c r="A17" s="68"/>
      <c r="D17" s="87"/>
      <c r="E17" s="87"/>
      <c r="I17" s="82"/>
    </row>
    <row r="18" spans="1:9" x14ac:dyDescent="0.25">
      <c r="A18" s="68"/>
      <c r="D18" s="87"/>
      <c r="E18" s="87"/>
      <c r="I18" s="82"/>
    </row>
    <row r="19" spans="1:9" x14ac:dyDescent="0.25">
      <c r="A19" s="68"/>
      <c r="D19" s="87"/>
      <c r="E19" s="87"/>
      <c r="I19" s="82"/>
    </row>
    <row r="20" spans="1:9" x14ac:dyDescent="0.25">
      <c r="A20" s="68"/>
      <c r="D20" s="87"/>
      <c r="E20" s="87"/>
      <c r="I20" s="82"/>
    </row>
    <row r="21" spans="1:9" x14ac:dyDescent="0.25">
      <c r="A21" s="68"/>
      <c r="D21" s="87"/>
      <c r="E21" s="87"/>
      <c r="I21" s="82"/>
    </row>
    <row r="22" spans="1:9" x14ac:dyDescent="0.25">
      <c r="A22" s="68"/>
      <c r="D22" s="87"/>
      <c r="E22" s="87"/>
      <c r="I22" s="82"/>
    </row>
    <row r="23" spans="1:9" x14ac:dyDescent="0.25">
      <c r="A23" s="68"/>
      <c r="D23" s="87"/>
      <c r="E23" s="87"/>
      <c r="I23" s="82"/>
    </row>
    <row r="24" spans="1:9" x14ac:dyDescent="0.25">
      <c r="A24" s="68"/>
      <c r="D24" s="87"/>
      <c r="E24" s="87"/>
      <c r="I24" s="82"/>
    </row>
    <row r="25" spans="1:9" x14ac:dyDescent="0.25">
      <c r="A25" s="68"/>
      <c r="D25" s="87"/>
      <c r="E25" s="87"/>
      <c r="I25" s="82"/>
    </row>
    <row r="26" spans="1:9" x14ac:dyDescent="0.25">
      <c r="A26" s="68"/>
      <c r="D26" s="87"/>
      <c r="E26" s="87"/>
      <c r="I26" s="82"/>
    </row>
    <row r="27" spans="1:9" x14ac:dyDescent="0.25">
      <c r="A27" s="68"/>
      <c r="D27" s="87"/>
      <c r="E27" s="87"/>
      <c r="I27" s="82"/>
    </row>
    <row r="28" spans="1:9" x14ac:dyDescent="0.25">
      <c r="A28" s="68"/>
      <c r="D28" s="87"/>
      <c r="E28" s="87"/>
      <c r="I28" s="82"/>
    </row>
    <row r="29" spans="1:9" x14ac:dyDescent="0.25">
      <c r="A29" s="68"/>
      <c r="D29" s="87"/>
      <c r="E29" s="87"/>
      <c r="I29" s="82"/>
    </row>
    <row r="30" spans="1:9" x14ac:dyDescent="0.25">
      <c r="A30" s="68"/>
      <c r="D30" s="87"/>
      <c r="E30" s="87"/>
      <c r="I30" s="82"/>
    </row>
    <row r="31" spans="1:9" x14ac:dyDescent="0.25">
      <c r="A31" s="68"/>
      <c r="D31" s="87"/>
      <c r="E31" s="87"/>
      <c r="I31" s="82"/>
    </row>
    <row r="32" spans="1:9" x14ac:dyDescent="0.25">
      <c r="A32" s="68"/>
      <c r="D32" s="87"/>
      <c r="E32" s="87"/>
      <c r="I32" s="82"/>
    </row>
    <row r="33" spans="1:9" x14ac:dyDescent="0.25">
      <c r="A33" s="68"/>
      <c r="D33" s="87"/>
      <c r="E33" s="87"/>
      <c r="I33" s="82"/>
    </row>
    <row r="34" spans="1:9" x14ac:dyDescent="0.25">
      <c r="A34" s="68"/>
      <c r="D34" s="87"/>
      <c r="E34" s="87"/>
      <c r="I34" s="82"/>
    </row>
    <row r="35" spans="1:9" x14ac:dyDescent="0.25">
      <c r="A35" s="68"/>
      <c r="D35" s="87"/>
      <c r="E35" s="87"/>
      <c r="I35" s="82"/>
    </row>
    <row r="36" spans="1:9" x14ac:dyDescent="0.25">
      <c r="A36" s="68"/>
      <c r="D36" s="87"/>
      <c r="E36" s="87"/>
      <c r="I36" s="82"/>
    </row>
    <row r="37" spans="1:9" x14ac:dyDescent="0.25">
      <c r="A37" s="68"/>
      <c r="D37" s="87"/>
      <c r="E37" s="87"/>
      <c r="I37" s="82"/>
    </row>
    <row r="38" spans="1:9" x14ac:dyDescent="0.25">
      <c r="A38" s="68"/>
      <c r="D38" s="87"/>
      <c r="E38" s="87"/>
      <c r="I38" s="82"/>
    </row>
    <row r="39" spans="1:9" x14ac:dyDescent="0.25">
      <c r="A39" s="68"/>
      <c r="D39" s="87"/>
      <c r="E39" s="87"/>
      <c r="I39" s="82"/>
    </row>
    <row r="40" spans="1:9" x14ac:dyDescent="0.25">
      <c r="A40" s="68"/>
      <c r="D40" s="87"/>
      <c r="E40" s="87"/>
      <c r="I40" s="82"/>
    </row>
    <row r="41" spans="1:9" x14ac:dyDescent="0.25">
      <c r="A41" s="68"/>
      <c r="D41" s="87"/>
      <c r="E41" s="87"/>
      <c r="I41" s="82"/>
    </row>
    <row r="42" spans="1:9" x14ac:dyDescent="0.25">
      <c r="A42" s="68"/>
      <c r="D42" s="87"/>
      <c r="E42" s="87"/>
      <c r="I42" s="82"/>
    </row>
    <row r="43" spans="1:9" x14ac:dyDescent="0.25">
      <c r="A43" s="68"/>
      <c r="D43" s="87"/>
      <c r="E43" s="87"/>
      <c r="I43" s="82"/>
    </row>
    <row r="44" spans="1:9" x14ac:dyDescent="0.25">
      <c r="A44" s="68"/>
      <c r="D44" s="87"/>
      <c r="E44" s="87"/>
      <c r="I44" s="82"/>
    </row>
    <row r="45" spans="1:9" x14ac:dyDescent="0.25">
      <c r="A45" s="68"/>
      <c r="D45" s="87"/>
      <c r="E45" s="87"/>
      <c r="I45" s="82"/>
    </row>
    <row r="46" spans="1:9" x14ac:dyDescent="0.25">
      <c r="A46" s="68"/>
      <c r="D46" s="87"/>
      <c r="E46" s="87"/>
      <c r="I46" s="82"/>
    </row>
    <row r="47" spans="1:9" x14ac:dyDescent="0.25">
      <c r="A47" s="68"/>
      <c r="D47" s="87"/>
      <c r="E47" s="87"/>
      <c r="I47" s="82"/>
    </row>
    <row r="48" spans="1:9" x14ac:dyDescent="0.25">
      <c r="A48" s="68"/>
      <c r="D48" s="87"/>
      <c r="E48" s="87"/>
      <c r="I48" s="82"/>
    </row>
    <row r="49" spans="1:9" x14ac:dyDescent="0.25">
      <c r="A49" s="68"/>
      <c r="D49" s="87"/>
      <c r="E49" s="87"/>
      <c r="I49" s="82"/>
    </row>
    <row r="50" spans="1:9" x14ac:dyDescent="0.25">
      <c r="A50" s="68"/>
      <c r="D50" s="87"/>
      <c r="E50" s="87"/>
      <c r="I50" s="82"/>
    </row>
    <row r="51" spans="1:9" x14ac:dyDescent="0.25">
      <c r="A51" s="68"/>
      <c r="D51" s="87"/>
      <c r="E51" s="87"/>
      <c r="I51" s="82"/>
    </row>
    <row r="52" spans="1:9" x14ac:dyDescent="0.25">
      <c r="A52" s="68"/>
      <c r="D52" s="87"/>
      <c r="E52" s="87"/>
      <c r="I52" s="82"/>
    </row>
    <row r="53" spans="1:9" x14ac:dyDescent="0.25">
      <c r="A53" s="68"/>
      <c r="D53" s="87"/>
      <c r="E53" s="87"/>
      <c r="I53" s="82"/>
    </row>
    <row r="54" spans="1:9" x14ac:dyDescent="0.25">
      <c r="A54" s="68"/>
      <c r="D54" s="87"/>
      <c r="E54" s="87"/>
      <c r="I54" s="82"/>
    </row>
    <row r="55" spans="1:9" x14ac:dyDescent="0.25">
      <c r="A55" s="68"/>
      <c r="D55" s="87"/>
      <c r="E55" s="87"/>
      <c r="I55" s="82"/>
    </row>
    <row r="56" spans="1:9" x14ac:dyDescent="0.25">
      <c r="A56" s="68"/>
      <c r="D56" s="87"/>
      <c r="E56" s="87"/>
      <c r="I56" s="82"/>
    </row>
    <row r="57" spans="1:9" x14ac:dyDescent="0.25">
      <c r="A57" s="68"/>
      <c r="D57" s="87"/>
      <c r="E57" s="87"/>
      <c r="I57" s="82"/>
    </row>
    <row r="58" spans="1:9" x14ac:dyDescent="0.25">
      <c r="A58" s="68"/>
      <c r="D58" s="87"/>
      <c r="E58" s="87"/>
      <c r="I58" s="82"/>
    </row>
    <row r="59" spans="1:9" x14ac:dyDescent="0.25">
      <c r="A59" s="68"/>
      <c r="D59" s="87"/>
      <c r="E59" s="87"/>
      <c r="I59" s="82"/>
    </row>
    <row r="60" spans="1:9" x14ac:dyDescent="0.25">
      <c r="A60" s="68"/>
      <c r="D60" s="87"/>
      <c r="E60" s="87"/>
      <c r="I60" s="82"/>
    </row>
    <row r="61" spans="1:9" x14ac:dyDescent="0.25">
      <c r="A61" s="87"/>
      <c r="B61" s="86"/>
      <c r="D61" s="87"/>
      <c r="E61" s="87"/>
      <c r="I61" s="82"/>
    </row>
    <row r="62" spans="1:9" x14ac:dyDescent="0.25">
      <c r="A62" s="68"/>
      <c r="D62" s="87"/>
      <c r="E62" s="87"/>
      <c r="I62" s="82"/>
    </row>
    <row r="63" spans="1:9" x14ac:dyDescent="0.25">
      <c r="A63" s="68"/>
      <c r="D63" s="87"/>
      <c r="E63" s="87"/>
      <c r="I63" s="82"/>
    </row>
    <row r="64" spans="1:9" x14ac:dyDescent="0.25">
      <c r="A64" s="68"/>
      <c r="C64" s="133"/>
      <c r="D64" s="87"/>
      <c r="E64" s="87"/>
      <c r="I64" s="82"/>
    </row>
    <row r="65" spans="1:9" x14ac:dyDescent="0.25">
      <c r="A65" s="68"/>
      <c r="D65" s="87"/>
      <c r="E65" s="87"/>
      <c r="I65" s="82"/>
    </row>
    <row r="66" spans="1:9" x14ac:dyDescent="0.25">
      <c r="A66" s="68"/>
      <c r="B66" s="86"/>
      <c r="D66" s="87"/>
      <c r="E66" s="87"/>
      <c r="I66" s="82"/>
    </row>
    <row r="67" spans="1:9" x14ac:dyDescent="0.25">
      <c r="A67" s="68"/>
      <c r="C67" s="133"/>
      <c r="D67" s="87"/>
      <c r="E67" s="87"/>
      <c r="I67" s="82"/>
    </row>
    <row r="68" spans="1:9" x14ac:dyDescent="0.25">
      <c r="A68" s="68"/>
      <c r="D68" s="87"/>
      <c r="E68" s="87"/>
      <c r="I68" s="82"/>
    </row>
    <row r="69" spans="1:9" x14ac:dyDescent="0.25">
      <c r="A69" s="68"/>
      <c r="D69" s="87"/>
      <c r="E69" s="87"/>
      <c r="I69" s="82"/>
    </row>
    <row r="70" spans="1:9" x14ac:dyDescent="0.25">
      <c r="A70" s="68"/>
      <c r="D70" s="87"/>
      <c r="E70" s="87"/>
      <c r="I70" s="82"/>
    </row>
    <row r="71" spans="1:9" x14ac:dyDescent="0.25">
      <c r="A71" s="68"/>
      <c r="D71" s="87"/>
      <c r="E71" s="87"/>
      <c r="I71" s="82"/>
    </row>
    <row r="72" spans="1:9" x14ac:dyDescent="0.25">
      <c r="A72" s="68"/>
      <c r="D72" s="87"/>
      <c r="E72" s="87"/>
      <c r="I72" s="82"/>
    </row>
    <row r="73" spans="1:9" x14ac:dyDescent="0.25">
      <c r="A73" s="68"/>
      <c r="D73" s="87"/>
      <c r="E73" s="87"/>
      <c r="I73" s="82"/>
    </row>
    <row r="74" spans="1:9" x14ac:dyDescent="0.25">
      <c r="A74" s="68"/>
      <c r="D74" s="87"/>
      <c r="E74" s="87"/>
      <c r="I74" s="82"/>
    </row>
    <row r="75" spans="1:9" x14ac:dyDescent="0.25">
      <c r="A75" s="68"/>
      <c r="D75" s="87"/>
      <c r="E75" s="87"/>
      <c r="I75" s="82"/>
    </row>
    <row r="76" spans="1:9" x14ac:dyDescent="0.25">
      <c r="A76" s="68"/>
      <c r="D76" s="87"/>
      <c r="E76" s="87"/>
      <c r="I76" s="82"/>
    </row>
    <row r="77" spans="1:9" x14ac:dyDescent="0.25">
      <c r="A77" s="68"/>
      <c r="D77" s="87"/>
      <c r="E77" s="87"/>
      <c r="I77" s="82"/>
    </row>
    <row r="78" spans="1:9" x14ac:dyDescent="0.25">
      <c r="A78" s="68"/>
      <c r="D78" s="87"/>
      <c r="E78" s="87"/>
      <c r="I78" s="82"/>
    </row>
    <row r="79" spans="1:9" x14ac:dyDescent="0.25">
      <c r="A79" s="68"/>
      <c r="D79" s="87"/>
      <c r="E79" s="87"/>
      <c r="I79" s="82"/>
    </row>
    <row r="80" spans="1:9" x14ac:dyDescent="0.25">
      <c r="A80" s="68"/>
      <c r="D80" s="87"/>
      <c r="E80" s="87"/>
      <c r="I80" s="82"/>
    </row>
    <row r="81" spans="1:9" x14ac:dyDescent="0.25">
      <c r="A81" s="68"/>
      <c r="D81" s="87"/>
      <c r="E81" s="87"/>
      <c r="I81" s="82"/>
    </row>
    <row r="82" spans="1:9" x14ac:dyDescent="0.25">
      <c r="A82" s="68"/>
      <c r="D82" s="87"/>
      <c r="E82" s="87"/>
      <c r="I82" s="82"/>
    </row>
    <row r="83" spans="1:9" x14ac:dyDescent="0.25">
      <c r="A83" s="68"/>
      <c r="D83" s="87"/>
      <c r="E83" s="87"/>
      <c r="I83" s="82"/>
    </row>
    <row r="84" spans="1:9" x14ac:dyDescent="0.25">
      <c r="A84" s="68"/>
      <c r="D84" s="87"/>
      <c r="E84" s="87"/>
      <c r="I84" s="82"/>
    </row>
    <row r="85" spans="1:9" x14ac:dyDescent="0.25">
      <c r="A85" s="68"/>
      <c r="D85" s="87"/>
      <c r="E85" s="87"/>
      <c r="I85" s="82"/>
    </row>
    <row r="86" spans="1:9" x14ac:dyDescent="0.25">
      <c r="A86" s="68"/>
      <c r="D86" s="87"/>
      <c r="E86" s="87"/>
      <c r="I86" s="82"/>
    </row>
    <row r="87" spans="1:9" x14ac:dyDescent="0.25">
      <c r="A87" s="68"/>
      <c r="D87" s="87"/>
      <c r="E87" s="87"/>
      <c r="I87" s="82"/>
    </row>
    <row r="88" spans="1:9" x14ac:dyDescent="0.25">
      <c r="A88" s="68"/>
      <c r="D88" s="87"/>
      <c r="E88" s="87"/>
      <c r="I88" s="82"/>
    </row>
    <row r="89" spans="1:9" x14ac:dyDescent="0.25">
      <c r="A89" s="68"/>
      <c r="D89" s="87"/>
      <c r="E89" s="87"/>
      <c r="I89" s="82"/>
    </row>
    <row r="90" spans="1:9" x14ac:dyDescent="0.25">
      <c r="A90" s="68"/>
      <c r="D90" s="87"/>
      <c r="E90" s="87"/>
      <c r="I90" s="82"/>
    </row>
    <row r="91" spans="1:9" x14ac:dyDescent="0.25">
      <c r="A91" s="84"/>
      <c r="B91" s="85"/>
      <c r="D91" s="87"/>
      <c r="E91" s="87"/>
    </row>
    <row r="92" spans="1:9" x14ac:dyDescent="0.25">
      <c r="A92" s="84"/>
      <c r="B92" s="85"/>
      <c r="D92" s="87"/>
      <c r="E92" s="87"/>
    </row>
    <row r="93" spans="1:9" x14ac:dyDescent="0.25">
      <c r="A93" s="84"/>
      <c r="B93" s="85"/>
      <c r="D93" s="87"/>
      <c r="E93" s="87"/>
    </row>
    <row r="94" spans="1:9" x14ac:dyDescent="0.25">
      <c r="A94" s="84"/>
      <c r="B94" s="85"/>
      <c r="D94" s="87"/>
      <c r="E94" s="87"/>
    </row>
    <row r="95" spans="1:9" x14ac:dyDescent="0.25">
      <c r="A95" s="84"/>
      <c r="B95" s="85"/>
      <c r="D95" s="87"/>
      <c r="E95" s="87"/>
    </row>
    <row r="96" spans="1:9" x14ac:dyDescent="0.25">
      <c r="A96" s="84"/>
      <c r="B96" s="85"/>
      <c r="D96" s="135"/>
      <c r="E96" s="136"/>
    </row>
    <row r="97" spans="1:5" x14ac:dyDescent="0.25">
      <c r="A97" s="84"/>
      <c r="B97" s="85"/>
      <c r="D97" s="135"/>
      <c r="E97" s="136"/>
    </row>
    <row r="98" spans="1:5" x14ac:dyDescent="0.25">
      <c r="A98" s="84"/>
      <c r="B98" s="85"/>
      <c r="D98" s="135"/>
      <c r="E98" s="136"/>
    </row>
    <row r="99" spans="1:5" x14ac:dyDescent="0.25">
      <c r="A99" s="84"/>
      <c r="B99" s="85"/>
      <c r="D99" s="135"/>
      <c r="E99" s="136"/>
    </row>
    <row r="100" spans="1:5" x14ac:dyDescent="0.25">
      <c r="A100" s="84"/>
      <c r="B100" s="85"/>
      <c r="D100" s="135"/>
      <c r="E100" s="136"/>
    </row>
    <row r="101" spans="1:5" x14ac:dyDescent="0.25">
      <c r="A101" s="84"/>
      <c r="B101" s="85"/>
      <c r="D101" s="135"/>
      <c r="E101" s="136"/>
    </row>
    <row r="102" spans="1:5" x14ac:dyDescent="0.25">
      <c r="A102" s="84"/>
      <c r="B102" s="85"/>
      <c r="D102" s="135"/>
      <c r="E102" s="136"/>
    </row>
    <row r="103" spans="1:5" x14ac:dyDescent="0.25">
      <c r="A103" s="84"/>
      <c r="B103" s="85"/>
      <c r="D103" s="135"/>
      <c r="E103" s="136"/>
    </row>
    <row r="104" spans="1:5" x14ac:dyDescent="0.25">
      <c r="A104" s="84"/>
      <c r="B104" s="85"/>
      <c r="D104" s="135"/>
      <c r="E104" s="136"/>
    </row>
    <row r="105" spans="1:5" x14ac:dyDescent="0.25">
      <c r="A105" s="84"/>
      <c r="B105" s="85"/>
      <c r="D105" s="135"/>
      <c r="E105" s="136"/>
    </row>
    <row r="106" spans="1:5" x14ac:dyDescent="0.25">
      <c r="A106" s="84"/>
      <c r="B106" s="85"/>
      <c r="D106" s="135"/>
      <c r="E106" s="136"/>
    </row>
    <row r="107" spans="1:5" x14ac:dyDescent="0.25">
      <c r="A107" s="84"/>
      <c r="B107" s="85"/>
      <c r="D107" s="135"/>
    </row>
    <row r="108" spans="1:5" x14ac:dyDescent="0.25">
      <c r="A108" s="84"/>
      <c r="B108" s="85"/>
      <c r="D108" s="135"/>
    </row>
    <row r="109" spans="1:5" x14ac:dyDescent="0.25">
      <c r="A109" s="84"/>
      <c r="B109" s="85"/>
      <c r="D109" s="135"/>
    </row>
    <row r="110" spans="1:5" x14ac:dyDescent="0.25">
      <c r="A110" s="84"/>
      <c r="B110" s="85"/>
      <c r="D110" s="135"/>
    </row>
    <row r="111" spans="1:5" x14ac:dyDescent="0.25">
      <c r="A111" s="84"/>
      <c r="B111" s="85"/>
      <c r="D111" s="135"/>
    </row>
    <row r="112" spans="1:5" x14ac:dyDescent="0.25">
      <c r="A112" s="84"/>
      <c r="B112" s="85"/>
      <c r="D112" s="135"/>
    </row>
    <row r="113" spans="1:5" x14ac:dyDescent="0.25">
      <c r="A113" s="84"/>
      <c r="B113" s="85"/>
      <c r="D113" s="135"/>
    </row>
    <row r="114" spans="1:5" x14ac:dyDescent="0.25">
      <c r="A114" s="84"/>
      <c r="B114" s="85"/>
      <c r="D114" s="135"/>
    </row>
    <row r="115" spans="1:5" x14ac:dyDescent="0.25">
      <c r="A115" s="84"/>
      <c r="B115" s="85"/>
      <c r="D115" s="135"/>
    </row>
    <row r="116" spans="1:5" x14ac:dyDescent="0.25">
      <c r="A116" s="84"/>
      <c r="B116" s="85"/>
      <c r="D116" s="135"/>
    </row>
    <row r="117" spans="1:5" x14ac:dyDescent="0.25">
      <c r="A117" s="84"/>
      <c r="B117" s="85"/>
      <c r="D117" s="135"/>
    </row>
    <row r="118" spans="1:5" x14ac:dyDescent="0.25">
      <c r="A118" s="84"/>
      <c r="B118" s="85"/>
      <c r="D118" s="135"/>
      <c r="E118" s="135"/>
    </row>
    <row r="119" spans="1:5" x14ac:dyDescent="0.25">
      <c r="A119" s="84"/>
      <c r="B119" s="85"/>
      <c r="D119" s="135"/>
      <c r="E119" s="135"/>
    </row>
    <row r="120" spans="1:5" x14ac:dyDescent="0.25">
      <c r="A120" s="84"/>
      <c r="B120" s="85"/>
      <c r="D120" s="135"/>
      <c r="E120" s="135"/>
    </row>
    <row r="121" spans="1:5" x14ac:dyDescent="0.25">
      <c r="A121" s="84"/>
      <c r="D121" s="135"/>
      <c r="E121" s="135"/>
    </row>
    <row r="122" spans="1:5" x14ac:dyDescent="0.25">
      <c r="A122" s="84"/>
      <c r="D122" s="135"/>
      <c r="E122" s="135"/>
    </row>
    <row r="124" spans="1:5" x14ac:dyDescent="0.25">
      <c r="B124" s="85"/>
      <c r="D124" s="87"/>
      <c r="E124" s="87"/>
    </row>
    <row r="125" spans="1:5" x14ac:dyDescent="0.25">
      <c r="B125" s="85"/>
      <c r="D125" s="87"/>
      <c r="E125" s="87"/>
    </row>
    <row r="126" spans="1:5" x14ac:dyDescent="0.25">
      <c r="B126" s="85"/>
      <c r="D126" s="87"/>
      <c r="E126" s="87"/>
    </row>
    <row r="127" spans="1:5" x14ac:dyDescent="0.25">
      <c r="B127" s="85"/>
      <c r="D127" s="87"/>
      <c r="E127" s="87"/>
    </row>
  </sheetData>
  <mergeCells count="1">
    <mergeCell ref="A1:B1"/>
  </mergeCells>
  <pageMargins left="0.7" right="0.7" top="0.78740157499999996" bottom="0.78740157499999996" header="0.3" footer="0.3"/>
  <pageSetup paperSize="9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6"/>
  <dimension ref="A1:Y452"/>
  <sheetViews>
    <sheetView topLeftCell="C1" workbookViewId="0">
      <selection activeCell="J11" sqref="J11"/>
    </sheetView>
  </sheetViews>
  <sheetFormatPr baseColWidth="10" defaultRowHeight="14.4" x14ac:dyDescent="0.3"/>
  <sheetData>
    <row r="1" spans="1:25" ht="82.8" x14ac:dyDescent="0.3">
      <c r="A1" s="214"/>
      <c r="B1" s="214"/>
      <c r="C1" s="214"/>
      <c r="D1" s="30" t="s">
        <v>66</v>
      </c>
      <c r="E1" s="30" t="s">
        <v>67</v>
      </c>
      <c r="F1" s="30" t="s">
        <v>68</v>
      </c>
      <c r="G1" s="30" t="s">
        <v>69</v>
      </c>
      <c r="H1" s="30" t="s">
        <v>70</v>
      </c>
      <c r="I1" s="30" t="s">
        <v>71</v>
      </c>
      <c r="J1" s="30" t="s">
        <v>72</v>
      </c>
      <c r="K1" s="39" t="s">
        <v>82</v>
      </c>
      <c r="L1" s="39" t="s">
        <v>12</v>
      </c>
      <c r="M1" s="39" t="s">
        <v>73</v>
      </c>
      <c r="N1" s="39" t="s">
        <v>1848</v>
      </c>
      <c r="O1" s="40" t="s">
        <v>74</v>
      </c>
      <c r="P1" s="37" t="s">
        <v>75</v>
      </c>
      <c r="Q1" s="37" t="s">
        <v>76</v>
      </c>
      <c r="R1" s="37" t="s">
        <v>106</v>
      </c>
      <c r="S1" s="37" t="s">
        <v>109</v>
      </c>
      <c r="T1" s="37" t="s">
        <v>110</v>
      </c>
      <c r="U1" s="37" t="s">
        <v>77</v>
      </c>
      <c r="V1" s="32" t="s">
        <v>1849</v>
      </c>
      <c r="W1" s="32" t="s">
        <v>1850</v>
      </c>
      <c r="X1" s="32" t="s">
        <v>1851</v>
      </c>
      <c r="Y1" s="32" t="s">
        <v>78</v>
      </c>
    </row>
    <row r="2" spans="1:25" x14ac:dyDescent="0.3">
      <c r="A2" s="215" t="s">
        <v>65</v>
      </c>
      <c r="B2" s="215">
        <v>1</v>
      </c>
      <c r="C2" s="215">
        <v>2</v>
      </c>
      <c r="D2" s="215"/>
      <c r="E2" s="215"/>
      <c r="F2" s="215"/>
      <c r="G2" s="215"/>
      <c r="H2" s="215"/>
      <c r="I2" s="215"/>
      <c r="J2" s="215"/>
      <c r="K2" s="215">
        <v>5</v>
      </c>
      <c r="L2" s="215" t="s">
        <v>21</v>
      </c>
      <c r="M2" s="215">
        <v>4</v>
      </c>
      <c r="N2" s="215"/>
      <c r="O2" s="215">
        <v>7</v>
      </c>
      <c r="P2" s="215">
        <v>6</v>
      </c>
      <c r="Q2" s="215" t="s">
        <v>9</v>
      </c>
      <c r="R2" s="215" t="s">
        <v>103</v>
      </c>
      <c r="S2" s="215" t="s">
        <v>112</v>
      </c>
      <c r="T2" s="215">
        <v>10</v>
      </c>
      <c r="U2" s="215">
        <v>9</v>
      </c>
      <c r="V2" s="215">
        <v>4</v>
      </c>
      <c r="W2" s="215"/>
      <c r="X2" s="215"/>
      <c r="Y2" s="215">
        <v>8</v>
      </c>
    </row>
    <row r="3" spans="1:25" x14ac:dyDescent="0.3">
      <c r="A3" s="216">
        <f t="shared" ref="A3:A66" si="0">ROW()-ROW($A$2)</f>
        <v>1</v>
      </c>
      <c r="B3" s="217" t="str">
        <f t="shared" ref="B3:K12" si="1">IF(ISNONTEXT(B$2),IF(B$2="","",IF(INDEX(IMPORT,$A3,B$2)=0,"",IFERROR(VLOOKUP(INDEX(IMPORT,$A3,B$2),ImportTranslation,2,0),INDEX(IMPORT,$A3,B$2)))),B$2)</f>
        <v>x</v>
      </c>
      <c r="C3" s="217" t="str">
        <f t="shared" si="1"/>
        <v>x</v>
      </c>
      <c r="D3" s="217" t="str">
        <f t="shared" si="1"/>
        <v/>
      </c>
      <c r="E3" s="217" t="str">
        <f t="shared" si="1"/>
        <v/>
      </c>
      <c r="F3" s="217" t="str">
        <f t="shared" si="1"/>
        <v/>
      </c>
      <c r="G3" s="217" t="str">
        <f t="shared" si="1"/>
        <v/>
      </c>
      <c r="H3" s="217" t="str">
        <f t="shared" si="1"/>
        <v/>
      </c>
      <c r="I3" s="217" t="str">
        <f t="shared" si="1"/>
        <v/>
      </c>
      <c r="J3" s="217" t="str">
        <f t="shared" si="1"/>
        <v/>
      </c>
      <c r="K3" s="217" t="str">
        <f t="shared" si="1"/>
        <v/>
      </c>
      <c r="L3" s="217" t="str">
        <f t="shared" ref="L3:Y12" si="2">IF(ISNONTEXT(L$2),IF(L$2="","",IF(INDEX(IMPORT,$A3,L$2)=0,"",IFERROR(VLOOKUP(INDEX(IMPORT,$A3,L$2),ImportTranslation,2,0),INDEX(IMPORT,$A3,L$2)))),L$2)</f>
        <v>info</v>
      </c>
      <c r="M3" s="217" t="str">
        <f t="shared" si="2"/>
        <v/>
      </c>
      <c r="N3" s="217" t="str">
        <f t="shared" si="2"/>
        <v/>
      </c>
      <c r="O3" s="217" t="str">
        <f t="shared" si="2"/>
        <v>model</v>
      </c>
      <c r="P3" s="218" t="str">
        <f t="shared" si="2"/>
        <v>Boolean</v>
      </c>
      <c r="Q3" s="218" t="str">
        <f t="shared" si="2"/>
        <v>x</v>
      </c>
      <c r="R3" s="218" t="str">
        <f t="shared" si="2"/>
        <v>BS</v>
      </c>
      <c r="S3" s="218" t="str">
        <f t="shared" si="2"/>
        <v>all</v>
      </c>
      <c r="T3" s="217">
        <f t="shared" si="2"/>
        <v>1</v>
      </c>
      <c r="U3" s="217" t="str">
        <f t="shared" si="2"/>
        <v>2D-Fixpunkte in 3D zeigen</v>
      </c>
      <c r="V3" s="217" t="str">
        <f t="shared" si="2"/>
        <v/>
      </c>
      <c r="W3" s="217" t="str">
        <f t="shared" si="2"/>
        <v/>
      </c>
      <c r="X3" s="217" t="str">
        <f t="shared" si="2"/>
        <v/>
      </c>
      <c r="Y3" s="217" t="str">
        <f t="shared" si="2"/>
        <v>AC_show2DHotspotsIn3D</v>
      </c>
    </row>
    <row r="4" spans="1:25" x14ac:dyDescent="0.3">
      <c r="A4" s="216">
        <f t="shared" si="0"/>
        <v>2</v>
      </c>
      <c r="B4" s="217" t="str">
        <f t="shared" si="1"/>
        <v>x</v>
      </c>
      <c r="C4" s="217" t="str">
        <f t="shared" si="1"/>
        <v>x</v>
      </c>
      <c r="D4" s="217" t="str">
        <f t="shared" si="1"/>
        <v/>
      </c>
      <c r="E4" s="217" t="str">
        <f t="shared" si="1"/>
        <v/>
      </c>
      <c r="F4" s="217" t="str">
        <f t="shared" si="1"/>
        <v/>
      </c>
      <c r="G4" s="217" t="str">
        <f t="shared" si="1"/>
        <v/>
      </c>
      <c r="H4" s="217" t="str">
        <f t="shared" si="1"/>
        <v/>
      </c>
      <c r="I4" s="217" t="str">
        <f t="shared" si="1"/>
        <v/>
      </c>
      <c r="J4" s="217" t="str">
        <f t="shared" si="1"/>
        <v/>
      </c>
      <c r="K4" s="217" t="str">
        <f t="shared" si="1"/>
        <v/>
      </c>
      <c r="L4" s="217" t="str">
        <f t="shared" si="2"/>
        <v>info</v>
      </c>
      <c r="M4" s="217" t="str">
        <f t="shared" si="2"/>
        <v/>
      </c>
      <c r="N4" s="217" t="str">
        <f t="shared" si="2"/>
        <v/>
      </c>
      <c r="O4" s="217" t="str">
        <f t="shared" si="2"/>
        <v>model</v>
      </c>
      <c r="P4" s="218" t="str">
        <f t="shared" si="2"/>
        <v>Length</v>
      </c>
      <c r="Q4" s="218" t="str">
        <f t="shared" si="2"/>
        <v>x</v>
      </c>
      <c r="R4" s="218" t="str">
        <f t="shared" si="2"/>
        <v>BS</v>
      </c>
      <c r="S4" s="218" t="str">
        <f t="shared" si="2"/>
        <v>all</v>
      </c>
      <c r="T4" s="217">
        <f t="shared" si="2"/>
        <v>1</v>
      </c>
      <c r="U4" s="217" t="str">
        <f t="shared" si="2"/>
        <v>Untere Ebene</v>
      </c>
      <c r="V4" s="217" t="str">
        <f t="shared" si="2"/>
        <v/>
      </c>
      <c r="W4" s="217" t="str">
        <f t="shared" si="2"/>
        <v/>
      </c>
      <c r="X4" s="217" t="str">
        <f t="shared" si="2"/>
        <v/>
      </c>
      <c r="Y4" s="217" t="str">
        <f t="shared" si="2"/>
        <v>ac_bottomlevel</v>
      </c>
    </row>
    <row r="5" spans="1:25" x14ac:dyDescent="0.3">
      <c r="A5" s="216">
        <f t="shared" si="0"/>
        <v>3</v>
      </c>
      <c r="B5" s="217" t="str">
        <f t="shared" si="1"/>
        <v>x</v>
      </c>
      <c r="C5" s="217" t="str">
        <f t="shared" si="1"/>
        <v>x</v>
      </c>
      <c r="D5" s="217" t="str">
        <f t="shared" si="1"/>
        <v/>
      </c>
      <c r="E5" s="217" t="str">
        <f t="shared" si="1"/>
        <v/>
      </c>
      <c r="F5" s="217" t="str">
        <f t="shared" si="1"/>
        <v/>
      </c>
      <c r="G5" s="217" t="str">
        <f t="shared" si="1"/>
        <v/>
      </c>
      <c r="H5" s="217" t="str">
        <f t="shared" si="1"/>
        <v/>
      </c>
      <c r="I5" s="217" t="str">
        <f t="shared" si="1"/>
        <v/>
      </c>
      <c r="J5" s="217" t="str">
        <f t="shared" si="1"/>
        <v/>
      </c>
      <c r="K5" s="217" t="str">
        <f t="shared" si="1"/>
        <v/>
      </c>
      <c r="L5" s="217" t="str">
        <f t="shared" si="2"/>
        <v>info</v>
      </c>
      <c r="M5" s="217" t="str">
        <f t="shared" si="2"/>
        <v/>
      </c>
      <c r="N5" s="217" t="str">
        <f t="shared" si="2"/>
        <v/>
      </c>
      <c r="O5" s="217" t="str">
        <f t="shared" si="2"/>
        <v>model</v>
      </c>
      <c r="P5" s="218" t="str">
        <f t="shared" si="2"/>
        <v>Length</v>
      </c>
      <c r="Q5" s="218" t="str">
        <f t="shared" si="2"/>
        <v>x</v>
      </c>
      <c r="R5" s="218" t="str">
        <f t="shared" si="2"/>
        <v>BS</v>
      </c>
      <c r="S5" s="218" t="str">
        <f t="shared" si="2"/>
        <v>all</v>
      </c>
      <c r="T5" s="217" t="str">
        <f t="shared" si="2"/>
        <v/>
      </c>
      <c r="U5" s="217" t="str">
        <f t="shared" si="2"/>
        <v>Obere Ebene</v>
      </c>
      <c r="V5" s="217" t="str">
        <f t="shared" si="2"/>
        <v/>
      </c>
      <c r="W5" s="217" t="str">
        <f t="shared" si="2"/>
        <v/>
      </c>
      <c r="X5" s="217" t="str">
        <f t="shared" si="2"/>
        <v/>
      </c>
      <c r="Y5" s="217" t="str">
        <f t="shared" si="2"/>
        <v>ac_toplevel</v>
      </c>
    </row>
    <row r="6" spans="1:25" x14ac:dyDescent="0.3">
      <c r="A6" s="216">
        <f t="shared" si="0"/>
        <v>4</v>
      </c>
      <c r="B6" s="217" t="str">
        <f t="shared" si="1"/>
        <v>x</v>
      </c>
      <c r="C6" s="217" t="str">
        <f t="shared" si="1"/>
        <v>x</v>
      </c>
      <c r="D6" s="217" t="str">
        <f t="shared" si="1"/>
        <v/>
      </c>
      <c r="E6" s="217" t="str">
        <f t="shared" si="1"/>
        <v/>
      </c>
      <c r="F6" s="217" t="str">
        <f t="shared" si="1"/>
        <v/>
      </c>
      <c r="G6" s="217" t="str">
        <f t="shared" si="1"/>
        <v/>
      </c>
      <c r="H6" s="217" t="str">
        <f t="shared" si="1"/>
        <v/>
      </c>
      <c r="I6" s="217" t="str">
        <f t="shared" si="1"/>
        <v/>
      </c>
      <c r="J6" s="217" t="str">
        <f t="shared" si="1"/>
        <v/>
      </c>
      <c r="K6" s="217" t="str">
        <f t="shared" si="1"/>
        <v>x</v>
      </c>
      <c r="L6" s="217" t="str">
        <f t="shared" si="2"/>
        <v>info</v>
      </c>
      <c r="M6" s="217" t="str">
        <f t="shared" si="2"/>
        <v/>
      </c>
      <c r="N6" s="217" t="str">
        <f t="shared" si="2"/>
        <v/>
      </c>
      <c r="O6" s="217" t="str">
        <f t="shared" si="2"/>
        <v>model</v>
      </c>
      <c r="P6" s="218" t="str">
        <f t="shared" si="2"/>
        <v>Length</v>
      </c>
      <c r="Q6" s="218" t="str">
        <f t="shared" si="2"/>
        <v>x</v>
      </c>
      <c r="R6" s="218" t="str">
        <f t="shared" si="2"/>
        <v>BS</v>
      </c>
      <c r="S6" s="218" t="str">
        <f t="shared" si="2"/>
        <v>all</v>
      </c>
      <c r="T6" s="217" t="str">
        <f t="shared" si="2"/>
        <v/>
      </c>
      <c r="U6" s="217" t="str">
        <f t="shared" si="2"/>
        <v>Brüstungshöhe zum aktuellen Geschoss</v>
      </c>
      <c r="V6" s="217" t="str">
        <f t="shared" si="2"/>
        <v/>
      </c>
      <c r="W6" s="217" t="str">
        <f t="shared" si="2"/>
        <v/>
      </c>
      <c r="X6" s="217" t="str">
        <f t="shared" si="2"/>
        <v/>
      </c>
      <c r="Y6" s="217" t="str">
        <f t="shared" si="2"/>
        <v>AC_Sill_To_Curr_Story</v>
      </c>
    </row>
    <row r="7" spans="1:25" x14ac:dyDescent="0.3">
      <c r="A7" s="216">
        <f t="shared" si="0"/>
        <v>5</v>
      </c>
      <c r="B7" s="217" t="str">
        <f t="shared" si="1"/>
        <v>x</v>
      </c>
      <c r="C7" s="217" t="str">
        <f t="shared" si="1"/>
        <v>x</v>
      </c>
      <c r="D7" s="217" t="str">
        <f t="shared" si="1"/>
        <v/>
      </c>
      <c r="E7" s="217" t="str">
        <f t="shared" si="1"/>
        <v/>
      </c>
      <c r="F7" s="217" t="str">
        <f t="shared" si="1"/>
        <v/>
      </c>
      <c r="G7" s="217" t="str">
        <f t="shared" si="1"/>
        <v/>
      </c>
      <c r="H7" s="217" t="str">
        <f t="shared" si="1"/>
        <v/>
      </c>
      <c r="I7" s="217" t="str">
        <f t="shared" si="1"/>
        <v/>
      </c>
      <c r="J7" s="217" t="str">
        <f t="shared" si="1"/>
        <v/>
      </c>
      <c r="K7" s="217" t="str">
        <f t="shared" si="1"/>
        <v/>
      </c>
      <c r="L7" s="217" t="str">
        <f t="shared" si="2"/>
        <v>info</v>
      </c>
      <c r="M7" s="217" t="str">
        <f t="shared" si="2"/>
        <v/>
      </c>
      <c r="N7" s="217" t="str">
        <f t="shared" si="2"/>
        <v/>
      </c>
      <c r="O7" s="217" t="str">
        <f t="shared" si="2"/>
        <v>model</v>
      </c>
      <c r="P7" s="218" t="str">
        <f t="shared" si="2"/>
        <v>Integer</v>
      </c>
      <c r="Q7" s="218" t="str">
        <f t="shared" si="2"/>
        <v>x</v>
      </c>
      <c r="R7" s="218" t="str">
        <f t="shared" si="2"/>
        <v>BS</v>
      </c>
      <c r="S7" s="218" t="str">
        <f t="shared" si="2"/>
        <v>all</v>
      </c>
      <c r="T7" s="217">
        <f t="shared" si="2"/>
        <v>3</v>
      </c>
      <c r="U7" s="217" t="str">
        <f t="shared" si="2"/>
        <v>Darstellungseinstellung Grundr.</v>
      </c>
      <c r="V7" s="217" t="str">
        <f t="shared" si="2"/>
        <v/>
      </c>
      <c r="W7" s="217" t="str">
        <f t="shared" si="2"/>
        <v/>
      </c>
      <c r="X7" s="217" t="str">
        <f t="shared" si="2"/>
        <v/>
      </c>
      <c r="Y7" s="217" t="str">
        <f t="shared" si="2"/>
        <v>AC_Hole_Display_Option</v>
      </c>
    </row>
    <row r="8" spans="1:25" x14ac:dyDescent="0.3">
      <c r="A8" s="216">
        <f t="shared" si="0"/>
        <v>6</v>
      </c>
      <c r="B8" s="217" t="str">
        <f t="shared" si="1"/>
        <v>x</v>
      </c>
      <c r="C8" s="217" t="str">
        <f t="shared" si="1"/>
        <v>x</v>
      </c>
      <c r="D8" s="217" t="str">
        <f t="shared" si="1"/>
        <v/>
      </c>
      <c r="E8" s="217" t="str">
        <f t="shared" si="1"/>
        <v/>
      </c>
      <c r="F8" s="217" t="str">
        <f t="shared" si="1"/>
        <v/>
      </c>
      <c r="G8" s="217" t="str">
        <f t="shared" si="1"/>
        <v/>
      </c>
      <c r="H8" s="217" t="str">
        <f t="shared" si="1"/>
        <v/>
      </c>
      <c r="I8" s="217" t="str">
        <f t="shared" si="1"/>
        <v/>
      </c>
      <c r="J8" s="217" t="str">
        <f t="shared" si="1"/>
        <v/>
      </c>
      <c r="K8" s="217" t="str">
        <f t="shared" si="1"/>
        <v/>
      </c>
      <c r="L8" s="217" t="str">
        <f t="shared" si="2"/>
        <v>info</v>
      </c>
      <c r="M8" s="217" t="str">
        <f t="shared" si="2"/>
        <v/>
      </c>
      <c r="N8" s="217" t="str">
        <f t="shared" si="2"/>
        <v/>
      </c>
      <c r="O8" s="217" t="str">
        <f t="shared" si="2"/>
        <v>model</v>
      </c>
      <c r="P8" s="218" t="str">
        <f t="shared" si="2"/>
        <v>Angle</v>
      </c>
      <c r="Q8" s="218" t="str">
        <f t="shared" si="2"/>
        <v>x</v>
      </c>
      <c r="R8" s="218" t="str">
        <f t="shared" si="2"/>
        <v>BS</v>
      </c>
      <c r="S8" s="218" t="str">
        <f t="shared" si="2"/>
        <v>all</v>
      </c>
      <c r="T8" s="217" t="str">
        <f t="shared" si="2"/>
        <v/>
      </c>
      <c r="U8" s="217" t="str">
        <f t="shared" si="2"/>
        <v>Winkel Öffnungsposition</v>
      </c>
      <c r="V8" s="217" t="str">
        <f t="shared" si="2"/>
        <v/>
      </c>
      <c r="W8" s="217" t="str">
        <f t="shared" si="2"/>
        <v/>
      </c>
      <c r="X8" s="217" t="str">
        <f t="shared" si="2"/>
        <v/>
      </c>
      <c r="Y8" s="217" t="str">
        <f t="shared" si="2"/>
        <v>AC_Hole_Position_Angle</v>
      </c>
    </row>
    <row r="9" spans="1:25" x14ac:dyDescent="0.3">
      <c r="A9" s="216">
        <f t="shared" si="0"/>
        <v>7</v>
      </c>
      <c r="B9" s="217" t="str">
        <f t="shared" si="1"/>
        <v>x</v>
      </c>
      <c r="C9" s="217" t="str">
        <f t="shared" si="1"/>
        <v>x</v>
      </c>
      <c r="D9" s="217" t="str">
        <f t="shared" si="1"/>
        <v/>
      </c>
      <c r="E9" s="217" t="str">
        <f t="shared" si="1"/>
        <v/>
      </c>
      <c r="F9" s="217" t="str">
        <f t="shared" si="1"/>
        <v/>
      </c>
      <c r="G9" s="217" t="str">
        <f t="shared" si="1"/>
        <v/>
      </c>
      <c r="H9" s="217" t="str">
        <f t="shared" si="1"/>
        <v/>
      </c>
      <c r="I9" s="217" t="str">
        <f t="shared" si="1"/>
        <v/>
      </c>
      <c r="J9" s="217" t="str">
        <f t="shared" si="1"/>
        <v/>
      </c>
      <c r="K9" s="217" t="str">
        <f t="shared" si="1"/>
        <v/>
      </c>
      <c r="L9" s="217" t="str">
        <f t="shared" si="2"/>
        <v>info</v>
      </c>
      <c r="M9" s="217" t="str">
        <f t="shared" si="2"/>
        <v/>
      </c>
      <c r="N9" s="217" t="str">
        <f t="shared" si="2"/>
        <v/>
      </c>
      <c r="O9" s="217" t="str">
        <f t="shared" si="2"/>
        <v>model</v>
      </c>
      <c r="P9" s="218" t="str">
        <f t="shared" si="2"/>
        <v>Boolean</v>
      </c>
      <c r="Q9" s="218" t="str">
        <f t="shared" si="2"/>
        <v>x</v>
      </c>
      <c r="R9" s="218" t="str">
        <f t="shared" si="2"/>
        <v>BS</v>
      </c>
      <c r="S9" s="218" t="str">
        <f t="shared" si="2"/>
        <v>all</v>
      </c>
      <c r="T9" s="217">
        <f t="shared" si="2"/>
        <v>1</v>
      </c>
      <c r="U9" s="217" t="str">
        <f t="shared" si="2"/>
        <v>Loch übernimmt Oberflächenmaterial der Wandseite</v>
      </c>
      <c r="V9" s="217" t="str">
        <f t="shared" si="2"/>
        <v/>
      </c>
      <c r="W9" s="217" t="str">
        <f t="shared" si="2"/>
        <v/>
      </c>
      <c r="X9" s="217" t="str">
        <f t="shared" si="2"/>
        <v/>
      </c>
      <c r="Y9" s="217" t="str">
        <f t="shared" si="2"/>
        <v>AC_HoleSideMaterial</v>
      </c>
    </row>
    <row r="10" spans="1:25" x14ac:dyDescent="0.3">
      <c r="A10" s="216">
        <f t="shared" si="0"/>
        <v>8</v>
      </c>
      <c r="B10" s="217" t="str">
        <f t="shared" si="1"/>
        <v>x</v>
      </c>
      <c r="C10" s="217" t="str">
        <f t="shared" si="1"/>
        <v>x</v>
      </c>
      <c r="D10" s="217" t="str">
        <f t="shared" si="1"/>
        <v/>
      </c>
      <c r="E10" s="217" t="str">
        <f t="shared" si="1"/>
        <v/>
      </c>
      <c r="F10" s="217" t="str">
        <f t="shared" si="1"/>
        <v/>
      </c>
      <c r="G10" s="217" t="str">
        <f t="shared" si="1"/>
        <v/>
      </c>
      <c r="H10" s="217" t="str">
        <f t="shared" si="1"/>
        <v/>
      </c>
      <c r="I10" s="217" t="str">
        <f t="shared" si="1"/>
        <v/>
      </c>
      <c r="J10" s="217" t="str">
        <f t="shared" si="1"/>
        <v/>
      </c>
      <c r="K10" s="217" t="str">
        <f t="shared" si="1"/>
        <v/>
      </c>
      <c r="L10" s="217" t="str">
        <f t="shared" si="2"/>
        <v>info</v>
      </c>
      <c r="M10" s="217" t="str">
        <f t="shared" si="2"/>
        <v/>
      </c>
      <c r="N10" s="217" t="str">
        <f t="shared" si="2"/>
        <v/>
      </c>
      <c r="O10" s="217" t="str">
        <f t="shared" si="2"/>
        <v>model</v>
      </c>
      <c r="P10" s="218" t="str">
        <f t="shared" si="2"/>
        <v>Boolean</v>
      </c>
      <c r="Q10" s="218" t="str">
        <f t="shared" si="2"/>
        <v>x</v>
      </c>
      <c r="R10" s="218" t="str">
        <f t="shared" si="2"/>
        <v>BS</v>
      </c>
      <c r="S10" s="218" t="str">
        <f t="shared" si="2"/>
        <v>all</v>
      </c>
      <c r="T10" s="217" t="str">
        <f t="shared" si="2"/>
        <v/>
      </c>
      <c r="U10" s="217" t="str">
        <f t="shared" si="2"/>
        <v>Öffnungsoberfläche ist gebogen in gebogenen Wänden</v>
      </c>
      <c r="V10" s="217" t="str">
        <f t="shared" si="2"/>
        <v/>
      </c>
      <c r="W10" s="217" t="str">
        <f t="shared" si="2"/>
        <v/>
      </c>
      <c r="X10" s="217" t="str">
        <f t="shared" si="2"/>
        <v/>
      </c>
      <c r="Y10" s="217" t="str">
        <f t="shared" si="2"/>
        <v>AC_HoleMaterialCurved</v>
      </c>
    </row>
    <row r="11" spans="1:25" x14ac:dyDescent="0.3">
      <c r="A11" s="216">
        <f t="shared" si="0"/>
        <v>9</v>
      </c>
      <c r="B11" s="217" t="str">
        <f t="shared" si="1"/>
        <v>x</v>
      </c>
      <c r="C11" s="217" t="str">
        <f t="shared" si="1"/>
        <v>x</v>
      </c>
      <c r="D11" s="217" t="str">
        <f t="shared" si="1"/>
        <v/>
      </c>
      <c r="E11" s="217" t="str">
        <f t="shared" si="1"/>
        <v/>
      </c>
      <c r="F11" s="217" t="str">
        <f t="shared" si="1"/>
        <v/>
      </c>
      <c r="G11" s="217" t="str">
        <f t="shared" si="1"/>
        <v/>
      </c>
      <c r="H11" s="217" t="str">
        <f t="shared" si="1"/>
        <v/>
      </c>
      <c r="I11" s="217" t="str">
        <f t="shared" si="1"/>
        <v/>
      </c>
      <c r="J11" s="217" t="str">
        <f t="shared" si="1"/>
        <v/>
      </c>
      <c r="K11" s="217" t="str">
        <f t="shared" si="1"/>
        <v/>
      </c>
      <c r="L11" s="217" t="str">
        <f t="shared" si="2"/>
        <v>info</v>
      </c>
      <c r="M11" s="217" t="str">
        <f t="shared" si="2"/>
        <v/>
      </c>
      <c r="N11" s="217" t="str">
        <f t="shared" si="2"/>
        <v/>
      </c>
      <c r="O11" s="217" t="str">
        <f t="shared" si="2"/>
        <v>model</v>
      </c>
      <c r="P11" s="218" t="str">
        <f t="shared" si="2"/>
        <v>Integer</v>
      </c>
      <c r="Q11" s="218" t="str">
        <f t="shared" si="2"/>
        <v>x</v>
      </c>
      <c r="R11" s="218" t="str">
        <f t="shared" si="2"/>
        <v>BS</v>
      </c>
      <c r="S11" s="218" t="str">
        <f t="shared" si="2"/>
        <v>all</v>
      </c>
      <c r="T11" s="217">
        <f t="shared" si="2"/>
        <v>1</v>
      </c>
      <c r="U11" s="217" t="str">
        <f t="shared" si="2"/>
        <v>Wand-Typ</v>
      </c>
      <c r="V11" s="217" t="str">
        <f t="shared" si="2"/>
        <v/>
      </c>
      <c r="W11" s="217" t="str">
        <f t="shared" si="2"/>
        <v/>
      </c>
      <c r="X11" s="217" t="str">
        <f t="shared" si="2"/>
        <v/>
      </c>
      <c r="Y11" s="217" t="str">
        <f t="shared" si="2"/>
        <v>AC_WallType</v>
      </c>
    </row>
    <row r="12" spans="1:25" x14ac:dyDescent="0.3">
      <c r="A12" s="216">
        <f t="shared" si="0"/>
        <v>10</v>
      </c>
      <c r="B12" s="217" t="str">
        <f t="shared" si="1"/>
        <v>x</v>
      </c>
      <c r="C12" s="217" t="str">
        <f t="shared" si="1"/>
        <v>x</v>
      </c>
      <c r="D12" s="217" t="str">
        <f t="shared" si="1"/>
        <v/>
      </c>
      <c r="E12" s="217" t="str">
        <f t="shared" si="1"/>
        <v/>
      </c>
      <c r="F12" s="217" t="str">
        <f t="shared" si="1"/>
        <v/>
      </c>
      <c r="G12" s="217" t="str">
        <f t="shared" si="1"/>
        <v/>
      </c>
      <c r="H12" s="217" t="str">
        <f t="shared" si="1"/>
        <v/>
      </c>
      <c r="I12" s="217" t="str">
        <f t="shared" si="1"/>
        <v/>
      </c>
      <c r="J12" s="217" t="str">
        <f t="shared" si="1"/>
        <v/>
      </c>
      <c r="K12" s="217" t="str">
        <f t="shared" si="1"/>
        <v/>
      </c>
      <c r="L12" s="217" t="str">
        <f t="shared" si="2"/>
        <v>info</v>
      </c>
      <c r="M12" s="217" t="str">
        <f t="shared" si="2"/>
        <v/>
      </c>
      <c r="N12" s="217" t="str">
        <f t="shared" si="2"/>
        <v/>
      </c>
      <c r="O12" s="217" t="str">
        <f t="shared" si="2"/>
        <v>model</v>
      </c>
      <c r="P12" s="218" t="str">
        <f t="shared" si="2"/>
        <v>Integer</v>
      </c>
      <c r="Q12" s="218" t="str">
        <f t="shared" si="2"/>
        <v>x</v>
      </c>
      <c r="R12" s="218" t="str">
        <f t="shared" si="2"/>
        <v>BS</v>
      </c>
      <c r="S12" s="218" t="str">
        <f t="shared" si="2"/>
        <v>all</v>
      </c>
      <c r="T12" s="217" t="str">
        <f t="shared" si="2"/>
        <v>{array}</v>
      </c>
      <c r="U12" s="217" t="str">
        <f t="shared" si="2"/>
        <v>Fenster in Wandkontur</v>
      </c>
      <c r="V12" s="217" t="str">
        <f t="shared" si="2"/>
        <v/>
      </c>
      <c r="W12" s="217" t="str">
        <f t="shared" si="2"/>
        <v/>
      </c>
      <c r="X12" s="217" t="str">
        <f t="shared" si="2"/>
        <v/>
      </c>
      <c r="Y12" s="217" t="str">
        <f t="shared" si="2"/>
        <v>AC_WindowInWallContour</v>
      </c>
    </row>
    <row r="13" spans="1:25" x14ac:dyDescent="0.3">
      <c r="A13" s="216">
        <f t="shared" si="0"/>
        <v>11</v>
      </c>
      <c r="B13" s="217" t="str">
        <f t="shared" ref="B13:K22" si="3">IF(ISNONTEXT(B$2),IF(B$2="","",IF(INDEX(IMPORT,$A13,B$2)=0,"",IFERROR(VLOOKUP(INDEX(IMPORT,$A13,B$2),ImportTranslation,2,0),INDEX(IMPORT,$A13,B$2)))),B$2)</f>
        <v>x</v>
      </c>
      <c r="C13" s="217" t="str">
        <f t="shared" si="3"/>
        <v>x</v>
      </c>
      <c r="D13" s="217" t="str">
        <f t="shared" si="3"/>
        <v/>
      </c>
      <c r="E13" s="217" t="str">
        <f t="shared" si="3"/>
        <v/>
      </c>
      <c r="F13" s="217" t="str">
        <f t="shared" si="3"/>
        <v/>
      </c>
      <c r="G13" s="217" t="str">
        <f t="shared" si="3"/>
        <v/>
      </c>
      <c r="H13" s="217" t="str">
        <f t="shared" si="3"/>
        <v/>
      </c>
      <c r="I13" s="217" t="str">
        <f t="shared" si="3"/>
        <v/>
      </c>
      <c r="J13" s="217" t="str">
        <f t="shared" si="3"/>
        <v/>
      </c>
      <c r="K13" s="217" t="str">
        <f t="shared" si="3"/>
        <v/>
      </c>
      <c r="L13" s="217" t="str">
        <f t="shared" ref="L13:Y22" si="4">IF(ISNONTEXT(L$2),IF(L$2="","",IF(INDEX(IMPORT,$A13,L$2)=0,"",IFERROR(VLOOKUP(INDEX(IMPORT,$A13,L$2),ImportTranslation,2,0),INDEX(IMPORT,$A13,L$2)))),L$2)</f>
        <v>info</v>
      </c>
      <c r="M13" s="217" t="str">
        <f t="shared" si="4"/>
        <v/>
      </c>
      <c r="N13" s="217" t="str">
        <f t="shared" si="4"/>
        <v/>
      </c>
      <c r="O13" s="217" t="str">
        <f t="shared" si="4"/>
        <v>model</v>
      </c>
      <c r="P13" s="218" t="str">
        <f t="shared" si="4"/>
        <v>Length</v>
      </c>
      <c r="Q13" s="218" t="str">
        <f t="shared" si="4"/>
        <v>x</v>
      </c>
      <c r="R13" s="218" t="str">
        <f t="shared" si="4"/>
        <v>BS</v>
      </c>
      <c r="S13" s="218" t="str">
        <f t="shared" si="4"/>
        <v>all</v>
      </c>
      <c r="T13" s="217" t="str">
        <f t="shared" si="4"/>
        <v>{array}</v>
      </c>
      <c r="U13" s="217" t="str">
        <f t="shared" si="4"/>
        <v>Wandkonturpolygon</v>
      </c>
      <c r="V13" s="217" t="str">
        <f t="shared" si="4"/>
        <v/>
      </c>
      <c r="W13" s="217" t="str">
        <f t="shared" si="4"/>
        <v/>
      </c>
      <c r="X13" s="217" t="str">
        <f t="shared" si="4"/>
        <v/>
      </c>
      <c r="Y13" s="217" t="str">
        <f t="shared" si="4"/>
        <v>AC_WallContourPolygon</v>
      </c>
    </row>
    <row r="14" spans="1:25" x14ac:dyDescent="0.3">
      <c r="A14" s="216">
        <f t="shared" si="0"/>
        <v>12</v>
      </c>
      <c r="B14" s="217" t="str">
        <f t="shared" si="3"/>
        <v>x</v>
      </c>
      <c r="C14" s="217" t="str">
        <f t="shared" si="3"/>
        <v>x</v>
      </c>
      <c r="D14" s="217" t="str">
        <f t="shared" si="3"/>
        <v/>
      </c>
      <c r="E14" s="217" t="str">
        <f t="shared" si="3"/>
        <v/>
      </c>
      <c r="F14" s="217" t="str">
        <f t="shared" si="3"/>
        <v/>
      </c>
      <c r="G14" s="217" t="str">
        <f t="shared" si="3"/>
        <v/>
      </c>
      <c r="H14" s="217" t="str">
        <f t="shared" si="3"/>
        <v/>
      </c>
      <c r="I14" s="217" t="str">
        <f t="shared" si="3"/>
        <v/>
      </c>
      <c r="J14" s="217" t="str">
        <f t="shared" si="3"/>
        <v/>
      </c>
      <c r="K14" s="217" t="str">
        <f t="shared" si="3"/>
        <v/>
      </c>
      <c r="L14" s="217" t="str">
        <f t="shared" si="4"/>
        <v>info</v>
      </c>
      <c r="M14" s="217" t="str">
        <f t="shared" si="4"/>
        <v/>
      </c>
      <c r="N14" s="217" t="str">
        <f t="shared" si="4"/>
        <v/>
      </c>
      <c r="O14" s="217" t="str">
        <f t="shared" si="4"/>
        <v>model</v>
      </c>
      <c r="P14" s="218" t="str">
        <f t="shared" si="4"/>
        <v>Integer</v>
      </c>
      <c r="Q14" s="218" t="str">
        <f t="shared" si="4"/>
        <v>x</v>
      </c>
      <c r="R14" s="218" t="str">
        <f t="shared" si="4"/>
        <v>BS</v>
      </c>
      <c r="S14" s="218" t="str">
        <f t="shared" si="4"/>
        <v>all</v>
      </c>
      <c r="T14" s="217" t="str">
        <f t="shared" si="4"/>
        <v/>
      </c>
      <c r="U14" s="217" t="str">
        <f t="shared" si="4"/>
        <v>Wandrichtungstyp</v>
      </c>
      <c r="V14" s="217" t="str">
        <f t="shared" si="4"/>
        <v/>
      </c>
      <c r="W14" s="217" t="str">
        <f t="shared" si="4"/>
        <v/>
      </c>
      <c r="X14" s="217" t="str">
        <f t="shared" si="4"/>
        <v/>
      </c>
      <c r="Y14" s="217" t="str">
        <f t="shared" si="4"/>
        <v>AC_Wall_Direction_Type</v>
      </c>
    </row>
    <row r="15" spans="1:25" x14ac:dyDescent="0.3">
      <c r="A15" s="216">
        <f t="shared" si="0"/>
        <v>13</v>
      </c>
      <c r="B15" s="217" t="str">
        <f t="shared" si="3"/>
        <v>x</v>
      </c>
      <c r="C15" s="217" t="str">
        <f t="shared" si="3"/>
        <v>x</v>
      </c>
      <c r="D15" s="217" t="str">
        <f t="shared" si="3"/>
        <v/>
      </c>
      <c r="E15" s="217" t="str">
        <f t="shared" si="3"/>
        <v/>
      </c>
      <c r="F15" s="217" t="str">
        <f t="shared" si="3"/>
        <v/>
      </c>
      <c r="G15" s="217" t="str">
        <f t="shared" si="3"/>
        <v/>
      </c>
      <c r="H15" s="217" t="str">
        <f t="shared" si="3"/>
        <v/>
      </c>
      <c r="I15" s="217" t="str">
        <f t="shared" si="3"/>
        <v/>
      </c>
      <c r="J15" s="217" t="str">
        <f t="shared" si="3"/>
        <v/>
      </c>
      <c r="K15" s="217" t="str">
        <f t="shared" si="3"/>
        <v>x</v>
      </c>
      <c r="L15" s="217" t="str">
        <f t="shared" si="4"/>
        <v>info</v>
      </c>
      <c r="M15" s="217" t="str">
        <f t="shared" si="4"/>
        <v/>
      </c>
      <c r="N15" s="217" t="str">
        <f t="shared" si="4"/>
        <v/>
      </c>
      <c r="O15" s="217" t="str">
        <f t="shared" si="4"/>
        <v>model</v>
      </c>
      <c r="P15" s="218" t="str">
        <f t="shared" si="4"/>
        <v>Integer</v>
      </c>
      <c r="Q15" s="218" t="str">
        <f t="shared" si="4"/>
        <v>x</v>
      </c>
      <c r="R15" s="218" t="str">
        <f t="shared" si="4"/>
        <v>BS</v>
      </c>
      <c r="S15" s="218" t="str">
        <f t="shared" si="4"/>
        <v>all</v>
      </c>
      <c r="T15" s="217">
        <f t="shared" si="4"/>
        <v>2</v>
      </c>
      <c r="U15" s="217" t="str">
        <f t="shared" si="4"/>
        <v>Laibung Ankerposition</v>
      </c>
      <c r="V15" s="217" t="str">
        <f t="shared" si="4"/>
        <v/>
      </c>
      <c r="W15" s="217" t="str">
        <f t="shared" si="4"/>
        <v/>
      </c>
      <c r="X15" s="217" t="str">
        <f t="shared" si="4"/>
        <v/>
      </c>
      <c r="Y15" s="217" t="str">
        <f t="shared" si="4"/>
        <v>ac_revealAnchorPos</v>
      </c>
    </row>
    <row r="16" spans="1:25" x14ac:dyDescent="0.3">
      <c r="A16" s="216">
        <f t="shared" si="0"/>
        <v>14</v>
      </c>
      <c r="B16" s="217" t="str">
        <f t="shared" si="3"/>
        <v>x</v>
      </c>
      <c r="C16" s="217" t="str">
        <f t="shared" si="3"/>
        <v>x</v>
      </c>
      <c r="D16" s="217" t="str">
        <f t="shared" si="3"/>
        <v/>
      </c>
      <c r="E16" s="217" t="str">
        <f t="shared" si="3"/>
        <v/>
      </c>
      <c r="F16" s="217" t="str">
        <f t="shared" si="3"/>
        <v/>
      </c>
      <c r="G16" s="217" t="str">
        <f t="shared" si="3"/>
        <v/>
      </c>
      <c r="H16" s="217" t="str">
        <f t="shared" si="3"/>
        <v/>
      </c>
      <c r="I16" s="217" t="str">
        <f t="shared" si="3"/>
        <v/>
      </c>
      <c r="J16" s="217" t="str">
        <f t="shared" si="3"/>
        <v/>
      </c>
      <c r="K16" s="217" t="str">
        <f t="shared" si="3"/>
        <v>x</v>
      </c>
      <c r="L16" s="217" t="str">
        <f t="shared" si="4"/>
        <v>info</v>
      </c>
      <c r="M16" s="217" t="str">
        <f t="shared" si="4"/>
        <v/>
      </c>
      <c r="N16" s="217" t="str">
        <f t="shared" si="4"/>
        <v/>
      </c>
      <c r="O16" s="217" t="str">
        <f t="shared" si="4"/>
        <v>model</v>
      </c>
      <c r="P16" s="218" t="str">
        <f t="shared" si="4"/>
        <v>Length</v>
      </c>
      <c r="Q16" s="218" t="str">
        <f t="shared" si="4"/>
        <v>x</v>
      </c>
      <c r="R16" s="218" t="str">
        <f t="shared" si="4"/>
        <v>BS</v>
      </c>
      <c r="S16" s="218" t="str">
        <f t="shared" si="4"/>
        <v>all</v>
      </c>
      <c r="T16" s="217">
        <f t="shared" si="4"/>
        <v>-0.255</v>
      </c>
      <c r="U16" s="217" t="str">
        <f t="shared" si="4"/>
        <v>Laibung zum Wandkern</v>
      </c>
      <c r="V16" s="217" t="str">
        <f t="shared" si="4"/>
        <v/>
      </c>
      <c r="W16" s="217" t="str">
        <f t="shared" si="4"/>
        <v/>
      </c>
      <c r="X16" s="217" t="str">
        <f t="shared" si="4"/>
        <v/>
      </c>
      <c r="Y16" s="217" t="str">
        <f t="shared" si="4"/>
        <v>ac_revealToWallCore</v>
      </c>
    </row>
    <row r="17" spans="1:25" x14ac:dyDescent="0.3">
      <c r="A17" s="216">
        <f t="shared" si="0"/>
        <v>15</v>
      </c>
      <c r="B17" s="217" t="str">
        <f t="shared" si="3"/>
        <v>x</v>
      </c>
      <c r="C17" s="217" t="str">
        <f t="shared" si="3"/>
        <v>x</v>
      </c>
      <c r="D17" s="217" t="str">
        <f t="shared" si="3"/>
        <v/>
      </c>
      <c r="E17" s="217" t="str">
        <f t="shared" si="3"/>
        <v/>
      </c>
      <c r="F17" s="217" t="str">
        <f t="shared" si="3"/>
        <v/>
      </c>
      <c r="G17" s="217" t="str">
        <f t="shared" si="3"/>
        <v/>
      </c>
      <c r="H17" s="217" t="str">
        <f t="shared" si="3"/>
        <v/>
      </c>
      <c r="I17" s="217" t="str">
        <f t="shared" si="3"/>
        <v/>
      </c>
      <c r="J17" s="217" t="str">
        <f t="shared" si="3"/>
        <v/>
      </c>
      <c r="K17" s="217" t="str">
        <f t="shared" si="3"/>
        <v/>
      </c>
      <c r="L17" s="217" t="str">
        <f t="shared" si="4"/>
        <v>info</v>
      </c>
      <c r="M17" s="217" t="str">
        <f t="shared" si="4"/>
        <v/>
      </c>
      <c r="N17" s="217" t="str">
        <f t="shared" si="4"/>
        <v/>
      </c>
      <c r="O17" s="217" t="str">
        <f t="shared" si="4"/>
        <v>model</v>
      </c>
      <c r="P17" s="218" t="str">
        <f t="shared" si="4"/>
        <v>Integer</v>
      </c>
      <c r="Q17" s="218" t="str">
        <f t="shared" si="4"/>
        <v>x</v>
      </c>
      <c r="R17" s="218" t="str">
        <f t="shared" si="4"/>
        <v>BS</v>
      </c>
      <c r="S17" s="218" t="str">
        <f t="shared" si="4"/>
        <v>all</v>
      </c>
      <c r="T17" s="217">
        <f t="shared" si="4"/>
        <v>1</v>
      </c>
      <c r="U17" s="217" t="str">
        <f t="shared" si="4"/>
        <v>Wandquerschnittstyp</v>
      </c>
      <c r="V17" s="217" t="str">
        <f t="shared" si="4"/>
        <v/>
      </c>
      <c r="W17" s="217" t="str">
        <f t="shared" si="4"/>
        <v/>
      </c>
      <c r="X17" s="217" t="str">
        <f t="shared" si="4"/>
        <v/>
      </c>
      <c r="Y17" s="217" t="str">
        <f t="shared" si="4"/>
        <v>AC_Wall_CrossSection_Type</v>
      </c>
    </row>
    <row r="18" spans="1:25" x14ac:dyDescent="0.3">
      <c r="A18" s="216">
        <f t="shared" si="0"/>
        <v>16</v>
      </c>
      <c r="B18" s="217" t="str">
        <f t="shared" si="3"/>
        <v>x</v>
      </c>
      <c r="C18" s="217" t="str">
        <f t="shared" si="3"/>
        <v>x</v>
      </c>
      <c r="D18" s="217" t="str">
        <f t="shared" si="3"/>
        <v/>
      </c>
      <c r="E18" s="217" t="str">
        <f t="shared" si="3"/>
        <v/>
      </c>
      <c r="F18" s="217" t="str">
        <f t="shared" si="3"/>
        <v/>
      </c>
      <c r="G18" s="217" t="str">
        <f t="shared" si="3"/>
        <v/>
      </c>
      <c r="H18" s="217" t="str">
        <f t="shared" si="3"/>
        <v/>
      </c>
      <c r="I18" s="217" t="str">
        <f t="shared" si="3"/>
        <v/>
      </c>
      <c r="J18" s="217" t="str">
        <f t="shared" si="3"/>
        <v/>
      </c>
      <c r="K18" s="217" t="str">
        <f t="shared" si="3"/>
        <v/>
      </c>
      <c r="L18" s="217" t="str">
        <f t="shared" si="4"/>
        <v>info</v>
      </c>
      <c r="M18" s="217" t="str">
        <f t="shared" si="4"/>
        <v/>
      </c>
      <c r="N18" s="217" t="str">
        <f t="shared" si="4"/>
        <v/>
      </c>
      <c r="O18" s="217" t="str">
        <f t="shared" si="4"/>
        <v>model</v>
      </c>
      <c r="P18" s="218" t="str">
        <f t="shared" si="4"/>
        <v>Integer</v>
      </c>
      <c r="Q18" s="218" t="str">
        <f t="shared" si="4"/>
        <v>x</v>
      </c>
      <c r="R18" s="218" t="str">
        <f t="shared" si="4"/>
        <v>BS</v>
      </c>
      <c r="S18" s="218" t="str">
        <f t="shared" si="4"/>
        <v>all</v>
      </c>
      <c r="T18" s="217">
        <f t="shared" si="4"/>
        <v>2</v>
      </c>
      <c r="U18" s="217" t="str">
        <f t="shared" si="4"/>
        <v/>
      </c>
      <c r="V18" s="217" t="str">
        <f t="shared" si="4"/>
        <v/>
      </c>
      <c r="W18" s="217" t="str">
        <f t="shared" si="4"/>
        <v/>
      </c>
      <c r="X18" s="217" t="str">
        <f t="shared" si="4"/>
        <v/>
      </c>
      <c r="Y18" s="217" t="str">
        <f t="shared" si="4"/>
        <v>ac_wido_hide_options</v>
      </c>
    </row>
    <row r="19" spans="1:25" x14ac:dyDescent="0.3">
      <c r="A19" s="216">
        <f t="shared" si="0"/>
        <v>17</v>
      </c>
      <c r="B19" s="217" t="str">
        <f t="shared" si="3"/>
        <v>x</v>
      </c>
      <c r="C19" s="217" t="str">
        <f t="shared" si="3"/>
        <v>x</v>
      </c>
      <c r="D19" s="217" t="str">
        <f t="shared" si="3"/>
        <v/>
      </c>
      <c r="E19" s="217" t="str">
        <f t="shared" si="3"/>
        <v/>
      </c>
      <c r="F19" s="217" t="str">
        <f t="shared" si="3"/>
        <v/>
      </c>
      <c r="G19" s="217" t="str">
        <f t="shared" si="3"/>
        <v/>
      </c>
      <c r="H19" s="217" t="str">
        <f t="shared" si="3"/>
        <v/>
      </c>
      <c r="I19" s="217" t="str">
        <f t="shared" si="3"/>
        <v/>
      </c>
      <c r="J19" s="217" t="str">
        <f t="shared" si="3"/>
        <v/>
      </c>
      <c r="K19" s="217" t="str">
        <f t="shared" si="3"/>
        <v>x</v>
      </c>
      <c r="L19" s="217" t="str">
        <f t="shared" si="4"/>
        <v>info</v>
      </c>
      <c r="M19" s="217" t="str">
        <f t="shared" si="4"/>
        <v/>
      </c>
      <c r="N19" s="217" t="str">
        <f t="shared" si="4"/>
        <v/>
      </c>
      <c r="O19" s="217" t="str">
        <f t="shared" si="4"/>
        <v>model</v>
      </c>
      <c r="P19" s="218" t="str">
        <f t="shared" si="4"/>
        <v>Integer</v>
      </c>
      <c r="Q19" s="218" t="str">
        <f t="shared" si="4"/>
        <v>x</v>
      </c>
      <c r="R19" s="218" t="str">
        <f t="shared" si="4"/>
        <v>BS</v>
      </c>
      <c r="S19" s="218" t="str">
        <f t="shared" si="4"/>
        <v>all</v>
      </c>
      <c r="T19" s="217" t="str">
        <f t="shared" si="4"/>
        <v/>
      </c>
      <c r="U19" s="217" t="str">
        <f t="shared" si="4"/>
        <v>Öffnungsdirektion</v>
      </c>
      <c r="V19" s="217" t="str">
        <f t="shared" si="4"/>
        <v/>
      </c>
      <c r="W19" s="217" t="str">
        <f t="shared" si="4"/>
        <v/>
      </c>
      <c r="X19" s="217" t="str">
        <f t="shared" si="4"/>
        <v/>
      </c>
      <c r="Y19" s="217" t="str">
        <f t="shared" si="4"/>
        <v>ac_zone_on_reveal_side</v>
      </c>
    </row>
    <row r="20" spans="1:25" x14ac:dyDescent="0.3">
      <c r="A20" s="216">
        <f t="shared" si="0"/>
        <v>18</v>
      </c>
      <c r="B20" s="217" t="str">
        <f t="shared" si="3"/>
        <v>x</v>
      </c>
      <c r="C20" s="217" t="str">
        <f t="shared" si="3"/>
        <v>x</v>
      </c>
      <c r="D20" s="217" t="str">
        <f t="shared" si="3"/>
        <v/>
      </c>
      <c r="E20" s="217" t="str">
        <f t="shared" si="3"/>
        <v/>
      </c>
      <c r="F20" s="217" t="str">
        <f t="shared" si="3"/>
        <v/>
      </c>
      <c r="G20" s="217" t="str">
        <f t="shared" si="3"/>
        <v/>
      </c>
      <c r="H20" s="217" t="str">
        <f t="shared" si="3"/>
        <v/>
      </c>
      <c r="I20" s="217" t="str">
        <f t="shared" si="3"/>
        <v/>
      </c>
      <c r="J20" s="217" t="str">
        <f t="shared" si="3"/>
        <v/>
      </c>
      <c r="K20" s="217" t="str">
        <f t="shared" si="3"/>
        <v>x</v>
      </c>
      <c r="L20" s="217" t="str">
        <f t="shared" si="4"/>
        <v>info</v>
      </c>
      <c r="M20" s="217" t="str">
        <f t="shared" si="4"/>
        <v/>
      </c>
      <c r="N20" s="217" t="str">
        <f t="shared" si="4"/>
        <v/>
      </c>
      <c r="O20" s="217" t="str">
        <f t="shared" si="4"/>
        <v>model</v>
      </c>
      <c r="P20" s="218" t="str">
        <f t="shared" si="4"/>
        <v>Integer</v>
      </c>
      <c r="Q20" s="218" t="str">
        <f t="shared" si="4"/>
        <v>x</v>
      </c>
      <c r="R20" s="218" t="str">
        <f t="shared" si="4"/>
        <v>BS</v>
      </c>
      <c r="S20" s="218" t="str">
        <f t="shared" si="4"/>
        <v>all</v>
      </c>
      <c r="T20" s="217">
        <f t="shared" si="4"/>
        <v>3</v>
      </c>
      <c r="U20" s="217" t="str">
        <f t="shared" si="4"/>
        <v>Heizkörpernische</v>
      </c>
      <c r="V20" s="217" t="str">
        <f t="shared" si="4"/>
        <v/>
      </c>
      <c r="W20" s="217" t="str">
        <f t="shared" si="4"/>
        <v/>
      </c>
      <c r="X20" s="217" t="str">
        <f t="shared" si="4"/>
        <v/>
      </c>
      <c r="Y20" s="217" t="str">
        <f t="shared" si="4"/>
        <v>pwi</v>
      </c>
    </row>
    <row r="21" spans="1:25" x14ac:dyDescent="0.3">
      <c r="A21" s="216">
        <f t="shared" si="0"/>
        <v>19</v>
      </c>
      <c r="B21" s="217" t="str">
        <f t="shared" si="3"/>
        <v>x</v>
      </c>
      <c r="C21" s="217" t="str">
        <f t="shared" si="3"/>
        <v/>
      </c>
      <c r="D21" s="217" t="str">
        <f t="shared" si="3"/>
        <v/>
      </c>
      <c r="E21" s="217" t="str">
        <f t="shared" si="3"/>
        <v/>
      </c>
      <c r="F21" s="217" t="str">
        <f t="shared" si="3"/>
        <v/>
      </c>
      <c r="G21" s="217" t="str">
        <f t="shared" si="3"/>
        <v/>
      </c>
      <c r="H21" s="217" t="str">
        <f t="shared" si="3"/>
        <v/>
      </c>
      <c r="I21" s="217" t="str">
        <f t="shared" si="3"/>
        <v/>
      </c>
      <c r="J21" s="217" t="str">
        <f t="shared" si="3"/>
        <v/>
      </c>
      <c r="K21" s="217" t="str">
        <f t="shared" si="3"/>
        <v/>
      </c>
      <c r="L21" s="217" t="str">
        <f t="shared" si="4"/>
        <v>info</v>
      </c>
      <c r="M21" s="217" t="str">
        <f t="shared" si="4"/>
        <v/>
      </c>
      <c r="N21" s="217" t="str">
        <f t="shared" si="4"/>
        <v/>
      </c>
      <c r="O21" s="217" t="str">
        <f t="shared" si="4"/>
        <v>model</v>
      </c>
      <c r="P21" s="218" t="str">
        <f t="shared" si="4"/>
        <v>Title</v>
      </c>
      <c r="Q21" s="218" t="str">
        <f t="shared" si="4"/>
        <v>x</v>
      </c>
      <c r="R21" s="218" t="str">
        <f t="shared" si="4"/>
        <v>BS</v>
      </c>
      <c r="S21" s="218" t="str">
        <f t="shared" si="4"/>
        <v>all</v>
      </c>
      <c r="T21" s="217" t="str">
        <f t="shared" si="4"/>
        <v/>
      </c>
      <c r="U21" s="217" t="str">
        <f t="shared" si="4"/>
        <v>Türgrößen</v>
      </c>
      <c r="V21" s="217" t="str">
        <f t="shared" si="4"/>
        <v/>
      </c>
      <c r="W21" s="217" t="str">
        <f t="shared" si="4"/>
        <v/>
      </c>
      <c r="X21" s="217" t="str">
        <f t="shared" si="4"/>
        <v/>
      </c>
      <c r="Y21" s="217" t="str">
        <f t="shared" si="4"/>
        <v>gs_door_sizes</v>
      </c>
    </row>
    <row r="22" spans="1:25" x14ac:dyDescent="0.3">
      <c r="A22" s="216">
        <f t="shared" si="0"/>
        <v>20</v>
      </c>
      <c r="B22" s="217" t="str">
        <f t="shared" si="3"/>
        <v>x</v>
      </c>
      <c r="C22" s="217" t="str">
        <f t="shared" si="3"/>
        <v/>
      </c>
      <c r="D22" s="217" t="str">
        <f t="shared" si="3"/>
        <v/>
      </c>
      <c r="E22" s="217" t="str">
        <f t="shared" si="3"/>
        <v/>
      </c>
      <c r="F22" s="217" t="str">
        <f t="shared" si="3"/>
        <v/>
      </c>
      <c r="G22" s="217" t="str">
        <f t="shared" si="3"/>
        <v/>
      </c>
      <c r="H22" s="217" t="str">
        <f t="shared" si="3"/>
        <v/>
      </c>
      <c r="I22" s="217" t="str">
        <f t="shared" si="3"/>
        <v/>
      </c>
      <c r="J22" s="217" t="str">
        <f t="shared" si="3"/>
        <v/>
      </c>
      <c r="K22" s="217" t="str">
        <f t="shared" si="3"/>
        <v/>
      </c>
      <c r="L22" s="217" t="str">
        <f t="shared" si="4"/>
        <v>info</v>
      </c>
      <c r="M22" s="217" t="str">
        <f t="shared" si="4"/>
        <v>x</v>
      </c>
      <c r="N22" s="217" t="str">
        <f t="shared" si="4"/>
        <v/>
      </c>
      <c r="O22" s="217" t="str">
        <f t="shared" si="4"/>
        <v>model</v>
      </c>
      <c r="P22" s="218" t="str">
        <f t="shared" si="4"/>
        <v>Length</v>
      </c>
      <c r="Q22" s="218" t="str">
        <f t="shared" si="4"/>
        <v>x</v>
      </c>
      <c r="R22" s="218" t="str">
        <f t="shared" si="4"/>
        <v>BS</v>
      </c>
      <c r="S22" s="218" t="str">
        <f t="shared" si="4"/>
        <v>all</v>
      </c>
      <c r="T22" s="217" t="str">
        <f t="shared" si="4"/>
        <v/>
      </c>
      <c r="U22" s="217" t="str">
        <f t="shared" si="4"/>
        <v>Einbautoleranz links</v>
      </c>
      <c r="V22" s="217" t="str">
        <f t="shared" si="4"/>
        <v>x</v>
      </c>
      <c r="W22" s="217" t="str">
        <f t="shared" si="4"/>
        <v/>
      </c>
      <c r="X22" s="217" t="str">
        <f t="shared" si="4"/>
        <v/>
      </c>
      <c r="Y22" s="217" t="str">
        <f t="shared" si="4"/>
        <v>gs_tolerance_left</v>
      </c>
    </row>
    <row r="23" spans="1:25" x14ac:dyDescent="0.3">
      <c r="A23" s="216">
        <f t="shared" si="0"/>
        <v>21</v>
      </c>
      <c r="B23" s="217" t="str">
        <f t="shared" ref="B23:K32" si="5">IF(ISNONTEXT(B$2),IF(B$2="","",IF(INDEX(IMPORT,$A23,B$2)=0,"",IFERROR(VLOOKUP(INDEX(IMPORT,$A23,B$2),ImportTranslation,2,0),INDEX(IMPORT,$A23,B$2)))),B$2)</f>
        <v>x</v>
      </c>
      <c r="C23" s="217" t="str">
        <f t="shared" si="5"/>
        <v/>
      </c>
      <c r="D23" s="217" t="str">
        <f t="shared" si="5"/>
        <v/>
      </c>
      <c r="E23" s="217" t="str">
        <f t="shared" si="5"/>
        <v/>
      </c>
      <c r="F23" s="217" t="str">
        <f t="shared" si="5"/>
        <v/>
      </c>
      <c r="G23" s="217" t="str">
        <f t="shared" si="5"/>
        <v/>
      </c>
      <c r="H23" s="217" t="str">
        <f t="shared" si="5"/>
        <v/>
      </c>
      <c r="I23" s="217" t="str">
        <f t="shared" si="5"/>
        <v/>
      </c>
      <c r="J23" s="217" t="str">
        <f t="shared" si="5"/>
        <v/>
      </c>
      <c r="K23" s="217" t="str">
        <f t="shared" si="5"/>
        <v/>
      </c>
      <c r="L23" s="217" t="str">
        <f t="shared" ref="L23:Y32" si="6">IF(ISNONTEXT(L$2),IF(L$2="","",IF(INDEX(IMPORT,$A23,L$2)=0,"",IFERROR(VLOOKUP(INDEX(IMPORT,$A23,L$2),ImportTranslation,2,0),INDEX(IMPORT,$A23,L$2)))),L$2)</f>
        <v>info</v>
      </c>
      <c r="M23" s="217" t="str">
        <f t="shared" si="6"/>
        <v>x</v>
      </c>
      <c r="N23" s="217" t="str">
        <f t="shared" si="6"/>
        <v/>
      </c>
      <c r="O23" s="217" t="str">
        <f t="shared" si="6"/>
        <v>model</v>
      </c>
      <c r="P23" s="218" t="str">
        <f t="shared" si="6"/>
        <v>Length</v>
      </c>
      <c r="Q23" s="218" t="str">
        <f t="shared" si="6"/>
        <v>x</v>
      </c>
      <c r="R23" s="218" t="str">
        <f t="shared" si="6"/>
        <v>BS</v>
      </c>
      <c r="S23" s="218" t="str">
        <f t="shared" si="6"/>
        <v>all</v>
      </c>
      <c r="T23" s="217" t="str">
        <f t="shared" si="6"/>
        <v/>
      </c>
      <c r="U23" s="217" t="str">
        <f t="shared" si="6"/>
        <v>Einbautoleranz rechts</v>
      </c>
      <c r="V23" s="217" t="str">
        <f t="shared" si="6"/>
        <v>x</v>
      </c>
      <c r="W23" s="217" t="str">
        <f t="shared" si="6"/>
        <v/>
      </c>
      <c r="X23" s="217" t="str">
        <f t="shared" si="6"/>
        <v/>
      </c>
      <c r="Y23" s="217" t="str">
        <f t="shared" si="6"/>
        <v>gs_tolerance_right</v>
      </c>
    </row>
    <row r="24" spans="1:25" x14ac:dyDescent="0.3">
      <c r="A24" s="216">
        <f t="shared" si="0"/>
        <v>22</v>
      </c>
      <c r="B24" s="217" t="str">
        <f t="shared" si="5"/>
        <v>x</v>
      </c>
      <c r="C24" s="217" t="str">
        <f t="shared" si="5"/>
        <v/>
      </c>
      <c r="D24" s="217" t="str">
        <f t="shared" si="5"/>
        <v/>
      </c>
      <c r="E24" s="217" t="str">
        <f t="shared" si="5"/>
        <v/>
      </c>
      <c r="F24" s="217" t="str">
        <f t="shared" si="5"/>
        <v/>
      </c>
      <c r="G24" s="217" t="str">
        <f t="shared" si="5"/>
        <v/>
      </c>
      <c r="H24" s="217" t="str">
        <f t="shared" si="5"/>
        <v/>
      </c>
      <c r="I24" s="217" t="str">
        <f t="shared" si="5"/>
        <v/>
      </c>
      <c r="J24" s="217" t="str">
        <f t="shared" si="5"/>
        <v/>
      </c>
      <c r="K24" s="217" t="str">
        <f t="shared" si="5"/>
        <v/>
      </c>
      <c r="L24" s="217" t="str">
        <f t="shared" si="6"/>
        <v>info</v>
      </c>
      <c r="M24" s="217" t="str">
        <f t="shared" si="6"/>
        <v>x</v>
      </c>
      <c r="N24" s="217" t="str">
        <f t="shared" si="6"/>
        <v/>
      </c>
      <c r="O24" s="217" t="str">
        <f t="shared" si="6"/>
        <v>model</v>
      </c>
      <c r="P24" s="218" t="str">
        <f t="shared" si="6"/>
        <v>Length</v>
      </c>
      <c r="Q24" s="218" t="str">
        <f t="shared" si="6"/>
        <v>x</v>
      </c>
      <c r="R24" s="218" t="str">
        <f t="shared" si="6"/>
        <v>BS</v>
      </c>
      <c r="S24" s="218" t="str">
        <f t="shared" si="6"/>
        <v>all</v>
      </c>
      <c r="T24" s="217" t="str">
        <f t="shared" si="6"/>
        <v/>
      </c>
      <c r="U24" s="217" t="str">
        <f t="shared" si="6"/>
        <v>Einbautoleranz oben</v>
      </c>
      <c r="V24" s="217" t="str">
        <f t="shared" si="6"/>
        <v>x</v>
      </c>
      <c r="W24" s="217" t="str">
        <f t="shared" si="6"/>
        <v/>
      </c>
      <c r="X24" s="217" t="str">
        <f t="shared" si="6"/>
        <v/>
      </c>
      <c r="Y24" s="217" t="str">
        <f t="shared" si="6"/>
        <v>gs_tolerance_upper</v>
      </c>
    </row>
    <row r="25" spans="1:25" x14ac:dyDescent="0.3">
      <c r="A25" s="216">
        <f t="shared" si="0"/>
        <v>23</v>
      </c>
      <c r="B25" s="217" t="str">
        <f t="shared" si="5"/>
        <v>x</v>
      </c>
      <c r="C25" s="217" t="str">
        <f t="shared" si="5"/>
        <v>x</v>
      </c>
      <c r="D25" s="217" t="str">
        <f t="shared" si="5"/>
        <v/>
      </c>
      <c r="E25" s="217" t="str">
        <f t="shared" si="5"/>
        <v/>
      </c>
      <c r="F25" s="217" t="str">
        <f t="shared" si="5"/>
        <v/>
      </c>
      <c r="G25" s="217" t="str">
        <f t="shared" si="5"/>
        <v/>
      </c>
      <c r="H25" s="217" t="str">
        <f t="shared" si="5"/>
        <v/>
      </c>
      <c r="I25" s="217" t="str">
        <f t="shared" si="5"/>
        <v/>
      </c>
      <c r="J25" s="217" t="str">
        <f t="shared" si="5"/>
        <v/>
      </c>
      <c r="K25" s="217" t="str">
        <f t="shared" si="5"/>
        <v/>
      </c>
      <c r="L25" s="217" t="str">
        <f t="shared" si="6"/>
        <v>info</v>
      </c>
      <c r="M25" s="217" t="str">
        <f t="shared" si="6"/>
        <v>x</v>
      </c>
      <c r="N25" s="217" t="str">
        <f t="shared" si="6"/>
        <v/>
      </c>
      <c r="O25" s="217" t="str">
        <f t="shared" si="6"/>
        <v>model</v>
      </c>
      <c r="P25" s="218" t="str">
        <f t="shared" si="6"/>
        <v>Length</v>
      </c>
      <c r="Q25" s="218" t="str">
        <f t="shared" si="6"/>
        <v>x</v>
      </c>
      <c r="R25" s="218" t="str">
        <f t="shared" si="6"/>
        <v>BS</v>
      </c>
      <c r="S25" s="218" t="str">
        <f t="shared" si="6"/>
        <v>all</v>
      </c>
      <c r="T25" s="217" t="str">
        <f t="shared" si="6"/>
        <v/>
      </c>
      <c r="U25" s="217" t="str">
        <f t="shared" si="6"/>
        <v>Einbautoleranz unten</v>
      </c>
      <c r="V25" s="217" t="str">
        <f t="shared" si="6"/>
        <v>x</v>
      </c>
      <c r="W25" s="217" t="str">
        <f t="shared" si="6"/>
        <v/>
      </c>
      <c r="X25" s="217" t="str">
        <f t="shared" si="6"/>
        <v/>
      </c>
      <c r="Y25" s="217" t="str">
        <f t="shared" si="6"/>
        <v>gs_tolerance_lower</v>
      </c>
    </row>
    <row r="26" spans="1:25" x14ac:dyDescent="0.3">
      <c r="A26" s="216">
        <f t="shared" si="0"/>
        <v>24</v>
      </c>
      <c r="B26" s="217" t="str">
        <f t="shared" si="5"/>
        <v>x</v>
      </c>
      <c r="C26" s="217" t="str">
        <f t="shared" si="5"/>
        <v/>
      </c>
      <c r="D26" s="217" t="str">
        <f t="shared" si="5"/>
        <v/>
      </c>
      <c r="E26" s="217" t="str">
        <f t="shared" si="5"/>
        <v/>
      </c>
      <c r="F26" s="217" t="str">
        <f t="shared" si="5"/>
        <v/>
      </c>
      <c r="G26" s="217" t="str">
        <f t="shared" si="5"/>
        <v/>
      </c>
      <c r="H26" s="217" t="str">
        <f t="shared" si="5"/>
        <v/>
      </c>
      <c r="I26" s="217" t="str">
        <f t="shared" si="5"/>
        <v/>
      </c>
      <c r="J26" s="217" t="str">
        <f t="shared" si="5"/>
        <v/>
      </c>
      <c r="K26" s="217" t="str">
        <f t="shared" si="5"/>
        <v/>
      </c>
      <c r="L26" s="217" t="str">
        <f t="shared" si="6"/>
        <v>info</v>
      </c>
      <c r="M26" s="217" t="str">
        <f t="shared" si="6"/>
        <v>x</v>
      </c>
      <c r="N26" s="217" t="str">
        <f t="shared" si="6"/>
        <v/>
      </c>
      <c r="O26" s="217" t="str">
        <f t="shared" si="6"/>
        <v>model</v>
      </c>
      <c r="P26" s="218" t="str">
        <f t="shared" si="6"/>
        <v>Length</v>
      </c>
      <c r="Q26" s="218" t="str">
        <f t="shared" si="6"/>
        <v>x</v>
      </c>
      <c r="R26" s="218" t="str">
        <f t="shared" si="6"/>
        <v>BS</v>
      </c>
      <c r="S26" s="218" t="str">
        <f t="shared" si="6"/>
        <v>all</v>
      </c>
      <c r="T26" s="217" t="str">
        <f t="shared" si="6"/>
        <v/>
      </c>
      <c r="U26" s="217" t="str">
        <f t="shared" si="6"/>
        <v>Toleranz außen links</v>
      </c>
      <c r="V26" s="217" t="str">
        <f t="shared" si="6"/>
        <v>x</v>
      </c>
      <c r="W26" s="217" t="str">
        <f t="shared" si="6"/>
        <v/>
      </c>
      <c r="X26" s="217" t="str">
        <f t="shared" si="6"/>
        <v/>
      </c>
      <c r="Y26" s="217" t="str">
        <f t="shared" si="6"/>
        <v>gs_baurichtmass_outer_left</v>
      </c>
    </row>
    <row r="27" spans="1:25" x14ac:dyDescent="0.3">
      <c r="A27" s="216">
        <f t="shared" si="0"/>
        <v>25</v>
      </c>
      <c r="B27" s="217" t="str">
        <f t="shared" si="5"/>
        <v>x</v>
      </c>
      <c r="C27" s="217" t="str">
        <f t="shared" si="5"/>
        <v/>
      </c>
      <c r="D27" s="217" t="str">
        <f t="shared" si="5"/>
        <v/>
      </c>
      <c r="E27" s="217" t="str">
        <f t="shared" si="5"/>
        <v/>
      </c>
      <c r="F27" s="217" t="str">
        <f t="shared" si="5"/>
        <v/>
      </c>
      <c r="G27" s="217" t="str">
        <f t="shared" si="5"/>
        <v/>
      </c>
      <c r="H27" s="217" t="str">
        <f t="shared" si="5"/>
        <v/>
      </c>
      <c r="I27" s="217" t="str">
        <f t="shared" si="5"/>
        <v/>
      </c>
      <c r="J27" s="217" t="str">
        <f t="shared" si="5"/>
        <v/>
      </c>
      <c r="K27" s="217" t="str">
        <f t="shared" si="5"/>
        <v/>
      </c>
      <c r="L27" s="217" t="str">
        <f t="shared" si="6"/>
        <v>info</v>
      </c>
      <c r="M27" s="217" t="str">
        <f t="shared" si="6"/>
        <v>x</v>
      </c>
      <c r="N27" s="217" t="str">
        <f t="shared" si="6"/>
        <v/>
      </c>
      <c r="O27" s="217" t="str">
        <f t="shared" si="6"/>
        <v>model</v>
      </c>
      <c r="P27" s="218" t="str">
        <f t="shared" si="6"/>
        <v>Length</v>
      </c>
      <c r="Q27" s="218" t="str">
        <f t="shared" si="6"/>
        <v>x</v>
      </c>
      <c r="R27" s="218" t="str">
        <f t="shared" si="6"/>
        <v>BS</v>
      </c>
      <c r="S27" s="218" t="str">
        <f t="shared" si="6"/>
        <v>all</v>
      </c>
      <c r="T27" s="217" t="str">
        <f t="shared" si="6"/>
        <v/>
      </c>
      <c r="U27" s="217" t="str">
        <f t="shared" si="6"/>
        <v>Toleranz innen links</v>
      </c>
      <c r="V27" s="217" t="str">
        <f t="shared" si="6"/>
        <v>x</v>
      </c>
      <c r="W27" s="217" t="str">
        <f t="shared" si="6"/>
        <v/>
      </c>
      <c r="X27" s="217" t="str">
        <f t="shared" si="6"/>
        <v/>
      </c>
      <c r="Y27" s="217" t="str">
        <f t="shared" si="6"/>
        <v>gs_baurichtmass_inner_left</v>
      </c>
    </row>
    <row r="28" spans="1:25" x14ac:dyDescent="0.3">
      <c r="A28" s="216">
        <f t="shared" si="0"/>
        <v>26</v>
      </c>
      <c r="B28" s="217" t="str">
        <f t="shared" si="5"/>
        <v>x</v>
      </c>
      <c r="C28" s="217" t="str">
        <f t="shared" si="5"/>
        <v/>
      </c>
      <c r="D28" s="217" t="str">
        <f t="shared" si="5"/>
        <v/>
      </c>
      <c r="E28" s="217" t="str">
        <f t="shared" si="5"/>
        <v/>
      </c>
      <c r="F28" s="217" t="str">
        <f t="shared" si="5"/>
        <v/>
      </c>
      <c r="G28" s="217" t="str">
        <f t="shared" si="5"/>
        <v/>
      </c>
      <c r="H28" s="217" t="str">
        <f t="shared" si="5"/>
        <v/>
      </c>
      <c r="I28" s="217" t="str">
        <f t="shared" si="5"/>
        <v/>
      </c>
      <c r="J28" s="217" t="str">
        <f t="shared" si="5"/>
        <v/>
      </c>
      <c r="K28" s="217" t="str">
        <f t="shared" si="5"/>
        <v/>
      </c>
      <c r="L28" s="217" t="str">
        <f t="shared" si="6"/>
        <v>info</v>
      </c>
      <c r="M28" s="217" t="str">
        <f t="shared" si="6"/>
        <v>x</v>
      </c>
      <c r="N28" s="217" t="str">
        <f t="shared" si="6"/>
        <v/>
      </c>
      <c r="O28" s="217" t="str">
        <f t="shared" si="6"/>
        <v>model</v>
      </c>
      <c r="P28" s="218" t="str">
        <f t="shared" si="6"/>
        <v>Length</v>
      </c>
      <c r="Q28" s="218" t="str">
        <f t="shared" si="6"/>
        <v>x</v>
      </c>
      <c r="R28" s="218" t="str">
        <f t="shared" si="6"/>
        <v>BS</v>
      </c>
      <c r="S28" s="218" t="str">
        <f t="shared" si="6"/>
        <v>all</v>
      </c>
      <c r="T28" s="217" t="str">
        <f t="shared" si="6"/>
        <v/>
      </c>
      <c r="U28" s="217" t="str">
        <f t="shared" si="6"/>
        <v>Toleranz außen rechts</v>
      </c>
      <c r="V28" s="217" t="str">
        <f t="shared" si="6"/>
        <v>x</v>
      </c>
      <c r="W28" s="217" t="str">
        <f t="shared" si="6"/>
        <v/>
      </c>
      <c r="X28" s="217" t="str">
        <f t="shared" si="6"/>
        <v/>
      </c>
      <c r="Y28" s="217" t="str">
        <f t="shared" si="6"/>
        <v>gs_baurichtmass_outer_right</v>
      </c>
    </row>
    <row r="29" spans="1:25" x14ac:dyDescent="0.3">
      <c r="A29" s="216">
        <f t="shared" si="0"/>
        <v>27</v>
      </c>
      <c r="B29" s="217" t="str">
        <f t="shared" si="5"/>
        <v>x</v>
      </c>
      <c r="C29" s="217" t="str">
        <f t="shared" si="5"/>
        <v/>
      </c>
      <c r="D29" s="217" t="str">
        <f t="shared" si="5"/>
        <v/>
      </c>
      <c r="E29" s="217" t="str">
        <f t="shared" si="5"/>
        <v/>
      </c>
      <c r="F29" s="217" t="str">
        <f t="shared" si="5"/>
        <v/>
      </c>
      <c r="G29" s="217" t="str">
        <f t="shared" si="5"/>
        <v/>
      </c>
      <c r="H29" s="217" t="str">
        <f t="shared" si="5"/>
        <v/>
      </c>
      <c r="I29" s="217" t="str">
        <f t="shared" si="5"/>
        <v/>
      </c>
      <c r="J29" s="217" t="str">
        <f t="shared" si="5"/>
        <v/>
      </c>
      <c r="K29" s="217" t="str">
        <f t="shared" si="5"/>
        <v/>
      </c>
      <c r="L29" s="217" t="str">
        <f t="shared" si="6"/>
        <v>info</v>
      </c>
      <c r="M29" s="217" t="str">
        <f t="shared" si="6"/>
        <v>x</v>
      </c>
      <c r="N29" s="217" t="str">
        <f t="shared" si="6"/>
        <v/>
      </c>
      <c r="O29" s="217" t="str">
        <f t="shared" si="6"/>
        <v>model</v>
      </c>
      <c r="P29" s="218" t="str">
        <f t="shared" si="6"/>
        <v>Length</v>
      </c>
      <c r="Q29" s="218" t="str">
        <f t="shared" si="6"/>
        <v>x</v>
      </c>
      <c r="R29" s="218" t="str">
        <f t="shared" si="6"/>
        <v>BS</v>
      </c>
      <c r="S29" s="218" t="str">
        <f t="shared" si="6"/>
        <v>all</v>
      </c>
      <c r="T29" s="217" t="str">
        <f t="shared" si="6"/>
        <v/>
      </c>
      <c r="U29" s="217" t="str">
        <f t="shared" si="6"/>
        <v>Toleranz innen rechts</v>
      </c>
      <c r="V29" s="217" t="str">
        <f t="shared" si="6"/>
        <v>x</v>
      </c>
      <c r="W29" s="217" t="str">
        <f t="shared" si="6"/>
        <v/>
      </c>
      <c r="X29" s="217" t="str">
        <f t="shared" si="6"/>
        <v/>
      </c>
      <c r="Y29" s="217" t="str">
        <f t="shared" si="6"/>
        <v>gs_baurichtmass_inner_right</v>
      </c>
    </row>
    <row r="30" spans="1:25" x14ac:dyDescent="0.3">
      <c r="A30" s="216">
        <f t="shared" si="0"/>
        <v>28</v>
      </c>
      <c r="B30" s="217" t="str">
        <f t="shared" si="5"/>
        <v>x</v>
      </c>
      <c r="C30" s="217" t="str">
        <f t="shared" si="5"/>
        <v/>
      </c>
      <c r="D30" s="217" t="str">
        <f t="shared" si="5"/>
        <v/>
      </c>
      <c r="E30" s="217" t="str">
        <f t="shared" si="5"/>
        <v/>
      </c>
      <c r="F30" s="217" t="str">
        <f t="shared" si="5"/>
        <v/>
      </c>
      <c r="G30" s="217" t="str">
        <f t="shared" si="5"/>
        <v/>
      </c>
      <c r="H30" s="217" t="str">
        <f t="shared" si="5"/>
        <v/>
      </c>
      <c r="I30" s="217" t="str">
        <f t="shared" si="5"/>
        <v/>
      </c>
      <c r="J30" s="217" t="str">
        <f t="shared" si="5"/>
        <v/>
      </c>
      <c r="K30" s="217" t="str">
        <f t="shared" si="5"/>
        <v/>
      </c>
      <c r="L30" s="217" t="str">
        <f t="shared" si="6"/>
        <v>info</v>
      </c>
      <c r="M30" s="217" t="str">
        <f t="shared" si="6"/>
        <v>x</v>
      </c>
      <c r="N30" s="217" t="str">
        <f t="shared" si="6"/>
        <v/>
      </c>
      <c r="O30" s="217" t="str">
        <f t="shared" si="6"/>
        <v>model</v>
      </c>
      <c r="P30" s="218" t="str">
        <f t="shared" si="6"/>
        <v>Length</v>
      </c>
      <c r="Q30" s="218" t="str">
        <f t="shared" si="6"/>
        <v>x</v>
      </c>
      <c r="R30" s="218" t="str">
        <f t="shared" si="6"/>
        <v>BS</v>
      </c>
      <c r="S30" s="218" t="str">
        <f t="shared" si="6"/>
        <v>all</v>
      </c>
      <c r="T30" s="217" t="str">
        <f t="shared" si="6"/>
        <v/>
      </c>
      <c r="U30" s="217" t="str">
        <f t="shared" si="6"/>
        <v>Toleranz außen oben</v>
      </c>
      <c r="V30" s="217" t="str">
        <f t="shared" si="6"/>
        <v>x</v>
      </c>
      <c r="W30" s="217" t="str">
        <f t="shared" si="6"/>
        <v/>
      </c>
      <c r="X30" s="217" t="str">
        <f t="shared" si="6"/>
        <v/>
      </c>
      <c r="Y30" s="217" t="str">
        <f t="shared" si="6"/>
        <v>gs_baurichtmass_outer_upper</v>
      </c>
    </row>
    <row r="31" spans="1:25" x14ac:dyDescent="0.3">
      <c r="A31" s="216">
        <f t="shared" si="0"/>
        <v>29</v>
      </c>
      <c r="B31" s="217" t="str">
        <f t="shared" si="5"/>
        <v>x</v>
      </c>
      <c r="C31" s="217" t="str">
        <f t="shared" si="5"/>
        <v/>
      </c>
      <c r="D31" s="217" t="str">
        <f t="shared" si="5"/>
        <v/>
      </c>
      <c r="E31" s="217" t="str">
        <f t="shared" si="5"/>
        <v/>
      </c>
      <c r="F31" s="217" t="str">
        <f t="shared" si="5"/>
        <v/>
      </c>
      <c r="G31" s="217" t="str">
        <f t="shared" si="5"/>
        <v/>
      </c>
      <c r="H31" s="217" t="str">
        <f t="shared" si="5"/>
        <v/>
      </c>
      <c r="I31" s="217" t="str">
        <f t="shared" si="5"/>
        <v/>
      </c>
      <c r="J31" s="217" t="str">
        <f t="shared" si="5"/>
        <v/>
      </c>
      <c r="K31" s="217" t="str">
        <f t="shared" si="5"/>
        <v/>
      </c>
      <c r="L31" s="217" t="str">
        <f t="shared" si="6"/>
        <v>info</v>
      </c>
      <c r="M31" s="217" t="str">
        <f t="shared" si="6"/>
        <v>x</v>
      </c>
      <c r="N31" s="217" t="str">
        <f t="shared" si="6"/>
        <v/>
      </c>
      <c r="O31" s="217" t="str">
        <f t="shared" si="6"/>
        <v>model</v>
      </c>
      <c r="P31" s="218" t="str">
        <f t="shared" si="6"/>
        <v>Length</v>
      </c>
      <c r="Q31" s="218" t="str">
        <f t="shared" si="6"/>
        <v>x</v>
      </c>
      <c r="R31" s="218" t="str">
        <f t="shared" si="6"/>
        <v>BS</v>
      </c>
      <c r="S31" s="218" t="str">
        <f t="shared" si="6"/>
        <v>all</v>
      </c>
      <c r="T31" s="217" t="str">
        <f t="shared" si="6"/>
        <v/>
      </c>
      <c r="U31" s="217" t="str">
        <f t="shared" si="6"/>
        <v>Toleranz innen oben</v>
      </c>
      <c r="V31" s="217" t="str">
        <f t="shared" si="6"/>
        <v>x</v>
      </c>
      <c r="W31" s="217" t="str">
        <f t="shared" si="6"/>
        <v/>
      </c>
      <c r="X31" s="217" t="str">
        <f t="shared" si="6"/>
        <v/>
      </c>
      <c r="Y31" s="217" t="str">
        <f t="shared" si="6"/>
        <v>gs_baurichtmass_inner_upper</v>
      </c>
    </row>
    <row r="32" spans="1:25" x14ac:dyDescent="0.3">
      <c r="A32" s="216">
        <f t="shared" si="0"/>
        <v>30</v>
      </c>
      <c r="B32" s="217" t="str">
        <f t="shared" si="5"/>
        <v>x</v>
      </c>
      <c r="C32" s="217" t="str">
        <f t="shared" si="5"/>
        <v>x</v>
      </c>
      <c r="D32" s="217" t="str">
        <f t="shared" si="5"/>
        <v/>
      </c>
      <c r="E32" s="217" t="str">
        <f t="shared" si="5"/>
        <v/>
      </c>
      <c r="F32" s="217" t="str">
        <f t="shared" si="5"/>
        <v/>
      </c>
      <c r="G32" s="217" t="str">
        <f t="shared" si="5"/>
        <v/>
      </c>
      <c r="H32" s="217" t="str">
        <f t="shared" si="5"/>
        <v/>
      </c>
      <c r="I32" s="217" t="str">
        <f t="shared" si="5"/>
        <v/>
      </c>
      <c r="J32" s="217" t="str">
        <f t="shared" si="5"/>
        <v/>
      </c>
      <c r="K32" s="217" t="str">
        <f t="shared" si="5"/>
        <v/>
      </c>
      <c r="L32" s="217" t="str">
        <f t="shared" si="6"/>
        <v>info</v>
      </c>
      <c r="M32" s="217" t="str">
        <f t="shared" si="6"/>
        <v>x</v>
      </c>
      <c r="N32" s="217" t="str">
        <f t="shared" si="6"/>
        <v/>
      </c>
      <c r="O32" s="217" t="str">
        <f t="shared" si="6"/>
        <v>model</v>
      </c>
      <c r="P32" s="218" t="str">
        <f t="shared" si="6"/>
        <v>Length</v>
      </c>
      <c r="Q32" s="218" t="str">
        <f t="shared" si="6"/>
        <v>x</v>
      </c>
      <c r="R32" s="218" t="str">
        <f t="shared" si="6"/>
        <v>BS</v>
      </c>
      <c r="S32" s="218" t="str">
        <f t="shared" si="6"/>
        <v>all</v>
      </c>
      <c r="T32" s="217" t="str">
        <f t="shared" si="6"/>
        <v/>
      </c>
      <c r="U32" s="217" t="str">
        <f t="shared" si="6"/>
        <v>Toleranz außen unten</v>
      </c>
      <c r="V32" s="217" t="str">
        <f t="shared" si="6"/>
        <v>x</v>
      </c>
      <c r="W32" s="217" t="str">
        <f t="shared" si="6"/>
        <v/>
      </c>
      <c r="X32" s="217" t="str">
        <f t="shared" si="6"/>
        <v/>
      </c>
      <c r="Y32" s="217" t="str">
        <f t="shared" si="6"/>
        <v>gs_baurichtmass_outer_lower</v>
      </c>
    </row>
    <row r="33" spans="1:25" x14ac:dyDescent="0.3">
      <c r="A33" s="216">
        <f t="shared" si="0"/>
        <v>31</v>
      </c>
      <c r="B33" s="217" t="str">
        <f t="shared" ref="B33:K42" si="7">IF(ISNONTEXT(B$2),IF(B$2="","",IF(INDEX(IMPORT,$A33,B$2)=0,"",IFERROR(VLOOKUP(INDEX(IMPORT,$A33,B$2),ImportTranslation,2,0),INDEX(IMPORT,$A33,B$2)))),B$2)</f>
        <v>x</v>
      </c>
      <c r="C33" s="217" t="str">
        <f t="shared" si="7"/>
        <v>x</v>
      </c>
      <c r="D33" s="217" t="str">
        <f t="shared" si="7"/>
        <v/>
      </c>
      <c r="E33" s="217" t="str">
        <f t="shared" si="7"/>
        <v/>
      </c>
      <c r="F33" s="217" t="str">
        <f t="shared" si="7"/>
        <v/>
      </c>
      <c r="G33" s="217" t="str">
        <f t="shared" si="7"/>
        <v/>
      </c>
      <c r="H33" s="217" t="str">
        <f t="shared" si="7"/>
        <v/>
      </c>
      <c r="I33" s="217" t="str">
        <f t="shared" si="7"/>
        <v/>
      </c>
      <c r="J33" s="217" t="str">
        <f t="shared" si="7"/>
        <v/>
      </c>
      <c r="K33" s="217" t="str">
        <f t="shared" si="7"/>
        <v/>
      </c>
      <c r="L33" s="217" t="str">
        <f t="shared" ref="L33:Y42" si="8">IF(ISNONTEXT(L$2),IF(L$2="","",IF(INDEX(IMPORT,$A33,L$2)=0,"",IFERROR(VLOOKUP(INDEX(IMPORT,$A33,L$2),ImportTranslation,2,0),INDEX(IMPORT,$A33,L$2)))),L$2)</f>
        <v>info</v>
      </c>
      <c r="M33" s="217" t="str">
        <f t="shared" si="8"/>
        <v>x</v>
      </c>
      <c r="N33" s="217" t="str">
        <f t="shared" si="8"/>
        <v/>
      </c>
      <c r="O33" s="217" t="str">
        <f t="shared" si="8"/>
        <v>model</v>
      </c>
      <c r="P33" s="218" t="str">
        <f t="shared" si="8"/>
        <v>Length</v>
      </c>
      <c r="Q33" s="218" t="str">
        <f t="shared" si="8"/>
        <v>x</v>
      </c>
      <c r="R33" s="218" t="str">
        <f t="shared" si="8"/>
        <v>BS</v>
      </c>
      <c r="S33" s="218" t="str">
        <f t="shared" si="8"/>
        <v>all</v>
      </c>
      <c r="T33" s="217" t="str">
        <f t="shared" si="8"/>
        <v/>
      </c>
      <c r="U33" s="217" t="str">
        <f t="shared" si="8"/>
        <v>Toleranz innen unten</v>
      </c>
      <c r="V33" s="217" t="str">
        <f t="shared" si="8"/>
        <v>x</v>
      </c>
      <c r="W33" s="217" t="str">
        <f t="shared" si="8"/>
        <v/>
      </c>
      <c r="X33" s="217" t="str">
        <f t="shared" si="8"/>
        <v/>
      </c>
      <c r="Y33" s="217" t="str">
        <f t="shared" si="8"/>
        <v>gs_baurichtmass_inner_lower</v>
      </c>
    </row>
    <row r="34" spans="1:25" x14ac:dyDescent="0.3">
      <c r="A34" s="216">
        <f t="shared" si="0"/>
        <v>32</v>
      </c>
      <c r="B34" s="217" t="str">
        <f t="shared" si="7"/>
        <v>x</v>
      </c>
      <c r="C34" s="217" t="str">
        <f t="shared" si="7"/>
        <v/>
      </c>
      <c r="D34" s="217" t="str">
        <f t="shared" si="7"/>
        <v/>
      </c>
      <c r="E34" s="217" t="str">
        <f t="shared" si="7"/>
        <v/>
      </c>
      <c r="F34" s="217" t="str">
        <f t="shared" si="7"/>
        <v/>
      </c>
      <c r="G34" s="217" t="str">
        <f t="shared" si="7"/>
        <v/>
      </c>
      <c r="H34" s="217" t="str">
        <f t="shared" si="7"/>
        <v/>
      </c>
      <c r="I34" s="217" t="str">
        <f t="shared" si="7"/>
        <v/>
      </c>
      <c r="J34" s="217" t="str">
        <f t="shared" si="7"/>
        <v/>
      </c>
      <c r="K34" s="217" t="str">
        <f t="shared" si="7"/>
        <v/>
      </c>
      <c r="L34" s="217" t="str">
        <f t="shared" si="8"/>
        <v>info</v>
      </c>
      <c r="M34" s="217" t="str">
        <f t="shared" si="8"/>
        <v>x</v>
      </c>
      <c r="N34" s="217" t="str">
        <f t="shared" si="8"/>
        <v/>
      </c>
      <c r="O34" s="217" t="str">
        <f t="shared" si="8"/>
        <v>model</v>
      </c>
      <c r="P34" s="218" t="str">
        <f t="shared" si="8"/>
        <v>Length</v>
      </c>
      <c r="Q34" s="218" t="str">
        <f t="shared" si="8"/>
        <v>x</v>
      </c>
      <c r="R34" s="218" t="str">
        <f t="shared" si="8"/>
        <v>BS</v>
      </c>
      <c r="S34" s="218" t="str">
        <f t="shared" si="8"/>
        <v>all</v>
      </c>
      <c r="T34" s="217">
        <f t="shared" si="8"/>
        <v>2.5099999999999998</v>
      </c>
      <c r="U34" s="217" t="str">
        <f t="shared" si="8"/>
        <v>Rohbauöffnung Breite</v>
      </c>
      <c r="V34" s="217" t="str">
        <f t="shared" si="8"/>
        <v>x</v>
      </c>
      <c r="W34" s="217" t="str">
        <f t="shared" si="8"/>
        <v/>
      </c>
      <c r="X34" s="217" t="str">
        <f t="shared" si="8"/>
        <v/>
      </c>
      <c r="Y34" s="217" t="str">
        <f t="shared" si="8"/>
        <v>ac_wallhole_width</v>
      </c>
    </row>
    <row r="35" spans="1:25" x14ac:dyDescent="0.3">
      <c r="A35" s="216">
        <f t="shared" si="0"/>
        <v>33</v>
      </c>
      <c r="B35" s="217" t="str">
        <f t="shared" si="7"/>
        <v>x</v>
      </c>
      <c r="C35" s="217" t="str">
        <f t="shared" si="7"/>
        <v/>
      </c>
      <c r="D35" s="217" t="str">
        <f t="shared" si="7"/>
        <v/>
      </c>
      <c r="E35" s="217" t="str">
        <f t="shared" si="7"/>
        <v/>
      </c>
      <c r="F35" s="217" t="str">
        <f t="shared" si="7"/>
        <v/>
      </c>
      <c r="G35" s="217" t="str">
        <f t="shared" si="7"/>
        <v/>
      </c>
      <c r="H35" s="217" t="str">
        <f t="shared" si="7"/>
        <v/>
      </c>
      <c r="I35" s="217" t="str">
        <f t="shared" si="7"/>
        <v/>
      </c>
      <c r="J35" s="217" t="str">
        <f t="shared" si="7"/>
        <v/>
      </c>
      <c r="K35" s="217" t="str">
        <f t="shared" si="7"/>
        <v/>
      </c>
      <c r="L35" s="217" t="str">
        <f t="shared" si="8"/>
        <v>info</v>
      </c>
      <c r="M35" s="217" t="str">
        <f t="shared" si="8"/>
        <v>x</v>
      </c>
      <c r="N35" s="217" t="str">
        <f t="shared" si="8"/>
        <v/>
      </c>
      <c r="O35" s="217" t="str">
        <f t="shared" si="8"/>
        <v>model</v>
      </c>
      <c r="P35" s="218" t="str">
        <f t="shared" si="8"/>
        <v>Length</v>
      </c>
      <c r="Q35" s="218" t="str">
        <f t="shared" si="8"/>
        <v>x</v>
      </c>
      <c r="R35" s="218" t="str">
        <f t="shared" si="8"/>
        <v>BS</v>
      </c>
      <c r="S35" s="218" t="str">
        <f t="shared" si="8"/>
        <v>all</v>
      </c>
      <c r="T35" s="217">
        <f t="shared" si="8"/>
        <v>2.5099999999999998</v>
      </c>
      <c r="U35" s="217" t="str">
        <f t="shared" si="8"/>
        <v>Rohbauöffnung Höhe</v>
      </c>
      <c r="V35" s="217" t="str">
        <f t="shared" si="8"/>
        <v>x</v>
      </c>
      <c r="W35" s="217" t="str">
        <f t="shared" si="8"/>
        <v/>
      </c>
      <c r="X35" s="217" t="str">
        <f t="shared" si="8"/>
        <v/>
      </c>
      <c r="Y35" s="217" t="str">
        <f t="shared" si="8"/>
        <v>ac_wallhole_height</v>
      </c>
    </row>
    <row r="36" spans="1:25" x14ac:dyDescent="0.3">
      <c r="A36" s="216">
        <f t="shared" si="0"/>
        <v>34</v>
      </c>
      <c r="B36" s="217" t="str">
        <f t="shared" si="7"/>
        <v>x</v>
      </c>
      <c r="C36" s="217" t="str">
        <f t="shared" si="7"/>
        <v>x</v>
      </c>
      <c r="D36" s="217" t="str">
        <f t="shared" si="7"/>
        <v/>
      </c>
      <c r="E36" s="217" t="str">
        <f t="shared" si="7"/>
        <v/>
      </c>
      <c r="F36" s="217" t="str">
        <f t="shared" si="7"/>
        <v/>
      </c>
      <c r="G36" s="217" t="str">
        <f t="shared" si="7"/>
        <v/>
      </c>
      <c r="H36" s="217" t="str">
        <f t="shared" si="7"/>
        <v/>
      </c>
      <c r="I36" s="217" t="str">
        <f t="shared" si="7"/>
        <v/>
      </c>
      <c r="J36" s="217" t="str">
        <f t="shared" si="7"/>
        <v/>
      </c>
      <c r="K36" s="217" t="str">
        <f t="shared" si="7"/>
        <v>x</v>
      </c>
      <c r="L36" s="217" t="str">
        <f t="shared" si="8"/>
        <v>info</v>
      </c>
      <c r="M36" s="217" t="str">
        <f t="shared" si="8"/>
        <v>x</v>
      </c>
      <c r="N36" s="217" t="str">
        <f t="shared" si="8"/>
        <v/>
      </c>
      <c r="O36" s="217" t="str">
        <f t="shared" si="8"/>
        <v>model</v>
      </c>
      <c r="P36" s="218" t="str">
        <f t="shared" si="8"/>
        <v>Length</v>
      </c>
      <c r="Q36" s="218" t="str">
        <f t="shared" si="8"/>
        <v>x</v>
      </c>
      <c r="R36" s="218" t="str">
        <f t="shared" si="8"/>
        <v>BS</v>
      </c>
      <c r="S36" s="218" t="str">
        <f t="shared" si="8"/>
        <v>all</v>
      </c>
      <c r="T36" s="217">
        <f t="shared" si="8"/>
        <v>2.5099999999999998</v>
      </c>
      <c r="U36" s="217" t="str">
        <f t="shared" si="8"/>
        <v>Rohbauöffnung Höhe</v>
      </c>
      <c r="V36" s="217" t="str">
        <f t="shared" si="8"/>
        <v>x</v>
      </c>
      <c r="W36" s="217" t="str">
        <f t="shared" si="8"/>
        <v/>
      </c>
      <c r="X36" s="217" t="str">
        <f t="shared" si="8"/>
        <v/>
      </c>
      <c r="Y36" s="217" t="str">
        <f t="shared" si="8"/>
        <v>ac_wallhole_height_original</v>
      </c>
    </row>
    <row r="37" spans="1:25" x14ac:dyDescent="0.3">
      <c r="A37" s="216">
        <f t="shared" si="0"/>
        <v>35</v>
      </c>
      <c r="B37" s="217" t="str">
        <f t="shared" si="7"/>
        <v>x</v>
      </c>
      <c r="C37" s="217" t="str">
        <f t="shared" si="7"/>
        <v/>
      </c>
      <c r="D37" s="217" t="str">
        <f t="shared" si="7"/>
        <v/>
      </c>
      <c r="E37" s="217" t="str">
        <f t="shared" si="7"/>
        <v/>
      </c>
      <c r="F37" s="217" t="str">
        <f t="shared" si="7"/>
        <v/>
      </c>
      <c r="G37" s="217" t="str">
        <f t="shared" si="7"/>
        <v/>
      </c>
      <c r="H37" s="217" t="str">
        <f t="shared" si="7"/>
        <v/>
      </c>
      <c r="I37" s="217" t="str">
        <f t="shared" si="7"/>
        <v/>
      </c>
      <c r="J37" s="217" t="str">
        <f t="shared" si="7"/>
        <v/>
      </c>
      <c r="K37" s="217" t="str">
        <f t="shared" si="7"/>
        <v/>
      </c>
      <c r="L37" s="217" t="str">
        <f t="shared" si="8"/>
        <v>info</v>
      </c>
      <c r="M37" s="217" t="str">
        <f t="shared" si="8"/>
        <v>x</v>
      </c>
      <c r="N37" s="217" t="str">
        <f t="shared" si="8"/>
        <v/>
      </c>
      <c r="O37" s="217" t="str">
        <f t="shared" si="8"/>
        <v>model</v>
      </c>
      <c r="P37" s="218" t="str">
        <f t="shared" si="8"/>
        <v>Length</v>
      </c>
      <c r="Q37" s="218" t="str">
        <f t="shared" si="8"/>
        <v>x</v>
      </c>
      <c r="R37" s="218" t="str">
        <f t="shared" si="8"/>
        <v>BS</v>
      </c>
      <c r="S37" s="218" t="str">
        <f t="shared" si="8"/>
        <v>all</v>
      </c>
      <c r="T37" s="217">
        <f t="shared" si="8"/>
        <v>2.5099999999999998</v>
      </c>
      <c r="U37" s="217" t="str">
        <f t="shared" si="8"/>
        <v>Architekturlichte Breite</v>
      </c>
      <c r="V37" s="217" t="str">
        <f t="shared" si="8"/>
        <v>x</v>
      </c>
      <c r="W37" s="217" t="str">
        <f t="shared" si="8"/>
        <v/>
      </c>
      <c r="X37" s="217" t="str">
        <f t="shared" si="8"/>
        <v/>
      </c>
      <c r="Y37" s="217" t="str">
        <f t="shared" si="8"/>
        <v>ac_reveal_width</v>
      </c>
    </row>
    <row r="38" spans="1:25" x14ac:dyDescent="0.3">
      <c r="A38" s="216">
        <f t="shared" si="0"/>
        <v>36</v>
      </c>
      <c r="B38" s="217" t="str">
        <f t="shared" si="7"/>
        <v>x</v>
      </c>
      <c r="C38" s="217" t="str">
        <f t="shared" si="7"/>
        <v/>
      </c>
      <c r="D38" s="217" t="str">
        <f t="shared" si="7"/>
        <v/>
      </c>
      <c r="E38" s="217" t="str">
        <f t="shared" si="7"/>
        <v/>
      </c>
      <c r="F38" s="217" t="str">
        <f t="shared" si="7"/>
        <v/>
      </c>
      <c r="G38" s="217" t="str">
        <f t="shared" si="7"/>
        <v/>
      </c>
      <c r="H38" s="217" t="str">
        <f t="shared" si="7"/>
        <v/>
      </c>
      <c r="I38" s="217" t="str">
        <f t="shared" si="7"/>
        <v/>
      </c>
      <c r="J38" s="217" t="str">
        <f t="shared" si="7"/>
        <v/>
      </c>
      <c r="K38" s="217" t="str">
        <f t="shared" si="7"/>
        <v/>
      </c>
      <c r="L38" s="217" t="str">
        <f t="shared" si="8"/>
        <v>info</v>
      </c>
      <c r="M38" s="217" t="str">
        <f t="shared" si="8"/>
        <v>x</v>
      </c>
      <c r="N38" s="217" t="str">
        <f t="shared" si="8"/>
        <v/>
      </c>
      <c r="O38" s="217" t="str">
        <f t="shared" si="8"/>
        <v>model</v>
      </c>
      <c r="P38" s="218" t="str">
        <f t="shared" si="8"/>
        <v>Length</v>
      </c>
      <c r="Q38" s="218" t="str">
        <f t="shared" si="8"/>
        <v>x</v>
      </c>
      <c r="R38" s="218" t="str">
        <f t="shared" si="8"/>
        <v>BS</v>
      </c>
      <c r="S38" s="218" t="str">
        <f t="shared" si="8"/>
        <v>all</v>
      </c>
      <c r="T38" s="217">
        <f t="shared" si="8"/>
        <v>2.5099999999999998</v>
      </c>
      <c r="U38" s="217" t="str">
        <f t="shared" si="8"/>
        <v>Architekturlichte Höhe</v>
      </c>
      <c r="V38" s="217" t="str">
        <f t="shared" si="8"/>
        <v>x</v>
      </c>
      <c r="W38" s="217" t="str">
        <f t="shared" si="8"/>
        <v/>
      </c>
      <c r="X38" s="217" t="str">
        <f t="shared" si="8"/>
        <v/>
      </c>
      <c r="Y38" s="217" t="str">
        <f t="shared" si="8"/>
        <v>ac_reveal_height</v>
      </c>
    </row>
    <row r="39" spans="1:25" x14ac:dyDescent="0.3">
      <c r="A39" s="216">
        <f t="shared" si="0"/>
        <v>37</v>
      </c>
      <c r="B39" s="217" t="str">
        <f t="shared" si="7"/>
        <v>x</v>
      </c>
      <c r="C39" s="217" t="str">
        <f t="shared" si="7"/>
        <v>x</v>
      </c>
      <c r="D39" s="217" t="str">
        <f t="shared" si="7"/>
        <v/>
      </c>
      <c r="E39" s="217" t="str">
        <f t="shared" si="7"/>
        <v/>
      </c>
      <c r="F39" s="217" t="str">
        <f t="shared" si="7"/>
        <v/>
      </c>
      <c r="G39" s="217" t="str">
        <f t="shared" si="7"/>
        <v/>
      </c>
      <c r="H39" s="217" t="str">
        <f t="shared" si="7"/>
        <v/>
      </c>
      <c r="I39" s="217" t="str">
        <f t="shared" si="7"/>
        <v/>
      </c>
      <c r="J39" s="217" t="str">
        <f t="shared" si="7"/>
        <v/>
      </c>
      <c r="K39" s="217" t="str">
        <f t="shared" si="7"/>
        <v>x</v>
      </c>
      <c r="L39" s="217" t="str">
        <f t="shared" si="8"/>
        <v>info</v>
      </c>
      <c r="M39" s="217" t="str">
        <f t="shared" si="8"/>
        <v>x</v>
      </c>
      <c r="N39" s="217" t="str">
        <f t="shared" si="8"/>
        <v/>
      </c>
      <c r="O39" s="217" t="str">
        <f t="shared" si="8"/>
        <v>model</v>
      </c>
      <c r="P39" s="218" t="str">
        <f t="shared" si="8"/>
        <v>Length</v>
      </c>
      <c r="Q39" s="218" t="str">
        <f t="shared" si="8"/>
        <v>x</v>
      </c>
      <c r="R39" s="218" t="str">
        <f t="shared" si="8"/>
        <v>BS</v>
      </c>
      <c r="S39" s="218" t="str">
        <f t="shared" si="8"/>
        <v>all</v>
      </c>
      <c r="T39" s="217">
        <f t="shared" si="8"/>
        <v>2.5099999999999998</v>
      </c>
      <c r="U39" s="217" t="str">
        <f t="shared" si="8"/>
        <v>Architekturlichte Höhe</v>
      </c>
      <c r="V39" s="217" t="str">
        <f t="shared" si="8"/>
        <v>x</v>
      </c>
      <c r="W39" s="217" t="str">
        <f t="shared" si="8"/>
        <v/>
      </c>
      <c r="X39" s="217" t="str">
        <f t="shared" si="8"/>
        <v/>
      </c>
      <c r="Y39" s="217" t="str">
        <f t="shared" si="8"/>
        <v>ac_reveal_height_original</v>
      </c>
    </row>
    <row r="40" spans="1:25" x14ac:dyDescent="0.3">
      <c r="A40" s="216">
        <f t="shared" si="0"/>
        <v>38</v>
      </c>
      <c r="B40" s="217" t="str">
        <f t="shared" si="7"/>
        <v>x</v>
      </c>
      <c r="C40" s="217" t="str">
        <f t="shared" si="7"/>
        <v/>
      </c>
      <c r="D40" s="217" t="str">
        <f t="shared" si="7"/>
        <v/>
      </c>
      <c r="E40" s="217" t="str">
        <f t="shared" si="7"/>
        <v/>
      </c>
      <c r="F40" s="217" t="str">
        <f t="shared" si="7"/>
        <v/>
      </c>
      <c r="G40" s="217" t="str">
        <f t="shared" si="7"/>
        <v/>
      </c>
      <c r="H40" s="217" t="str">
        <f t="shared" si="7"/>
        <v/>
      </c>
      <c r="I40" s="217" t="str">
        <f t="shared" si="7"/>
        <v/>
      </c>
      <c r="J40" s="217" t="str">
        <f t="shared" si="7"/>
        <v/>
      </c>
      <c r="K40" s="217" t="str">
        <f t="shared" si="7"/>
        <v/>
      </c>
      <c r="L40" s="217" t="str">
        <f t="shared" si="8"/>
        <v>info</v>
      </c>
      <c r="M40" s="217" t="str">
        <f t="shared" si="8"/>
        <v>x</v>
      </c>
      <c r="N40" s="217" t="str">
        <f t="shared" si="8"/>
        <v/>
      </c>
      <c r="O40" s="217" t="str">
        <f t="shared" si="8"/>
        <v>model</v>
      </c>
      <c r="P40" s="218" t="str">
        <f t="shared" si="8"/>
        <v>Length</v>
      </c>
      <c r="Q40" s="218" t="str">
        <f t="shared" si="8"/>
        <v>x</v>
      </c>
      <c r="R40" s="218" t="str">
        <f t="shared" si="8"/>
        <v>BS</v>
      </c>
      <c r="S40" s="218" t="str">
        <f t="shared" si="8"/>
        <v>all</v>
      </c>
      <c r="T40" s="217">
        <f t="shared" si="8"/>
        <v>2.5099999999999998</v>
      </c>
      <c r="U40" s="217" t="str">
        <f t="shared" si="8"/>
        <v>Rahmen Breite</v>
      </c>
      <c r="V40" s="217" t="str">
        <f t="shared" si="8"/>
        <v>x</v>
      </c>
      <c r="W40" s="217" t="str">
        <f t="shared" si="8"/>
        <v/>
      </c>
      <c r="X40" s="217" t="str">
        <f t="shared" si="8"/>
        <v/>
      </c>
      <c r="Y40" s="217" t="str">
        <f t="shared" si="8"/>
        <v>ac_unit_width</v>
      </c>
    </row>
    <row r="41" spans="1:25" x14ac:dyDescent="0.3">
      <c r="A41" s="216">
        <f t="shared" si="0"/>
        <v>39</v>
      </c>
      <c r="B41" s="217" t="str">
        <f t="shared" si="7"/>
        <v>x</v>
      </c>
      <c r="C41" s="217" t="str">
        <f t="shared" si="7"/>
        <v/>
      </c>
      <c r="D41" s="217" t="str">
        <f t="shared" si="7"/>
        <v/>
      </c>
      <c r="E41" s="217" t="str">
        <f t="shared" si="7"/>
        <v/>
      </c>
      <c r="F41" s="217" t="str">
        <f t="shared" si="7"/>
        <v/>
      </c>
      <c r="G41" s="217" t="str">
        <f t="shared" si="7"/>
        <v/>
      </c>
      <c r="H41" s="217" t="str">
        <f t="shared" si="7"/>
        <v/>
      </c>
      <c r="I41" s="217" t="str">
        <f t="shared" si="7"/>
        <v/>
      </c>
      <c r="J41" s="217" t="str">
        <f t="shared" si="7"/>
        <v/>
      </c>
      <c r="K41" s="217" t="str">
        <f t="shared" si="7"/>
        <v/>
      </c>
      <c r="L41" s="217" t="str">
        <f t="shared" si="8"/>
        <v>info</v>
      </c>
      <c r="M41" s="217" t="str">
        <f t="shared" si="8"/>
        <v>x</v>
      </c>
      <c r="N41" s="217" t="str">
        <f t="shared" si="8"/>
        <v/>
      </c>
      <c r="O41" s="217" t="str">
        <f t="shared" si="8"/>
        <v>model</v>
      </c>
      <c r="P41" s="218" t="str">
        <f t="shared" si="8"/>
        <v>Length</v>
      </c>
      <c r="Q41" s="218" t="str">
        <f t="shared" si="8"/>
        <v>x</v>
      </c>
      <c r="R41" s="218" t="str">
        <f t="shared" si="8"/>
        <v>BS</v>
      </c>
      <c r="S41" s="218" t="str">
        <f t="shared" si="8"/>
        <v>all</v>
      </c>
      <c r="T41" s="217">
        <f t="shared" si="8"/>
        <v>2.5099999999999998</v>
      </c>
      <c r="U41" s="217" t="str">
        <f t="shared" si="8"/>
        <v>Rahmen Höhe</v>
      </c>
      <c r="V41" s="217" t="str">
        <f t="shared" si="8"/>
        <v>x</v>
      </c>
      <c r="W41" s="217" t="str">
        <f t="shared" si="8"/>
        <v/>
      </c>
      <c r="X41" s="217" t="str">
        <f t="shared" si="8"/>
        <v/>
      </c>
      <c r="Y41" s="217" t="str">
        <f t="shared" si="8"/>
        <v>ac_unit_height</v>
      </c>
    </row>
    <row r="42" spans="1:25" x14ac:dyDescent="0.3">
      <c r="A42" s="216">
        <f t="shared" si="0"/>
        <v>40</v>
      </c>
      <c r="B42" s="217" t="str">
        <f t="shared" si="7"/>
        <v>x</v>
      </c>
      <c r="C42" s="217" t="str">
        <f t="shared" si="7"/>
        <v/>
      </c>
      <c r="D42" s="217" t="str">
        <f t="shared" si="7"/>
        <v/>
      </c>
      <c r="E42" s="217" t="str">
        <f t="shared" si="7"/>
        <v/>
      </c>
      <c r="F42" s="217" t="str">
        <f t="shared" si="7"/>
        <v/>
      </c>
      <c r="G42" s="217" t="str">
        <f t="shared" si="7"/>
        <v/>
      </c>
      <c r="H42" s="217" t="str">
        <f t="shared" si="7"/>
        <v/>
      </c>
      <c r="I42" s="217" t="str">
        <f t="shared" si="7"/>
        <v/>
      </c>
      <c r="J42" s="217" t="str">
        <f t="shared" si="7"/>
        <v/>
      </c>
      <c r="K42" s="217" t="str">
        <f t="shared" si="7"/>
        <v>x</v>
      </c>
      <c r="L42" s="217" t="str">
        <f t="shared" si="8"/>
        <v>info</v>
      </c>
      <c r="M42" s="217" t="str">
        <f t="shared" si="8"/>
        <v>x</v>
      </c>
      <c r="N42" s="217" t="str">
        <f t="shared" si="8"/>
        <v/>
      </c>
      <c r="O42" s="217" t="str">
        <f t="shared" si="8"/>
        <v>model</v>
      </c>
      <c r="P42" s="218" t="str">
        <f t="shared" si="8"/>
        <v>Length</v>
      </c>
      <c r="Q42" s="218" t="str">
        <f t="shared" si="8"/>
        <v>x</v>
      </c>
      <c r="R42" s="218" t="str">
        <f t="shared" si="8"/>
        <v>BS</v>
      </c>
      <c r="S42" s="218" t="str">
        <f t="shared" si="8"/>
        <v>all</v>
      </c>
      <c r="T42" s="217">
        <f t="shared" si="8"/>
        <v>2.5099999999999998</v>
      </c>
      <c r="U42" s="217" t="str">
        <f t="shared" si="8"/>
        <v>Breite Baurichtmaß</v>
      </c>
      <c r="V42" s="217" t="str">
        <f t="shared" si="8"/>
        <v>x</v>
      </c>
      <c r="W42" s="217" t="str">
        <f t="shared" si="8"/>
        <v/>
      </c>
      <c r="X42" s="217" t="str">
        <f t="shared" si="8"/>
        <v/>
      </c>
      <c r="Y42" s="217" t="str">
        <f t="shared" si="8"/>
        <v>ac_baurichtmass_width</v>
      </c>
    </row>
    <row r="43" spans="1:25" x14ac:dyDescent="0.3">
      <c r="A43" s="216">
        <f t="shared" si="0"/>
        <v>41</v>
      </c>
      <c r="B43" s="217" t="str">
        <f t="shared" ref="B43:K52" si="9">IF(ISNONTEXT(B$2),IF(B$2="","",IF(INDEX(IMPORT,$A43,B$2)=0,"",IFERROR(VLOOKUP(INDEX(IMPORT,$A43,B$2),ImportTranslation,2,0),INDEX(IMPORT,$A43,B$2)))),B$2)</f>
        <v>x</v>
      </c>
      <c r="C43" s="217" t="str">
        <f t="shared" si="9"/>
        <v/>
      </c>
      <c r="D43" s="217" t="str">
        <f t="shared" si="9"/>
        <v/>
      </c>
      <c r="E43" s="217" t="str">
        <f t="shared" si="9"/>
        <v/>
      </c>
      <c r="F43" s="217" t="str">
        <f t="shared" si="9"/>
        <v/>
      </c>
      <c r="G43" s="217" t="str">
        <f t="shared" si="9"/>
        <v/>
      </c>
      <c r="H43" s="217" t="str">
        <f t="shared" si="9"/>
        <v/>
      </c>
      <c r="I43" s="217" t="str">
        <f t="shared" si="9"/>
        <v/>
      </c>
      <c r="J43" s="217" t="str">
        <f t="shared" si="9"/>
        <v/>
      </c>
      <c r="K43" s="217" t="str">
        <f t="shared" si="9"/>
        <v>x</v>
      </c>
      <c r="L43" s="217" t="str">
        <f t="shared" ref="L43:Y52" si="10">IF(ISNONTEXT(L$2),IF(L$2="","",IF(INDEX(IMPORT,$A43,L$2)=0,"",IFERROR(VLOOKUP(INDEX(IMPORT,$A43,L$2),ImportTranslation,2,0),INDEX(IMPORT,$A43,L$2)))),L$2)</f>
        <v>info</v>
      </c>
      <c r="M43" s="217" t="str">
        <f t="shared" si="10"/>
        <v>x</v>
      </c>
      <c r="N43" s="217" t="str">
        <f t="shared" si="10"/>
        <v/>
      </c>
      <c r="O43" s="217" t="str">
        <f t="shared" si="10"/>
        <v>model</v>
      </c>
      <c r="P43" s="218" t="str">
        <f t="shared" si="10"/>
        <v>Length</v>
      </c>
      <c r="Q43" s="218" t="str">
        <f t="shared" si="10"/>
        <v>x</v>
      </c>
      <c r="R43" s="218" t="str">
        <f t="shared" si="10"/>
        <v>BS</v>
      </c>
      <c r="S43" s="218" t="str">
        <f t="shared" si="10"/>
        <v>all</v>
      </c>
      <c r="T43" s="217">
        <f t="shared" si="10"/>
        <v>2.5099999999999998</v>
      </c>
      <c r="U43" s="217" t="str">
        <f t="shared" si="10"/>
        <v>Höhe Baurichtmaß</v>
      </c>
      <c r="V43" s="217" t="str">
        <f t="shared" si="10"/>
        <v>x</v>
      </c>
      <c r="W43" s="217" t="str">
        <f t="shared" si="10"/>
        <v/>
      </c>
      <c r="X43" s="217" t="str">
        <f t="shared" si="10"/>
        <v/>
      </c>
      <c r="Y43" s="217" t="str">
        <f t="shared" si="10"/>
        <v>ac_baurichtmass_height</v>
      </c>
    </row>
    <row r="44" spans="1:25" x14ac:dyDescent="0.3">
      <c r="A44" s="216">
        <f t="shared" si="0"/>
        <v>42</v>
      </c>
      <c r="B44" s="217" t="str">
        <f t="shared" si="9"/>
        <v>x</v>
      </c>
      <c r="C44" s="217" t="str">
        <f t="shared" si="9"/>
        <v/>
      </c>
      <c r="D44" s="217" t="str">
        <f t="shared" si="9"/>
        <v/>
      </c>
      <c r="E44" s="217" t="str">
        <f t="shared" si="9"/>
        <v/>
      </c>
      <c r="F44" s="217" t="str">
        <f t="shared" si="9"/>
        <v/>
      </c>
      <c r="G44" s="217" t="str">
        <f t="shared" si="9"/>
        <v/>
      </c>
      <c r="H44" s="217" t="str">
        <f t="shared" si="9"/>
        <v/>
      </c>
      <c r="I44" s="217" t="str">
        <f t="shared" si="9"/>
        <v/>
      </c>
      <c r="J44" s="217" t="str">
        <f t="shared" si="9"/>
        <v/>
      </c>
      <c r="K44" s="217" t="str">
        <f t="shared" si="9"/>
        <v/>
      </c>
      <c r="L44" s="217" t="str">
        <f t="shared" si="10"/>
        <v>info</v>
      </c>
      <c r="M44" s="217" t="str">
        <f t="shared" si="10"/>
        <v>x</v>
      </c>
      <c r="N44" s="217" t="str">
        <f t="shared" si="10"/>
        <v/>
      </c>
      <c r="O44" s="217" t="str">
        <f t="shared" si="10"/>
        <v>model</v>
      </c>
      <c r="P44" s="218" t="str">
        <f t="shared" si="10"/>
        <v>Length</v>
      </c>
      <c r="Q44" s="218" t="str">
        <f t="shared" si="10"/>
        <v>x</v>
      </c>
      <c r="R44" s="218" t="str">
        <f t="shared" si="10"/>
        <v>BS</v>
      </c>
      <c r="S44" s="218" t="str">
        <f t="shared" si="10"/>
        <v>all</v>
      </c>
      <c r="T44" s="217">
        <f t="shared" si="10"/>
        <v>1.3</v>
      </c>
      <c r="U44" s="217" t="str">
        <f t="shared" si="10"/>
        <v>Durchgangslichte Breite</v>
      </c>
      <c r="V44" s="217" t="str">
        <f t="shared" si="10"/>
        <v>x</v>
      </c>
      <c r="W44" s="217" t="str">
        <f t="shared" si="10"/>
        <v/>
      </c>
      <c r="X44" s="217" t="str">
        <f t="shared" si="10"/>
        <v/>
      </c>
      <c r="Y44" s="217" t="str">
        <f t="shared" si="10"/>
        <v>ac_egress_width</v>
      </c>
    </row>
    <row r="45" spans="1:25" x14ac:dyDescent="0.3">
      <c r="A45" s="216">
        <f t="shared" si="0"/>
        <v>43</v>
      </c>
      <c r="B45" s="217" t="str">
        <f t="shared" si="9"/>
        <v>x</v>
      </c>
      <c r="C45" s="217" t="str">
        <f t="shared" si="9"/>
        <v/>
      </c>
      <c r="D45" s="217" t="str">
        <f t="shared" si="9"/>
        <v/>
      </c>
      <c r="E45" s="217" t="str">
        <f t="shared" si="9"/>
        <v/>
      </c>
      <c r="F45" s="217" t="str">
        <f t="shared" si="9"/>
        <v/>
      </c>
      <c r="G45" s="217" t="str">
        <f t="shared" si="9"/>
        <v/>
      </c>
      <c r="H45" s="217" t="str">
        <f t="shared" si="9"/>
        <v/>
      </c>
      <c r="I45" s="217" t="str">
        <f t="shared" si="9"/>
        <v/>
      </c>
      <c r="J45" s="217" t="str">
        <f t="shared" si="9"/>
        <v/>
      </c>
      <c r="K45" s="217" t="str">
        <f t="shared" si="9"/>
        <v/>
      </c>
      <c r="L45" s="217" t="str">
        <f t="shared" si="10"/>
        <v>info</v>
      </c>
      <c r="M45" s="217" t="str">
        <f t="shared" si="10"/>
        <v>x</v>
      </c>
      <c r="N45" s="217" t="str">
        <f t="shared" si="10"/>
        <v/>
      </c>
      <c r="O45" s="217" t="str">
        <f t="shared" si="10"/>
        <v>model</v>
      </c>
      <c r="P45" s="218" t="str">
        <f t="shared" si="10"/>
        <v>Length</v>
      </c>
      <c r="Q45" s="218" t="str">
        <f t="shared" si="10"/>
        <v>x</v>
      </c>
      <c r="R45" s="218" t="str">
        <f t="shared" si="10"/>
        <v>BS</v>
      </c>
      <c r="S45" s="218" t="str">
        <f t="shared" si="10"/>
        <v>all</v>
      </c>
      <c r="T45" s="217">
        <f t="shared" si="10"/>
        <v>2.0099999999999998</v>
      </c>
      <c r="U45" s="217" t="str">
        <f t="shared" si="10"/>
        <v>Durchgangslichte Höhe</v>
      </c>
      <c r="V45" s="217" t="str">
        <f t="shared" si="10"/>
        <v>x</v>
      </c>
      <c r="W45" s="217" t="str">
        <f t="shared" si="10"/>
        <v/>
      </c>
      <c r="X45" s="217" t="str">
        <f t="shared" si="10"/>
        <v/>
      </c>
      <c r="Y45" s="217" t="str">
        <f t="shared" si="10"/>
        <v>ac_egress_height</v>
      </c>
    </row>
    <row r="46" spans="1:25" x14ac:dyDescent="0.3">
      <c r="A46" s="216">
        <f t="shared" si="0"/>
        <v>44</v>
      </c>
      <c r="B46" s="217" t="str">
        <f t="shared" si="9"/>
        <v>x</v>
      </c>
      <c r="C46" s="217" t="str">
        <f t="shared" si="9"/>
        <v/>
      </c>
      <c r="D46" s="217" t="str">
        <f t="shared" si="9"/>
        <v/>
      </c>
      <c r="E46" s="217" t="str">
        <f t="shared" si="9"/>
        <v/>
      </c>
      <c r="F46" s="217" t="str">
        <f t="shared" si="9"/>
        <v/>
      </c>
      <c r="G46" s="217" t="str">
        <f t="shared" si="9"/>
        <v/>
      </c>
      <c r="H46" s="217" t="str">
        <f t="shared" si="9"/>
        <v/>
      </c>
      <c r="I46" s="217" t="str">
        <f t="shared" si="9"/>
        <v/>
      </c>
      <c r="J46" s="217" t="str">
        <f t="shared" si="9"/>
        <v/>
      </c>
      <c r="K46" s="217" t="str">
        <f t="shared" si="9"/>
        <v/>
      </c>
      <c r="L46" s="217" t="str">
        <f t="shared" si="10"/>
        <v>info</v>
      </c>
      <c r="M46" s="217" t="str">
        <f t="shared" si="10"/>
        <v>x</v>
      </c>
      <c r="N46" s="217" t="str">
        <f t="shared" si="10"/>
        <v/>
      </c>
      <c r="O46" s="217" t="str">
        <f t="shared" si="10"/>
        <v>model</v>
      </c>
      <c r="P46" s="218" t="str">
        <f t="shared" si="10"/>
        <v>Length</v>
      </c>
      <c r="Q46" s="218" t="str">
        <f t="shared" si="10"/>
        <v>x</v>
      </c>
      <c r="R46" s="218" t="str">
        <f t="shared" si="10"/>
        <v>BS</v>
      </c>
      <c r="S46" s="218" t="str">
        <f t="shared" si="10"/>
        <v>all</v>
      </c>
      <c r="T46" s="217">
        <f t="shared" si="10"/>
        <v>1.33</v>
      </c>
      <c r="U46" s="217" t="str">
        <f t="shared" si="10"/>
        <v>Türblatt Breite</v>
      </c>
      <c r="V46" s="217" t="str">
        <f t="shared" si="10"/>
        <v>x</v>
      </c>
      <c r="W46" s="217" t="str">
        <f t="shared" si="10"/>
        <v/>
      </c>
      <c r="X46" s="217" t="str">
        <f t="shared" si="10"/>
        <v/>
      </c>
      <c r="Y46" s="217" t="str">
        <f t="shared" si="10"/>
        <v>ac_leaf_width</v>
      </c>
    </row>
    <row r="47" spans="1:25" x14ac:dyDescent="0.3">
      <c r="A47" s="216">
        <f t="shared" si="0"/>
        <v>45</v>
      </c>
      <c r="B47" s="217" t="str">
        <f t="shared" si="9"/>
        <v>x</v>
      </c>
      <c r="C47" s="217" t="str">
        <f t="shared" si="9"/>
        <v/>
      </c>
      <c r="D47" s="217" t="str">
        <f t="shared" si="9"/>
        <v/>
      </c>
      <c r="E47" s="217" t="str">
        <f t="shared" si="9"/>
        <v/>
      </c>
      <c r="F47" s="217" t="str">
        <f t="shared" si="9"/>
        <v/>
      </c>
      <c r="G47" s="217" t="str">
        <f t="shared" si="9"/>
        <v/>
      </c>
      <c r="H47" s="217" t="str">
        <f t="shared" si="9"/>
        <v/>
      </c>
      <c r="I47" s="217" t="str">
        <f t="shared" si="9"/>
        <v/>
      </c>
      <c r="J47" s="217" t="str">
        <f t="shared" si="9"/>
        <v/>
      </c>
      <c r="K47" s="217" t="str">
        <f t="shared" si="9"/>
        <v/>
      </c>
      <c r="L47" s="217" t="str">
        <f t="shared" si="10"/>
        <v>info</v>
      </c>
      <c r="M47" s="217" t="str">
        <f t="shared" si="10"/>
        <v>x</v>
      </c>
      <c r="N47" s="217" t="str">
        <f t="shared" si="10"/>
        <v/>
      </c>
      <c r="O47" s="217" t="str">
        <f t="shared" si="10"/>
        <v>model</v>
      </c>
      <c r="P47" s="218" t="str">
        <f t="shared" si="10"/>
        <v>Length</v>
      </c>
      <c r="Q47" s="218" t="str">
        <f t="shared" si="10"/>
        <v>x</v>
      </c>
      <c r="R47" s="218" t="str">
        <f t="shared" si="10"/>
        <v>BS</v>
      </c>
      <c r="S47" s="218" t="str">
        <f t="shared" si="10"/>
        <v>all</v>
      </c>
      <c r="T47" s="217">
        <f t="shared" si="10"/>
        <v>2.02</v>
      </c>
      <c r="U47" s="217" t="str">
        <f t="shared" si="10"/>
        <v>Türblatt Höhe</v>
      </c>
      <c r="V47" s="217" t="str">
        <f t="shared" si="10"/>
        <v>x</v>
      </c>
      <c r="W47" s="217" t="str">
        <f t="shared" si="10"/>
        <v/>
      </c>
      <c r="X47" s="217" t="str">
        <f t="shared" si="10"/>
        <v/>
      </c>
      <c r="Y47" s="217" t="str">
        <f t="shared" si="10"/>
        <v>ac_leaf_height</v>
      </c>
    </row>
    <row r="48" spans="1:25" x14ac:dyDescent="0.3">
      <c r="A48" s="216">
        <f t="shared" si="0"/>
        <v>46</v>
      </c>
      <c r="B48" s="217" t="str">
        <f t="shared" si="9"/>
        <v>x</v>
      </c>
      <c r="C48" s="217" t="str">
        <f t="shared" si="9"/>
        <v>x</v>
      </c>
      <c r="D48" s="217" t="str">
        <f t="shared" si="9"/>
        <v/>
      </c>
      <c r="E48" s="217" t="str">
        <f t="shared" si="9"/>
        <v/>
      </c>
      <c r="F48" s="217" t="str">
        <f t="shared" si="9"/>
        <v/>
      </c>
      <c r="G48" s="217" t="str">
        <f t="shared" si="9"/>
        <v/>
      </c>
      <c r="H48" s="217" t="str">
        <f t="shared" si="9"/>
        <v/>
      </c>
      <c r="I48" s="217" t="str">
        <f t="shared" si="9"/>
        <v/>
      </c>
      <c r="J48" s="217" t="str">
        <f t="shared" si="9"/>
        <v/>
      </c>
      <c r="K48" s="217" t="str">
        <f t="shared" si="9"/>
        <v/>
      </c>
      <c r="L48" s="217" t="str">
        <f t="shared" si="10"/>
        <v>info</v>
      </c>
      <c r="M48" s="217" t="str">
        <f t="shared" si="10"/>
        <v>x</v>
      </c>
      <c r="N48" s="217" t="str">
        <f t="shared" si="10"/>
        <v/>
      </c>
      <c r="O48" s="217" t="str">
        <f t="shared" si="10"/>
        <v>model</v>
      </c>
      <c r="P48" s="218" t="str">
        <f t="shared" si="10"/>
        <v>Integer</v>
      </c>
      <c r="Q48" s="218" t="str">
        <f t="shared" si="10"/>
        <v>x</v>
      </c>
      <c r="R48" s="218" t="str">
        <f t="shared" si="10"/>
        <v>BS</v>
      </c>
      <c r="S48" s="218" t="str">
        <f t="shared" si="10"/>
        <v>all</v>
      </c>
      <c r="T48" s="217" t="str">
        <f t="shared" si="10"/>
        <v/>
      </c>
      <c r="U48" s="217" t="str">
        <f t="shared" si="10"/>
        <v>Nominalmaß</v>
      </c>
      <c r="V48" s="217" t="str">
        <f t="shared" si="10"/>
        <v>x</v>
      </c>
      <c r="W48" s="217" t="str">
        <f t="shared" si="10"/>
        <v/>
      </c>
      <c r="X48" s="217" t="str">
        <f t="shared" si="10"/>
        <v/>
      </c>
      <c r="Y48" s="217" t="str">
        <f t="shared" si="10"/>
        <v>gs_nominal_size</v>
      </c>
    </row>
    <row r="49" spans="1:25" x14ac:dyDescent="0.3">
      <c r="A49" s="216">
        <f t="shared" si="0"/>
        <v>47</v>
      </c>
      <c r="B49" s="217" t="str">
        <f t="shared" si="9"/>
        <v>x</v>
      </c>
      <c r="C49" s="217" t="str">
        <f t="shared" si="9"/>
        <v/>
      </c>
      <c r="D49" s="217" t="str">
        <f t="shared" si="9"/>
        <v/>
      </c>
      <c r="E49" s="217" t="str">
        <f t="shared" si="9"/>
        <v/>
      </c>
      <c r="F49" s="217" t="str">
        <f t="shared" si="9"/>
        <v/>
      </c>
      <c r="G49" s="217" t="str">
        <f t="shared" si="9"/>
        <v/>
      </c>
      <c r="H49" s="217" t="str">
        <f t="shared" si="9"/>
        <v/>
      </c>
      <c r="I49" s="217" t="str">
        <f t="shared" si="9"/>
        <v/>
      </c>
      <c r="J49" s="217" t="str">
        <f t="shared" si="9"/>
        <v/>
      </c>
      <c r="K49" s="217" t="str">
        <f t="shared" si="9"/>
        <v/>
      </c>
      <c r="L49" s="217" t="str">
        <f t="shared" si="10"/>
        <v>info</v>
      </c>
      <c r="M49" s="217" t="str">
        <f t="shared" si="10"/>
        <v>x</v>
      </c>
      <c r="N49" s="217" t="str">
        <f t="shared" si="10"/>
        <v/>
      </c>
      <c r="O49" s="217" t="str">
        <f t="shared" si="10"/>
        <v>model</v>
      </c>
      <c r="P49" s="218" t="str">
        <f t="shared" si="10"/>
        <v>Boolean</v>
      </c>
      <c r="Q49" s="218" t="str">
        <f t="shared" si="10"/>
        <v>x</v>
      </c>
      <c r="R49" s="218" t="str">
        <f t="shared" si="10"/>
        <v>BS</v>
      </c>
      <c r="S49" s="218" t="str">
        <f t="shared" si="10"/>
        <v>all</v>
      </c>
      <c r="T49" s="217" t="str">
        <f t="shared" si="10"/>
        <v/>
      </c>
      <c r="U49" s="217" t="str">
        <f t="shared" si="10"/>
        <v>Rohbauöffnung als Nominalmaß einstellen</v>
      </c>
      <c r="V49" s="217" t="str">
        <f t="shared" si="10"/>
        <v>x</v>
      </c>
      <c r="W49" s="217" t="str">
        <f t="shared" si="10"/>
        <v/>
      </c>
      <c r="X49" s="217" t="str">
        <f t="shared" si="10"/>
        <v/>
      </c>
      <c r="Y49" s="217" t="str">
        <f t="shared" si="10"/>
        <v>gs_wallhole_nominal</v>
      </c>
    </row>
    <row r="50" spans="1:25" x14ac:dyDescent="0.3">
      <c r="A50" s="216">
        <f t="shared" si="0"/>
        <v>48</v>
      </c>
      <c r="B50" s="217" t="str">
        <f t="shared" si="9"/>
        <v>x</v>
      </c>
      <c r="C50" s="217" t="str">
        <f t="shared" si="9"/>
        <v/>
      </c>
      <c r="D50" s="217" t="str">
        <f t="shared" si="9"/>
        <v/>
      </c>
      <c r="E50" s="217" t="str">
        <f t="shared" si="9"/>
        <v/>
      </c>
      <c r="F50" s="217" t="str">
        <f t="shared" si="9"/>
        <v/>
      </c>
      <c r="G50" s="217" t="str">
        <f t="shared" si="9"/>
        <v/>
      </c>
      <c r="H50" s="217" t="str">
        <f t="shared" si="9"/>
        <v/>
      </c>
      <c r="I50" s="217" t="str">
        <f t="shared" si="9"/>
        <v/>
      </c>
      <c r="J50" s="217" t="str">
        <f t="shared" si="9"/>
        <v/>
      </c>
      <c r="K50" s="217" t="str">
        <f t="shared" si="9"/>
        <v/>
      </c>
      <c r="L50" s="217" t="str">
        <f t="shared" si="10"/>
        <v>info</v>
      </c>
      <c r="M50" s="217" t="str">
        <f t="shared" si="10"/>
        <v>x</v>
      </c>
      <c r="N50" s="217" t="str">
        <f t="shared" si="10"/>
        <v/>
      </c>
      <c r="O50" s="217" t="str">
        <f t="shared" si="10"/>
        <v>model</v>
      </c>
      <c r="P50" s="218" t="str">
        <f t="shared" si="10"/>
        <v>Boolean</v>
      </c>
      <c r="Q50" s="218" t="str">
        <f t="shared" si="10"/>
        <v>x</v>
      </c>
      <c r="R50" s="218" t="str">
        <f t="shared" si="10"/>
        <v>BS</v>
      </c>
      <c r="S50" s="218" t="str">
        <f t="shared" si="10"/>
        <v>all</v>
      </c>
      <c r="T50" s="217">
        <f t="shared" si="10"/>
        <v>1</v>
      </c>
      <c r="U50" s="217" t="str">
        <f t="shared" si="10"/>
        <v>Architekturlichte als Nominalmaß einstellen</v>
      </c>
      <c r="V50" s="217" t="str">
        <f t="shared" si="10"/>
        <v>x</v>
      </c>
      <c r="W50" s="217" t="str">
        <f t="shared" si="10"/>
        <v/>
      </c>
      <c r="X50" s="217" t="str">
        <f t="shared" si="10"/>
        <v/>
      </c>
      <c r="Y50" s="217" t="str">
        <f t="shared" si="10"/>
        <v>gs_reveal_nominal</v>
      </c>
    </row>
    <row r="51" spans="1:25" x14ac:dyDescent="0.3">
      <c r="A51" s="216">
        <f t="shared" si="0"/>
        <v>49</v>
      </c>
      <c r="B51" s="217" t="str">
        <f t="shared" si="9"/>
        <v>x</v>
      </c>
      <c r="C51" s="217" t="str">
        <f t="shared" si="9"/>
        <v/>
      </c>
      <c r="D51" s="217" t="str">
        <f t="shared" si="9"/>
        <v/>
      </c>
      <c r="E51" s="217" t="str">
        <f t="shared" si="9"/>
        <v/>
      </c>
      <c r="F51" s="217" t="str">
        <f t="shared" si="9"/>
        <v/>
      </c>
      <c r="G51" s="217" t="str">
        <f t="shared" si="9"/>
        <v/>
      </c>
      <c r="H51" s="217" t="str">
        <f t="shared" si="9"/>
        <v/>
      </c>
      <c r="I51" s="217" t="str">
        <f t="shared" si="9"/>
        <v/>
      </c>
      <c r="J51" s="217" t="str">
        <f t="shared" si="9"/>
        <v/>
      </c>
      <c r="K51" s="217" t="str">
        <f t="shared" si="9"/>
        <v/>
      </c>
      <c r="L51" s="217" t="str">
        <f t="shared" si="10"/>
        <v>info</v>
      </c>
      <c r="M51" s="217" t="str">
        <f t="shared" si="10"/>
        <v>x</v>
      </c>
      <c r="N51" s="217" t="str">
        <f t="shared" si="10"/>
        <v/>
      </c>
      <c r="O51" s="217" t="str">
        <f t="shared" si="10"/>
        <v>model</v>
      </c>
      <c r="P51" s="218" t="str">
        <f t="shared" si="10"/>
        <v>Boolean</v>
      </c>
      <c r="Q51" s="218" t="str">
        <f t="shared" si="10"/>
        <v>x</v>
      </c>
      <c r="R51" s="218" t="str">
        <f t="shared" si="10"/>
        <v>BS</v>
      </c>
      <c r="S51" s="218" t="str">
        <f t="shared" si="10"/>
        <v>all</v>
      </c>
      <c r="T51" s="217" t="str">
        <f t="shared" si="10"/>
        <v/>
      </c>
      <c r="U51" s="217" t="str">
        <f t="shared" si="10"/>
        <v>Rahmen-Außenmaß als Nominalmaß einstellen</v>
      </c>
      <c r="V51" s="217" t="str">
        <f t="shared" si="10"/>
        <v>x</v>
      </c>
      <c r="W51" s="217" t="str">
        <f t="shared" si="10"/>
        <v/>
      </c>
      <c r="X51" s="217" t="str">
        <f t="shared" si="10"/>
        <v/>
      </c>
      <c r="Y51" s="217" t="str">
        <f t="shared" si="10"/>
        <v>gs_unit_nominal</v>
      </c>
    </row>
    <row r="52" spans="1:25" x14ac:dyDescent="0.3">
      <c r="A52" s="216">
        <f t="shared" si="0"/>
        <v>50</v>
      </c>
      <c r="B52" s="217" t="str">
        <f t="shared" si="9"/>
        <v>x</v>
      </c>
      <c r="C52" s="217" t="str">
        <f t="shared" si="9"/>
        <v/>
      </c>
      <c r="D52" s="217" t="str">
        <f t="shared" si="9"/>
        <v/>
      </c>
      <c r="E52" s="217" t="str">
        <f t="shared" si="9"/>
        <v/>
      </c>
      <c r="F52" s="217" t="str">
        <f t="shared" si="9"/>
        <v/>
      </c>
      <c r="G52" s="217" t="str">
        <f t="shared" si="9"/>
        <v/>
      </c>
      <c r="H52" s="217" t="str">
        <f t="shared" si="9"/>
        <v/>
      </c>
      <c r="I52" s="217" t="str">
        <f t="shared" si="9"/>
        <v/>
      </c>
      <c r="J52" s="217" t="str">
        <f t="shared" si="9"/>
        <v/>
      </c>
      <c r="K52" s="217" t="str">
        <f t="shared" si="9"/>
        <v/>
      </c>
      <c r="L52" s="217" t="str">
        <f t="shared" si="10"/>
        <v>info</v>
      </c>
      <c r="M52" s="217" t="str">
        <f t="shared" si="10"/>
        <v>x</v>
      </c>
      <c r="N52" s="217" t="str">
        <f t="shared" si="10"/>
        <v/>
      </c>
      <c r="O52" s="217" t="str">
        <f t="shared" si="10"/>
        <v>model</v>
      </c>
      <c r="P52" s="218" t="str">
        <f t="shared" si="10"/>
        <v>Boolean</v>
      </c>
      <c r="Q52" s="218" t="str">
        <f t="shared" si="10"/>
        <v>x</v>
      </c>
      <c r="R52" s="218" t="str">
        <f t="shared" si="10"/>
        <v>BS</v>
      </c>
      <c r="S52" s="218" t="str">
        <f t="shared" si="10"/>
        <v>all</v>
      </c>
      <c r="T52" s="217" t="str">
        <f t="shared" si="10"/>
        <v/>
      </c>
      <c r="U52" s="217" t="str">
        <f t="shared" si="10"/>
        <v>Baurichtmaß als Nominalmaß einstellen</v>
      </c>
      <c r="V52" s="217" t="str">
        <f t="shared" si="10"/>
        <v>x</v>
      </c>
      <c r="W52" s="217" t="str">
        <f t="shared" si="10"/>
        <v/>
      </c>
      <c r="X52" s="217" t="str">
        <f t="shared" si="10"/>
        <v/>
      </c>
      <c r="Y52" s="217" t="str">
        <f t="shared" si="10"/>
        <v>gs_baurichtmass_nominal</v>
      </c>
    </row>
    <row r="53" spans="1:25" x14ac:dyDescent="0.3">
      <c r="A53" s="216">
        <f t="shared" si="0"/>
        <v>51</v>
      </c>
      <c r="B53" s="217" t="str">
        <f t="shared" ref="B53:K62" si="11">IF(ISNONTEXT(B$2),IF(B$2="","",IF(INDEX(IMPORT,$A53,B$2)=0,"",IFERROR(VLOOKUP(INDEX(IMPORT,$A53,B$2),ImportTranslation,2,0),INDEX(IMPORT,$A53,B$2)))),B$2)</f>
        <v>x</v>
      </c>
      <c r="C53" s="217" t="str">
        <f t="shared" si="11"/>
        <v/>
      </c>
      <c r="D53" s="217" t="str">
        <f t="shared" si="11"/>
        <v/>
      </c>
      <c r="E53" s="217" t="str">
        <f t="shared" si="11"/>
        <v/>
      </c>
      <c r="F53" s="217" t="str">
        <f t="shared" si="11"/>
        <v/>
      </c>
      <c r="G53" s="217" t="str">
        <f t="shared" si="11"/>
        <v/>
      </c>
      <c r="H53" s="217" t="str">
        <f t="shared" si="11"/>
        <v/>
      </c>
      <c r="I53" s="217" t="str">
        <f t="shared" si="11"/>
        <v/>
      </c>
      <c r="J53" s="217" t="str">
        <f t="shared" si="11"/>
        <v/>
      </c>
      <c r="K53" s="217" t="str">
        <f t="shared" si="11"/>
        <v/>
      </c>
      <c r="L53" s="217" t="str">
        <f t="shared" ref="L53:Y62" si="12">IF(ISNONTEXT(L$2),IF(L$2="","",IF(INDEX(IMPORT,$A53,L$2)=0,"",IFERROR(VLOOKUP(INDEX(IMPORT,$A53,L$2),ImportTranslation,2,0),INDEX(IMPORT,$A53,L$2)))),L$2)</f>
        <v>info</v>
      </c>
      <c r="M53" s="217" t="str">
        <f t="shared" si="12"/>
        <v>x</v>
      </c>
      <c r="N53" s="217" t="str">
        <f t="shared" si="12"/>
        <v/>
      </c>
      <c r="O53" s="217" t="str">
        <f t="shared" si="12"/>
        <v>model</v>
      </c>
      <c r="P53" s="218" t="str">
        <f t="shared" si="12"/>
        <v>Boolean</v>
      </c>
      <c r="Q53" s="218" t="str">
        <f t="shared" si="12"/>
        <v>x</v>
      </c>
      <c r="R53" s="218" t="str">
        <f t="shared" si="12"/>
        <v>BS</v>
      </c>
      <c r="S53" s="218" t="str">
        <f t="shared" si="12"/>
        <v>all</v>
      </c>
      <c r="T53" s="217" t="str">
        <f t="shared" si="12"/>
        <v/>
      </c>
      <c r="U53" s="217" t="str">
        <f t="shared" si="12"/>
        <v>Freies Öffnungsmaß als Nominalmaß einstellen</v>
      </c>
      <c r="V53" s="217" t="str">
        <f t="shared" si="12"/>
        <v>x</v>
      </c>
      <c r="W53" s="217" t="str">
        <f t="shared" si="12"/>
        <v/>
      </c>
      <c r="X53" s="217" t="str">
        <f t="shared" si="12"/>
        <v/>
      </c>
      <c r="Y53" s="217" t="str">
        <f t="shared" si="12"/>
        <v>gs_egress_nominal</v>
      </c>
    </row>
    <row r="54" spans="1:25" x14ac:dyDescent="0.3">
      <c r="A54" s="216">
        <f t="shared" si="0"/>
        <v>52</v>
      </c>
      <c r="B54" s="217" t="str">
        <f t="shared" si="11"/>
        <v>x</v>
      </c>
      <c r="C54" s="217" t="str">
        <f t="shared" si="11"/>
        <v/>
      </c>
      <c r="D54" s="217" t="str">
        <f t="shared" si="11"/>
        <v/>
      </c>
      <c r="E54" s="217" t="str">
        <f t="shared" si="11"/>
        <v/>
      </c>
      <c r="F54" s="217" t="str">
        <f t="shared" si="11"/>
        <v/>
      </c>
      <c r="G54" s="217" t="str">
        <f t="shared" si="11"/>
        <v/>
      </c>
      <c r="H54" s="217" t="str">
        <f t="shared" si="11"/>
        <v/>
      </c>
      <c r="I54" s="217" t="str">
        <f t="shared" si="11"/>
        <v/>
      </c>
      <c r="J54" s="217" t="str">
        <f t="shared" si="11"/>
        <v/>
      </c>
      <c r="K54" s="217" t="str">
        <f t="shared" si="11"/>
        <v/>
      </c>
      <c r="L54" s="217" t="str">
        <f t="shared" si="12"/>
        <v>info</v>
      </c>
      <c r="M54" s="217" t="str">
        <f t="shared" si="12"/>
        <v>x</v>
      </c>
      <c r="N54" s="217" t="str">
        <f t="shared" si="12"/>
        <v/>
      </c>
      <c r="O54" s="217" t="str">
        <f t="shared" si="12"/>
        <v>model</v>
      </c>
      <c r="P54" s="218" t="str">
        <f t="shared" si="12"/>
        <v>Boolean</v>
      </c>
      <c r="Q54" s="218" t="str">
        <f t="shared" si="12"/>
        <v>x</v>
      </c>
      <c r="R54" s="218" t="str">
        <f t="shared" si="12"/>
        <v>BS</v>
      </c>
      <c r="S54" s="218" t="str">
        <f t="shared" si="12"/>
        <v>all</v>
      </c>
      <c r="T54" s="217" t="str">
        <f t="shared" si="12"/>
        <v/>
      </c>
      <c r="U54" s="217" t="str">
        <f t="shared" si="12"/>
        <v>Türblattmaß als Nominalmaß einstellen</v>
      </c>
      <c r="V54" s="217" t="str">
        <f t="shared" si="12"/>
        <v>x</v>
      </c>
      <c r="W54" s="217" t="str">
        <f t="shared" si="12"/>
        <v/>
      </c>
      <c r="X54" s="217" t="str">
        <f t="shared" si="12"/>
        <v/>
      </c>
      <c r="Y54" s="217" t="str">
        <f t="shared" si="12"/>
        <v>gs_leaf_nominal</v>
      </c>
    </row>
    <row r="55" spans="1:25" x14ac:dyDescent="0.3">
      <c r="A55" s="216">
        <f t="shared" si="0"/>
        <v>53</v>
      </c>
      <c r="B55" s="217" t="str">
        <f t="shared" si="11"/>
        <v>x</v>
      </c>
      <c r="C55" s="217" t="str">
        <f t="shared" si="11"/>
        <v/>
      </c>
      <c r="D55" s="217" t="str">
        <f t="shared" si="11"/>
        <v/>
      </c>
      <c r="E55" s="217" t="str">
        <f t="shared" si="11"/>
        <v/>
      </c>
      <c r="F55" s="217" t="str">
        <f t="shared" si="11"/>
        <v/>
      </c>
      <c r="G55" s="217" t="str">
        <f t="shared" si="11"/>
        <v/>
      </c>
      <c r="H55" s="217" t="str">
        <f t="shared" si="11"/>
        <v/>
      </c>
      <c r="I55" s="217" t="str">
        <f t="shared" si="11"/>
        <v/>
      </c>
      <c r="J55" s="217" t="str">
        <f t="shared" si="11"/>
        <v/>
      </c>
      <c r="K55" s="217" t="str">
        <f t="shared" si="11"/>
        <v/>
      </c>
      <c r="L55" s="217" t="str">
        <f t="shared" si="12"/>
        <v>info</v>
      </c>
      <c r="M55" s="217" t="str">
        <f t="shared" si="12"/>
        <v>x</v>
      </c>
      <c r="N55" s="217" t="str">
        <f t="shared" si="12"/>
        <v/>
      </c>
      <c r="O55" s="217" t="str">
        <f t="shared" si="12"/>
        <v>model</v>
      </c>
      <c r="P55" s="218" t="str">
        <f t="shared" si="12"/>
        <v>Boolean</v>
      </c>
      <c r="Q55" s="218" t="str">
        <f t="shared" si="12"/>
        <v>x</v>
      </c>
      <c r="R55" s="218" t="str">
        <f t="shared" si="12"/>
        <v>BS</v>
      </c>
      <c r="S55" s="218" t="str">
        <f t="shared" si="12"/>
        <v>all</v>
      </c>
      <c r="T55" s="217">
        <f t="shared" si="12"/>
        <v>1</v>
      </c>
      <c r="U55" s="217" t="str">
        <f t="shared" si="12"/>
        <v>Übertrage aktuelle Nominal Größe auf die Auswahl</v>
      </c>
      <c r="V55" s="217" t="str">
        <f t="shared" si="12"/>
        <v>x</v>
      </c>
      <c r="W55" s="217" t="str">
        <f t="shared" si="12"/>
        <v/>
      </c>
      <c r="X55" s="217" t="str">
        <f t="shared" si="12"/>
        <v/>
      </c>
      <c r="Y55" s="217" t="str">
        <f t="shared" si="12"/>
        <v>gs_retain_nominal_sizes</v>
      </c>
    </row>
    <row r="56" spans="1:25" x14ac:dyDescent="0.3">
      <c r="A56" s="216">
        <f t="shared" si="0"/>
        <v>54</v>
      </c>
      <c r="B56" s="217" t="str">
        <f t="shared" si="11"/>
        <v>x</v>
      </c>
      <c r="C56" s="217" t="str">
        <f t="shared" si="11"/>
        <v/>
      </c>
      <c r="D56" s="217" t="str">
        <f t="shared" si="11"/>
        <v/>
      </c>
      <c r="E56" s="217" t="str">
        <f t="shared" si="11"/>
        <v/>
      </c>
      <c r="F56" s="217" t="str">
        <f t="shared" si="11"/>
        <v/>
      </c>
      <c r="G56" s="217" t="str">
        <f t="shared" si="11"/>
        <v/>
      </c>
      <c r="H56" s="217" t="str">
        <f t="shared" si="11"/>
        <v/>
      </c>
      <c r="I56" s="217" t="str">
        <f t="shared" si="11"/>
        <v/>
      </c>
      <c r="J56" s="217" t="str">
        <f t="shared" si="11"/>
        <v/>
      </c>
      <c r="K56" s="217" t="str">
        <f t="shared" si="11"/>
        <v/>
      </c>
      <c r="L56" s="217" t="str">
        <f t="shared" si="12"/>
        <v>info</v>
      </c>
      <c r="M56" s="217" t="str">
        <f t="shared" si="12"/>
        <v/>
      </c>
      <c r="N56" s="217" t="str">
        <f t="shared" si="12"/>
        <v/>
      </c>
      <c r="O56" s="217" t="str">
        <f t="shared" si="12"/>
        <v>model</v>
      </c>
      <c r="P56" s="218" t="str">
        <f t="shared" si="12"/>
        <v>Title</v>
      </c>
      <c r="Q56" s="218" t="str">
        <f t="shared" si="12"/>
        <v>x</v>
      </c>
      <c r="R56" s="218" t="str">
        <f t="shared" si="12"/>
        <v>BS</v>
      </c>
      <c r="S56" s="218" t="str">
        <f t="shared" si="12"/>
        <v>all</v>
      </c>
      <c r="T56" s="217" t="str">
        <f t="shared" si="12"/>
        <v/>
      </c>
      <c r="U56" s="217" t="str">
        <f t="shared" si="12"/>
        <v>Türblatt Einstellungen</v>
      </c>
      <c r="V56" s="217" t="str">
        <f t="shared" si="12"/>
        <v/>
      </c>
      <c r="W56" s="217" t="str">
        <f t="shared" si="12"/>
        <v/>
      </c>
      <c r="X56" s="217" t="str">
        <f t="shared" si="12"/>
        <v/>
      </c>
      <c r="Y56" s="217" t="str">
        <f t="shared" si="12"/>
        <v>gs_door_panel</v>
      </c>
    </row>
    <row r="57" spans="1:25" x14ac:dyDescent="0.3">
      <c r="A57" s="216">
        <f t="shared" si="0"/>
        <v>55</v>
      </c>
      <c r="B57" s="217" t="str">
        <f t="shared" si="11"/>
        <v/>
      </c>
      <c r="C57" s="217" t="str">
        <f t="shared" si="11"/>
        <v/>
      </c>
      <c r="D57" s="217" t="str">
        <f t="shared" si="11"/>
        <v/>
      </c>
      <c r="E57" s="217" t="str">
        <f t="shared" si="11"/>
        <v/>
      </c>
      <c r="F57" s="217" t="str">
        <f t="shared" si="11"/>
        <v/>
      </c>
      <c r="G57" s="217" t="str">
        <f t="shared" si="11"/>
        <v/>
      </c>
      <c r="H57" s="217" t="str">
        <f t="shared" si="11"/>
        <v/>
      </c>
      <c r="I57" s="217" t="str">
        <f t="shared" si="11"/>
        <v/>
      </c>
      <c r="J57" s="217" t="str">
        <f t="shared" si="11"/>
        <v/>
      </c>
      <c r="K57" s="217" t="str">
        <f t="shared" si="11"/>
        <v/>
      </c>
      <c r="L57" s="217" t="str">
        <f t="shared" si="12"/>
        <v>info</v>
      </c>
      <c r="M57" s="217" t="str">
        <f t="shared" si="12"/>
        <v>x</v>
      </c>
      <c r="N57" s="217" t="str">
        <f t="shared" si="12"/>
        <v/>
      </c>
      <c r="O57" s="217" t="str">
        <f t="shared" si="12"/>
        <v>model</v>
      </c>
      <c r="P57" s="218" t="str">
        <f t="shared" si="12"/>
        <v>Boolean</v>
      </c>
      <c r="Q57" s="218" t="str">
        <f t="shared" si="12"/>
        <v>x</v>
      </c>
      <c r="R57" s="218" t="str">
        <f t="shared" si="12"/>
        <v>BS</v>
      </c>
      <c r="S57" s="218" t="str">
        <f t="shared" si="12"/>
        <v>all</v>
      </c>
      <c r="T57" s="217" t="str">
        <f t="shared" si="12"/>
        <v/>
      </c>
      <c r="U57" s="217" t="str">
        <f t="shared" si="12"/>
        <v>Einheitliche Panele pro Blatt 1</v>
      </c>
      <c r="V57" s="217" t="str">
        <f t="shared" si="12"/>
        <v>x</v>
      </c>
      <c r="W57" s="217" t="str">
        <f t="shared" si="12"/>
        <v/>
      </c>
      <c r="X57" s="217" t="str">
        <f t="shared" si="12"/>
        <v/>
      </c>
      <c r="Y57" s="217" t="str">
        <f t="shared" si="12"/>
        <v>bUniformPanels1</v>
      </c>
    </row>
    <row r="58" spans="1:25" x14ac:dyDescent="0.3">
      <c r="A58" s="216">
        <f t="shared" si="0"/>
        <v>56</v>
      </c>
      <c r="B58" s="217" t="str">
        <f t="shared" si="11"/>
        <v/>
      </c>
      <c r="C58" s="217" t="str">
        <f t="shared" si="11"/>
        <v/>
      </c>
      <c r="D58" s="217" t="str">
        <f t="shared" si="11"/>
        <v/>
      </c>
      <c r="E58" s="217" t="str">
        <f t="shared" si="11"/>
        <v/>
      </c>
      <c r="F58" s="217" t="str">
        <f t="shared" si="11"/>
        <v/>
      </c>
      <c r="G58" s="217" t="str">
        <f t="shared" si="11"/>
        <v/>
      </c>
      <c r="H58" s="217" t="str">
        <f t="shared" si="11"/>
        <v/>
      </c>
      <c r="I58" s="217" t="str">
        <f t="shared" si="11"/>
        <v/>
      </c>
      <c r="J58" s="217" t="str">
        <f t="shared" si="11"/>
        <v/>
      </c>
      <c r="K58" s="217" t="str">
        <f t="shared" si="11"/>
        <v/>
      </c>
      <c r="L58" s="217" t="str">
        <f t="shared" si="12"/>
        <v>info</v>
      </c>
      <c r="M58" s="217" t="str">
        <f t="shared" si="12"/>
        <v>x</v>
      </c>
      <c r="N58" s="217" t="str">
        <f t="shared" si="12"/>
        <v/>
      </c>
      <c r="O58" s="217" t="str">
        <f t="shared" si="12"/>
        <v>model</v>
      </c>
      <c r="P58" s="218" t="str">
        <f t="shared" si="12"/>
        <v>Boolean</v>
      </c>
      <c r="Q58" s="218" t="str">
        <f t="shared" si="12"/>
        <v>x</v>
      </c>
      <c r="R58" s="218" t="str">
        <f t="shared" si="12"/>
        <v>BS</v>
      </c>
      <c r="S58" s="218" t="str">
        <f t="shared" si="12"/>
        <v>all</v>
      </c>
      <c r="T58" s="217" t="str">
        <f t="shared" si="12"/>
        <v/>
      </c>
      <c r="U58" s="217" t="str">
        <f t="shared" si="12"/>
        <v>Einheitliche Panele pro Blatt 2</v>
      </c>
      <c r="V58" s="217" t="str">
        <f t="shared" si="12"/>
        <v>x</v>
      </c>
      <c r="W58" s="217" t="str">
        <f t="shared" si="12"/>
        <v/>
      </c>
      <c r="X58" s="217" t="str">
        <f t="shared" si="12"/>
        <v/>
      </c>
      <c r="Y58" s="217" t="str">
        <f t="shared" si="12"/>
        <v>bUniformPanels2</v>
      </c>
    </row>
    <row r="59" spans="1:25" x14ac:dyDescent="0.3">
      <c r="A59" s="216">
        <f t="shared" si="0"/>
        <v>57</v>
      </c>
      <c r="B59" s="217" t="str">
        <f t="shared" si="11"/>
        <v>x</v>
      </c>
      <c r="C59" s="217" t="str">
        <f t="shared" si="11"/>
        <v/>
      </c>
      <c r="D59" s="217" t="str">
        <f t="shared" si="11"/>
        <v/>
      </c>
      <c r="E59" s="217" t="str">
        <f t="shared" si="11"/>
        <v/>
      </c>
      <c r="F59" s="217" t="str">
        <f t="shared" si="11"/>
        <v/>
      </c>
      <c r="G59" s="217" t="str">
        <f t="shared" si="11"/>
        <v/>
      </c>
      <c r="H59" s="217" t="str">
        <f t="shared" si="11"/>
        <v/>
      </c>
      <c r="I59" s="217" t="str">
        <f t="shared" si="11"/>
        <v/>
      </c>
      <c r="J59" s="217" t="str">
        <f t="shared" si="11"/>
        <v/>
      </c>
      <c r="K59" s="217" t="str">
        <f t="shared" si="11"/>
        <v/>
      </c>
      <c r="L59" s="217" t="str">
        <f t="shared" si="12"/>
        <v>info</v>
      </c>
      <c r="M59" s="217" t="str">
        <f t="shared" si="12"/>
        <v>x</v>
      </c>
      <c r="N59" s="217" t="str">
        <f t="shared" si="12"/>
        <v/>
      </c>
      <c r="O59" s="217" t="str">
        <f t="shared" si="12"/>
        <v>model</v>
      </c>
      <c r="P59" s="218" t="str">
        <f t="shared" si="12"/>
        <v>Integer</v>
      </c>
      <c r="Q59" s="218" t="str">
        <f t="shared" si="12"/>
        <v>x</v>
      </c>
      <c r="R59" s="218" t="str">
        <f t="shared" si="12"/>
        <v>BS</v>
      </c>
      <c r="S59" s="218" t="str">
        <f t="shared" si="12"/>
        <v>all</v>
      </c>
      <c r="T59" s="217">
        <f t="shared" si="12"/>
        <v>1</v>
      </c>
      <c r="U59" s="217" t="str">
        <f t="shared" si="12"/>
        <v>Türblatt</v>
      </c>
      <c r="V59" s="217" t="str">
        <f t="shared" si="12"/>
        <v>x</v>
      </c>
      <c r="W59" s="217" t="str">
        <f t="shared" si="12"/>
        <v/>
      </c>
      <c r="X59" s="217" t="str">
        <f t="shared" si="12"/>
        <v/>
      </c>
      <c r="Y59" s="217" t="str">
        <f t="shared" si="12"/>
        <v>iDoorPanelType</v>
      </c>
    </row>
    <row r="60" spans="1:25" x14ac:dyDescent="0.3">
      <c r="A60" s="216">
        <f t="shared" si="0"/>
        <v>58</v>
      </c>
      <c r="B60" s="217" t="str">
        <f t="shared" si="11"/>
        <v/>
      </c>
      <c r="C60" s="217" t="str">
        <f t="shared" si="11"/>
        <v/>
      </c>
      <c r="D60" s="217" t="str">
        <f t="shared" si="11"/>
        <v/>
      </c>
      <c r="E60" s="217" t="str">
        <f t="shared" si="11"/>
        <v/>
      </c>
      <c r="F60" s="217" t="str">
        <f t="shared" si="11"/>
        <v/>
      </c>
      <c r="G60" s="217" t="str">
        <f t="shared" si="11"/>
        <v/>
      </c>
      <c r="H60" s="217" t="str">
        <f t="shared" si="11"/>
        <v/>
      </c>
      <c r="I60" s="217" t="str">
        <f t="shared" si="11"/>
        <v/>
      </c>
      <c r="J60" s="217" t="str">
        <f t="shared" si="11"/>
        <v/>
      </c>
      <c r="K60" s="217" t="str">
        <f t="shared" si="11"/>
        <v/>
      </c>
      <c r="L60" s="217" t="str">
        <f t="shared" si="12"/>
        <v>info</v>
      </c>
      <c r="M60" s="217" t="str">
        <f t="shared" si="12"/>
        <v>x</v>
      </c>
      <c r="N60" s="217" t="str">
        <f t="shared" si="12"/>
        <v/>
      </c>
      <c r="O60" s="217" t="str">
        <f t="shared" si="12"/>
        <v>model</v>
      </c>
      <c r="P60" s="218" t="str">
        <f t="shared" si="12"/>
        <v>Integer</v>
      </c>
      <c r="Q60" s="218" t="str">
        <f t="shared" si="12"/>
        <v>x</v>
      </c>
      <c r="R60" s="218" t="str">
        <f t="shared" si="12"/>
        <v>BS</v>
      </c>
      <c r="S60" s="218" t="str">
        <f t="shared" si="12"/>
        <v>all</v>
      </c>
      <c r="T60" s="217">
        <f t="shared" si="12"/>
        <v>1</v>
      </c>
      <c r="U60" s="217" t="str">
        <f t="shared" si="12"/>
        <v>Türblatt 2</v>
      </c>
      <c r="V60" s="217" t="str">
        <f t="shared" si="12"/>
        <v>x</v>
      </c>
      <c r="W60" s="217" t="str">
        <f t="shared" si="12"/>
        <v/>
      </c>
      <c r="X60" s="217" t="str">
        <f t="shared" si="12"/>
        <v/>
      </c>
      <c r="Y60" s="217" t="str">
        <f t="shared" si="12"/>
        <v>iDoorPanelType2</v>
      </c>
    </row>
    <row r="61" spans="1:25" x14ac:dyDescent="0.3">
      <c r="A61" s="216">
        <f t="shared" si="0"/>
        <v>59</v>
      </c>
      <c r="B61" s="217" t="str">
        <f t="shared" si="11"/>
        <v>x</v>
      </c>
      <c r="C61" s="217" t="str">
        <f t="shared" si="11"/>
        <v/>
      </c>
      <c r="D61" s="217" t="str">
        <f t="shared" si="11"/>
        <v/>
      </c>
      <c r="E61" s="217" t="str">
        <f t="shared" si="11"/>
        <v/>
      </c>
      <c r="F61" s="217" t="str">
        <f t="shared" si="11"/>
        <v/>
      </c>
      <c r="G61" s="217" t="str">
        <f t="shared" si="11"/>
        <v/>
      </c>
      <c r="H61" s="217" t="str">
        <f t="shared" si="11"/>
        <v/>
      </c>
      <c r="I61" s="217" t="str">
        <f t="shared" si="11"/>
        <v/>
      </c>
      <c r="J61" s="217" t="str">
        <f t="shared" si="11"/>
        <v/>
      </c>
      <c r="K61" s="217" t="str">
        <f t="shared" si="11"/>
        <v/>
      </c>
      <c r="L61" s="217" t="str">
        <f t="shared" si="12"/>
        <v>info</v>
      </c>
      <c r="M61" s="217" t="str">
        <f t="shared" si="12"/>
        <v>x</v>
      </c>
      <c r="N61" s="217" t="str">
        <f t="shared" si="12"/>
        <v/>
      </c>
      <c r="O61" s="217" t="str">
        <f t="shared" si="12"/>
        <v>model</v>
      </c>
      <c r="P61" s="218" t="str">
        <f t="shared" si="12"/>
        <v>String</v>
      </c>
      <c r="Q61" s="218" t="str">
        <f t="shared" si="12"/>
        <v>x</v>
      </c>
      <c r="R61" s="218" t="str">
        <f t="shared" si="12"/>
        <v>BS</v>
      </c>
      <c r="S61" s="218" t="str">
        <f t="shared" si="12"/>
        <v>all</v>
      </c>
      <c r="T61" s="217" t="str">
        <f t="shared" si="12"/>
        <v/>
      </c>
      <c r="U61" s="217" t="str">
        <f t="shared" si="12"/>
        <v>Namen Eigenes Paneel</v>
      </c>
      <c r="V61" s="217" t="str">
        <f t="shared" si="12"/>
        <v>x</v>
      </c>
      <c r="W61" s="217" t="str">
        <f t="shared" si="12"/>
        <v/>
      </c>
      <c r="X61" s="217" t="str">
        <f t="shared" si="12"/>
        <v/>
      </c>
      <c r="Y61" s="217" t="str">
        <f t="shared" si="12"/>
        <v>gs_cust_panel</v>
      </c>
    </row>
    <row r="62" spans="1:25" x14ac:dyDescent="0.3">
      <c r="A62" s="216">
        <f t="shared" si="0"/>
        <v>60</v>
      </c>
      <c r="B62" s="217" t="str">
        <f t="shared" si="11"/>
        <v/>
      </c>
      <c r="C62" s="217" t="str">
        <f t="shared" si="11"/>
        <v/>
      </c>
      <c r="D62" s="217" t="str">
        <f t="shared" si="11"/>
        <v/>
      </c>
      <c r="E62" s="217" t="str">
        <f t="shared" si="11"/>
        <v/>
      </c>
      <c r="F62" s="217" t="str">
        <f t="shared" si="11"/>
        <v/>
      </c>
      <c r="G62" s="217" t="str">
        <f t="shared" si="11"/>
        <v/>
      </c>
      <c r="H62" s="217" t="str">
        <f t="shared" si="11"/>
        <v/>
      </c>
      <c r="I62" s="217" t="str">
        <f t="shared" si="11"/>
        <v/>
      </c>
      <c r="J62" s="217" t="str">
        <f t="shared" si="11"/>
        <v/>
      </c>
      <c r="K62" s="217" t="str">
        <f t="shared" si="11"/>
        <v/>
      </c>
      <c r="L62" s="217" t="str">
        <f t="shared" si="12"/>
        <v>info</v>
      </c>
      <c r="M62" s="217" t="str">
        <f t="shared" si="12"/>
        <v>x</v>
      </c>
      <c r="N62" s="217" t="str">
        <f t="shared" si="12"/>
        <v/>
      </c>
      <c r="O62" s="217" t="str">
        <f t="shared" si="12"/>
        <v>model</v>
      </c>
      <c r="P62" s="218" t="str">
        <f t="shared" si="12"/>
        <v>String</v>
      </c>
      <c r="Q62" s="218" t="str">
        <f t="shared" si="12"/>
        <v>x</v>
      </c>
      <c r="R62" s="218" t="str">
        <f t="shared" si="12"/>
        <v>BS</v>
      </c>
      <c r="S62" s="218" t="str">
        <f t="shared" si="12"/>
        <v>all</v>
      </c>
      <c r="T62" s="217" t="str">
        <f t="shared" si="12"/>
        <v/>
      </c>
      <c r="U62" s="217" t="str">
        <f t="shared" si="12"/>
        <v>Eigenes Paneel Name 2</v>
      </c>
      <c r="V62" s="217" t="str">
        <f t="shared" si="12"/>
        <v>x</v>
      </c>
      <c r="W62" s="217" t="str">
        <f t="shared" si="12"/>
        <v/>
      </c>
      <c r="X62" s="217" t="str">
        <f t="shared" si="12"/>
        <v/>
      </c>
      <c r="Y62" s="217" t="str">
        <f t="shared" si="12"/>
        <v>gs_cust_panel2</v>
      </c>
    </row>
    <row r="63" spans="1:25" x14ac:dyDescent="0.3">
      <c r="A63" s="216">
        <f t="shared" si="0"/>
        <v>61</v>
      </c>
      <c r="B63" s="217" t="str">
        <f t="shared" ref="B63:K72" si="13">IF(ISNONTEXT(B$2),IF(B$2="","",IF(INDEX(IMPORT,$A63,B$2)=0,"",IFERROR(VLOOKUP(INDEX(IMPORT,$A63,B$2),ImportTranslation,2,0),INDEX(IMPORT,$A63,B$2)))),B$2)</f>
        <v>x</v>
      </c>
      <c r="C63" s="217" t="str">
        <f t="shared" si="13"/>
        <v/>
      </c>
      <c r="D63" s="217" t="str">
        <f t="shared" si="13"/>
        <v/>
      </c>
      <c r="E63" s="217" t="str">
        <f t="shared" si="13"/>
        <v/>
      </c>
      <c r="F63" s="217" t="str">
        <f t="shared" si="13"/>
        <v/>
      </c>
      <c r="G63" s="217" t="str">
        <f t="shared" si="13"/>
        <v/>
      </c>
      <c r="H63" s="217" t="str">
        <f t="shared" si="13"/>
        <v/>
      </c>
      <c r="I63" s="217" t="str">
        <f t="shared" si="13"/>
        <v/>
      </c>
      <c r="J63" s="217" t="str">
        <f t="shared" si="13"/>
        <v/>
      </c>
      <c r="K63" s="217" t="str">
        <f t="shared" si="13"/>
        <v/>
      </c>
      <c r="L63" s="217" t="str">
        <f t="shared" ref="L63:Y72" si="14">IF(ISNONTEXT(L$2),IF(L$2="","",IF(INDEX(IMPORT,$A63,L$2)=0,"",IFERROR(VLOOKUP(INDEX(IMPORT,$A63,L$2),ImportTranslation,2,0),INDEX(IMPORT,$A63,L$2)))),L$2)</f>
        <v>info</v>
      </c>
      <c r="M63" s="217" t="str">
        <f t="shared" si="14"/>
        <v>x</v>
      </c>
      <c r="N63" s="217" t="str">
        <f t="shared" si="14"/>
        <v/>
      </c>
      <c r="O63" s="217" t="str">
        <f t="shared" si="14"/>
        <v>model</v>
      </c>
      <c r="P63" s="218" t="str">
        <f t="shared" si="14"/>
        <v>Length</v>
      </c>
      <c r="Q63" s="218" t="str">
        <f t="shared" si="14"/>
        <v>x</v>
      </c>
      <c r="R63" s="218" t="str">
        <f t="shared" si="14"/>
        <v>BS</v>
      </c>
      <c r="S63" s="218" t="str">
        <f t="shared" si="14"/>
        <v>all</v>
      </c>
      <c r="T63" s="217">
        <f t="shared" si="14"/>
        <v>5.0000000000000001E-3</v>
      </c>
      <c r="U63" s="217" t="str">
        <f t="shared" si="14"/>
        <v>Spalt unter Türblatt</v>
      </c>
      <c r="V63" s="217" t="str">
        <f t="shared" si="14"/>
        <v>x</v>
      </c>
      <c r="W63" s="217" t="str">
        <f t="shared" si="14"/>
        <v/>
      </c>
      <c r="X63" s="217" t="str">
        <f t="shared" si="14"/>
        <v/>
      </c>
      <c r="Y63" s="217" t="str">
        <f t="shared" si="14"/>
        <v>gapHeightUnderPanel</v>
      </c>
    </row>
    <row r="64" spans="1:25" x14ac:dyDescent="0.3">
      <c r="A64" s="216">
        <f t="shared" si="0"/>
        <v>62</v>
      </c>
      <c r="B64" s="217" t="str">
        <f t="shared" si="13"/>
        <v>x</v>
      </c>
      <c r="C64" s="217" t="str">
        <f t="shared" si="13"/>
        <v/>
      </c>
      <c r="D64" s="217" t="str">
        <f t="shared" si="13"/>
        <v/>
      </c>
      <c r="E64" s="217" t="str">
        <f t="shared" si="13"/>
        <v/>
      </c>
      <c r="F64" s="217" t="str">
        <f t="shared" si="13"/>
        <v/>
      </c>
      <c r="G64" s="217" t="str">
        <f t="shared" si="13"/>
        <v/>
      </c>
      <c r="H64" s="217" t="str">
        <f t="shared" si="13"/>
        <v/>
      </c>
      <c r="I64" s="217" t="str">
        <f t="shared" si="13"/>
        <v/>
      </c>
      <c r="J64" s="217" t="str">
        <f t="shared" si="13"/>
        <v/>
      </c>
      <c r="K64" s="217" t="str">
        <f t="shared" si="13"/>
        <v/>
      </c>
      <c r="L64" s="217" t="str">
        <f t="shared" si="14"/>
        <v>info</v>
      </c>
      <c r="M64" s="217" t="str">
        <f t="shared" si="14"/>
        <v>x</v>
      </c>
      <c r="N64" s="217" t="str">
        <f t="shared" si="14"/>
        <v/>
      </c>
      <c r="O64" s="217" t="str">
        <f t="shared" si="14"/>
        <v>model</v>
      </c>
      <c r="P64" s="218" t="str">
        <f t="shared" si="14"/>
        <v>Length</v>
      </c>
      <c r="Q64" s="218" t="str">
        <f t="shared" si="14"/>
        <v>x</v>
      </c>
      <c r="R64" s="218" t="str">
        <f t="shared" si="14"/>
        <v>BS</v>
      </c>
      <c r="S64" s="218" t="str">
        <f t="shared" si="14"/>
        <v>all</v>
      </c>
      <c r="T64" s="217">
        <f t="shared" si="14"/>
        <v>0.04</v>
      </c>
      <c r="U64" s="217" t="str">
        <f t="shared" si="14"/>
        <v>Türblatt Stärke</v>
      </c>
      <c r="V64" s="217" t="str">
        <f t="shared" si="14"/>
        <v>x</v>
      </c>
      <c r="W64" s="217" t="str">
        <f t="shared" si="14"/>
        <v/>
      </c>
      <c r="X64" s="217" t="str">
        <f t="shared" si="14"/>
        <v/>
      </c>
      <c r="Y64" s="217" t="str">
        <f t="shared" si="14"/>
        <v>gs_leaf_thk</v>
      </c>
    </row>
    <row r="65" spans="1:25" x14ac:dyDescent="0.3">
      <c r="A65" s="216">
        <f t="shared" si="0"/>
        <v>63</v>
      </c>
      <c r="B65" s="217" t="str">
        <f t="shared" si="13"/>
        <v>x</v>
      </c>
      <c r="C65" s="217" t="str">
        <f t="shared" si="13"/>
        <v/>
      </c>
      <c r="D65" s="217" t="str">
        <f t="shared" si="13"/>
        <v/>
      </c>
      <c r="E65" s="217" t="str">
        <f t="shared" si="13"/>
        <v/>
      </c>
      <c r="F65" s="217" t="str">
        <f t="shared" si="13"/>
        <v/>
      </c>
      <c r="G65" s="217" t="str">
        <f t="shared" si="13"/>
        <v/>
      </c>
      <c r="H65" s="217" t="str">
        <f t="shared" si="13"/>
        <v/>
      </c>
      <c r="I65" s="217" t="str">
        <f t="shared" si="13"/>
        <v/>
      </c>
      <c r="J65" s="217" t="str">
        <f t="shared" si="13"/>
        <v/>
      </c>
      <c r="K65" s="217" t="str">
        <f t="shared" si="13"/>
        <v/>
      </c>
      <c r="L65" s="217" t="str">
        <f t="shared" si="14"/>
        <v>info</v>
      </c>
      <c r="M65" s="217" t="str">
        <f t="shared" si="14"/>
        <v>x</v>
      </c>
      <c r="N65" s="217" t="str">
        <f t="shared" si="14"/>
        <v/>
      </c>
      <c r="O65" s="217" t="str">
        <f t="shared" si="14"/>
        <v>model</v>
      </c>
      <c r="P65" s="218" t="str">
        <f t="shared" si="14"/>
        <v>Length</v>
      </c>
      <c r="Q65" s="218" t="str">
        <f t="shared" si="14"/>
        <v>x</v>
      </c>
      <c r="R65" s="218" t="str">
        <f t="shared" si="14"/>
        <v>BS</v>
      </c>
      <c r="S65" s="218" t="str">
        <f t="shared" si="14"/>
        <v>all</v>
      </c>
      <c r="T65" s="217">
        <f t="shared" si="14"/>
        <v>1.4999999999999999E-2</v>
      </c>
      <c r="U65" s="217" t="str">
        <f t="shared" si="14"/>
        <v>Falzbreite</v>
      </c>
      <c r="V65" s="217" t="str">
        <f t="shared" si="14"/>
        <v>x</v>
      </c>
      <c r="W65" s="217" t="str">
        <f t="shared" si="14"/>
        <v/>
      </c>
      <c r="X65" s="217" t="str">
        <f t="shared" si="14"/>
        <v/>
      </c>
      <c r="Y65" s="217" t="str">
        <f t="shared" si="14"/>
        <v>gs_vb</v>
      </c>
    </row>
    <row r="66" spans="1:25" x14ac:dyDescent="0.3">
      <c r="A66" s="216">
        <f t="shared" si="0"/>
        <v>64</v>
      </c>
      <c r="B66" s="217" t="str">
        <f t="shared" si="13"/>
        <v>x</v>
      </c>
      <c r="C66" s="217" t="str">
        <f t="shared" si="13"/>
        <v/>
      </c>
      <c r="D66" s="217" t="str">
        <f t="shared" si="13"/>
        <v/>
      </c>
      <c r="E66" s="217" t="str">
        <f t="shared" si="13"/>
        <v/>
      </c>
      <c r="F66" s="217" t="str">
        <f t="shared" si="13"/>
        <v/>
      </c>
      <c r="G66" s="217" t="str">
        <f t="shared" si="13"/>
        <v/>
      </c>
      <c r="H66" s="217" t="str">
        <f t="shared" si="13"/>
        <v/>
      </c>
      <c r="I66" s="217" t="str">
        <f t="shared" si="13"/>
        <v/>
      </c>
      <c r="J66" s="217" t="str">
        <f t="shared" si="13"/>
        <v/>
      </c>
      <c r="K66" s="217" t="str">
        <f t="shared" si="13"/>
        <v/>
      </c>
      <c r="L66" s="217" t="str">
        <f t="shared" si="14"/>
        <v>info</v>
      </c>
      <c r="M66" s="217" t="str">
        <f t="shared" si="14"/>
        <v>x</v>
      </c>
      <c r="N66" s="217" t="str">
        <f t="shared" si="14"/>
        <v/>
      </c>
      <c r="O66" s="217" t="str">
        <f t="shared" si="14"/>
        <v>model</v>
      </c>
      <c r="P66" s="218" t="str">
        <f t="shared" si="14"/>
        <v>Length</v>
      </c>
      <c r="Q66" s="218" t="str">
        <f t="shared" si="14"/>
        <v>x</v>
      </c>
      <c r="R66" s="218" t="str">
        <f t="shared" si="14"/>
        <v>BS</v>
      </c>
      <c r="S66" s="218" t="str">
        <f t="shared" si="14"/>
        <v>all</v>
      </c>
      <c r="T66" s="217">
        <f t="shared" si="14"/>
        <v>0.02</v>
      </c>
      <c r="U66" s="217" t="str">
        <f t="shared" si="14"/>
        <v>Falztiefe</v>
      </c>
      <c r="V66" s="217" t="str">
        <f t="shared" si="14"/>
        <v>x</v>
      </c>
      <c r="W66" s="217" t="str">
        <f t="shared" si="14"/>
        <v/>
      </c>
      <c r="X66" s="217" t="str">
        <f t="shared" si="14"/>
        <v/>
      </c>
      <c r="Y66" s="217" t="str">
        <f t="shared" si="14"/>
        <v>gs_vt</v>
      </c>
    </row>
    <row r="67" spans="1:25" x14ac:dyDescent="0.3">
      <c r="A67" s="216">
        <f t="shared" ref="A67:A130" si="15">ROW()-ROW($A$2)</f>
        <v>65</v>
      </c>
      <c r="B67" s="217" t="str">
        <f t="shared" si="13"/>
        <v>x</v>
      </c>
      <c r="C67" s="217" t="str">
        <f t="shared" si="13"/>
        <v/>
      </c>
      <c r="D67" s="217" t="str">
        <f t="shared" si="13"/>
        <v/>
      </c>
      <c r="E67" s="217" t="str">
        <f t="shared" si="13"/>
        <v/>
      </c>
      <c r="F67" s="217" t="str">
        <f t="shared" si="13"/>
        <v/>
      </c>
      <c r="G67" s="217" t="str">
        <f t="shared" si="13"/>
        <v/>
      </c>
      <c r="H67" s="217" t="str">
        <f t="shared" si="13"/>
        <v/>
      </c>
      <c r="I67" s="217" t="str">
        <f t="shared" si="13"/>
        <v/>
      </c>
      <c r="J67" s="217" t="str">
        <f t="shared" si="13"/>
        <v/>
      </c>
      <c r="K67" s="217" t="str">
        <f t="shared" si="13"/>
        <v/>
      </c>
      <c r="L67" s="217" t="str">
        <f t="shared" si="14"/>
        <v>info</v>
      </c>
      <c r="M67" s="217" t="str">
        <f t="shared" si="14"/>
        <v>x</v>
      </c>
      <c r="N67" s="217" t="str">
        <f t="shared" si="14"/>
        <v/>
      </c>
      <c r="O67" s="217" t="str">
        <f t="shared" si="14"/>
        <v>model</v>
      </c>
      <c r="P67" s="218" t="str">
        <f t="shared" si="14"/>
        <v>Length</v>
      </c>
      <c r="Q67" s="218" t="str">
        <f t="shared" si="14"/>
        <v>x</v>
      </c>
      <c r="R67" s="218" t="str">
        <f t="shared" si="14"/>
        <v>BS</v>
      </c>
      <c r="S67" s="218" t="str">
        <f t="shared" si="14"/>
        <v>all</v>
      </c>
      <c r="T67" s="217">
        <f t="shared" si="14"/>
        <v>0.02</v>
      </c>
      <c r="U67" s="217" t="str">
        <f t="shared" si="14"/>
        <v>Dicke Türfüllung</v>
      </c>
      <c r="V67" s="217" t="str">
        <f t="shared" si="14"/>
        <v>x</v>
      </c>
      <c r="W67" s="217" t="str">
        <f t="shared" si="14"/>
        <v/>
      </c>
      <c r="X67" s="217" t="str">
        <f t="shared" si="14"/>
        <v/>
      </c>
      <c r="Y67" s="217" t="str">
        <f t="shared" si="14"/>
        <v>thkDoorFilling</v>
      </c>
    </row>
    <row r="68" spans="1:25" x14ac:dyDescent="0.3">
      <c r="A68" s="216">
        <f t="shared" si="15"/>
        <v>66</v>
      </c>
      <c r="B68" s="217" t="str">
        <f t="shared" si="13"/>
        <v/>
      </c>
      <c r="C68" s="217" t="str">
        <f t="shared" si="13"/>
        <v/>
      </c>
      <c r="D68" s="217" t="str">
        <f t="shared" si="13"/>
        <v/>
      </c>
      <c r="E68" s="217" t="str">
        <f t="shared" si="13"/>
        <v/>
      </c>
      <c r="F68" s="217" t="str">
        <f t="shared" si="13"/>
        <v/>
      </c>
      <c r="G68" s="217" t="str">
        <f t="shared" si="13"/>
        <v/>
      </c>
      <c r="H68" s="217" t="str">
        <f t="shared" si="13"/>
        <v/>
      </c>
      <c r="I68" s="217" t="str">
        <f t="shared" si="13"/>
        <v/>
      </c>
      <c r="J68" s="217" t="str">
        <f t="shared" si="13"/>
        <v/>
      </c>
      <c r="K68" s="217" t="str">
        <f t="shared" si="13"/>
        <v/>
      </c>
      <c r="L68" s="217" t="str">
        <f t="shared" si="14"/>
        <v>info</v>
      </c>
      <c r="M68" s="217" t="str">
        <f t="shared" si="14"/>
        <v>x</v>
      </c>
      <c r="N68" s="217" t="str">
        <f t="shared" si="14"/>
        <v/>
      </c>
      <c r="O68" s="217" t="str">
        <f t="shared" si="14"/>
        <v>model</v>
      </c>
      <c r="P68" s="218" t="str">
        <f t="shared" si="14"/>
        <v>Length</v>
      </c>
      <c r="Q68" s="218" t="str">
        <f t="shared" si="14"/>
        <v>x</v>
      </c>
      <c r="R68" s="218" t="str">
        <f t="shared" si="14"/>
        <v>BS</v>
      </c>
      <c r="S68" s="218" t="str">
        <f t="shared" si="14"/>
        <v>all</v>
      </c>
      <c r="T68" s="217">
        <f t="shared" si="14"/>
        <v>0.02</v>
      </c>
      <c r="U68" s="217" t="str">
        <f t="shared" si="14"/>
        <v>Dicke Türfüllung 2</v>
      </c>
      <c r="V68" s="217" t="str">
        <f t="shared" si="14"/>
        <v>x</v>
      </c>
      <c r="W68" s="217" t="str">
        <f t="shared" si="14"/>
        <v/>
      </c>
      <c r="X68" s="217" t="str">
        <f t="shared" si="14"/>
        <v/>
      </c>
      <c r="Y68" s="217" t="str">
        <f t="shared" si="14"/>
        <v>thkDoorFilling2</v>
      </c>
    </row>
    <row r="69" spans="1:25" x14ac:dyDescent="0.3">
      <c r="A69" s="216">
        <f t="shared" si="15"/>
        <v>67</v>
      </c>
      <c r="B69" s="217" t="str">
        <f t="shared" si="13"/>
        <v>x</v>
      </c>
      <c r="C69" s="217" t="str">
        <f t="shared" si="13"/>
        <v/>
      </c>
      <c r="D69" s="217" t="str">
        <f t="shared" si="13"/>
        <v/>
      </c>
      <c r="E69" s="217" t="str">
        <f t="shared" si="13"/>
        <v/>
      </c>
      <c r="F69" s="217" t="str">
        <f t="shared" si="13"/>
        <v/>
      </c>
      <c r="G69" s="217" t="str">
        <f t="shared" si="13"/>
        <v/>
      </c>
      <c r="H69" s="217" t="str">
        <f t="shared" si="13"/>
        <v/>
      </c>
      <c r="I69" s="217" t="str">
        <f t="shared" si="13"/>
        <v/>
      </c>
      <c r="J69" s="217" t="str">
        <f t="shared" si="13"/>
        <v/>
      </c>
      <c r="K69" s="217" t="str">
        <f t="shared" si="13"/>
        <v/>
      </c>
      <c r="L69" s="217" t="str">
        <f t="shared" si="14"/>
        <v>info</v>
      </c>
      <c r="M69" s="217" t="str">
        <f t="shared" si="14"/>
        <v>x</v>
      </c>
      <c r="N69" s="217" t="str">
        <f t="shared" si="14"/>
        <v/>
      </c>
      <c r="O69" s="217" t="str">
        <f t="shared" si="14"/>
        <v>model</v>
      </c>
      <c r="P69" s="218" t="str">
        <f t="shared" si="14"/>
        <v>Length</v>
      </c>
      <c r="Q69" s="218" t="str">
        <f t="shared" si="14"/>
        <v>x</v>
      </c>
      <c r="R69" s="218" t="str">
        <f t="shared" si="14"/>
        <v>BS</v>
      </c>
      <c r="S69" s="218" t="str">
        <f t="shared" si="14"/>
        <v>all</v>
      </c>
      <c r="T69" s="217">
        <f t="shared" si="14"/>
        <v>0.1</v>
      </c>
      <c r="U69" s="217" t="str">
        <f t="shared" si="14"/>
        <v>Rahmenbreite links</v>
      </c>
      <c r="V69" s="217" t="str">
        <f t="shared" si="14"/>
        <v>x</v>
      </c>
      <c r="W69" s="217" t="str">
        <f t="shared" si="14"/>
        <v/>
      </c>
      <c r="X69" s="217" t="str">
        <f t="shared" si="14"/>
        <v/>
      </c>
      <c r="Y69" s="217" t="str">
        <f t="shared" si="14"/>
        <v>leafFrWidthLeft</v>
      </c>
    </row>
    <row r="70" spans="1:25" x14ac:dyDescent="0.3">
      <c r="A70" s="216">
        <f t="shared" si="15"/>
        <v>68</v>
      </c>
      <c r="B70" s="217" t="str">
        <f t="shared" si="13"/>
        <v/>
      </c>
      <c r="C70" s="217" t="str">
        <f t="shared" si="13"/>
        <v/>
      </c>
      <c r="D70" s="217" t="str">
        <f t="shared" si="13"/>
        <v/>
      </c>
      <c r="E70" s="217" t="str">
        <f t="shared" si="13"/>
        <v/>
      </c>
      <c r="F70" s="217" t="str">
        <f t="shared" si="13"/>
        <v/>
      </c>
      <c r="G70" s="217" t="str">
        <f t="shared" si="13"/>
        <v/>
      </c>
      <c r="H70" s="217" t="str">
        <f t="shared" si="13"/>
        <v/>
      </c>
      <c r="I70" s="217" t="str">
        <f t="shared" si="13"/>
        <v/>
      </c>
      <c r="J70" s="217" t="str">
        <f t="shared" si="13"/>
        <v/>
      </c>
      <c r="K70" s="217" t="str">
        <f t="shared" si="13"/>
        <v/>
      </c>
      <c r="L70" s="217" t="str">
        <f t="shared" si="14"/>
        <v>info</v>
      </c>
      <c r="M70" s="217" t="str">
        <f t="shared" si="14"/>
        <v>x</v>
      </c>
      <c r="N70" s="217" t="str">
        <f t="shared" si="14"/>
        <v/>
      </c>
      <c r="O70" s="217" t="str">
        <f t="shared" si="14"/>
        <v>model</v>
      </c>
      <c r="P70" s="218" t="str">
        <f t="shared" si="14"/>
        <v>Length</v>
      </c>
      <c r="Q70" s="218" t="str">
        <f t="shared" si="14"/>
        <v>x</v>
      </c>
      <c r="R70" s="218" t="str">
        <f t="shared" si="14"/>
        <v>BS</v>
      </c>
      <c r="S70" s="218" t="str">
        <f t="shared" si="14"/>
        <v>all</v>
      </c>
      <c r="T70" s="217">
        <f t="shared" si="14"/>
        <v>0.1</v>
      </c>
      <c r="U70" s="217" t="str">
        <f t="shared" si="14"/>
        <v>Rahmen-Breite links 2</v>
      </c>
      <c r="V70" s="217" t="str">
        <f t="shared" si="14"/>
        <v>x</v>
      </c>
      <c r="W70" s="217" t="str">
        <f t="shared" si="14"/>
        <v/>
      </c>
      <c r="X70" s="217" t="str">
        <f t="shared" si="14"/>
        <v/>
      </c>
      <c r="Y70" s="217" t="str">
        <f t="shared" si="14"/>
        <v>leafFrWidthLeft2</v>
      </c>
    </row>
    <row r="71" spans="1:25" x14ac:dyDescent="0.3">
      <c r="A71" s="216">
        <f t="shared" si="15"/>
        <v>69</v>
      </c>
      <c r="B71" s="217" t="str">
        <f t="shared" si="13"/>
        <v>x</v>
      </c>
      <c r="C71" s="217" t="str">
        <f t="shared" si="13"/>
        <v/>
      </c>
      <c r="D71" s="217" t="str">
        <f t="shared" si="13"/>
        <v/>
      </c>
      <c r="E71" s="217" t="str">
        <f t="shared" si="13"/>
        <v/>
      </c>
      <c r="F71" s="217" t="str">
        <f t="shared" si="13"/>
        <v/>
      </c>
      <c r="G71" s="217" t="str">
        <f t="shared" si="13"/>
        <v/>
      </c>
      <c r="H71" s="217" t="str">
        <f t="shared" si="13"/>
        <v/>
      </c>
      <c r="I71" s="217" t="str">
        <f t="shared" si="13"/>
        <v/>
      </c>
      <c r="J71" s="217" t="str">
        <f t="shared" si="13"/>
        <v/>
      </c>
      <c r="K71" s="217" t="str">
        <f t="shared" si="13"/>
        <v/>
      </c>
      <c r="L71" s="217" t="str">
        <f t="shared" si="14"/>
        <v>info</v>
      </c>
      <c r="M71" s="217" t="str">
        <f t="shared" si="14"/>
        <v>x</v>
      </c>
      <c r="N71" s="217" t="str">
        <f t="shared" si="14"/>
        <v/>
      </c>
      <c r="O71" s="217" t="str">
        <f t="shared" si="14"/>
        <v>model</v>
      </c>
      <c r="P71" s="218" t="str">
        <f t="shared" si="14"/>
        <v>Length</v>
      </c>
      <c r="Q71" s="218" t="str">
        <f t="shared" si="14"/>
        <v>x</v>
      </c>
      <c r="R71" s="218" t="str">
        <f t="shared" si="14"/>
        <v>BS</v>
      </c>
      <c r="S71" s="218" t="str">
        <f t="shared" si="14"/>
        <v>all</v>
      </c>
      <c r="T71" s="217">
        <f t="shared" si="14"/>
        <v>0.1</v>
      </c>
      <c r="U71" s="217" t="str">
        <f t="shared" si="14"/>
        <v>Rahmenbreite rechts</v>
      </c>
      <c r="V71" s="217" t="str">
        <f t="shared" si="14"/>
        <v>x</v>
      </c>
      <c r="W71" s="217" t="str">
        <f t="shared" si="14"/>
        <v/>
      </c>
      <c r="X71" s="217" t="str">
        <f t="shared" si="14"/>
        <v/>
      </c>
      <c r="Y71" s="217" t="str">
        <f t="shared" si="14"/>
        <v>leafFrWidthRight</v>
      </c>
    </row>
    <row r="72" spans="1:25" x14ac:dyDescent="0.3">
      <c r="A72" s="216">
        <f t="shared" si="15"/>
        <v>70</v>
      </c>
      <c r="B72" s="217" t="str">
        <f t="shared" si="13"/>
        <v/>
      </c>
      <c r="C72" s="217" t="str">
        <f t="shared" si="13"/>
        <v/>
      </c>
      <c r="D72" s="217" t="str">
        <f t="shared" si="13"/>
        <v/>
      </c>
      <c r="E72" s="217" t="str">
        <f t="shared" si="13"/>
        <v/>
      </c>
      <c r="F72" s="217" t="str">
        <f t="shared" si="13"/>
        <v/>
      </c>
      <c r="G72" s="217" t="str">
        <f t="shared" si="13"/>
        <v/>
      </c>
      <c r="H72" s="217" t="str">
        <f t="shared" si="13"/>
        <v/>
      </c>
      <c r="I72" s="217" t="str">
        <f t="shared" si="13"/>
        <v/>
      </c>
      <c r="J72" s="217" t="str">
        <f t="shared" si="13"/>
        <v/>
      </c>
      <c r="K72" s="217" t="str">
        <f t="shared" si="13"/>
        <v/>
      </c>
      <c r="L72" s="217" t="str">
        <f t="shared" si="14"/>
        <v>info</v>
      </c>
      <c r="M72" s="217" t="str">
        <f t="shared" si="14"/>
        <v>x</v>
      </c>
      <c r="N72" s="217" t="str">
        <f t="shared" si="14"/>
        <v/>
      </c>
      <c r="O72" s="217" t="str">
        <f t="shared" si="14"/>
        <v>model</v>
      </c>
      <c r="P72" s="218" t="str">
        <f t="shared" si="14"/>
        <v>Length</v>
      </c>
      <c r="Q72" s="218" t="str">
        <f t="shared" si="14"/>
        <v>x</v>
      </c>
      <c r="R72" s="218" t="str">
        <f t="shared" si="14"/>
        <v>BS</v>
      </c>
      <c r="S72" s="218" t="str">
        <f t="shared" si="14"/>
        <v>all</v>
      </c>
      <c r="T72" s="217">
        <f t="shared" si="14"/>
        <v>0.1</v>
      </c>
      <c r="U72" s="217" t="str">
        <f t="shared" si="14"/>
        <v>Rahmenbreite rechts 2</v>
      </c>
      <c r="V72" s="217" t="str">
        <f t="shared" si="14"/>
        <v>x</v>
      </c>
      <c r="W72" s="217" t="str">
        <f t="shared" si="14"/>
        <v/>
      </c>
      <c r="X72" s="217" t="str">
        <f t="shared" si="14"/>
        <v/>
      </c>
      <c r="Y72" s="217" t="str">
        <f t="shared" si="14"/>
        <v>leafFrWidthRight2</v>
      </c>
    </row>
    <row r="73" spans="1:25" x14ac:dyDescent="0.3">
      <c r="A73" s="216">
        <f t="shared" si="15"/>
        <v>71</v>
      </c>
      <c r="B73" s="217" t="str">
        <f t="shared" ref="B73:K82" si="16">IF(ISNONTEXT(B$2),IF(B$2="","",IF(INDEX(IMPORT,$A73,B$2)=0,"",IFERROR(VLOOKUP(INDEX(IMPORT,$A73,B$2),ImportTranslation,2,0),INDEX(IMPORT,$A73,B$2)))),B$2)</f>
        <v>x</v>
      </c>
      <c r="C73" s="217" t="str">
        <f t="shared" si="16"/>
        <v/>
      </c>
      <c r="D73" s="217" t="str">
        <f t="shared" si="16"/>
        <v/>
      </c>
      <c r="E73" s="217" t="str">
        <f t="shared" si="16"/>
        <v/>
      </c>
      <c r="F73" s="217" t="str">
        <f t="shared" si="16"/>
        <v/>
      </c>
      <c r="G73" s="217" t="str">
        <f t="shared" si="16"/>
        <v/>
      </c>
      <c r="H73" s="217" t="str">
        <f t="shared" si="16"/>
        <v/>
      </c>
      <c r="I73" s="217" t="str">
        <f t="shared" si="16"/>
        <v/>
      </c>
      <c r="J73" s="217" t="str">
        <f t="shared" si="16"/>
        <v/>
      </c>
      <c r="K73" s="217" t="str">
        <f t="shared" si="16"/>
        <v/>
      </c>
      <c r="L73" s="217" t="str">
        <f t="shared" ref="L73:Y82" si="17">IF(ISNONTEXT(L$2),IF(L$2="","",IF(INDEX(IMPORT,$A73,L$2)=0,"",IFERROR(VLOOKUP(INDEX(IMPORT,$A73,L$2),ImportTranslation,2,0),INDEX(IMPORT,$A73,L$2)))),L$2)</f>
        <v>info</v>
      </c>
      <c r="M73" s="217" t="str">
        <f t="shared" si="17"/>
        <v>x</v>
      </c>
      <c r="N73" s="217" t="str">
        <f t="shared" si="17"/>
        <v/>
      </c>
      <c r="O73" s="217" t="str">
        <f t="shared" si="17"/>
        <v>model</v>
      </c>
      <c r="P73" s="218" t="str">
        <f t="shared" si="17"/>
        <v>Length</v>
      </c>
      <c r="Q73" s="218" t="str">
        <f t="shared" si="17"/>
        <v>x</v>
      </c>
      <c r="R73" s="218" t="str">
        <f t="shared" si="17"/>
        <v>BS</v>
      </c>
      <c r="S73" s="218" t="str">
        <f t="shared" si="17"/>
        <v>all</v>
      </c>
      <c r="T73" s="217">
        <f t="shared" si="17"/>
        <v>0.9</v>
      </c>
      <c r="U73" s="217" t="str">
        <f t="shared" si="17"/>
        <v>Rahmenbreite unten</v>
      </c>
      <c r="V73" s="217" t="str">
        <f t="shared" si="17"/>
        <v>x</v>
      </c>
      <c r="W73" s="217" t="str">
        <f t="shared" si="17"/>
        <v/>
      </c>
      <c r="X73" s="217" t="str">
        <f t="shared" si="17"/>
        <v/>
      </c>
      <c r="Y73" s="217" t="str">
        <f t="shared" si="17"/>
        <v>leafFrWidthBottom</v>
      </c>
    </row>
    <row r="74" spans="1:25" x14ac:dyDescent="0.3">
      <c r="A74" s="216">
        <f t="shared" si="15"/>
        <v>72</v>
      </c>
      <c r="B74" s="217" t="str">
        <f t="shared" si="16"/>
        <v/>
      </c>
      <c r="C74" s="217" t="str">
        <f t="shared" si="16"/>
        <v/>
      </c>
      <c r="D74" s="217" t="str">
        <f t="shared" si="16"/>
        <v/>
      </c>
      <c r="E74" s="217" t="str">
        <f t="shared" si="16"/>
        <v/>
      </c>
      <c r="F74" s="217" t="str">
        <f t="shared" si="16"/>
        <v/>
      </c>
      <c r="G74" s="217" t="str">
        <f t="shared" si="16"/>
        <v/>
      </c>
      <c r="H74" s="217" t="str">
        <f t="shared" si="16"/>
        <v/>
      </c>
      <c r="I74" s="217" t="str">
        <f t="shared" si="16"/>
        <v/>
      </c>
      <c r="J74" s="217" t="str">
        <f t="shared" si="16"/>
        <v/>
      </c>
      <c r="K74" s="217" t="str">
        <f t="shared" si="16"/>
        <v/>
      </c>
      <c r="L74" s="217" t="str">
        <f t="shared" si="17"/>
        <v>info</v>
      </c>
      <c r="M74" s="217" t="str">
        <f t="shared" si="17"/>
        <v>x</v>
      </c>
      <c r="N74" s="217" t="str">
        <f t="shared" si="17"/>
        <v/>
      </c>
      <c r="O74" s="217" t="str">
        <f t="shared" si="17"/>
        <v>model</v>
      </c>
      <c r="P74" s="218" t="str">
        <f t="shared" si="17"/>
        <v>Length</v>
      </c>
      <c r="Q74" s="218" t="str">
        <f t="shared" si="17"/>
        <v>x</v>
      </c>
      <c r="R74" s="218" t="str">
        <f t="shared" si="17"/>
        <v>BS</v>
      </c>
      <c r="S74" s="218" t="str">
        <f t="shared" si="17"/>
        <v>all</v>
      </c>
      <c r="T74" s="217">
        <f t="shared" si="17"/>
        <v>0.9</v>
      </c>
      <c r="U74" s="217" t="str">
        <f t="shared" si="17"/>
        <v>Rahmen-Breite unten 2</v>
      </c>
      <c r="V74" s="217" t="str">
        <f t="shared" si="17"/>
        <v>x</v>
      </c>
      <c r="W74" s="217" t="str">
        <f t="shared" si="17"/>
        <v/>
      </c>
      <c r="X74" s="217" t="str">
        <f t="shared" si="17"/>
        <v/>
      </c>
      <c r="Y74" s="217" t="str">
        <f t="shared" si="17"/>
        <v>leafFrWidthBottom2</v>
      </c>
    </row>
    <row r="75" spans="1:25" x14ac:dyDescent="0.3">
      <c r="A75" s="216">
        <f t="shared" si="15"/>
        <v>73</v>
      </c>
      <c r="B75" s="217" t="str">
        <f t="shared" si="16"/>
        <v>x</v>
      </c>
      <c r="C75" s="217" t="str">
        <f t="shared" si="16"/>
        <v/>
      </c>
      <c r="D75" s="217" t="str">
        <f t="shared" si="16"/>
        <v/>
      </c>
      <c r="E75" s="217" t="str">
        <f t="shared" si="16"/>
        <v/>
      </c>
      <c r="F75" s="217" t="str">
        <f t="shared" si="16"/>
        <v/>
      </c>
      <c r="G75" s="217" t="str">
        <f t="shared" si="16"/>
        <v/>
      </c>
      <c r="H75" s="217" t="str">
        <f t="shared" si="16"/>
        <v/>
      </c>
      <c r="I75" s="217" t="str">
        <f t="shared" si="16"/>
        <v/>
      </c>
      <c r="J75" s="217" t="str">
        <f t="shared" si="16"/>
        <v/>
      </c>
      <c r="K75" s="217" t="str">
        <f t="shared" si="16"/>
        <v/>
      </c>
      <c r="L75" s="217" t="str">
        <f t="shared" si="17"/>
        <v>info</v>
      </c>
      <c r="M75" s="217" t="str">
        <f t="shared" si="17"/>
        <v>x</v>
      </c>
      <c r="N75" s="217" t="str">
        <f t="shared" si="17"/>
        <v/>
      </c>
      <c r="O75" s="217" t="str">
        <f t="shared" si="17"/>
        <v>model</v>
      </c>
      <c r="P75" s="218" t="str">
        <f t="shared" si="17"/>
        <v>Length</v>
      </c>
      <c r="Q75" s="218" t="str">
        <f t="shared" si="17"/>
        <v>x</v>
      </c>
      <c r="R75" s="218" t="str">
        <f t="shared" si="17"/>
        <v>BS</v>
      </c>
      <c r="S75" s="218" t="str">
        <f t="shared" si="17"/>
        <v>all</v>
      </c>
      <c r="T75" s="217">
        <f t="shared" si="17"/>
        <v>0.1</v>
      </c>
      <c r="U75" s="217" t="str">
        <f t="shared" si="17"/>
        <v>Rahmenbreite oben</v>
      </c>
      <c r="V75" s="217" t="str">
        <f t="shared" si="17"/>
        <v>x</v>
      </c>
      <c r="W75" s="217" t="str">
        <f t="shared" si="17"/>
        <v/>
      </c>
      <c r="X75" s="217" t="str">
        <f t="shared" si="17"/>
        <v/>
      </c>
      <c r="Y75" s="217" t="str">
        <f t="shared" si="17"/>
        <v>leafFrWidthTop</v>
      </c>
    </row>
    <row r="76" spans="1:25" x14ac:dyDescent="0.3">
      <c r="A76" s="216">
        <f t="shared" si="15"/>
        <v>74</v>
      </c>
      <c r="B76" s="217" t="str">
        <f t="shared" si="16"/>
        <v/>
      </c>
      <c r="C76" s="217" t="str">
        <f t="shared" si="16"/>
        <v/>
      </c>
      <c r="D76" s="217" t="str">
        <f t="shared" si="16"/>
        <v/>
      </c>
      <c r="E76" s="217" t="str">
        <f t="shared" si="16"/>
        <v/>
      </c>
      <c r="F76" s="217" t="str">
        <f t="shared" si="16"/>
        <v/>
      </c>
      <c r="G76" s="217" t="str">
        <f t="shared" si="16"/>
        <v/>
      </c>
      <c r="H76" s="217" t="str">
        <f t="shared" si="16"/>
        <v/>
      </c>
      <c r="I76" s="217" t="str">
        <f t="shared" si="16"/>
        <v/>
      </c>
      <c r="J76" s="217" t="str">
        <f t="shared" si="16"/>
        <v/>
      </c>
      <c r="K76" s="217" t="str">
        <f t="shared" si="16"/>
        <v/>
      </c>
      <c r="L76" s="217" t="str">
        <f t="shared" si="17"/>
        <v>info</v>
      </c>
      <c r="M76" s="217" t="str">
        <f t="shared" si="17"/>
        <v>x</v>
      </c>
      <c r="N76" s="217" t="str">
        <f t="shared" si="17"/>
        <v/>
      </c>
      <c r="O76" s="217" t="str">
        <f t="shared" si="17"/>
        <v>model</v>
      </c>
      <c r="P76" s="218" t="str">
        <f t="shared" si="17"/>
        <v>Length</v>
      </c>
      <c r="Q76" s="218" t="str">
        <f t="shared" si="17"/>
        <v>x</v>
      </c>
      <c r="R76" s="218" t="str">
        <f t="shared" si="17"/>
        <v>BS</v>
      </c>
      <c r="S76" s="218" t="str">
        <f t="shared" si="17"/>
        <v>all</v>
      </c>
      <c r="T76" s="217">
        <f t="shared" si="17"/>
        <v>0.1</v>
      </c>
      <c r="U76" s="217" t="str">
        <f t="shared" si="17"/>
        <v>Rahmenbreite oben 2</v>
      </c>
      <c r="V76" s="217" t="str">
        <f t="shared" si="17"/>
        <v>x</v>
      </c>
      <c r="W76" s="217" t="str">
        <f t="shared" si="17"/>
        <v/>
      </c>
      <c r="X76" s="217" t="str">
        <f t="shared" si="17"/>
        <v/>
      </c>
      <c r="Y76" s="217" t="str">
        <f t="shared" si="17"/>
        <v>leafFrWidthTop2</v>
      </c>
    </row>
    <row r="77" spans="1:25" x14ac:dyDescent="0.3">
      <c r="A77" s="216">
        <f t="shared" si="15"/>
        <v>75</v>
      </c>
      <c r="B77" s="217" t="str">
        <f t="shared" si="16"/>
        <v>x</v>
      </c>
      <c r="C77" s="217" t="str">
        <f t="shared" si="16"/>
        <v/>
      </c>
      <c r="D77" s="217" t="str">
        <f t="shared" si="16"/>
        <v/>
      </c>
      <c r="E77" s="217" t="str">
        <f t="shared" si="16"/>
        <v/>
      </c>
      <c r="F77" s="217" t="str">
        <f t="shared" si="16"/>
        <v/>
      </c>
      <c r="G77" s="217" t="str">
        <f t="shared" si="16"/>
        <v/>
      </c>
      <c r="H77" s="217" t="str">
        <f t="shared" si="16"/>
        <v/>
      </c>
      <c r="I77" s="217" t="str">
        <f t="shared" si="16"/>
        <v/>
      </c>
      <c r="J77" s="217" t="str">
        <f t="shared" si="16"/>
        <v/>
      </c>
      <c r="K77" s="217" t="str">
        <f t="shared" si="16"/>
        <v/>
      </c>
      <c r="L77" s="217" t="str">
        <f t="shared" si="17"/>
        <v>info</v>
      </c>
      <c r="M77" s="217" t="str">
        <f t="shared" si="17"/>
        <v>x</v>
      </c>
      <c r="N77" s="217" t="str">
        <f t="shared" si="17"/>
        <v/>
      </c>
      <c r="O77" s="217" t="str">
        <f t="shared" si="17"/>
        <v>model</v>
      </c>
      <c r="P77" s="218" t="str">
        <f t="shared" si="17"/>
        <v>Integer</v>
      </c>
      <c r="Q77" s="218" t="str">
        <f t="shared" si="17"/>
        <v>x</v>
      </c>
      <c r="R77" s="218" t="str">
        <f t="shared" si="17"/>
        <v>BS</v>
      </c>
      <c r="S77" s="218" t="str">
        <f t="shared" si="17"/>
        <v>all</v>
      </c>
      <c r="T77" s="217">
        <f t="shared" si="17"/>
        <v>3</v>
      </c>
      <c r="U77" s="217" t="str">
        <f t="shared" si="17"/>
        <v>Sprossen horizontal</v>
      </c>
      <c r="V77" s="217" t="str">
        <f t="shared" si="17"/>
        <v>x</v>
      </c>
      <c r="W77" s="217" t="str">
        <f t="shared" si="17"/>
        <v/>
      </c>
      <c r="X77" s="217" t="str">
        <f t="shared" si="17"/>
        <v/>
      </c>
      <c r="Y77" s="217" t="str">
        <f t="shared" si="17"/>
        <v>nMullHorizontal</v>
      </c>
    </row>
    <row r="78" spans="1:25" x14ac:dyDescent="0.3">
      <c r="A78" s="216">
        <f t="shared" si="15"/>
        <v>76</v>
      </c>
      <c r="B78" s="217" t="str">
        <f t="shared" si="16"/>
        <v/>
      </c>
      <c r="C78" s="217" t="str">
        <f t="shared" si="16"/>
        <v/>
      </c>
      <c r="D78" s="217" t="str">
        <f t="shared" si="16"/>
        <v/>
      </c>
      <c r="E78" s="217" t="str">
        <f t="shared" si="16"/>
        <v/>
      </c>
      <c r="F78" s="217" t="str">
        <f t="shared" si="16"/>
        <v/>
      </c>
      <c r="G78" s="217" t="str">
        <f t="shared" si="16"/>
        <v/>
      </c>
      <c r="H78" s="217" t="str">
        <f t="shared" si="16"/>
        <v/>
      </c>
      <c r="I78" s="217" t="str">
        <f t="shared" si="16"/>
        <v/>
      </c>
      <c r="J78" s="217" t="str">
        <f t="shared" si="16"/>
        <v/>
      </c>
      <c r="K78" s="217" t="str">
        <f t="shared" si="16"/>
        <v/>
      </c>
      <c r="L78" s="217" t="str">
        <f t="shared" si="17"/>
        <v>info</v>
      </c>
      <c r="M78" s="217" t="str">
        <f t="shared" si="17"/>
        <v>x</v>
      </c>
      <c r="N78" s="217" t="str">
        <f t="shared" si="17"/>
        <v/>
      </c>
      <c r="O78" s="217" t="str">
        <f t="shared" si="17"/>
        <v>model</v>
      </c>
      <c r="P78" s="218" t="str">
        <f t="shared" si="17"/>
        <v>Integer</v>
      </c>
      <c r="Q78" s="218" t="str">
        <f t="shared" si="17"/>
        <v>x</v>
      </c>
      <c r="R78" s="218" t="str">
        <f t="shared" si="17"/>
        <v>BS</v>
      </c>
      <c r="S78" s="218" t="str">
        <f t="shared" si="17"/>
        <v>all</v>
      </c>
      <c r="T78" s="217">
        <f t="shared" si="17"/>
        <v>3</v>
      </c>
      <c r="U78" s="217" t="str">
        <f t="shared" si="17"/>
        <v>Sprossen - horizontal 2</v>
      </c>
      <c r="V78" s="217" t="str">
        <f t="shared" si="17"/>
        <v>x</v>
      </c>
      <c r="W78" s="217" t="str">
        <f t="shared" si="17"/>
        <v/>
      </c>
      <c r="X78" s="217" t="str">
        <f t="shared" si="17"/>
        <v/>
      </c>
      <c r="Y78" s="217" t="str">
        <f t="shared" si="17"/>
        <v>nMullHorizontal2</v>
      </c>
    </row>
    <row r="79" spans="1:25" x14ac:dyDescent="0.3">
      <c r="A79" s="216">
        <f t="shared" si="15"/>
        <v>77</v>
      </c>
      <c r="B79" s="217" t="str">
        <f t="shared" si="16"/>
        <v>x</v>
      </c>
      <c r="C79" s="217" t="str">
        <f t="shared" si="16"/>
        <v/>
      </c>
      <c r="D79" s="217" t="str">
        <f t="shared" si="16"/>
        <v/>
      </c>
      <c r="E79" s="217" t="str">
        <f t="shared" si="16"/>
        <v/>
      </c>
      <c r="F79" s="217" t="str">
        <f t="shared" si="16"/>
        <v/>
      </c>
      <c r="G79" s="217" t="str">
        <f t="shared" si="16"/>
        <v/>
      </c>
      <c r="H79" s="217" t="str">
        <f t="shared" si="16"/>
        <v/>
      </c>
      <c r="I79" s="217" t="str">
        <f t="shared" si="16"/>
        <v/>
      </c>
      <c r="J79" s="217" t="str">
        <f t="shared" si="16"/>
        <v/>
      </c>
      <c r="K79" s="217" t="str">
        <f t="shared" si="16"/>
        <v/>
      </c>
      <c r="L79" s="217" t="str">
        <f t="shared" si="17"/>
        <v>info</v>
      </c>
      <c r="M79" s="217" t="str">
        <f t="shared" si="17"/>
        <v>x</v>
      </c>
      <c r="N79" s="217" t="str">
        <f t="shared" si="17"/>
        <v/>
      </c>
      <c r="O79" s="217" t="str">
        <f t="shared" si="17"/>
        <v>model</v>
      </c>
      <c r="P79" s="218" t="str">
        <f t="shared" si="17"/>
        <v>Integer</v>
      </c>
      <c r="Q79" s="218" t="str">
        <f t="shared" si="17"/>
        <v>x</v>
      </c>
      <c r="R79" s="218" t="str">
        <f t="shared" si="17"/>
        <v>BS</v>
      </c>
      <c r="S79" s="218" t="str">
        <f t="shared" si="17"/>
        <v>all</v>
      </c>
      <c r="T79" s="217">
        <f t="shared" si="17"/>
        <v>2</v>
      </c>
      <c r="U79" s="217" t="str">
        <f t="shared" si="17"/>
        <v>Sprossen vertical</v>
      </c>
      <c r="V79" s="217" t="str">
        <f t="shared" si="17"/>
        <v>x</v>
      </c>
      <c r="W79" s="217" t="str">
        <f t="shared" si="17"/>
        <v/>
      </c>
      <c r="X79" s="217" t="str">
        <f t="shared" si="17"/>
        <v/>
      </c>
      <c r="Y79" s="217" t="str">
        <f t="shared" si="17"/>
        <v>nMullVertical</v>
      </c>
    </row>
    <row r="80" spans="1:25" x14ac:dyDescent="0.3">
      <c r="A80" s="216">
        <f t="shared" si="15"/>
        <v>78</v>
      </c>
      <c r="B80" s="217" t="str">
        <f t="shared" si="16"/>
        <v/>
      </c>
      <c r="C80" s="217" t="str">
        <f t="shared" si="16"/>
        <v/>
      </c>
      <c r="D80" s="217" t="str">
        <f t="shared" si="16"/>
        <v/>
      </c>
      <c r="E80" s="217" t="str">
        <f t="shared" si="16"/>
        <v/>
      </c>
      <c r="F80" s="217" t="str">
        <f t="shared" si="16"/>
        <v/>
      </c>
      <c r="G80" s="217" t="str">
        <f t="shared" si="16"/>
        <v/>
      </c>
      <c r="H80" s="217" t="str">
        <f t="shared" si="16"/>
        <v/>
      </c>
      <c r="I80" s="217" t="str">
        <f t="shared" si="16"/>
        <v/>
      </c>
      <c r="J80" s="217" t="str">
        <f t="shared" si="16"/>
        <v/>
      </c>
      <c r="K80" s="217" t="str">
        <f t="shared" si="16"/>
        <v/>
      </c>
      <c r="L80" s="217" t="str">
        <f t="shared" si="17"/>
        <v>info</v>
      </c>
      <c r="M80" s="217" t="str">
        <f t="shared" si="17"/>
        <v>x</v>
      </c>
      <c r="N80" s="217" t="str">
        <f t="shared" si="17"/>
        <v/>
      </c>
      <c r="O80" s="217" t="str">
        <f t="shared" si="17"/>
        <v>model</v>
      </c>
      <c r="P80" s="218" t="str">
        <f t="shared" si="17"/>
        <v>Integer</v>
      </c>
      <c r="Q80" s="218" t="str">
        <f t="shared" si="17"/>
        <v>x</v>
      </c>
      <c r="R80" s="218" t="str">
        <f t="shared" si="17"/>
        <v>BS</v>
      </c>
      <c r="S80" s="218" t="str">
        <f t="shared" si="17"/>
        <v>all</v>
      </c>
      <c r="T80" s="217">
        <f t="shared" si="17"/>
        <v>2</v>
      </c>
      <c r="U80" s="217" t="str">
        <f t="shared" si="17"/>
        <v>Sprossen - vertikal 2</v>
      </c>
      <c r="V80" s="217" t="str">
        <f t="shared" si="17"/>
        <v>x</v>
      </c>
      <c r="W80" s="217" t="str">
        <f t="shared" si="17"/>
        <v/>
      </c>
      <c r="X80" s="217" t="str">
        <f t="shared" si="17"/>
        <v/>
      </c>
      <c r="Y80" s="217" t="str">
        <f t="shared" si="17"/>
        <v>nMullVertical2</v>
      </c>
    </row>
    <row r="81" spans="1:25" x14ac:dyDescent="0.3">
      <c r="A81" s="216">
        <f t="shared" si="15"/>
        <v>79</v>
      </c>
      <c r="B81" s="217" t="str">
        <f t="shared" si="16"/>
        <v>x</v>
      </c>
      <c r="C81" s="217" t="str">
        <f t="shared" si="16"/>
        <v/>
      </c>
      <c r="D81" s="217" t="str">
        <f t="shared" si="16"/>
        <v/>
      </c>
      <c r="E81" s="217" t="str">
        <f t="shared" si="16"/>
        <v/>
      </c>
      <c r="F81" s="217" t="str">
        <f t="shared" si="16"/>
        <v/>
      </c>
      <c r="G81" s="217" t="str">
        <f t="shared" si="16"/>
        <v/>
      </c>
      <c r="H81" s="217" t="str">
        <f t="shared" si="16"/>
        <v/>
      </c>
      <c r="I81" s="217" t="str">
        <f t="shared" si="16"/>
        <v/>
      </c>
      <c r="J81" s="217" t="str">
        <f t="shared" si="16"/>
        <v/>
      </c>
      <c r="K81" s="217" t="str">
        <f t="shared" si="16"/>
        <v/>
      </c>
      <c r="L81" s="217" t="str">
        <f t="shared" si="17"/>
        <v>info</v>
      </c>
      <c r="M81" s="217" t="str">
        <f t="shared" si="17"/>
        <v>x</v>
      </c>
      <c r="N81" s="217" t="str">
        <f t="shared" si="17"/>
        <v/>
      </c>
      <c r="O81" s="217" t="str">
        <f t="shared" si="17"/>
        <v>model</v>
      </c>
      <c r="P81" s="218" t="str">
        <f t="shared" si="17"/>
        <v>Length</v>
      </c>
      <c r="Q81" s="218" t="str">
        <f t="shared" si="17"/>
        <v>x</v>
      </c>
      <c r="R81" s="218" t="str">
        <f t="shared" si="17"/>
        <v>BS</v>
      </c>
      <c r="S81" s="218" t="str">
        <f t="shared" si="17"/>
        <v>all</v>
      </c>
      <c r="T81" s="217">
        <f t="shared" si="17"/>
        <v>2.5000000000000001E-2</v>
      </c>
      <c r="U81" s="217" t="str">
        <f t="shared" si="17"/>
        <v>Sprossenbreite</v>
      </c>
      <c r="V81" s="217" t="str">
        <f t="shared" si="17"/>
        <v>x</v>
      </c>
      <c r="W81" s="217" t="str">
        <f t="shared" si="17"/>
        <v/>
      </c>
      <c r="X81" s="217" t="str">
        <f t="shared" si="17"/>
        <v/>
      </c>
      <c r="Y81" s="217" t="str">
        <f t="shared" si="17"/>
        <v>mullWidth</v>
      </c>
    </row>
    <row r="82" spans="1:25" x14ac:dyDescent="0.3">
      <c r="A82" s="216">
        <f t="shared" si="15"/>
        <v>80</v>
      </c>
      <c r="B82" s="217" t="str">
        <f t="shared" si="16"/>
        <v/>
      </c>
      <c r="C82" s="217" t="str">
        <f t="shared" si="16"/>
        <v/>
      </c>
      <c r="D82" s="217" t="str">
        <f t="shared" si="16"/>
        <v/>
      </c>
      <c r="E82" s="217" t="str">
        <f t="shared" si="16"/>
        <v/>
      </c>
      <c r="F82" s="217" t="str">
        <f t="shared" si="16"/>
        <v/>
      </c>
      <c r="G82" s="217" t="str">
        <f t="shared" si="16"/>
        <v/>
      </c>
      <c r="H82" s="217" t="str">
        <f t="shared" si="16"/>
        <v/>
      </c>
      <c r="I82" s="217" t="str">
        <f t="shared" si="16"/>
        <v/>
      </c>
      <c r="J82" s="217" t="str">
        <f t="shared" si="16"/>
        <v/>
      </c>
      <c r="K82" s="217" t="str">
        <f t="shared" si="16"/>
        <v/>
      </c>
      <c r="L82" s="217" t="str">
        <f t="shared" si="17"/>
        <v>info</v>
      </c>
      <c r="M82" s="217" t="str">
        <f t="shared" si="17"/>
        <v>x</v>
      </c>
      <c r="N82" s="217" t="str">
        <f t="shared" si="17"/>
        <v/>
      </c>
      <c r="O82" s="217" t="str">
        <f t="shared" si="17"/>
        <v>model</v>
      </c>
      <c r="P82" s="218" t="str">
        <f t="shared" si="17"/>
        <v>Length</v>
      </c>
      <c r="Q82" s="218" t="str">
        <f t="shared" si="17"/>
        <v>x</v>
      </c>
      <c r="R82" s="218" t="str">
        <f t="shared" si="17"/>
        <v>BS</v>
      </c>
      <c r="S82" s="218" t="str">
        <f t="shared" si="17"/>
        <v>all</v>
      </c>
      <c r="T82" s="217">
        <f t="shared" si="17"/>
        <v>2.5000000000000001E-2</v>
      </c>
      <c r="U82" s="217" t="str">
        <f t="shared" si="17"/>
        <v>Sprossenbreite 2</v>
      </c>
      <c r="V82" s="217" t="str">
        <f t="shared" si="17"/>
        <v>x</v>
      </c>
      <c r="W82" s="217" t="str">
        <f t="shared" si="17"/>
        <v/>
      </c>
      <c r="X82" s="217" t="str">
        <f t="shared" si="17"/>
        <v/>
      </c>
      <c r="Y82" s="217" t="str">
        <f t="shared" si="17"/>
        <v>mullWidth2</v>
      </c>
    </row>
    <row r="83" spans="1:25" x14ac:dyDescent="0.3">
      <c r="A83" s="216">
        <f t="shared" si="15"/>
        <v>81</v>
      </c>
      <c r="B83" s="217" t="str">
        <f t="shared" ref="B83:K92" si="18">IF(ISNONTEXT(B$2),IF(B$2="","",IF(INDEX(IMPORT,$A83,B$2)=0,"",IFERROR(VLOOKUP(INDEX(IMPORT,$A83,B$2),ImportTranslation,2,0),INDEX(IMPORT,$A83,B$2)))),B$2)</f>
        <v>x</v>
      </c>
      <c r="C83" s="217" t="str">
        <f t="shared" si="18"/>
        <v/>
      </c>
      <c r="D83" s="217" t="str">
        <f t="shared" si="18"/>
        <v/>
      </c>
      <c r="E83" s="217" t="str">
        <f t="shared" si="18"/>
        <v/>
      </c>
      <c r="F83" s="217" t="str">
        <f t="shared" si="18"/>
        <v/>
      </c>
      <c r="G83" s="217" t="str">
        <f t="shared" si="18"/>
        <v/>
      </c>
      <c r="H83" s="217" t="str">
        <f t="shared" si="18"/>
        <v/>
      </c>
      <c r="I83" s="217" t="str">
        <f t="shared" si="18"/>
        <v/>
      </c>
      <c r="J83" s="217" t="str">
        <f t="shared" si="18"/>
        <v/>
      </c>
      <c r="K83" s="217" t="str">
        <f t="shared" si="18"/>
        <v/>
      </c>
      <c r="L83" s="217" t="str">
        <f t="shared" ref="L83:Y92" si="19">IF(ISNONTEXT(L$2),IF(L$2="","",IF(INDEX(IMPORT,$A83,L$2)=0,"",IFERROR(VLOOKUP(INDEX(IMPORT,$A83,L$2),ImportTranslation,2,0),INDEX(IMPORT,$A83,L$2)))),L$2)</f>
        <v>info</v>
      </c>
      <c r="M83" s="217" t="str">
        <f t="shared" si="19"/>
        <v>x</v>
      </c>
      <c r="N83" s="217" t="str">
        <f t="shared" si="19"/>
        <v/>
      </c>
      <c r="O83" s="217" t="str">
        <f t="shared" si="19"/>
        <v>model</v>
      </c>
      <c r="P83" s="218" t="str">
        <f t="shared" si="19"/>
        <v>Length</v>
      </c>
      <c r="Q83" s="218" t="str">
        <f t="shared" si="19"/>
        <v>x</v>
      </c>
      <c r="R83" s="218" t="str">
        <f t="shared" si="19"/>
        <v>BS</v>
      </c>
      <c r="S83" s="218" t="str">
        <f t="shared" si="19"/>
        <v>all</v>
      </c>
      <c r="T83" s="217">
        <f t="shared" si="19"/>
        <v>2.5000000000000001E-2</v>
      </c>
      <c r="U83" s="217" t="str">
        <f t="shared" si="19"/>
        <v>Sprossentiefe</v>
      </c>
      <c r="V83" s="217" t="str">
        <f t="shared" si="19"/>
        <v>x</v>
      </c>
      <c r="W83" s="217" t="str">
        <f t="shared" si="19"/>
        <v/>
      </c>
      <c r="X83" s="217" t="str">
        <f t="shared" si="19"/>
        <v/>
      </c>
      <c r="Y83" s="217" t="str">
        <f t="shared" si="19"/>
        <v>mullThickness</v>
      </c>
    </row>
    <row r="84" spans="1:25" x14ac:dyDescent="0.3">
      <c r="A84" s="216">
        <f t="shared" si="15"/>
        <v>82</v>
      </c>
      <c r="B84" s="217" t="str">
        <f t="shared" si="18"/>
        <v/>
      </c>
      <c r="C84" s="217" t="str">
        <f t="shared" si="18"/>
        <v/>
      </c>
      <c r="D84" s="217" t="str">
        <f t="shared" si="18"/>
        <v/>
      </c>
      <c r="E84" s="217" t="str">
        <f t="shared" si="18"/>
        <v/>
      </c>
      <c r="F84" s="217" t="str">
        <f t="shared" si="18"/>
        <v/>
      </c>
      <c r="G84" s="217" t="str">
        <f t="shared" si="18"/>
        <v/>
      </c>
      <c r="H84" s="217" t="str">
        <f t="shared" si="18"/>
        <v/>
      </c>
      <c r="I84" s="217" t="str">
        <f t="shared" si="18"/>
        <v/>
      </c>
      <c r="J84" s="217" t="str">
        <f t="shared" si="18"/>
        <v/>
      </c>
      <c r="K84" s="217" t="str">
        <f t="shared" si="18"/>
        <v/>
      </c>
      <c r="L84" s="217" t="str">
        <f t="shared" si="19"/>
        <v>info</v>
      </c>
      <c r="M84" s="217" t="str">
        <f t="shared" si="19"/>
        <v>x</v>
      </c>
      <c r="N84" s="217" t="str">
        <f t="shared" si="19"/>
        <v/>
      </c>
      <c r="O84" s="217" t="str">
        <f t="shared" si="19"/>
        <v>model</v>
      </c>
      <c r="P84" s="218" t="str">
        <f t="shared" si="19"/>
        <v>Length</v>
      </c>
      <c r="Q84" s="218" t="str">
        <f t="shared" si="19"/>
        <v>x</v>
      </c>
      <c r="R84" s="218" t="str">
        <f t="shared" si="19"/>
        <v>BS</v>
      </c>
      <c r="S84" s="218" t="str">
        <f t="shared" si="19"/>
        <v>all</v>
      </c>
      <c r="T84" s="217">
        <f t="shared" si="19"/>
        <v>2.5000000000000001E-2</v>
      </c>
      <c r="U84" s="217" t="str">
        <f t="shared" si="19"/>
        <v>Sprossentiefe 2</v>
      </c>
      <c r="V84" s="217" t="str">
        <f t="shared" si="19"/>
        <v>x</v>
      </c>
      <c r="W84" s="217" t="str">
        <f t="shared" si="19"/>
        <v/>
      </c>
      <c r="X84" s="217" t="str">
        <f t="shared" si="19"/>
        <v/>
      </c>
      <c r="Y84" s="217" t="str">
        <f t="shared" si="19"/>
        <v>mullThickness2</v>
      </c>
    </row>
    <row r="85" spans="1:25" x14ac:dyDescent="0.3">
      <c r="A85" s="216">
        <f t="shared" si="15"/>
        <v>83</v>
      </c>
      <c r="B85" s="217" t="str">
        <f t="shared" si="18"/>
        <v>x</v>
      </c>
      <c r="C85" s="217" t="str">
        <f t="shared" si="18"/>
        <v/>
      </c>
      <c r="D85" s="217" t="str">
        <f t="shared" si="18"/>
        <v/>
      </c>
      <c r="E85" s="217" t="str">
        <f t="shared" si="18"/>
        <v/>
      </c>
      <c r="F85" s="217" t="str">
        <f t="shared" si="18"/>
        <v/>
      </c>
      <c r="G85" s="217" t="str">
        <f t="shared" si="18"/>
        <v/>
      </c>
      <c r="H85" s="217" t="str">
        <f t="shared" si="18"/>
        <v/>
      </c>
      <c r="I85" s="217" t="str">
        <f t="shared" si="18"/>
        <v/>
      </c>
      <c r="J85" s="217" t="str">
        <f t="shared" si="18"/>
        <v/>
      </c>
      <c r="K85" s="217" t="str">
        <f t="shared" si="18"/>
        <v/>
      </c>
      <c r="L85" s="217" t="str">
        <f t="shared" si="19"/>
        <v>info</v>
      </c>
      <c r="M85" s="217" t="str">
        <f t="shared" si="19"/>
        <v>x</v>
      </c>
      <c r="N85" s="217" t="str">
        <f t="shared" si="19"/>
        <v/>
      </c>
      <c r="O85" s="217" t="str">
        <f t="shared" si="19"/>
        <v>model</v>
      </c>
      <c r="P85" s="218" t="str">
        <f t="shared" si="19"/>
        <v>Length</v>
      </c>
      <c r="Q85" s="218" t="str">
        <f t="shared" si="19"/>
        <v>x</v>
      </c>
      <c r="R85" s="218" t="str">
        <f t="shared" si="19"/>
        <v>BS</v>
      </c>
      <c r="S85" s="218" t="str">
        <f t="shared" si="19"/>
        <v>all</v>
      </c>
      <c r="T85" s="217">
        <f t="shared" si="19"/>
        <v>0.2</v>
      </c>
      <c r="U85" s="217" t="str">
        <f t="shared" si="19"/>
        <v>Radius Türfüllung</v>
      </c>
      <c r="V85" s="217" t="str">
        <f t="shared" si="19"/>
        <v>x</v>
      </c>
      <c r="W85" s="217" t="str">
        <f t="shared" si="19"/>
        <v/>
      </c>
      <c r="X85" s="217" t="str">
        <f t="shared" si="19"/>
        <v/>
      </c>
      <c r="Y85" s="217" t="str">
        <f t="shared" si="19"/>
        <v>radDoorFilling</v>
      </c>
    </row>
    <row r="86" spans="1:25" x14ac:dyDescent="0.3">
      <c r="A86" s="216">
        <f t="shared" si="15"/>
        <v>84</v>
      </c>
      <c r="B86" s="217" t="str">
        <f t="shared" si="18"/>
        <v/>
      </c>
      <c r="C86" s="217" t="str">
        <f t="shared" si="18"/>
        <v/>
      </c>
      <c r="D86" s="217" t="str">
        <f t="shared" si="18"/>
        <v/>
      </c>
      <c r="E86" s="217" t="str">
        <f t="shared" si="18"/>
        <v/>
      </c>
      <c r="F86" s="217" t="str">
        <f t="shared" si="18"/>
        <v/>
      </c>
      <c r="G86" s="217" t="str">
        <f t="shared" si="18"/>
        <v/>
      </c>
      <c r="H86" s="217" t="str">
        <f t="shared" si="18"/>
        <v/>
      </c>
      <c r="I86" s="217" t="str">
        <f t="shared" si="18"/>
        <v/>
      </c>
      <c r="J86" s="217" t="str">
        <f t="shared" si="18"/>
        <v/>
      </c>
      <c r="K86" s="217" t="str">
        <f t="shared" si="18"/>
        <v/>
      </c>
      <c r="L86" s="217" t="str">
        <f t="shared" si="19"/>
        <v>info</v>
      </c>
      <c r="M86" s="217" t="str">
        <f t="shared" si="19"/>
        <v>x</v>
      </c>
      <c r="N86" s="217" t="str">
        <f t="shared" si="19"/>
        <v/>
      </c>
      <c r="O86" s="217" t="str">
        <f t="shared" si="19"/>
        <v>model</v>
      </c>
      <c r="P86" s="218" t="str">
        <f t="shared" si="19"/>
        <v>Length</v>
      </c>
      <c r="Q86" s="218" t="str">
        <f t="shared" si="19"/>
        <v>x</v>
      </c>
      <c r="R86" s="218" t="str">
        <f t="shared" si="19"/>
        <v>BS</v>
      </c>
      <c r="S86" s="218" t="str">
        <f t="shared" si="19"/>
        <v>all</v>
      </c>
      <c r="T86" s="217">
        <f t="shared" si="19"/>
        <v>0.2</v>
      </c>
      <c r="U86" s="217" t="str">
        <f t="shared" si="19"/>
        <v>Radius Türfüllung Radius 2</v>
      </c>
      <c r="V86" s="217" t="str">
        <f t="shared" si="19"/>
        <v>x</v>
      </c>
      <c r="W86" s="217" t="str">
        <f t="shared" si="19"/>
        <v/>
      </c>
      <c r="X86" s="217" t="str">
        <f t="shared" si="19"/>
        <v/>
      </c>
      <c r="Y86" s="217" t="str">
        <f t="shared" si="19"/>
        <v>radDoorFilling2</v>
      </c>
    </row>
    <row r="87" spans="1:25" x14ac:dyDescent="0.3">
      <c r="A87" s="216">
        <f t="shared" si="15"/>
        <v>85</v>
      </c>
      <c r="B87" s="217" t="str">
        <f t="shared" si="18"/>
        <v>x</v>
      </c>
      <c r="C87" s="217" t="str">
        <f t="shared" si="18"/>
        <v/>
      </c>
      <c r="D87" s="217" t="str">
        <f t="shared" si="18"/>
        <v/>
      </c>
      <c r="E87" s="217" t="str">
        <f t="shared" si="18"/>
        <v/>
      </c>
      <c r="F87" s="217" t="str">
        <f t="shared" si="18"/>
        <v/>
      </c>
      <c r="G87" s="217" t="str">
        <f t="shared" si="18"/>
        <v/>
      </c>
      <c r="H87" s="217" t="str">
        <f t="shared" si="18"/>
        <v/>
      </c>
      <c r="I87" s="217" t="str">
        <f t="shared" si="18"/>
        <v/>
      </c>
      <c r="J87" s="217" t="str">
        <f t="shared" si="18"/>
        <v/>
      </c>
      <c r="K87" s="217" t="str">
        <f t="shared" si="18"/>
        <v/>
      </c>
      <c r="L87" s="217" t="str">
        <f t="shared" si="19"/>
        <v>info</v>
      </c>
      <c r="M87" s="217" t="str">
        <f t="shared" si="19"/>
        <v>x</v>
      </c>
      <c r="N87" s="217" t="str">
        <f t="shared" si="19"/>
        <v/>
      </c>
      <c r="O87" s="217" t="str">
        <f t="shared" si="19"/>
        <v>model</v>
      </c>
      <c r="P87" s="218" t="str">
        <f t="shared" si="19"/>
        <v>Length</v>
      </c>
      <c r="Q87" s="218" t="str">
        <f t="shared" si="19"/>
        <v>x</v>
      </c>
      <c r="R87" s="218" t="str">
        <f t="shared" si="19"/>
        <v>BS</v>
      </c>
      <c r="S87" s="218" t="str">
        <f t="shared" si="19"/>
        <v>all</v>
      </c>
      <c r="T87" s="217">
        <f t="shared" si="19"/>
        <v>0.35</v>
      </c>
      <c r="U87" s="217" t="str">
        <f t="shared" si="19"/>
        <v>Abstand Mittelpunkt - links</v>
      </c>
      <c r="V87" s="217" t="str">
        <f t="shared" si="19"/>
        <v>x</v>
      </c>
      <c r="W87" s="217" t="str">
        <f t="shared" si="19"/>
        <v/>
      </c>
      <c r="X87" s="217" t="str">
        <f t="shared" si="19"/>
        <v/>
      </c>
      <c r="Y87" s="217" t="str">
        <f t="shared" si="19"/>
        <v>centerOffsetLeft</v>
      </c>
    </row>
    <row r="88" spans="1:25" x14ac:dyDescent="0.3">
      <c r="A88" s="216">
        <f t="shared" si="15"/>
        <v>86</v>
      </c>
      <c r="B88" s="217" t="str">
        <f t="shared" si="18"/>
        <v/>
      </c>
      <c r="C88" s="217" t="str">
        <f t="shared" si="18"/>
        <v/>
      </c>
      <c r="D88" s="217" t="str">
        <f t="shared" si="18"/>
        <v/>
      </c>
      <c r="E88" s="217" t="str">
        <f t="shared" si="18"/>
        <v/>
      </c>
      <c r="F88" s="217" t="str">
        <f t="shared" si="18"/>
        <v/>
      </c>
      <c r="G88" s="217" t="str">
        <f t="shared" si="18"/>
        <v/>
      </c>
      <c r="H88" s="217" t="str">
        <f t="shared" si="18"/>
        <v/>
      </c>
      <c r="I88" s="217" t="str">
        <f t="shared" si="18"/>
        <v/>
      </c>
      <c r="J88" s="217" t="str">
        <f t="shared" si="18"/>
        <v/>
      </c>
      <c r="K88" s="217" t="str">
        <f t="shared" si="18"/>
        <v/>
      </c>
      <c r="L88" s="217" t="str">
        <f t="shared" si="19"/>
        <v>info</v>
      </c>
      <c r="M88" s="217" t="str">
        <f t="shared" si="19"/>
        <v>x</v>
      </c>
      <c r="N88" s="217" t="str">
        <f t="shared" si="19"/>
        <v/>
      </c>
      <c r="O88" s="217" t="str">
        <f t="shared" si="19"/>
        <v>model</v>
      </c>
      <c r="P88" s="218" t="str">
        <f t="shared" si="19"/>
        <v>Length</v>
      </c>
      <c r="Q88" s="218" t="str">
        <f t="shared" si="19"/>
        <v>x</v>
      </c>
      <c r="R88" s="218" t="str">
        <f t="shared" si="19"/>
        <v>BS</v>
      </c>
      <c r="S88" s="218" t="str">
        <f t="shared" si="19"/>
        <v>all</v>
      </c>
      <c r="T88" s="217">
        <f t="shared" si="19"/>
        <v>0.35</v>
      </c>
      <c r="U88" s="217" t="str">
        <f t="shared" si="19"/>
        <v>Abstand Mittelpunkt - links 2</v>
      </c>
      <c r="V88" s="217" t="str">
        <f t="shared" si="19"/>
        <v>x</v>
      </c>
      <c r="W88" s="217" t="str">
        <f t="shared" si="19"/>
        <v/>
      </c>
      <c r="X88" s="217" t="str">
        <f t="shared" si="19"/>
        <v/>
      </c>
      <c r="Y88" s="217" t="str">
        <f t="shared" si="19"/>
        <v>centerOffsetLeft2</v>
      </c>
    </row>
    <row r="89" spans="1:25" x14ac:dyDescent="0.3">
      <c r="A89" s="216">
        <f t="shared" si="15"/>
        <v>87</v>
      </c>
      <c r="B89" s="217" t="str">
        <f t="shared" si="18"/>
        <v>x</v>
      </c>
      <c r="C89" s="217" t="str">
        <f t="shared" si="18"/>
        <v/>
      </c>
      <c r="D89" s="217" t="str">
        <f t="shared" si="18"/>
        <v/>
      </c>
      <c r="E89" s="217" t="str">
        <f t="shared" si="18"/>
        <v/>
      </c>
      <c r="F89" s="217" t="str">
        <f t="shared" si="18"/>
        <v/>
      </c>
      <c r="G89" s="217" t="str">
        <f t="shared" si="18"/>
        <v/>
      </c>
      <c r="H89" s="217" t="str">
        <f t="shared" si="18"/>
        <v/>
      </c>
      <c r="I89" s="217" t="str">
        <f t="shared" si="18"/>
        <v/>
      </c>
      <c r="J89" s="217" t="str">
        <f t="shared" si="18"/>
        <v/>
      </c>
      <c r="K89" s="217" t="str">
        <f t="shared" si="18"/>
        <v/>
      </c>
      <c r="L89" s="217" t="str">
        <f t="shared" si="19"/>
        <v>info</v>
      </c>
      <c r="M89" s="217" t="str">
        <f t="shared" si="19"/>
        <v>x</v>
      </c>
      <c r="N89" s="217" t="str">
        <f t="shared" si="19"/>
        <v/>
      </c>
      <c r="O89" s="217" t="str">
        <f t="shared" si="19"/>
        <v>model</v>
      </c>
      <c r="P89" s="218" t="str">
        <f t="shared" si="19"/>
        <v>Length</v>
      </c>
      <c r="Q89" s="218" t="str">
        <f t="shared" si="19"/>
        <v>x</v>
      </c>
      <c r="R89" s="218" t="str">
        <f t="shared" si="19"/>
        <v>BS</v>
      </c>
      <c r="S89" s="218" t="str">
        <f t="shared" si="19"/>
        <v>all</v>
      </c>
      <c r="T89" s="217">
        <f t="shared" si="19"/>
        <v>0.98</v>
      </c>
      <c r="U89" s="217" t="str">
        <f t="shared" si="19"/>
        <v>Abstand Mittelpunkt - rechts</v>
      </c>
      <c r="V89" s="217" t="str">
        <f t="shared" si="19"/>
        <v>x</v>
      </c>
      <c r="W89" s="217" t="str">
        <f t="shared" si="19"/>
        <v/>
      </c>
      <c r="X89" s="217" t="str">
        <f t="shared" si="19"/>
        <v/>
      </c>
      <c r="Y89" s="217" t="str">
        <f t="shared" si="19"/>
        <v>centerOffsetRight</v>
      </c>
    </row>
    <row r="90" spans="1:25" x14ac:dyDescent="0.3">
      <c r="A90" s="216">
        <f t="shared" si="15"/>
        <v>88</v>
      </c>
      <c r="B90" s="217" t="str">
        <f t="shared" si="18"/>
        <v/>
      </c>
      <c r="C90" s="217" t="str">
        <f t="shared" si="18"/>
        <v/>
      </c>
      <c r="D90" s="217" t="str">
        <f t="shared" si="18"/>
        <v/>
      </c>
      <c r="E90" s="217" t="str">
        <f t="shared" si="18"/>
        <v/>
      </c>
      <c r="F90" s="217" t="str">
        <f t="shared" si="18"/>
        <v/>
      </c>
      <c r="G90" s="217" t="str">
        <f t="shared" si="18"/>
        <v/>
      </c>
      <c r="H90" s="217" t="str">
        <f t="shared" si="18"/>
        <v/>
      </c>
      <c r="I90" s="217" t="str">
        <f t="shared" si="18"/>
        <v/>
      </c>
      <c r="J90" s="217" t="str">
        <f t="shared" si="18"/>
        <v/>
      </c>
      <c r="K90" s="217" t="str">
        <f t="shared" si="18"/>
        <v/>
      </c>
      <c r="L90" s="217" t="str">
        <f t="shared" si="19"/>
        <v>info</v>
      </c>
      <c r="M90" s="217" t="str">
        <f t="shared" si="19"/>
        <v>x</v>
      </c>
      <c r="N90" s="217" t="str">
        <f t="shared" si="19"/>
        <v/>
      </c>
      <c r="O90" s="217" t="str">
        <f t="shared" si="19"/>
        <v>model</v>
      </c>
      <c r="P90" s="218" t="str">
        <f t="shared" si="19"/>
        <v>Length</v>
      </c>
      <c r="Q90" s="218" t="str">
        <f t="shared" si="19"/>
        <v>x</v>
      </c>
      <c r="R90" s="218" t="str">
        <f t="shared" si="19"/>
        <v>BS</v>
      </c>
      <c r="S90" s="218" t="str">
        <f t="shared" si="19"/>
        <v>all</v>
      </c>
      <c r="T90" s="217">
        <f t="shared" si="19"/>
        <v>0.98</v>
      </c>
      <c r="U90" s="217" t="str">
        <f t="shared" si="19"/>
        <v>Abstand Mittelpunkt - rechts 2</v>
      </c>
      <c r="V90" s="217" t="str">
        <f t="shared" si="19"/>
        <v>x</v>
      </c>
      <c r="W90" s="217" t="str">
        <f t="shared" si="19"/>
        <v/>
      </c>
      <c r="X90" s="217" t="str">
        <f t="shared" si="19"/>
        <v/>
      </c>
      <c r="Y90" s="217" t="str">
        <f t="shared" si="19"/>
        <v>centerOffsetRight2</v>
      </c>
    </row>
    <row r="91" spans="1:25" x14ac:dyDescent="0.3">
      <c r="A91" s="216">
        <f t="shared" si="15"/>
        <v>89</v>
      </c>
      <c r="B91" s="217" t="str">
        <f t="shared" si="18"/>
        <v>x</v>
      </c>
      <c r="C91" s="217" t="str">
        <f t="shared" si="18"/>
        <v/>
      </c>
      <c r="D91" s="217" t="str">
        <f t="shared" si="18"/>
        <v/>
      </c>
      <c r="E91" s="217" t="str">
        <f t="shared" si="18"/>
        <v/>
      </c>
      <c r="F91" s="217" t="str">
        <f t="shared" si="18"/>
        <v/>
      </c>
      <c r="G91" s="217" t="str">
        <f t="shared" si="18"/>
        <v/>
      </c>
      <c r="H91" s="217" t="str">
        <f t="shared" si="18"/>
        <v/>
      </c>
      <c r="I91" s="217" t="str">
        <f t="shared" si="18"/>
        <v/>
      </c>
      <c r="J91" s="217" t="str">
        <f t="shared" si="18"/>
        <v/>
      </c>
      <c r="K91" s="217" t="str">
        <f t="shared" si="18"/>
        <v/>
      </c>
      <c r="L91" s="217" t="str">
        <f t="shared" si="19"/>
        <v>info</v>
      </c>
      <c r="M91" s="217" t="str">
        <f t="shared" si="19"/>
        <v>x</v>
      </c>
      <c r="N91" s="217" t="str">
        <f t="shared" si="19"/>
        <v/>
      </c>
      <c r="O91" s="217" t="str">
        <f t="shared" si="19"/>
        <v>model</v>
      </c>
      <c r="P91" s="218" t="str">
        <f t="shared" si="19"/>
        <v>Length</v>
      </c>
      <c r="Q91" s="218" t="str">
        <f t="shared" si="19"/>
        <v>x</v>
      </c>
      <c r="R91" s="218" t="str">
        <f t="shared" si="19"/>
        <v>BS</v>
      </c>
      <c r="S91" s="218" t="str">
        <f t="shared" si="19"/>
        <v>all</v>
      </c>
      <c r="T91" s="217">
        <f t="shared" si="19"/>
        <v>1.4</v>
      </c>
      <c r="U91" s="217" t="str">
        <f t="shared" si="19"/>
        <v>Abstand Mittelpunkt - unten</v>
      </c>
      <c r="V91" s="217" t="str">
        <f t="shared" si="19"/>
        <v>x</v>
      </c>
      <c r="W91" s="217" t="str">
        <f t="shared" si="19"/>
        <v/>
      </c>
      <c r="X91" s="217" t="str">
        <f t="shared" si="19"/>
        <v/>
      </c>
      <c r="Y91" s="217" t="str">
        <f t="shared" si="19"/>
        <v>centerOffsetBottom</v>
      </c>
    </row>
    <row r="92" spans="1:25" x14ac:dyDescent="0.3">
      <c r="A92" s="216">
        <f t="shared" si="15"/>
        <v>90</v>
      </c>
      <c r="B92" s="217" t="str">
        <f t="shared" si="18"/>
        <v/>
      </c>
      <c r="C92" s="217" t="str">
        <f t="shared" si="18"/>
        <v/>
      </c>
      <c r="D92" s="217" t="str">
        <f t="shared" si="18"/>
        <v/>
      </c>
      <c r="E92" s="217" t="str">
        <f t="shared" si="18"/>
        <v/>
      </c>
      <c r="F92" s="217" t="str">
        <f t="shared" si="18"/>
        <v/>
      </c>
      <c r="G92" s="217" t="str">
        <f t="shared" si="18"/>
        <v/>
      </c>
      <c r="H92" s="217" t="str">
        <f t="shared" si="18"/>
        <v/>
      </c>
      <c r="I92" s="217" t="str">
        <f t="shared" si="18"/>
        <v/>
      </c>
      <c r="J92" s="217" t="str">
        <f t="shared" si="18"/>
        <v/>
      </c>
      <c r="K92" s="217" t="str">
        <f t="shared" si="18"/>
        <v/>
      </c>
      <c r="L92" s="217" t="str">
        <f t="shared" si="19"/>
        <v>info</v>
      </c>
      <c r="M92" s="217" t="str">
        <f t="shared" si="19"/>
        <v>x</v>
      </c>
      <c r="N92" s="217" t="str">
        <f t="shared" si="19"/>
        <v/>
      </c>
      <c r="O92" s="217" t="str">
        <f t="shared" si="19"/>
        <v>model</v>
      </c>
      <c r="P92" s="218" t="str">
        <f t="shared" si="19"/>
        <v>Length</v>
      </c>
      <c r="Q92" s="218" t="str">
        <f t="shared" si="19"/>
        <v>x</v>
      </c>
      <c r="R92" s="218" t="str">
        <f t="shared" si="19"/>
        <v>BS</v>
      </c>
      <c r="S92" s="218" t="str">
        <f t="shared" si="19"/>
        <v>all</v>
      </c>
      <c r="T92" s="217">
        <f t="shared" si="19"/>
        <v>1.4</v>
      </c>
      <c r="U92" s="217" t="str">
        <f t="shared" si="19"/>
        <v>Abstand Mittelpunkt - unten 2</v>
      </c>
      <c r="V92" s="217" t="str">
        <f t="shared" si="19"/>
        <v>x</v>
      </c>
      <c r="W92" s="217" t="str">
        <f t="shared" si="19"/>
        <v/>
      </c>
      <c r="X92" s="217" t="str">
        <f t="shared" si="19"/>
        <v/>
      </c>
      <c r="Y92" s="217" t="str">
        <f t="shared" si="19"/>
        <v>centerOffsetBottom2</v>
      </c>
    </row>
    <row r="93" spans="1:25" x14ac:dyDescent="0.3">
      <c r="A93" s="216">
        <f t="shared" si="15"/>
        <v>91</v>
      </c>
      <c r="B93" s="217" t="str">
        <f t="shared" ref="B93:K102" si="20">IF(ISNONTEXT(B$2),IF(B$2="","",IF(INDEX(IMPORT,$A93,B$2)=0,"",IFERROR(VLOOKUP(INDEX(IMPORT,$A93,B$2),ImportTranslation,2,0),INDEX(IMPORT,$A93,B$2)))),B$2)</f>
        <v>x</v>
      </c>
      <c r="C93" s="217" t="str">
        <f t="shared" si="20"/>
        <v/>
      </c>
      <c r="D93" s="217" t="str">
        <f t="shared" si="20"/>
        <v/>
      </c>
      <c r="E93" s="217" t="str">
        <f t="shared" si="20"/>
        <v/>
      </c>
      <c r="F93" s="217" t="str">
        <f t="shared" si="20"/>
        <v/>
      </c>
      <c r="G93" s="217" t="str">
        <f t="shared" si="20"/>
        <v/>
      </c>
      <c r="H93" s="217" t="str">
        <f t="shared" si="20"/>
        <v/>
      </c>
      <c r="I93" s="217" t="str">
        <f t="shared" si="20"/>
        <v/>
      </c>
      <c r="J93" s="217" t="str">
        <f t="shared" si="20"/>
        <v/>
      </c>
      <c r="K93" s="217" t="str">
        <f t="shared" si="20"/>
        <v/>
      </c>
      <c r="L93" s="217" t="str">
        <f t="shared" ref="L93:Y102" si="21">IF(ISNONTEXT(L$2),IF(L$2="","",IF(INDEX(IMPORT,$A93,L$2)=0,"",IFERROR(VLOOKUP(INDEX(IMPORT,$A93,L$2),ImportTranslation,2,0),INDEX(IMPORT,$A93,L$2)))),L$2)</f>
        <v>info</v>
      </c>
      <c r="M93" s="217" t="str">
        <f t="shared" si="21"/>
        <v>x</v>
      </c>
      <c r="N93" s="217" t="str">
        <f t="shared" si="21"/>
        <v/>
      </c>
      <c r="O93" s="217" t="str">
        <f t="shared" si="21"/>
        <v>model</v>
      </c>
      <c r="P93" s="218" t="str">
        <f t="shared" si="21"/>
        <v>Length</v>
      </c>
      <c r="Q93" s="218" t="str">
        <f t="shared" si="21"/>
        <v>x</v>
      </c>
      <c r="R93" s="218" t="str">
        <f t="shared" si="21"/>
        <v>BS</v>
      </c>
      <c r="S93" s="218" t="str">
        <f t="shared" si="21"/>
        <v>all</v>
      </c>
      <c r="T93" s="217">
        <f t="shared" si="21"/>
        <v>0.51500000000000001</v>
      </c>
      <c r="U93" s="217" t="str">
        <f t="shared" si="21"/>
        <v>Abstand Mittelpunkt - oben</v>
      </c>
      <c r="V93" s="217" t="str">
        <f t="shared" si="21"/>
        <v>x</v>
      </c>
      <c r="W93" s="217" t="str">
        <f t="shared" si="21"/>
        <v/>
      </c>
      <c r="X93" s="217" t="str">
        <f t="shared" si="21"/>
        <v/>
      </c>
      <c r="Y93" s="217" t="str">
        <f t="shared" si="21"/>
        <v>centerOffsetTop</v>
      </c>
    </row>
    <row r="94" spans="1:25" x14ac:dyDescent="0.3">
      <c r="A94" s="216">
        <f t="shared" si="15"/>
        <v>92</v>
      </c>
      <c r="B94" s="217" t="str">
        <f t="shared" si="20"/>
        <v/>
      </c>
      <c r="C94" s="217" t="str">
        <f t="shared" si="20"/>
        <v/>
      </c>
      <c r="D94" s="217" t="str">
        <f t="shared" si="20"/>
        <v/>
      </c>
      <c r="E94" s="217" t="str">
        <f t="shared" si="20"/>
        <v/>
      </c>
      <c r="F94" s="217" t="str">
        <f t="shared" si="20"/>
        <v/>
      </c>
      <c r="G94" s="217" t="str">
        <f t="shared" si="20"/>
        <v/>
      </c>
      <c r="H94" s="217" t="str">
        <f t="shared" si="20"/>
        <v/>
      </c>
      <c r="I94" s="217" t="str">
        <f t="shared" si="20"/>
        <v/>
      </c>
      <c r="J94" s="217" t="str">
        <f t="shared" si="20"/>
        <v/>
      </c>
      <c r="K94" s="217" t="str">
        <f t="shared" si="20"/>
        <v/>
      </c>
      <c r="L94" s="217" t="str">
        <f t="shared" si="21"/>
        <v>info</v>
      </c>
      <c r="M94" s="217" t="str">
        <f t="shared" si="21"/>
        <v>x</v>
      </c>
      <c r="N94" s="217" t="str">
        <f t="shared" si="21"/>
        <v/>
      </c>
      <c r="O94" s="217" t="str">
        <f t="shared" si="21"/>
        <v>model</v>
      </c>
      <c r="P94" s="218" t="str">
        <f t="shared" si="21"/>
        <v>Length</v>
      </c>
      <c r="Q94" s="218" t="str">
        <f t="shared" si="21"/>
        <v>x</v>
      </c>
      <c r="R94" s="218" t="str">
        <f t="shared" si="21"/>
        <v>BS</v>
      </c>
      <c r="S94" s="218" t="str">
        <f t="shared" si="21"/>
        <v>all</v>
      </c>
      <c r="T94" s="217">
        <f t="shared" si="21"/>
        <v>0.51500000000000001</v>
      </c>
      <c r="U94" s="217" t="str">
        <f t="shared" si="21"/>
        <v>Abstand Mittelpunkt - oben 2</v>
      </c>
      <c r="V94" s="217" t="str">
        <f t="shared" si="21"/>
        <v>x</v>
      </c>
      <c r="W94" s="217" t="str">
        <f t="shared" si="21"/>
        <v/>
      </c>
      <c r="X94" s="217" t="str">
        <f t="shared" si="21"/>
        <v/>
      </c>
      <c r="Y94" s="217" t="str">
        <f t="shared" si="21"/>
        <v>centerOffsetTop2</v>
      </c>
    </row>
    <row r="95" spans="1:25" x14ac:dyDescent="0.3">
      <c r="A95" s="216">
        <f t="shared" si="15"/>
        <v>93</v>
      </c>
      <c r="B95" s="217" t="str">
        <f t="shared" si="20"/>
        <v>x</v>
      </c>
      <c r="C95" s="217" t="str">
        <f t="shared" si="20"/>
        <v/>
      </c>
      <c r="D95" s="217" t="str">
        <f t="shared" si="20"/>
        <v/>
      </c>
      <c r="E95" s="217" t="str">
        <f t="shared" si="20"/>
        <v/>
      </c>
      <c r="F95" s="217" t="str">
        <f t="shared" si="20"/>
        <v/>
      </c>
      <c r="G95" s="217" t="str">
        <f t="shared" si="20"/>
        <v/>
      </c>
      <c r="H95" s="217" t="str">
        <f t="shared" si="20"/>
        <v/>
      </c>
      <c r="I95" s="217" t="str">
        <f t="shared" si="20"/>
        <v/>
      </c>
      <c r="J95" s="217" t="str">
        <f t="shared" si="20"/>
        <v/>
      </c>
      <c r="K95" s="217" t="str">
        <f t="shared" si="20"/>
        <v/>
      </c>
      <c r="L95" s="217" t="str">
        <f t="shared" si="21"/>
        <v>info</v>
      </c>
      <c r="M95" s="217" t="str">
        <f t="shared" si="21"/>
        <v/>
      </c>
      <c r="N95" s="217" t="str">
        <f t="shared" si="21"/>
        <v/>
      </c>
      <c r="O95" s="217" t="str">
        <f t="shared" si="21"/>
        <v>model</v>
      </c>
      <c r="P95" s="218" t="str">
        <f t="shared" si="21"/>
        <v>Title</v>
      </c>
      <c r="Q95" s="218" t="str">
        <f t="shared" si="21"/>
        <v>x</v>
      </c>
      <c r="R95" s="218" t="str">
        <f t="shared" si="21"/>
        <v>BS</v>
      </c>
      <c r="S95" s="218" t="str">
        <f t="shared" si="21"/>
        <v>all</v>
      </c>
      <c r="T95" s="217" t="str">
        <f t="shared" si="21"/>
        <v/>
      </c>
      <c r="U95" s="217" t="str">
        <f t="shared" si="21"/>
        <v>Türgriff</v>
      </c>
      <c r="V95" s="217" t="str">
        <f t="shared" si="21"/>
        <v/>
      </c>
      <c r="W95" s="217" t="str">
        <f t="shared" si="21"/>
        <v/>
      </c>
      <c r="X95" s="217" t="str">
        <f t="shared" si="21"/>
        <v/>
      </c>
      <c r="Y95" s="217" t="str">
        <f t="shared" si="21"/>
        <v>gs_door_handle</v>
      </c>
    </row>
    <row r="96" spans="1:25" x14ac:dyDescent="0.3">
      <c r="A96" s="216">
        <f t="shared" si="15"/>
        <v>94</v>
      </c>
      <c r="B96" s="217" t="str">
        <f t="shared" si="20"/>
        <v>x</v>
      </c>
      <c r="C96" s="217" t="str">
        <f t="shared" si="20"/>
        <v/>
      </c>
      <c r="D96" s="217" t="str">
        <f t="shared" si="20"/>
        <v/>
      </c>
      <c r="E96" s="217" t="str">
        <f t="shared" si="20"/>
        <v/>
      </c>
      <c r="F96" s="217" t="str">
        <f t="shared" si="20"/>
        <v/>
      </c>
      <c r="G96" s="217" t="str">
        <f t="shared" si="20"/>
        <v/>
      </c>
      <c r="H96" s="217" t="str">
        <f t="shared" si="20"/>
        <v/>
      </c>
      <c r="I96" s="217" t="str">
        <f t="shared" si="20"/>
        <v/>
      </c>
      <c r="J96" s="217" t="str">
        <f t="shared" si="20"/>
        <v/>
      </c>
      <c r="K96" s="217" t="str">
        <f t="shared" si="20"/>
        <v/>
      </c>
      <c r="L96" s="217" t="str">
        <f t="shared" si="21"/>
        <v>info</v>
      </c>
      <c r="M96" s="217" t="str">
        <f t="shared" si="21"/>
        <v>x</v>
      </c>
      <c r="N96" s="217" t="str">
        <f t="shared" si="21"/>
        <v/>
      </c>
      <c r="O96" s="217" t="str">
        <f t="shared" si="21"/>
        <v>model</v>
      </c>
      <c r="P96" s="218" t="str">
        <f t="shared" si="21"/>
        <v>String</v>
      </c>
      <c r="Q96" s="218" t="str">
        <f t="shared" si="21"/>
        <v>x</v>
      </c>
      <c r="R96" s="218" t="str">
        <f t="shared" si="21"/>
        <v>BS</v>
      </c>
      <c r="S96" s="218" t="str">
        <f t="shared" si="21"/>
        <v>all</v>
      </c>
      <c r="T96" s="217" t="str">
        <f t="shared" si="21"/>
        <v>Klinke 3</v>
      </c>
      <c r="U96" s="217" t="str">
        <f t="shared" si="21"/>
        <v>Klinketyp</v>
      </c>
      <c r="V96" s="217" t="str">
        <f t="shared" si="21"/>
        <v>x</v>
      </c>
      <c r="W96" s="217" t="str">
        <f t="shared" si="21"/>
        <v/>
      </c>
      <c r="X96" s="217" t="str">
        <f t="shared" si="21"/>
        <v/>
      </c>
      <c r="Y96" s="217" t="str">
        <f t="shared" si="21"/>
        <v>gs_handle_type</v>
      </c>
    </row>
    <row r="97" spans="1:25" x14ac:dyDescent="0.3">
      <c r="A97" s="216">
        <f t="shared" si="15"/>
        <v>95</v>
      </c>
      <c r="B97" s="217" t="str">
        <f t="shared" si="20"/>
        <v/>
      </c>
      <c r="C97" s="217" t="str">
        <f t="shared" si="20"/>
        <v>x</v>
      </c>
      <c r="D97" s="217" t="str">
        <f t="shared" si="20"/>
        <v/>
      </c>
      <c r="E97" s="217" t="str">
        <f t="shared" si="20"/>
        <v/>
      </c>
      <c r="F97" s="217" t="str">
        <f t="shared" si="20"/>
        <v/>
      </c>
      <c r="G97" s="217" t="str">
        <f t="shared" si="20"/>
        <v/>
      </c>
      <c r="H97" s="217" t="str">
        <f t="shared" si="20"/>
        <v/>
      </c>
      <c r="I97" s="217" t="str">
        <f t="shared" si="20"/>
        <v/>
      </c>
      <c r="J97" s="217" t="str">
        <f t="shared" si="20"/>
        <v/>
      </c>
      <c r="K97" s="217" t="str">
        <f t="shared" si="20"/>
        <v/>
      </c>
      <c r="L97" s="217" t="str">
        <f t="shared" si="21"/>
        <v>info</v>
      </c>
      <c r="M97" s="217" t="str">
        <f t="shared" si="21"/>
        <v>x</v>
      </c>
      <c r="N97" s="217" t="str">
        <f t="shared" si="21"/>
        <v/>
      </c>
      <c r="O97" s="217" t="str">
        <f t="shared" si="21"/>
        <v>model</v>
      </c>
      <c r="P97" s="218" t="str">
        <f t="shared" si="21"/>
        <v>Integer</v>
      </c>
      <c r="Q97" s="218" t="str">
        <f t="shared" si="21"/>
        <v>x</v>
      </c>
      <c r="R97" s="218" t="str">
        <f t="shared" si="21"/>
        <v>BS</v>
      </c>
      <c r="S97" s="218" t="str">
        <f t="shared" si="21"/>
        <v>all</v>
      </c>
      <c r="T97" s="217">
        <f t="shared" si="21"/>
        <v>10</v>
      </c>
      <c r="U97" s="217" t="str">
        <f t="shared" si="21"/>
        <v>Klinketyp</v>
      </c>
      <c r="V97" s="217" t="str">
        <f t="shared" si="21"/>
        <v>x</v>
      </c>
      <c r="W97" s="217" t="str">
        <f t="shared" si="21"/>
        <v/>
      </c>
      <c r="X97" s="217" t="str">
        <f t="shared" si="21"/>
        <v/>
      </c>
      <c r="Y97" s="217" t="str">
        <f t="shared" si="21"/>
        <v>gs_handle_type_m</v>
      </c>
    </row>
    <row r="98" spans="1:25" x14ac:dyDescent="0.3">
      <c r="A98" s="216">
        <f t="shared" si="15"/>
        <v>96</v>
      </c>
      <c r="B98" s="217" t="str">
        <f t="shared" si="20"/>
        <v/>
      </c>
      <c r="C98" s="217" t="str">
        <f t="shared" si="20"/>
        <v/>
      </c>
      <c r="D98" s="217" t="str">
        <f t="shared" si="20"/>
        <v/>
      </c>
      <c r="E98" s="217" t="str">
        <f t="shared" si="20"/>
        <v/>
      </c>
      <c r="F98" s="217" t="str">
        <f t="shared" si="20"/>
        <v/>
      </c>
      <c r="G98" s="217" t="str">
        <f t="shared" si="20"/>
        <v/>
      </c>
      <c r="H98" s="217" t="str">
        <f t="shared" si="20"/>
        <v/>
      </c>
      <c r="I98" s="217" t="str">
        <f t="shared" si="20"/>
        <v/>
      </c>
      <c r="J98" s="217" t="str">
        <f t="shared" si="20"/>
        <v/>
      </c>
      <c r="K98" s="217" t="str">
        <f t="shared" si="20"/>
        <v/>
      </c>
      <c r="L98" s="217" t="str">
        <f t="shared" si="21"/>
        <v>info</v>
      </c>
      <c r="M98" s="217" t="str">
        <f t="shared" si="21"/>
        <v>x</v>
      </c>
      <c r="N98" s="217" t="str">
        <f t="shared" si="21"/>
        <v/>
      </c>
      <c r="O98" s="217" t="str">
        <f t="shared" si="21"/>
        <v>model</v>
      </c>
      <c r="P98" s="218" t="str">
        <f t="shared" si="21"/>
        <v>Integer</v>
      </c>
      <c r="Q98" s="218" t="str">
        <f t="shared" si="21"/>
        <v>x</v>
      </c>
      <c r="R98" s="218" t="str">
        <f t="shared" si="21"/>
        <v>BS</v>
      </c>
      <c r="S98" s="218" t="str">
        <f t="shared" si="21"/>
        <v>all</v>
      </c>
      <c r="T98" s="217" t="str">
        <f t="shared" si="21"/>
        <v/>
      </c>
      <c r="U98" s="217" t="str">
        <f t="shared" si="21"/>
        <v>Klinkentyp 2</v>
      </c>
      <c r="V98" s="217" t="str">
        <f t="shared" si="21"/>
        <v>x</v>
      </c>
      <c r="W98" s="217" t="str">
        <f t="shared" si="21"/>
        <v/>
      </c>
      <c r="X98" s="217" t="str">
        <f t="shared" si="21"/>
        <v/>
      </c>
      <c r="Y98" s="217" t="str">
        <f t="shared" si="21"/>
        <v>gs_handle_type2_m</v>
      </c>
    </row>
    <row r="99" spans="1:25" x14ac:dyDescent="0.3">
      <c r="A99" s="216">
        <f t="shared" si="15"/>
        <v>97</v>
      </c>
      <c r="B99" s="217" t="str">
        <f t="shared" si="20"/>
        <v/>
      </c>
      <c r="C99" s="217" t="str">
        <f t="shared" si="20"/>
        <v/>
      </c>
      <c r="D99" s="217" t="str">
        <f t="shared" si="20"/>
        <v/>
      </c>
      <c r="E99" s="217" t="str">
        <f t="shared" si="20"/>
        <v/>
      </c>
      <c r="F99" s="217" t="str">
        <f t="shared" si="20"/>
        <v/>
      </c>
      <c r="G99" s="217" t="str">
        <f t="shared" si="20"/>
        <v/>
      </c>
      <c r="H99" s="217" t="str">
        <f t="shared" si="20"/>
        <v/>
      </c>
      <c r="I99" s="217" t="str">
        <f t="shared" si="20"/>
        <v/>
      </c>
      <c r="J99" s="217" t="str">
        <f t="shared" si="20"/>
        <v/>
      </c>
      <c r="K99" s="217" t="str">
        <f t="shared" si="20"/>
        <v/>
      </c>
      <c r="L99" s="217" t="str">
        <f t="shared" si="21"/>
        <v>info</v>
      </c>
      <c r="M99" s="217" t="str">
        <f t="shared" si="21"/>
        <v>x</v>
      </c>
      <c r="N99" s="217" t="str">
        <f t="shared" si="21"/>
        <v/>
      </c>
      <c r="O99" s="217" t="str">
        <f t="shared" si="21"/>
        <v>model</v>
      </c>
      <c r="P99" s="218" t="str">
        <f t="shared" si="21"/>
        <v>String</v>
      </c>
      <c r="Q99" s="218" t="str">
        <f t="shared" si="21"/>
        <v>x</v>
      </c>
      <c r="R99" s="218" t="str">
        <f t="shared" si="21"/>
        <v>BS</v>
      </c>
      <c r="S99" s="218" t="str">
        <f t="shared" si="21"/>
        <v>all</v>
      </c>
      <c r="T99" s="217" t="str">
        <f t="shared" si="21"/>
        <v/>
      </c>
      <c r="U99" s="217" t="str">
        <f t="shared" si="21"/>
        <v>Eigener Griff</v>
      </c>
      <c r="V99" s="217" t="str">
        <f t="shared" si="21"/>
        <v>x</v>
      </c>
      <c r="W99" s="217" t="str">
        <f t="shared" si="21"/>
        <v/>
      </c>
      <c r="X99" s="217" t="str">
        <f t="shared" si="21"/>
        <v/>
      </c>
      <c r="Y99" s="217" t="str">
        <f t="shared" si="21"/>
        <v>gs_cust_handle</v>
      </c>
    </row>
    <row r="100" spans="1:25" x14ac:dyDescent="0.3">
      <c r="A100" s="216">
        <f t="shared" si="15"/>
        <v>98</v>
      </c>
      <c r="B100" s="217" t="str">
        <f t="shared" si="20"/>
        <v/>
      </c>
      <c r="C100" s="217" t="str">
        <f t="shared" si="20"/>
        <v/>
      </c>
      <c r="D100" s="217" t="str">
        <f t="shared" si="20"/>
        <v/>
      </c>
      <c r="E100" s="217" t="str">
        <f t="shared" si="20"/>
        <v/>
      </c>
      <c r="F100" s="217" t="str">
        <f t="shared" si="20"/>
        <v/>
      </c>
      <c r="G100" s="217" t="str">
        <f t="shared" si="20"/>
        <v/>
      </c>
      <c r="H100" s="217" t="str">
        <f t="shared" si="20"/>
        <v/>
      </c>
      <c r="I100" s="217" t="str">
        <f t="shared" si="20"/>
        <v/>
      </c>
      <c r="J100" s="217" t="str">
        <f t="shared" si="20"/>
        <v/>
      </c>
      <c r="K100" s="217" t="str">
        <f t="shared" si="20"/>
        <v/>
      </c>
      <c r="L100" s="217" t="str">
        <f t="shared" si="21"/>
        <v>info</v>
      </c>
      <c r="M100" s="217" t="str">
        <f t="shared" si="21"/>
        <v>x</v>
      </c>
      <c r="N100" s="217" t="str">
        <f t="shared" si="21"/>
        <v/>
      </c>
      <c r="O100" s="217" t="str">
        <f t="shared" si="21"/>
        <v>model</v>
      </c>
      <c r="P100" s="218" t="str">
        <f t="shared" si="21"/>
        <v>String</v>
      </c>
      <c r="Q100" s="218" t="str">
        <f t="shared" si="21"/>
        <v>x</v>
      </c>
      <c r="R100" s="218" t="str">
        <f t="shared" si="21"/>
        <v>BS</v>
      </c>
      <c r="S100" s="218" t="str">
        <f t="shared" si="21"/>
        <v>all</v>
      </c>
      <c r="T100" s="217" t="str">
        <f t="shared" si="21"/>
        <v/>
      </c>
      <c r="U100" s="217" t="str">
        <f t="shared" si="21"/>
        <v>Eigener Griff 2</v>
      </c>
      <c r="V100" s="217" t="str">
        <f t="shared" si="21"/>
        <v>x</v>
      </c>
      <c r="W100" s="217" t="str">
        <f t="shared" si="21"/>
        <v/>
      </c>
      <c r="X100" s="217" t="str">
        <f t="shared" si="21"/>
        <v/>
      </c>
      <c r="Y100" s="217" t="str">
        <f t="shared" si="21"/>
        <v>gs_cust_handle2</v>
      </c>
    </row>
    <row r="101" spans="1:25" x14ac:dyDescent="0.3">
      <c r="A101" s="216">
        <f t="shared" si="15"/>
        <v>99</v>
      </c>
      <c r="B101" s="217" t="str">
        <f t="shared" si="20"/>
        <v/>
      </c>
      <c r="C101" s="217" t="str">
        <f t="shared" si="20"/>
        <v/>
      </c>
      <c r="D101" s="217" t="str">
        <f t="shared" si="20"/>
        <v/>
      </c>
      <c r="E101" s="217" t="str">
        <f t="shared" si="20"/>
        <v/>
      </c>
      <c r="F101" s="217" t="str">
        <f t="shared" si="20"/>
        <v/>
      </c>
      <c r="G101" s="217" t="str">
        <f t="shared" si="20"/>
        <v/>
      </c>
      <c r="H101" s="217" t="str">
        <f t="shared" si="20"/>
        <v/>
      </c>
      <c r="I101" s="217" t="str">
        <f t="shared" si="20"/>
        <v/>
      </c>
      <c r="J101" s="217" t="str">
        <f t="shared" si="20"/>
        <v/>
      </c>
      <c r="K101" s="217" t="str">
        <f t="shared" si="20"/>
        <v/>
      </c>
      <c r="L101" s="217" t="str">
        <f t="shared" si="21"/>
        <v>info</v>
      </c>
      <c r="M101" s="217" t="str">
        <f t="shared" si="21"/>
        <v>x</v>
      </c>
      <c r="N101" s="217" t="str">
        <f t="shared" si="21"/>
        <v/>
      </c>
      <c r="O101" s="217" t="str">
        <f t="shared" si="21"/>
        <v>model</v>
      </c>
      <c r="P101" s="218" t="str">
        <f t="shared" si="21"/>
        <v>Length</v>
      </c>
      <c r="Q101" s="218" t="str">
        <f t="shared" si="21"/>
        <v>x</v>
      </c>
      <c r="R101" s="218" t="str">
        <f t="shared" si="21"/>
        <v>BS</v>
      </c>
      <c r="S101" s="218" t="str">
        <f t="shared" si="21"/>
        <v>all</v>
      </c>
      <c r="T101" s="217">
        <f t="shared" si="21"/>
        <v>1.05</v>
      </c>
      <c r="U101" s="217" t="str">
        <f t="shared" si="21"/>
        <v>Klinkenhöhe</v>
      </c>
      <c r="V101" s="217" t="str">
        <f t="shared" si="21"/>
        <v>x</v>
      </c>
      <c r="W101" s="217" t="str">
        <f t="shared" si="21"/>
        <v/>
      </c>
      <c r="X101" s="217" t="str">
        <f t="shared" si="21"/>
        <v/>
      </c>
      <c r="Y101" s="217" t="str">
        <f t="shared" si="21"/>
        <v>gs_han_height</v>
      </c>
    </row>
    <row r="102" spans="1:25" x14ac:dyDescent="0.3">
      <c r="A102" s="216">
        <f t="shared" si="15"/>
        <v>100</v>
      </c>
      <c r="B102" s="217" t="str">
        <f t="shared" si="20"/>
        <v/>
      </c>
      <c r="C102" s="217" t="str">
        <f t="shared" si="20"/>
        <v/>
      </c>
      <c r="D102" s="217" t="str">
        <f t="shared" si="20"/>
        <v/>
      </c>
      <c r="E102" s="217" t="str">
        <f t="shared" si="20"/>
        <v/>
      </c>
      <c r="F102" s="217" t="str">
        <f t="shared" si="20"/>
        <v/>
      </c>
      <c r="G102" s="217" t="str">
        <f t="shared" si="20"/>
        <v/>
      </c>
      <c r="H102" s="217" t="str">
        <f t="shared" si="20"/>
        <v/>
      </c>
      <c r="I102" s="217" t="str">
        <f t="shared" si="20"/>
        <v/>
      </c>
      <c r="J102" s="217" t="str">
        <f t="shared" si="20"/>
        <v/>
      </c>
      <c r="K102" s="217" t="str">
        <f t="shared" si="20"/>
        <v/>
      </c>
      <c r="L102" s="217" t="str">
        <f t="shared" si="21"/>
        <v>info</v>
      </c>
      <c r="M102" s="217" t="str">
        <f t="shared" si="21"/>
        <v>x</v>
      </c>
      <c r="N102" s="217" t="str">
        <f t="shared" si="21"/>
        <v/>
      </c>
      <c r="O102" s="217" t="str">
        <f t="shared" si="21"/>
        <v>model</v>
      </c>
      <c r="P102" s="218" t="str">
        <f t="shared" si="21"/>
        <v>Length</v>
      </c>
      <c r="Q102" s="218" t="str">
        <f t="shared" si="21"/>
        <v>x</v>
      </c>
      <c r="R102" s="218" t="str">
        <f t="shared" si="21"/>
        <v>BS</v>
      </c>
      <c r="S102" s="218" t="str">
        <f t="shared" si="21"/>
        <v>all</v>
      </c>
      <c r="T102" s="217">
        <f t="shared" si="21"/>
        <v>1.05</v>
      </c>
      <c r="U102" s="217" t="str">
        <f t="shared" si="21"/>
        <v>Klinkenhöhe 2</v>
      </c>
      <c r="V102" s="217" t="str">
        <f t="shared" si="21"/>
        <v>x</v>
      </c>
      <c r="W102" s="217" t="str">
        <f t="shared" si="21"/>
        <v/>
      </c>
      <c r="X102" s="217" t="str">
        <f t="shared" si="21"/>
        <v/>
      </c>
      <c r="Y102" s="217" t="str">
        <f t="shared" si="21"/>
        <v>gs_han_height2</v>
      </c>
    </row>
    <row r="103" spans="1:25" x14ac:dyDescent="0.3">
      <c r="A103" s="216">
        <f t="shared" si="15"/>
        <v>101</v>
      </c>
      <c r="B103" s="217" t="str">
        <f t="shared" ref="B103:K112" si="22">IF(ISNONTEXT(B$2),IF(B$2="","",IF(INDEX(IMPORT,$A103,B$2)=0,"",IFERROR(VLOOKUP(INDEX(IMPORT,$A103,B$2),ImportTranslation,2,0),INDEX(IMPORT,$A103,B$2)))),B$2)</f>
        <v/>
      </c>
      <c r="C103" s="217" t="str">
        <f t="shared" si="22"/>
        <v/>
      </c>
      <c r="D103" s="217" t="str">
        <f t="shared" si="22"/>
        <v/>
      </c>
      <c r="E103" s="217" t="str">
        <f t="shared" si="22"/>
        <v/>
      </c>
      <c r="F103" s="217" t="str">
        <f t="shared" si="22"/>
        <v/>
      </c>
      <c r="G103" s="217" t="str">
        <f t="shared" si="22"/>
        <v/>
      </c>
      <c r="H103" s="217" t="str">
        <f t="shared" si="22"/>
        <v/>
      </c>
      <c r="I103" s="217" t="str">
        <f t="shared" si="22"/>
        <v/>
      </c>
      <c r="J103" s="217" t="str">
        <f t="shared" si="22"/>
        <v/>
      </c>
      <c r="K103" s="217" t="str">
        <f t="shared" si="22"/>
        <v/>
      </c>
      <c r="L103" s="217" t="str">
        <f t="shared" ref="L103:Y112" si="23">IF(ISNONTEXT(L$2),IF(L$2="","",IF(INDEX(IMPORT,$A103,L$2)=0,"",IFERROR(VLOOKUP(INDEX(IMPORT,$A103,L$2),ImportTranslation,2,0),INDEX(IMPORT,$A103,L$2)))),L$2)</f>
        <v>info</v>
      </c>
      <c r="M103" s="217" t="str">
        <f t="shared" si="23"/>
        <v>x</v>
      </c>
      <c r="N103" s="217" t="str">
        <f t="shared" si="23"/>
        <v/>
      </c>
      <c r="O103" s="217" t="str">
        <f t="shared" si="23"/>
        <v>model</v>
      </c>
      <c r="P103" s="218" t="str">
        <f t="shared" si="23"/>
        <v>Length</v>
      </c>
      <c r="Q103" s="218" t="str">
        <f t="shared" si="23"/>
        <v>x</v>
      </c>
      <c r="R103" s="218" t="str">
        <f t="shared" si="23"/>
        <v>BS</v>
      </c>
      <c r="S103" s="218" t="str">
        <f t="shared" si="23"/>
        <v>all</v>
      </c>
      <c r="T103" s="217">
        <f t="shared" si="23"/>
        <v>0.06</v>
      </c>
      <c r="U103" s="217" t="str">
        <f t="shared" si="23"/>
        <v>Klinkeposition</v>
      </c>
      <c r="V103" s="217" t="str">
        <f t="shared" si="23"/>
        <v>x</v>
      </c>
      <c r="W103" s="217" t="str">
        <f t="shared" si="23"/>
        <v/>
      </c>
      <c r="X103" s="217" t="str">
        <f t="shared" si="23"/>
        <v/>
      </c>
      <c r="Y103" s="217" t="str">
        <f t="shared" si="23"/>
        <v>gs_han_pos</v>
      </c>
    </row>
    <row r="104" spans="1:25" x14ac:dyDescent="0.3">
      <c r="A104" s="216">
        <f t="shared" si="15"/>
        <v>102</v>
      </c>
      <c r="B104" s="217" t="str">
        <f t="shared" si="22"/>
        <v/>
      </c>
      <c r="C104" s="217" t="str">
        <f t="shared" si="22"/>
        <v/>
      </c>
      <c r="D104" s="217" t="str">
        <f t="shared" si="22"/>
        <v/>
      </c>
      <c r="E104" s="217" t="str">
        <f t="shared" si="22"/>
        <v/>
      </c>
      <c r="F104" s="217" t="str">
        <f t="shared" si="22"/>
        <v/>
      </c>
      <c r="G104" s="217" t="str">
        <f t="shared" si="22"/>
        <v/>
      </c>
      <c r="H104" s="217" t="str">
        <f t="shared" si="22"/>
        <v/>
      </c>
      <c r="I104" s="217" t="str">
        <f t="shared" si="22"/>
        <v/>
      </c>
      <c r="J104" s="217" t="str">
        <f t="shared" si="22"/>
        <v/>
      </c>
      <c r="K104" s="217" t="str">
        <f t="shared" si="22"/>
        <v/>
      </c>
      <c r="L104" s="217" t="str">
        <f t="shared" si="23"/>
        <v>info</v>
      </c>
      <c r="M104" s="217" t="str">
        <f t="shared" si="23"/>
        <v>x</v>
      </c>
      <c r="N104" s="217" t="str">
        <f t="shared" si="23"/>
        <v/>
      </c>
      <c r="O104" s="217" t="str">
        <f t="shared" si="23"/>
        <v>model</v>
      </c>
      <c r="P104" s="218" t="str">
        <f t="shared" si="23"/>
        <v>Length</v>
      </c>
      <c r="Q104" s="218" t="str">
        <f t="shared" si="23"/>
        <v>x</v>
      </c>
      <c r="R104" s="218" t="str">
        <f t="shared" si="23"/>
        <v>BS</v>
      </c>
      <c r="S104" s="218" t="str">
        <f t="shared" si="23"/>
        <v>all</v>
      </c>
      <c r="T104" s="217">
        <f t="shared" si="23"/>
        <v>0.06</v>
      </c>
      <c r="U104" s="217" t="str">
        <f t="shared" si="23"/>
        <v>Klinkeposition 2</v>
      </c>
      <c r="V104" s="217" t="str">
        <f t="shared" si="23"/>
        <v>x</v>
      </c>
      <c r="W104" s="217" t="str">
        <f t="shared" si="23"/>
        <v/>
      </c>
      <c r="X104" s="217" t="str">
        <f t="shared" si="23"/>
        <v/>
      </c>
      <c r="Y104" s="217" t="str">
        <f t="shared" si="23"/>
        <v>gs_han_pos2</v>
      </c>
    </row>
    <row r="105" spans="1:25" x14ac:dyDescent="0.3">
      <c r="A105" s="216">
        <f t="shared" si="15"/>
        <v>103</v>
      </c>
      <c r="B105" s="217" t="str">
        <f t="shared" si="22"/>
        <v>x</v>
      </c>
      <c r="C105" s="217" t="str">
        <f t="shared" si="22"/>
        <v/>
      </c>
      <c r="D105" s="217" t="str">
        <f t="shared" si="22"/>
        <v/>
      </c>
      <c r="E105" s="217" t="str">
        <f t="shared" si="22"/>
        <v/>
      </c>
      <c r="F105" s="217" t="str">
        <f t="shared" si="22"/>
        <v/>
      </c>
      <c r="G105" s="217" t="str">
        <f t="shared" si="22"/>
        <v/>
      </c>
      <c r="H105" s="217" t="str">
        <f t="shared" si="22"/>
        <v/>
      </c>
      <c r="I105" s="217" t="str">
        <f t="shared" si="22"/>
        <v/>
      </c>
      <c r="J105" s="217" t="str">
        <f t="shared" si="22"/>
        <v/>
      </c>
      <c r="K105" s="217" t="str">
        <f t="shared" si="22"/>
        <v/>
      </c>
      <c r="L105" s="217" t="str">
        <f t="shared" si="23"/>
        <v>info</v>
      </c>
      <c r="M105" s="217" t="str">
        <f t="shared" si="23"/>
        <v/>
      </c>
      <c r="N105" s="217" t="str">
        <f t="shared" si="23"/>
        <v/>
      </c>
      <c r="O105" s="217" t="str">
        <f t="shared" si="23"/>
        <v>model</v>
      </c>
      <c r="P105" s="218" t="str">
        <f t="shared" si="23"/>
        <v>Title</v>
      </c>
      <c r="Q105" s="218" t="str">
        <f t="shared" si="23"/>
        <v>x</v>
      </c>
      <c r="R105" s="218" t="str">
        <f t="shared" si="23"/>
        <v>BS</v>
      </c>
      <c r="S105" s="218" t="str">
        <f t="shared" si="23"/>
        <v>all</v>
      </c>
      <c r="T105" s="217" t="str">
        <f t="shared" si="23"/>
        <v/>
      </c>
      <c r="U105" s="217" t="str">
        <f t="shared" si="23"/>
        <v>Oberlicht</v>
      </c>
      <c r="V105" s="217" t="str">
        <f t="shared" si="23"/>
        <v/>
      </c>
      <c r="W105" s="217" t="str">
        <f t="shared" si="23"/>
        <v/>
      </c>
      <c r="X105" s="217" t="str">
        <f t="shared" si="23"/>
        <v/>
      </c>
      <c r="Y105" s="217" t="str">
        <f t="shared" si="23"/>
        <v>gs_door_oberlicht</v>
      </c>
    </row>
    <row r="106" spans="1:25" x14ac:dyDescent="0.3">
      <c r="A106" s="216">
        <f t="shared" si="15"/>
        <v>104</v>
      </c>
      <c r="B106" s="217" t="str">
        <f t="shared" si="22"/>
        <v>x</v>
      </c>
      <c r="C106" s="217" t="str">
        <f t="shared" si="22"/>
        <v/>
      </c>
      <c r="D106" s="217" t="str">
        <f t="shared" si="22"/>
        <v/>
      </c>
      <c r="E106" s="217" t="str">
        <f t="shared" si="22"/>
        <v/>
      </c>
      <c r="F106" s="217" t="str">
        <f t="shared" si="22"/>
        <v/>
      </c>
      <c r="G106" s="217" t="str">
        <f t="shared" si="22"/>
        <v/>
      </c>
      <c r="H106" s="217" t="str">
        <f t="shared" si="22"/>
        <v/>
      </c>
      <c r="I106" s="217" t="str">
        <f t="shared" si="22"/>
        <v/>
      </c>
      <c r="J106" s="217" t="str">
        <f t="shared" si="22"/>
        <v/>
      </c>
      <c r="K106" s="217" t="str">
        <f t="shared" si="22"/>
        <v/>
      </c>
      <c r="L106" s="217" t="str">
        <f t="shared" si="23"/>
        <v>info</v>
      </c>
      <c r="M106" s="217" t="str">
        <f t="shared" si="23"/>
        <v>x</v>
      </c>
      <c r="N106" s="217" t="str">
        <f t="shared" si="23"/>
        <v/>
      </c>
      <c r="O106" s="217" t="str">
        <f t="shared" si="23"/>
        <v>model</v>
      </c>
      <c r="P106" s="218" t="str">
        <f t="shared" si="23"/>
        <v>Boolean</v>
      </c>
      <c r="Q106" s="218" t="str">
        <f t="shared" si="23"/>
        <v>x</v>
      </c>
      <c r="R106" s="218" t="str">
        <f t="shared" si="23"/>
        <v>BS</v>
      </c>
      <c r="S106" s="218" t="str">
        <f t="shared" si="23"/>
        <v>all</v>
      </c>
      <c r="T106" s="217">
        <f t="shared" si="23"/>
        <v>1</v>
      </c>
      <c r="U106" s="217" t="str">
        <f t="shared" si="23"/>
        <v>Oberlicht</v>
      </c>
      <c r="V106" s="217" t="str">
        <f t="shared" si="23"/>
        <v>x</v>
      </c>
      <c r="W106" s="217" t="str">
        <f t="shared" si="23"/>
        <v/>
      </c>
      <c r="X106" s="217" t="str">
        <f t="shared" si="23"/>
        <v/>
      </c>
      <c r="Y106" s="217" t="str">
        <f t="shared" si="23"/>
        <v>gs_kamp</v>
      </c>
    </row>
    <row r="107" spans="1:25" x14ac:dyDescent="0.3">
      <c r="A107" s="216">
        <f t="shared" si="15"/>
        <v>105</v>
      </c>
      <c r="B107" s="217" t="str">
        <f t="shared" si="22"/>
        <v>x</v>
      </c>
      <c r="C107" s="217" t="str">
        <f t="shared" si="22"/>
        <v/>
      </c>
      <c r="D107" s="217" t="str">
        <f t="shared" si="22"/>
        <v/>
      </c>
      <c r="E107" s="217" t="str">
        <f t="shared" si="22"/>
        <v/>
      </c>
      <c r="F107" s="217" t="str">
        <f t="shared" si="22"/>
        <v/>
      </c>
      <c r="G107" s="217" t="str">
        <f t="shared" si="22"/>
        <v/>
      </c>
      <c r="H107" s="217" t="str">
        <f t="shared" si="22"/>
        <v/>
      </c>
      <c r="I107" s="217" t="str">
        <f t="shared" si="22"/>
        <v/>
      </c>
      <c r="J107" s="217" t="str">
        <f t="shared" si="22"/>
        <v/>
      </c>
      <c r="K107" s="217" t="str">
        <f t="shared" si="22"/>
        <v/>
      </c>
      <c r="L107" s="217" t="str">
        <f t="shared" si="23"/>
        <v>info</v>
      </c>
      <c r="M107" s="217" t="str">
        <f t="shared" si="23"/>
        <v>x</v>
      </c>
      <c r="N107" s="217" t="str">
        <f t="shared" si="23"/>
        <v/>
      </c>
      <c r="O107" s="217" t="str">
        <f t="shared" si="23"/>
        <v>model</v>
      </c>
      <c r="P107" s="218" t="str">
        <f t="shared" si="23"/>
        <v>Length</v>
      </c>
      <c r="Q107" s="218" t="str">
        <f t="shared" si="23"/>
        <v>x</v>
      </c>
      <c r="R107" s="218" t="str">
        <f t="shared" si="23"/>
        <v>BS</v>
      </c>
      <c r="S107" s="218" t="str">
        <f t="shared" si="23"/>
        <v>all</v>
      </c>
      <c r="T107" s="217">
        <f t="shared" si="23"/>
        <v>0.5</v>
      </c>
      <c r="U107" s="217" t="str">
        <f t="shared" si="23"/>
        <v>Höhe Kämpfer</v>
      </c>
      <c r="V107" s="217" t="str">
        <f t="shared" si="23"/>
        <v>x</v>
      </c>
      <c r="W107" s="217" t="str">
        <f t="shared" si="23"/>
        <v/>
      </c>
      <c r="X107" s="217" t="str">
        <f t="shared" si="23"/>
        <v/>
      </c>
      <c r="Y107" s="217" t="str">
        <f t="shared" si="23"/>
        <v>gs_am</v>
      </c>
    </row>
    <row r="108" spans="1:25" x14ac:dyDescent="0.3">
      <c r="A108" s="216">
        <f t="shared" si="15"/>
        <v>106</v>
      </c>
      <c r="B108" s="217" t="str">
        <f t="shared" si="22"/>
        <v/>
      </c>
      <c r="C108" s="217" t="str">
        <f t="shared" si="22"/>
        <v/>
      </c>
      <c r="D108" s="217" t="str">
        <f t="shared" si="22"/>
        <v/>
      </c>
      <c r="E108" s="217" t="str">
        <f t="shared" si="22"/>
        <v/>
      </c>
      <c r="F108" s="217" t="str">
        <f t="shared" si="22"/>
        <v/>
      </c>
      <c r="G108" s="217" t="str">
        <f t="shared" si="22"/>
        <v/>
      </c>
      <c r="H108" s="217" t="str">
        <f t="shared" si="22"/>
        <v/>
      </c>
      <c r="I108" s="217" t="str">
        <f t="shared" si="22"/>
        <v/>
      </c>
      <c r="J108" s="217" t="str">
        <f t="shared" si="22"/>
        <v/>
      </c>
      <c r="K108" s="217" t="str">
        <f t="shared" si="22"/>
        <v/>
      </c>
      <c r="L108" s="217" t="str">
        <f t="shared" si="23"/>
        <v>info</v>
      </c>
      <c r="M108" s="217" t="str">
        <f t="shared" si="23"/>
        <v/>
      </c>
      <c r="N108" s="217" t="str">
        <f t="shared" si="23"/>
        <v/>
      </c>
      <c r="O108" s="217" t="str">
        <f t="shared" si="23"/>
        <v>model</v>
      </c>
      <c r="P108" s="218" t="str">
        <f t="shared" si="23"/>
        <v>Title</v>
      </c>
      <c r="Q108" s="218" t="str">
        <f t="shared" si="23"/>
        <v>x</v>
      </c>
      <c r="R108" s="218" t="str">
        <f t="shared" si="23"/>
        <v>BS</v>
      </c>
      <c r="S108" s="218" t="str">
        <f t="shared" si="23"/>
        <v>all</v>
      </c>
      <c r="T108" s="217" t="str">
        <f t="shared" si="23"/>
        <v/>
      </c>
      <c r="U108" s="217" t="str">
        <f t="shared" si="23"/>
        <v>Seitenfeld</v>
      </c>
      <c r="V108" s="217" t="str">
        <f t="shared" si="23"/>
        <v/>
      </c>
      <c r="W108" s="217" t="str">
        <f t="shared" si="23"/>
        <v/>
      </c>
      <c r="X108" s="217" t="str">
        <f t="shared" si="23"/>
        <v/>
      </c>
      <c r="Y108" s="217" t="str">
        <f t="shared" si="23"/>
        <v>DoorTranso_sp0</v>
      </c>
    </row>
    <row r="109" spans="1:25" x14ac:dyDescent="0.3">
      <c r="A109" s="216">
        <f t="shared" si="15"/>
        <v>107</v>
      </c>
      <c r="B109" s="217" t="str">
        <f t="shared" si="22"/>
        <v/>
      </c>
      <c r="C109" s="217" t="str">
        <f t="shared" si="22"/>
        <v/>
      </c>
      <c r="D109" s="217" t="str">
        <f t="shared" si="22"/>
        <v/>
      </c>
      <c r="E109" s="217" t="str">
        <f t="shared" si="22"/>
        <v/>
      </c>
      <c r="F109" s="217" t="str">
        <f t="shared" si="22"/>
        <v/>
      </c>
      <c r="G109" s="217" t="str">
        <f t="shared" si="22"/>
        <v/>
      </c>
      <c r="H109" s="217" t="str">
        <f t="shared" si="22"/>
        <v/>
      </c>
      <c r="I109" s="217" t="str">
        <f t="shared" si="22"/>
        <v/>
      </c>
      <c r="J109" s="217" t="str">
        <f t="shared" si="22"/>
        <v/>
      </c>
      <c r="K109" s="217" t="str">
        <f t="shared" si="22"/>
        <v/>
      </c>
      <c r="L109" s="217" t="str">
        <f t="shared" si="23"/>
        <v>info</v>
      </c>
      <c r="M109" s="217" t="str">
        <f t="shared" si="23"/>
        <v>x</v>
      </c>
      <c r="N109" s="217" t="str">
        <f t="shared" si="23"/>
        <v/>
      </c>
      <c r="O109" s="217" t="str">
        <f t="shared" si="23"/>
        <v>model</v>
      </c>
      <c r="P109" s="218" t="str">
        <f t="shared" si="23"/>
        <v>Boolean</v>
      </c>
      <c r="Q109" s="218" t="str">
        <f t="shared" si="23"/>
        <v>x</v>
      </c>
      <c r="R109" s="218" t="str">
        <f t="shared" si="23"/>
        <v>BS</v>
      </c>
      <c r="S109" s="218" t="str">
        <f t="shared" si="23"/>
        <v>all</v>
      </c>
      <c r="T109" s="217" t="str">
        <f t="shared" si="23"/>
        <v/>
      </c>
      <c r="U109" s="217" t="str">
        <f t="shared" si="23"/>
        <v>Seitenfeld untersch. Breiten</v>
      </c>
      <c r="V109" s="217" t="str">
        <f t="shared" si="23"/>
        <v>x</v>
      </c>
      <c r="W109" s="217" t="str">
        <f t="shared" si="23"/>
        <v/>
      </c>
      <c r="X109" s="217" t="str">
        <f t="shared" si="23"/>
        <v/>
      </c>
      <c r="Y109" s="217" t="str">
        <f t="shared" si="23"/>
        <v>bDiffSidelightWidth</v>
      </c>
    </row>
    <row r="110" spans="1:25" x14ac:dyDescent="0.3">
      <c r="A110" s="216">
        <f t="shared" si="15"/>
        <v>108</v>
      </c>
      <c r="B110" s="217" t="str">
        <f t="shared" si="22"/>
        <v/>
      </c>
      <c r="C110" s="217" t="str">
        <f t="shared" si="22"/>
        <v/>
      </c>
      <c r="D110" s="217" t="str">
        <f t="shared" si="22"/>
        <v/>
      </c>
      <c r="E110" s="217" t="str">
        <f t="shared" si="22"/>
        <v/>
      </c>
      <c r="F110" s="217" t="str">
        <f t="shared" si="22"/>
        <v/>
      </c>
      <c r="G110" s="217" t="str">
        <f t="shared" si="22"/>
        <v/>
      </c>
      <c r="H110" s="217" t="str">
        <f t="shared" si="22"/>
        <v/>
      </c>
      <c r="I110" s="217" t="str">
        <f t="shared" si="22"/>
        <v/>
      </c>
      <c r="J110" s="217" t="str">
        <f t="shared" si="22"/>
        <v/>
      </c>
      <c r="K110" s="217" t="str">
        <f t="shared" si="22"/>
        <v/>
      </c>
      <c r="L110" s="217" t="str">
        <f t="shared" si="23"/>
        <v>info</v>
      </c>
      <c r="M110" s="217" t="str">
        <f t="shared" si="23"/>
        <v>x</v>
      </c>
      <c r="N110" s="217" t="str">
        <f t="shared" si="23"/>
        <v/>
      </c>
      <c r="O110" s="217" t="str">
        <f t="shared" si="23"/>
        <v>model</v>
      </c>
      <c r="P110" s="218" t="str">
        <f t="shared" si="23"/>
        <v>Length</v>
      </c>
      <c r="Q110" s="218" t="str">
        <f t="shared" si="23"/>
        <v>x</v>
      </c>
      <c r="R110" s="218" t="str">
        <f t="shared" si="23"/>
        <v>BS</v>
      </c>
      <c r="S110" s="218" t="str">
        <f t="shared" si="23"/>
        <v>all</v>
      </c>
      <c r="T110" s="217">
        <f t="shared" si="23"/>
        <v>0.505</v>
      </c>
      <c r="U110" s="217" t="str">
        <f t="shared" si="23"/>
        <v>Seitenfeld 1 Breite</v>
      </c>
      <c r="V110" s="217" t="str">
        <f t="shared" si="23"/>
        <v>x</v>
      </c>
      <c r="W110" s="217" t="str">
        <f t="shared" si="23"/>
        <v/>
      </c>
      <c r="X110" s="217" t="str">
        <f t="shared" si="23"/>
        <v/>
      </c>
      <c r="Y110" s="217" t="str">
        <f t="shared" si="23"/>
        <v>asz</v>
      </c>
    </row>
    <row r="111" spans="1:25" x14ac:dyDescent="0.3">
      <c r="A111" s="216">
        <f t="shared" si="15"/>
        <v>109</v>
      </c>
      <c r="B111" s="217" t="str">
        <f t="shared" si="22"/>
        <v/>
      </c>
      <c r="C111" s="217" t="str">
        <f t="shared" si="22"/>
        <v/>
      </c>
      <c r="D111" s="217" t="str">
        <f t="shared" si="22"/>
        <v/>
      </c>
      <c r="E111" s="217" t="str">
        <f t="shared" si="22"/>
        <v/>
      </c>
      <c r="F111" s="217" t="str">
        <f t="shared" si="22"/>
        <v/>
      </c>
      <c r="G111" s="217" t="str">
        <f t="shared" si="22"/>
        <v/>
      </c>
      <c r="H111" s="217" t="str">
        <f t="shared" si="22"/>
        <v/>
      </c>
      <c r="I111" s="217" t="str">
        <f t="shared" si="22"/>
        <v/>
      </c>
      <c r="J111" s="217" t="str">
        <f t="shared" si="22"/>
        <v/>
      </c>
      <c r="K111" s="217" t="str">
        <f t="shared" si="22"/>
        <v/>
      </c>
      <c r="L111" s="217" t="str">
        <f t="shared" si="23"/>
        <v>info</v>
      </c>
      <c r="M111" s="217" t="str">
        <f t="shared" si="23"/>
        <v>x</v>
      </c>
      <c r="N111" s="217" t="str">
        <f t="shared" si="23"/>
        <v/>
      </c>
      <c r="O111" s="217" t="str">
        <f t="shared" si="23"/>
        <v>model</v>
      </c>
      <c r="P111" s="218" t="str">
        <f t="shared" si="23"/>
        <v>Length</v>
      </c>
      <c r="Q111" s="218" t="str">
        <f t="shared" si="23"/>
        <v>x</v>
      </c>
      <c r="R111" s="218" t="str">
        <f t="shared" si="23"/>
        <v>BS</v>
      </c>
      <c r="S111" s="218" t="str">
        <f t="shared" si="23"/>
        <v>all</v>
      </c>
      <c r="T111" s="217">
        <f t="shared" si="23"/>
        <v>0.5</v>
      </c>
      <c r="U111" s="217" t="str">
        <f t="shared" si="23"/>
        <v>Seitenfeld 2 Breite</v>
      </c>
      <c r="V111" s="217" t="str">
        <f t="shared" si="23"/>
        <v>x</v>
      </c>
      <c r="W111" s="217" t="str">
        <f t="shared" si="23"/>
        <v/>
      </c>
      <c r="X111" s="217" t="str">
        <f t="shared" si="23"/>
        <v/>
      </c>
      <c r="Y111" s="217" t="str">
        <f t="shared" si="23"/>
        <v>sidelightWidthLeft</v>
      </c>
    </row>
    <row r="112" spans="1:25" x14ac:dyDescent="0.3">
      <c r="A112" s="216">
        <f t="shared" si="15"/>
        <v>110</v>
      </c>
      <c r="B112" s="217" t="str">
        <f t="shared" si="22"/>
        <v/>
      </c>
      <c r="C112" s="217" t="str">
        <f t="shared" si="22"/>
        <v/>
      </c>
      <c r="D112" s="217" t="str">
        <f t="shared" si="22"/>
        <v/>
      </c>
      <c r="E112" s="217" t="str">
        <f t="shared" si="22"/>
        <v/>
      </c>
      <c r="F112" s="217" t="str">
        <f t="shared" si="22"/>
        <v/>
      </c>
      <c r="G112" s="217" t="str">
        <f t="shared" si="22"/>
        <v/>
      </c>
      <c r="H112" s="217" t="str">
        <f t="shared" si="22"/>
        <v/>
      </c>
      <c r="I112" s="217" t="str">
        <f t="shared" si="22"/>
        <v/>
      </c>
      <c r="J112" s="217" t="str">
        <f t="shared" si="22"/>
        <v/>
      </c>
      <c r="K112" s="217" t="str">
        <f t="shared" si="22"/>
        <v/>
      </c>
      <c r="L112" s="217" t="str">
        <f t="shared" si="23"/>
        <v>info</v>
      </c>
      <c r="M112" s="217" t="str">
        <f t="shared" si="23"/>
        <v>x</v>
      </c>
      <c r="N112" s="217" t="str">
        <f t="shared" si="23"/>
        <v/>
      </c>
      <c r="O112" s="217" t="str">
        <f t="shared" si="23"/>
        <v>model</v>
      </c>
      <c r="P112" s="218" t="str">
        <f t="shared" si="23"/>
        <v>Boolean</v>
      </c>
      <c r="Q112" s="218" t="str">
        <f t="shared" si="23"/>
        <v>x</v>
      </c>
      <c r="R112" s="218" t="str">
        <f t="shared" si="23"/>
        <v>BS</v>
      </c>
      <c r="S112" s="218" t="str">
        <f t="shared" si="23"/>
        <v>all</v>
      </c>
      <c r="T112" s="217">
        <f t="shared" si="23"/>
        <v>1</v>
      </c>
      <c r="U112" s="217" t="str">
        <f t="shared" si="23"/>
        <v>Automatische Seitenfeldhöhe</v>
      </c>
      <c r="V112" s="217" t="str">
        <f t="shared" si="23"/>
        <v>x</v>
      </c>
      <c r="W112" s="217" t="str">
        <f t="shared" si="23"/>
        <v/>
      </c>
      <c r="X112" s="217" t="str">
        <f t="shared" si="23"/>
        <v/>
      </c>
      <c r="Y112" s="217" t="str">
        <f t="shared" si="23"/>
        <v>bAutoSideLightSize</v>
      </c>
    </row>
    <row r="113" spans="1:25" x14ac:dyDescent="0.3">
      <c r="A113" s="216">
        <f t="shared" si="15"/>
        <v>111</v>
      </c>
      <c r="B113" s="217" t="str">
        <f t="shared" ref="B113:K122" si="24">IF(ISNONTEXT(B$2),IF(B$2="","",IF(INDEX(IMPORT,$A113,B$2)=0,"",IFERROR(VLOOKUP(INDEX(IMPORT,$A113,B$2),ImportTranslation,2,0),INDEX(IMPORT,$A113,B$2)))),B$2)</f>
        <v/>
      </c>
      <c r="C113" s="217" t="str">
        <f t="shared" si="24"/>
        <v/>
      </c>
      <c r="D113" s="217" t="str">
        <f t="shared" si="24"/>
        <v/>
      </c>
      <c r="E113" s="217" t="str">
        <f t="shared" si="24"/>
        <v/>
      </c>
      <c r="F113" s="217" t="str">
        <f t="shared" si="24"/>
        <v/>
      </c>
      <c r="G113" s="217" t="str">
        <f t="shared" si="24"/>
        <v/>
      </c>
      <c r="H113" s="217" t="str">
        <f t="shared" si="24"/>
        <v/>
      </c>
      <c r="I113" s="217" t="str">
        <f t="shared" si="24"/>
        <v/>
      </c>
      <c r="J113" s="217" t="str">
        <f t="shared" si="24"/>
        <v/>
      </c>
      <c r="K113" s="217" t="str">
        <f t="shared" si="24"/>
        <v/>
      </c>
      <c r="L113" s="217" t="str">
        <f t="shared" ref="L113:Y122" si="25">IF(ISNONTEXT(L$2),IF(L$2="","",IF(INDEX(IMPORT,$A113,L$2)=0,"",IFERROR(VLOOKUP(INDEX(IMPORT,$A113,L$2),ImportTranslation,2,0),INDEX(IMPORT,$A113,L$2)))),L$2)</f>
        <v>info</v>
      </c>
      <c r="M113" s="217" t="str">
        <f t="shared" si="25"/>
        <v>x</v>
      </c>
      <c r="N113" s="217" t="str">
        <f t="shared" si="25"/>
        <v/>
      </c>
      <c r="O113" s="217" t="str">
        <f t="shared" si="25"/>
        <v>model</v>
      </c>
      <c r="P113" s="218" t="str">
        <f t="shared" si="25"/>
        <v>Length</v>
      </c>
      <c r="Q113" s="218" t="str">
        <f t="shared" si="25"/>
        <v>x</v>
      </c>
      <c r="R113" s="218" t="str">
        <f t="shared" si="25"/>
        <v>BS</v>
      </c>
      <c r="S113" s="218" t="str">
        <f t="shared" si="25"/>
        <v>all</v>
      </c>
      <c r="T113" s="217">
        <f t="shared" si="25"/>
        <v>0.38500000000000001</v>
      </c>
      <c r="U113" s="217" t="str">
        <f t="shared" si="25"/>
        <v>Verglasung 1 Breite</v>
      </c>
      <c r="V113" s="217" t="str">
        <f t="shared" si="25"/>
        <v>x</v>
      </c>
      <c r="W113" s="217" t="str">
        <f t="shared" si="25"/>
        <v/>
      </c>
      <c r="X113" s="217" t="str">
        <f t="shared" si="25"/>
        <v/>
      </c>
      <c r="Y113" s="217" t="str">
        <f t="shared" si="25"/>
        <v>sx</v>
      </c>
    </row>
    <row r="114" spans="1:25" x14ac:dyDescent="0.3">
      <c r="A114" s="216">
        <f t="shared" si="15"/>
        <v>112</v>
      </c>
      <c r="B114" s="217" t="str">
        <f t="shared" si="24"/>
        <v/>
      </c>
      <c r="C114" s="217" t="str">
        <f t="shared" si="24"/>
        <v/>
      </c>
      <c r="D114" s="217" t="str">
        <f t="shared" si="24"/>
        <v/>
      </c>
      <c r="E114" s="217" t="str">
        <f t="shared" si="24"/>
        <v/>
      </c>
      <c r="F114" s="217" t="str">
        <f t="shared" si="24"/>
        <v/>
      </c>
      <c r="G114" s="217" t="str">
        <f t="shared" si="24"/>
        <v/>
      </c>
      <c r="H114" s="217" t="str">
        <f t="shared" si="24"/>
        <v/>
      </c>
      <c r="I114" s="217" t="str">
        <f t="shared" si="24"/>
        <v/>
      </c>
      <c r="J114" s="217" t="str">
        <f t="shared" si="24"/>
        <v/>
      </c>
      <c r="K114" s="217" t="str">
        <f t="shared" si="24"/>
        <v/>
      </c>
      <c r="L114" s="217" t="str">
        <f t="shared" si="25"/>
        <v>info</v>
      </c>
      <c r="M114" s="217" t="str">
        <f t="shared" si="25"/>
        <v>x</v>
      </c>
      <c r="N114" s="217" t="str">
        <f t="shared" si="25"/>
        <v/>
      </c>
      <c r="O114" s="217" t="str">
        <f t="shared" si="25"/>
        <v>model</v>
      </c>
      <c r="P114" s="218" t="str">
        <f t="shared" si="25"/>
        <v>Length</v>
      </c>
      <c r="Q114" s="218" t="str">
        <f t="shared" si="25"/>
        <v>x</v>
      </c>
      <c r="R114" s="218" t="str">
        <f t="shared" si="25"/>
        <v>BS</v>
      </c>
      <c r="S114" s="218" t="str">
        <f t="shared" si="25"/>
        <v>all</v>
      </c>
      <c r="T114" s="217">
        <f t="shared" si="25"/>
        <v>0.39</v>
      </c>
      <c r="U114" s="217" t="str">
        <f t="shared" si="25"/>
        <v>Verglasung 2 Breite</v>
      </c>
      <c r="V114" s="217" t="str">
        <f t="shared" si="25"/>
        <v>x</v>
      </c>
      <c r="W114" s="217" t="str">
        <f t="shared" si="25"/>
        <v/>
      </c>
      <c r="X114" s="217" t="str">
        <f t="shared" si="25"/>
        <v/>
      </c>
      <c r="Y114" s="217" t="str">
        <f t="shared" si="25"/>
        <v>glazingWidthRight</v>
      </c>
    </row>
    <row r="115" spans="1:25" x14ac:dyDescent="0.3">
      <c r="A115" s="216">
        <f t="shared" si="15"/>
        <v>113</v>
      </c>
      <c r="B115" s="217" t="str">
        <f t="shared" si="24"/>
        <v/>
      </c>
      <c r="C115" s="217" t="str">
        <f t="shared" si="24"/>
        <v/>
      </c>
      <c r="D115" s="217" t="str">
        <f t="shared" si="24"/>
        <v/>
      </c>
      <c r="E115" s="217" t="str">
        <f t="shared" si="24"/>
        <v/>
      </c>
      <c r="F115" s="217" t="str">
        <f t="shared" si="24"/>
        <v/>
      </c>
      <c r="G115" s="217" t="str">
        <f t="shared" si="24"/>
        <v/>
      </c>
      <c r="H115" s="217" t="str">
        <f t="shared" si="24"/>
        <v/>
      </c>
      <c r="I115" s="217" t="str">
        <f t="shared" si="24"/>
        <v/>
      </c>
      <c r="J115" s="217" t="str">
        <f t="shared" si="24"/>
        <v/>
      </c>
      <c r="K115" s="217" t="str">
        <f t="shared" si="24"/>
        <v/>
      </c>
      <c r="L115" s="217" t="str">
        <f t="shared" si="25"/>
        <v>info</v>
      </c>
      <c r="M115" s="217" t="str">
        <f t="shared" si="25"/>
        <v>x</v>
      </c>
      <c r="N115" s="217" t="str">
        <f t="shared" si="25"/>
        <v/>
      </c>
      <c r="O115" s="217" t="str">
        <f t="shared" si="25"/>
        <v>model</v>
      </c>
      <c r="P115" s="218" t="str">
        <f t="shared" si="25"/>
        <v>Length</v>
      </c>
      <c r="Q115" s="218" t="str">
        <f t="shared" si="25"/>
        <v>x</v>
      </c>
      <c r="R115" s="218" t="str">
        <f t="shared" si="25"/>
        <v>BS</v>
      </c>
      <c r="S115" s="218" t="str">
        <f t="shared" si="25"/>
        <v>all</v>
      </c>
      <c r="T115" s="217">
        <f t="shared" si="25"/>
        <v>1.91</v>
      </c>
      <c r="U115" s="217" t="str">
        <f t="shared" si="25"/>
        <v>Verglasung Höhe</v>
      </c>
      <c r="V115" s="217" t="str">
        <f t="shared" si="25"/>
        <v>x</v>
      </c>
      <c r="W115" s="217" t="str">
        <f t="shared" si="25"/>
        <v/>
      </c>
      <c r="X115" s="217" t="str">
        <f t="shared" si="25"/>
        <v/>
      </c>
      <c r="Y115" s="217" t="str">
        <f t="shared" si="25"/>
        <v>glazingHeight</v>
      </c>
    </row>
    <row r="116" spans="1:25" x14ac:dyDescent="0.3">
      <c r="A116" s="216">
        <f t="shared" si="15"/>
        <v>114</v>
      </c>
      <c r="B116" s="217" t="str">
        <f t="shared" si="24"/>
        <v>x</v>
      </c>
      <c r="C116" s="217" t="str">
        <f t="shared" si="24"/>
        <v/>
      </c>
      <c r="D116" s="217" t="str">
        <f t="shared" si="24"/>
        <v/>
      </c>
      <c r="E116" s="217" t="str">
        <f t="shared" si="24"/>
        <v/>
      </c>
      <c r="F116" s="217" t="str">
        <f t="shared" si="24"/>
        <v/>
      </c>
      <c r="G116" s="217" t="str">
        <f t="shared" si="24"/>
        <v/>
      </c>
      <c r="H116" s="217" t="str">
        <f t="shared" si="24"/>
        <v/>
      </c>
      <c r="I116" s="217" t="str">
        <f t="shared" si="24"/>
        <v/>
      </c>
      <c r="J116" s="217" t="str">
        <f t="shared" si="24"/>
        <v/>
      </c>
      <c r="K116" s="217" t="str">
        <f t="shared" si="24"/>
        <v/>
      </c>
      <c r="L116" s="217" t="str">
        <f t="shared" si="25"/>
        <v>info</v>
      </c>
      <c r="M116" s="217" t="str">
        <f t="shared" si="25"/>
        <v/>
      </c>
      <c r="N116" s="217" t="str">
        <f t="shared" si="25"/>
        <v/>
      </c>
      <c r="O116" s="217" t="str">
        <f t="shared" si="25"/>
        <v>model</v>
      </c>
      <c r="P116" s="218" t="str">
        <f t="shared" si="25"/>
        <v>Title</v>
      </c>
      <c r="Q116" s="218" t="str">
        <f t="shared" si="25"/>
        <v>x</v>
      </c>
      <c r="R116" s="218" t="str">
        <f t="shared" si="25"/>
        <v>BS</v>
      </c>
      <c r="S116" s="218" t="str">
        <f t="shared" si="25"/>
        <v>all</v>
      </c>
      <c r="T116" s="217" t="str">
        <f t="shared" si="25"/>
        <v/>
      </c>
      <c r="U116" s="217" t="str">
        <f t="shared" si="25"/>
        <v>Türrahmen</v>
      </c>
      <c r="V116" s="217" t="str">
        <f t="shared" si="25"/>
        <v/>
      </c>
      <c r="W116" s="217" t="str">
        <f t="shared" si="25"/>
        <v/>
      </c>
      <c r="X116" s="217" t="str">
        <f t="shared" si="25"/>
        <v/>
      </c>
      <c r="Y116" s="217" t="str">
        <f t="shared" si="25"/>
        <v>gs_door_frame</v>
      </c>
    </row>
    <row r="117" spans="1:25" x14ac:dyDescent="0.3">
      <c r="A117" s="216">
        <f t="shared" si="15"/>
        <v>115</v>
      </c>
      <c r="B117" s="217" t="str">
        <f t="shared" si="24"/>
        <v>x</v>
      </c>
      <c r="C117" s="217" t="str">
        <f t="shared" si="24"/>
        <v/>
      </c>
      <c r="D117" s="217" t="str">
        <f t="shared" si="24"/>
        <v/>
      </c>
      <c r="E117" s="217" t="str">
        <f t="shared" si="24"/>
        <v/>
      </c>
      <c r="F117" s="217" t="str">
        <f t="shared" si="24"/>
        <v/>
      </c>
      <c r="G117" s="217" t="str">
        <f t="shared" si="24"/>
        <v/>
      </c>
      <c r="H117" s="217" t="str">
        <f t="shared" si="24"/>
        <v/>
      </c>
      <c r="I117" s="217" t="str">
        <f t="shared" si="24"/>
        <v/>
      </c>
      <c r="J117" s="217" t="str">
        <f t="shared" si="24"/>
        <v/>
      </c>
      <c r="K117" s="217" t="str">
        <f t="shared" si="24"/>
        <v/>
      </c>
      <c r="L117" s="217" t="str">
        <f t="shared" si="25"/>
        <v>info</v>
      </c>
      <c r="M117" s="217" t="str">
        <f t="shared" si="25"/>
        <v>x</v>
      </c>
      <c r="N117" s="217" t="str">
        <f t="shared" si="25"/>
        <v/>
      </c>
      <c r="O117" s="217" t="str">
        <f t="shared" si="25"/>
        <v>model</v>
      </c>
      <c r="P117" s="218" t="str">
        <f t="shared" si="25"/>
        <v>String</v>
      </c>
      <c r="Q117" s="218" t="str">
        <f t="shared" si="25"/>
        <v>x</v>
      </c>
      <c r="R117" s="218" t="str">
        <f t="shared" si="25"/>
        <v>BS</v>
      </c>
      <c r="S117" s="218" t="str">
        <f t="shared" si="25"/>
        <v>all</v>
      </c>
      <c r="T117" s="217" t="str">
        <f t="shared" si="25"/>
        <v>Standard</v>
      </c>
      <c r="U117" s="217" t="str">
        <f t="shared" si="25"/>
        <v>Rahmentyp</v>
      </c>
      <c r="V117" s="217" t="str">
        <f t="shared" si="25"/>
        <v>x</v>
      </c>
      <c r="W117" s="217" t="str">
        <f t="shared" si="25"/>
        <v/>
      </c>
      <c r="X117" s="217" t="str">
        <f t="shared" si="25"/>
        <v/>
      </c>
      <c r="Y117" s="217" t="str">
        <f t="shared" si="25"/>
        <v>gs_frame_type</v>
      </c>
    </row>
    <row r="118" spans="1:25" x14ac:dyDescent="0.3">
      <c r="A118" s="216">
        <f t="shared" si="15"/>
        <v>116</v>
      </c>
      <c r="B118" s="217" t="str">
        <f t="shared" si="24"/>
        <v>x</v>
      </c>
      <c r="C118" s="217" t="str">
        <f t="shared" si="24"/>
        <v>x</v>
      </c>
      <c r="D118" s="217" t="str">
        <f t="shared" si="24"/>
        <v/>
      </c>
      <c r="E118" s="217" t="str">
        <f t="shared" si="24"/>
        <v/>
      </c>
      <c r="F118" s="217" t="str">
        <f t="shared" si="24"/>
        <v/>
      </c>
      <c r="G118" s="217" t="str">
        <f t="shared" si="24"/>
        <v/>
      </c>
      <c r="H118" s="217" t="str">
        <f t="shared" si="24"/>
        <v/>
      </c>
      <c r="I118" s="217" t="str">
        <f t="shared" si="24"/>
        <v/>
      </c>
      <c r="J118" s="217" t="str">
        <f t="shared" si="24"/>
        <v/>
      </c>
      <c r="K118" s="217" t="str">
        <f t="shared" si="24"/>
        <v/>
      </c>
      <c r="L118" s="217" t="str">
        <f t="shared" si="25"/>
        <v>info</v>
      </c>
      <c r="M118" s="217" t="str">
        <f t="shared" si="25"/>
        <v>x</v>
      </c>
      <c r="N118" s="217" t="str">
        <f t="shared" si="25"/>
        <v/>
      </c>
      <c r="O118" s="217" t="str">
        <f t="shared" si="25"/>
        <v>model</v>
      </c>
      <c r="P118" s="218" t="str">
        <f t="shared" si="25"/>
        <v>Integer</v>
      </c>
      <c r="Q118" s="218" t="str">
        <f t="shared" si="25"/>
        <v>x</v>
      </c>
      <c r="R118" s="218" t="str">
        <f t="shared" si="25"/>
        <v>BS</v>
      </c>
      <c r="S118" s="218" t="str">
        <f t="shared" si="25"/>
        <v>all</v>
      </c>
      <c r="T118" s="217">
        <f t="shared" si="25"/>
        <v>1</v>
      </c>
      <c r="U118" s="217" t="str">
        <f t="shared" si="25"/>
        <v>Rahmentyp</v>
      </c>
      <c r="V118" s="217" t="str">
        <f t="shared" si="25"/>
        <v>x</v>
      </c>
      <c r="W118" s="217" t="str">
        <f t="shared" si="25"/>
        <v/>
      </c>
      <c r="X118" s="217" t="str">
        <f t="shared" si="25"/>
        <v/>
      </c>
      <c r="Y118" s="217" t="str">
        <f t="shared" si="25"/>
        <v>iFrameType</v>
      </c>
    </row>
    <row r="119" spans="1:25" x14ac:dyDescent="0.3">
      <c r="A119" s="216">
        <f t="shared" si="15"/>
        <v>117</v>
      </c>
      <c r="B119" s="217" t="str">
        <f t="shared" si="24"/>
        <v/>
      </c>
      <c r="C119" s="217" t="str">
        <f t="shared" si="24"/>
        <v/>
      </c>
      <c r="D119" s="217" t="str">
        <f t="shared" si="24"/>
        <v/>
      </c>
      <c r="E119" s="217" t="str">
        <f t="shared" si="24"/>
        <v/>
      </c>
      <c r="F119" s="217" t="str">
        <f t="shared" si="24"/>
        <v/>
      </c>
      <c r="G119" s="217" t="str">
        <f t="shared" si="24"/>
        <v/>
      </c>
      <c r="H119" s="217" t="str">
        <f t="shared" si="24"/>
        <v/>
      </c>
      <c r="I119" s="217" t="str">
        <f t="shared" si="24"/>
        <v/>
      </c>
      <c r="J119" s="217" t="str">
        <f t="shared" si="24"/>
        <v/>
      </c>
      <c r="K119" s="217" t="str">
        <f t="shared" si="24"/>
        <v/>
      </c>
      <c r="L119" s="217" t="str">
        <f t="shared" si="25"/>
        <v>info</v>
      </c>
      <c r="M119" s="217" t="str">
        <f t="shared" si="25"/>
        <v>x</v>
      </c>
      <c r="N119" s="217" t="str">
        <f t="shared" si="25"/>
        <v/>
      </c>
      <c r="O119" s="217" t="str">
        <f t="shared" si="25"/>
        <v>model</v>
      </c>
      <c r="P119" s="218" t="str">
        <f t="shared" si="25"/>
        <v>Boolean</v>
      </c>
      <c r="Q119" s="218" t="str">
        <f t="shared" si="25"/>
        <v>x</v>
      </c>
      <c r="R119" s="218" t="str">
        <f t="shared" si="25"/>
        <v>BS</v>
      </c>
      <c r="S119" s="218" t="str">
        <f t="shared" si="25"/>
        <v>all</v>
      </c>
      <c r="T119" s="217" t="str">
        <f t="shared" si="25"/>
        <v/>
      </c>
      <c r="U119" s="217" t="str">
        <f t="shared" si="25"/>
        <v>Unterschiedliche Breiten</v>
      </c>
      <c r="V119" s="217" t="str">
        <f t="shared" si="25"/>
        <v>x</v>
      </c>
      <c r="W119" s="217" t="str">
        <f t="shared" si="25"/>
        <v/>
      </c>
      <c r="X119" s="217" t="str">
        <f t="shared" si="25"/>
        <v/>
      </c>
      <c r="Y119" s="217" t="str">
        <f t="shared" si="25"/>
        <v>gs_different_framewidth</v>
      </c>
    </row>
    <row r="120" spans="1:25" x14ac:dyDescent="0.3">
      <c r="A120" s="216">
        <f t="shared" si="15"/>
        <v>118</v>
      </c>
      <c r="B120" s="217" t="str">
        <f t="shared" si="24"/>
        <v>x</v>
      </c>
      <c r="C120" s="217" t="str">
        <f t="shared" si="24"/>
        <v/>
      </c>
      <c r="D120" s="217" t="str">
        <f t="shared" si="24"/>
        <v/>
      </c>
      <c r="E120" s="217" t="str">
        <f t="shared" si="24"/>
        <v/>
      </c>
      <c r="F120" s="217" t="str">
        <f t="shared" si="24"/>
        <v/>
      </c>
      <c r="G120" s="217" t="str">
        <f t="shared" si="24"/>
        <v/>
      </c>
      <c r="H120" s="217" t="str">
        <f t="shared" si="24"/>
        <v/>
      </c>
      <c r="I120" s="217" t="str">
        <f t="shared" si="24"/>
        <v/>
      </c>
      <c r="J120" s="217" t="str">
        <f t="shared" si="24"/>
        <v/>
      </c>
      <c r="K120" s="217" t="str">
        <f t="shared" si="24"/>
        <v/>
      </c>
      <c r="L120" s="217" t="str">
        <f t="shared" si="25"/>
        <v>info</v>
      </c>
      <c r="M120" s="217" t="str">
        <f t="shared" si="25"/>
        <v>x</v>
      </c>
      <c r="N120" s="217" t="str">
        <f t="shared" si="25"/>
        <v/>
      </c>
      <c r="O120" s="217" t="str">
        <f t="shared" si="25"/>
        <v>model</v>
      </c>
      <c r="P120" s="218" t="str">
        <f t="shared" si="25"/>
        <v>Length</v>
      </c>
      <c r="Q120" s="218" t="str">
        <f t="shared" si="25"/>
        <v>x</v>
      </c>
      <c r="R120" s="218" t="str">
        <f t="shared" si="25"/>
        <v>BS</v>
      </c>
      <c r="S120" s="218" t="str">
        <f t="shared" si="25"/>
        <v>all</v>
      </c>
      <c r="T120" s="217">
        <f t="shared" si="25"/>
        <v>0.1</v>
      </c>
      <c r="U120" s="217" t="str">
        <f t="shared" si="25"/>
        <v>Rahmen-Breite</v>
      </c>
      <c r="V120" s="217" t="str">
        <f t="shared" si="25"/>
        <v>x</v>
      </c>
      <c r="W120" s="217" t="str">
        <f t="shared" si="25"/>
        <v/>
      </c>
      <c r="X120" s="217" t="str">
        <f t="shared" si="25"/>
        <v/>
      </c>
      <c r="Y120" s="217" t="str">
        <f t="shared" si="25"/>
        <v>gs_frame_width</v>
      </c>
    </row>
    <row r="121" spans="1:25" x14ac:dyDescent="0.3">
      <c r="A121" s="216">
        <f t="shared" si="15"/>
        <v>119</v>
      </c>
      <c r="B121" s="217" t="str">
        <f t="shared" si="24"/>
        <v/>
      </c>
      <c r="C121" s="217" t="str">
        <f t="shared" si="24"/>
        <v/>
      </c>
      <c r="D121" s="217" t="str">
        <f t="shared" si="24"/>
        <v/>
      </c>
      <c r="E121" s="217" t="str">
        <f t="shared" si="24"/>
        <v/>
      </c>
      <c r="F121" s="217" t="str">
        <f t="shared" si="24"/>
        <v/>
      </c>
      <c r="G121" s="217" t="str">
        <f t="shared" si="24"/>
        <v/>
      </c>
      <c r="H121" s="217" t="str">
        <f t="shared" si="24"/>
        <v/>
      </c>
      <c r="I121" s="217" t="str">
        <f t="shared" si="24"/>
        <v/>
      </c>
      <c r="J121" s="217" t="str">
        <f t="shared" si="24"/>
        <v/>
      </c>
      <c r="K121" s="217" t="str">
        <f t="shared" si="24"/>
        <v/>
      </c>
      <c r="L121" s="217" t="str">
        <f t="shared" si="25"/>
        <v>info</v>
      </c>
      <c r="M121" s="217" t="str">
        <f t="shared" si="25"/>
        <v>x</v>
      </c>
      <c r="N121" s="217" t="str">
        <f t="shared" si="25"/>
        <v/>
      </c>
      <c r="O121" s="217" t="str">
        <f t="shared" si="25"/>
        <v>model</v>
      </c>
      <c r="P121" s="218" t="str">
        <f t="shared" si="25"/>
        <v>Length</v>
      </c>
      <c r="Q121" s="218" t="str">
        <f t="shared" si="25"/>
        <v>x</v>
      </c>
      <c r="R121" s="218" t="str">
        <f t="shared" si="25"/>
        <v>BS</v>
      </c>
      <c r="S121" s="218" t="str">
        <f t="shared" si="25"/>
        <v>all</v>
      </c>
      <c r="T121" s="217">
        <f t="shared" si="25"/>
        <v>0.1</v>
      </c>
      <c r="U121" s="217" t="str">
        <f t="shared" si="25"/>
        <v>Rahmenbreite Seite 1</v>
      </c>
      <c r="V121" s="217" t="str">
        <f t="shared" si="25"/>
        <v>x</v>
      </c>
      <c r="W121" s="217" t="str">
        <f t="shared" si="25"/>
        <v/>
      </c>
      <c r="X121" s="217" t="str">
        <f t="shared" si="25"/>
        <v/>
      </c>
      <c r="Y121" s="217" t="str">
        <f t="shared" si="25"/>
        <v>gs_frame_width_right</v>
      </c>
    </row>
    <row r="122" spans="1:25" x14ac:dyDescent="0.3">
      <c r="A122" s="216">
        <f t="shared" si="15"/>
        <v>120</v>
      </c>
      <c r="B122" s="217" t="str">
        <f t="shared" si="24"/>
        <v/>
      </c>
      <c r="C122" s="217" t="str">
        <f t="shared" si="24"/>
        <v/>
      </c>
      <c r="D122" s="217" t="str">
        <f t="shared" si="24"/>
        <v/>
      </c>
      <c r="E122" s="217" t="str">
        <f t="shared" si="24"/>
        <v/>
      </c>
      <c r="F122" s="217" t="str">
        <f t="shared" si="24"/>
        <v/>
      </c>
      <c r="G122" s="217" t="str">
        <f t="shared" si="24"/>
        <v/>
      </c>
      <c r="H122" s="217" t="str">
        <f t="shared" si="24"/>
        <v/>
      </c>
      <c r="I122" s="217" t="str">
        <f t="shared" si="24"/>
        <v/>
      </c>
      <c r="J122" s="217" t="str">
        <f t="shared" si="24"/>
        <v/>
      </c>
      <c r="K122" s="217" t="str">
        <f t="shared" si="24"/>
        <v/>
      </c>
      <c r="L122" s="217" t="str">
        <f t="shared" si="25"/>
        <v>info</v>
      </c>
      <c r="M122" s="217" t="str">
        <f t="shared" si="25"/>
        <v>x</v>
      </c>
      <c r="N122" s="217" t="str">
        <f t="shared" si="25"/>
        <v/>
      </c>
      <c r="O122" s="217" t="str">
        <f t="shared" si="25"/>
        <v>model</v>
      </c>
      <c r="P122" s="218" t="str">
        <f t="shared" si="25"/>
        <v>Length</v>
      </c>
      <c r="Q122" s="218" t="str">
        <f t="shared" si="25"/>
        <v>x</v>
      </c>
      <c r="R122" s="218" t="str">
        <f t="shared" si="25"/>
        <v>BS</v>
      </c>
      <c r="S122" s="218" t="str">
        <f t="shared" si="25"/>
        <v>all</v>
      </c>
      <c r="T122" s="217">
        <f t="shared" si="25"/>
        <v>0.1</v>
      </c>
      <c r="U122" s="217" t="str">
        <f t="shared" si="25"/>
        <v>Rahmenbreite Seite 2</v>
      </c>
      <c r="V122" s="217" t="str">
        <f t="shared" si="25"/>
        <v>x</v>
      </c>
      <c r="W122" s="217" t="str">
        <f t="shared" si="25"/>
        <v/>
      </c>
      <c r="X122" s="217" t="str">
        <f t="shared" si="25"/>
        <v/>
      </c>
      <c r="Y122" s="217" t="str">
        <f t="shared" si="25"/>
        <v>gs_frame_width_left</v>
      </c>
    </row>
    <row r="123" spans="1:25" x14ac:dyDescent="0.3">
      <c r="A123" s="216">
        <f t="shared" si="15"/>
        <v>121</v>
      </c>
      <c r="B123" s="217" t="str">
        <f t="shared" ref="B123:K132" si="26">IF(ISNONTEXT(B$2),IF(B$2="","",IF(INDEX(IMPORT,$A123,B$2)=0,"",IFERROR(VLOOKUP(INDEX(IMPORT,$A123,B$2),ImportTranslation,2,0),INDEX(IMPORT,$A123,B$2)))),B$2)</f>
        <v/>
      </c>
      <c r="C123" s="217" t="str">
        <f t="shared" si="26"/>
        <v/>
      </c>
      <c r="D123" s="217" t="str">
        <f t="shared" si="26"/>
        <v/>
      </c>
      <c r="E123" s="217" t="str">
        <f t="shared" si="26"/>
        <v/>
      </c>
      <c r="F123" s="217" t="str">
        <f t="shared" si="26"/>
        <v/>
      </c>
      <c r="G123" s="217" t="str">
        <f t="shared" si="26"/>
        <v/>
      </c>
      <c r="H123" s="217" t="str">
        <f t="shared" si="26"/>
        <v/>
      </c>
      <c r="I123" s="217" t="str">
        <f t="shared" si="26"/>
        <v/>
      </c>
      <c r="J123" s="217" t="str">
        <f t="shared" si="26"/>
        <v/>
      </c>
      <c r="K123" s="217" t="str">
        <f t="shared" si="26"/>
        <v/>
      </c>
      <c r="L123" s="217" t="str">
        <f t="shared" ref="L123:Y132" si="27">IF(ISNONTEXT(L$2),IF(L$2="","",IF(INDEX(IMPORT,$A123,L$2)=0,"",IFERROR(VLOOKUP(INDEX(IMPORT,$A123,L$2),ImportTranslation,2,0),INDEX(IMPORT,$A123,L$2)))),L$2)</f>
        <v>info</v>
      </c>
      <c r="M123" s="217" t="str">
        <f t="shared" si="27"/>
        <v>x</v>
      </c>
      <c r="N123" s="217" t="str">
        <f t="shared" si="27"/>
        <v/>
      </c>
      <c r="O123" s="217" t="str">
        <f t="shared" si="27"/>
        <v>model</v>
      </c>
      <c r="P123" s="218" t="str">
        <f t="shared" si="27"/>
        <v>Length</v>
      </c>
      <c r="Q123" s="218" t="str">
        <f t="shared" si="27"/>
        <v>x</v>
      </c>
      <c r="R123" s="218" t="str">
        <f t="shared" si="27"/>
        <v>BS</v>
      </c>
      <c r="S123" s="218" t="str">
        <f t="shared" si="27"/>
        <v>all</v>
      </c>
      <c r="T123" s="217">
        <f t="shared" si="27"/>
        <v>0.1</v>
      </c>
      <c r="U123" s="217" t="str">
        <f t="shared" si="27"/>
        <v>Mittlerer Rahmen Seite 1</v>
      </c>
      <c r="V123" s="217" t="str">
        <f t="shared" si="27"/>
        <v>x</v>
      </c>
      <c r="W123" s="217" t="str">
        <f t="shared" si="27"/>
        <v/>
      </c>
      <c r="X123" s="217" t="str">
        <f t="shared" si="27"/>
        <v/>
      </c>
      <c r="Y123" s="217" t="str">
        <f t="shared" si="27"/>
        <v>gs_frame_width_right_2</v>
      </c>
    </row>
    <row r="124" spans="1:25" x14ac:dyDescent="0.3">
      <c r="A124" s="216">
        <f t="shared" si="15"/>
        <v>122</v>
      </c>
      <c r="B124" s="217" t="str">
        <f t="shared" si="26"/>
        <v/>
      </c>
      <c r="C124" s="217" t="str">
        <f t="shared" si="26"/>
        <v/>
      </c>
      <c r="D124" s="217" t="str">
        <f t="shared" si="26"/>
        <v/>
      </c>
      <c r="E124" s="217" t="str">
        <f t="shared" si="26"/>
        <v/>
      </c>
      <c r="F124" s="217" t="str">
        <f t="shared" si="26"/>
        <v/>
      </c>
      <c r="G124" s="217" t="str">
        <f t="shared" si="26"/>
        <v/>
      </c>
      <c r="H124" s="217" t="str">
        <f t="shared" si="26"/>
        <v/>
      </c>
      <c r="I124" s="217" t="str">
        <f t="shared" si="26"/>
        <v/>
      </c>
      <c r="J124" s="217" t="str">
        <f t="shared" si="26"/>
        <v/>
      </c>
      <c r="K124" s="217" t="str">
        <f t="shared" si="26"/>
        <v/>
      </c>
      <c r="L124" s="217" t="str">
        <f t="shared" si="27"/>
        <v>info</v>
      </c>
      <c r="M124" s="217" t="str">
        <f t="shared" si="27"/>
        <v>x</v>
      </c>
      <c r="N124" s="217" t="str">
        <f t="shared" si="27"/>
        <v/>
      </c>
      <c r="O124" s="217" t="str">
        <f t="shared" si="27"/>
        <v>model</v>
      </c>
      <c r="P124" s="218" t="str">
        <f t="shared" si="27"/>
        <v>Length</v>
      </c>
      <c r="Q124" s="218" t="str">
        <f t="shared" si="27"/>
        <v>x</v>
      </c>
      <c r="R124" s="218" t="str">
        <f t="shared" si="27"/>
        <v>BS</v>
      </c>
      <c r="S124" s="218" t="str">
        <f t="shared" si="27"/>
        <v>all</v>
      </c>
      <c r="T124" s="217">
        <f t="shared" si="27"/>
        <v>0.1</v>
      </c>
      <c r="U124" s="217" t="str">
        <f t="shared" si="27"/>
        <v>Mittlerer Rahmen Seite 2</v>
      </c>
      <c r="V124" s="217" t="str">
        <f t="shared" si="27"/>
        <v>x</v>
      </c>
      <c r="W124" s="217" t="str">
        <f t="shared" si="27"/>
        <v/>
      </c>
      <c r="X124" s="217" t="str">
        <f t="shared" si="27"/>
        <v/>
      </c>
      <c r="Y124" s="217" t="str">
        <f t="shared" si="27"/>
        <v>gs_frame_width_left_2</v>
      </c>
    </row>
    <row r="125" spans="1:25" x14ac:dyDescent="0.3">
      <c r="A125" s="216">
        <f t="shared" si="15"/>
        <v>123</v>
      </c>
      <c r="B125" s="217" t="str">
        <f t="shared" si="26"/>
        <v/>
      </c>
      <c r="C125" s="217" t="str">
        <f t="shared" si="26"/>
        <v/>
      </c>
      <c r="D125" s="217" t="str">
        <f t="shared" si="26"/>
        <v/>
      </c>
      <c r="E125" s="217" t="str">
        <f t="shared" si="26"/>
        <v/>
      </c>
      <c r="F125" s="217" t="str">
        <f t="shared" si="26"/>
        <v/>
      </c>
      <c r="G125" s="217" t="str">
        <f t="shared" si="26"/>
        <v/>
      </c>
      <c r="H125" s="217" t="str">
        <f t="shared" si="26"/>
        <v/>
      </c>
      <c r="I125" s="217" t="str">
        <f t="shared" si="26"/>
        <v/>
      </c>
      <c r="J125" s="217" t="str">
        <f t="shared" si="26"/>
        <v/>
      </c>
      <c r="K125" s="217" t="str">
        <f t="shared" si="26"/>
        <v/>
      </c>
      <c r="L125" s="217" t="str">
        <f t="shared" si="27"/>
        <v>info</v>
      </c>
      <c r="M125" s="217" t="str">
        <f t="shared" si="27"/>
        <v>x</v>
      </c>
      <c r="N125" s="217" t="str">
        <f t="shared" si="27"/>
        <v/>
      </c>
      <c r="O125" s="217" t="str">
        <f t="shared" si="27"/>
        <v>model</v>
      </c>
      <c r="P125" s="218" t="str">
        <f t="shared" si="27"/>
        <v>Length</v>
      </c>
      <c r="Q125" s="218" t="str">
        <f t="shared" si="27"/>
        <v>x</v>
      </c>
      <c r="R125" s="218" t="str">
        <f t="shared" si="27"/>
        <v>BS</v>
      </c>
      <c r="S125" s="218" t="str">
        <f t="shared" si="27"/>
        <v>all</v>
      </c>
      <c r="T125" s="217">
        <f t="shared" si="27"/>
        <v>0.1</v>
      </c>
      <c r="U125" s="217" t="str">
        <f t="shared" si="27"/>
        <v>Oberer Rahmen Breite</v>
      </c>
      <c r="V125" s="217" t="str">
        <f t="shared" si="27"/>
        <v>x</v>
      </c>
      <c r="W125" s="217" t="str">
        <f t="shared" si="27"/>
        <v/>
      </c>
      <c r="X125" s="217" t="str">
        <f t="shared" si="27"/>
        <v/>
      </c>
      <c r="Y125" s="217" t="str">
        <f t="shared" si="27"/>
        <v>gs_frame_width_upper</v>
      </c>
    </row>
    <row r="126" spans="1:25" x14ac:dyDescent="0.3">
      <c r="A126" s="216">
        <f t="shared" si="15"/>
        <v>124</v>
      </c>
      <c r="B126" s="217" t="str">
        <f t="shared" si="26"/>
        <v/>
      </c>
      <c r="C126" s="217" t="str">
        <f t="shared" si="26"/>
        <v/>
      </c>
      <c r="D126" s="217" t="str">
        <f t="shared" si="26"/>
        <v/>
      </c>
      <c r="E126" s="217" t="str">
        <f t="shared" si="26"/>
        <v/>
      </c>
      <c r="F126" s="217" t="str">
        <f t="shared" si="26"/>
        <v/>
      </c>
      <c r="G126" s="217" t="str">
        <f t="shared" si="26"/>
        <v/>
      </c>
      <c r="H126" s="217" t="str">
        <f t="shared" si="26"/>
        <v/>
      </c>
      <c r="I126" s="217" t="str">
        <f t="shared" si="26"/>
        <v/>
      </c>
      <c r="J126" s="217" t="str">
        <f t="shared" si="26"/>
        <v/>
      </c>
      <c r="K126" s="217" t="str">
        <f t="shared" si="26"/>
        <v/>
      </c>
      <c r="L126" s="217" t="str">
        <f t="shared" si="27"/>
        <v>info</v>
      </c>
      <c r="M126" s="217" t="str">
        <f t="shared" si="27"/>
        <v>x</v>
      </c>
      <c r="N126" s="217" t="str">
        <f t="shared" si="27"/>
        <v/>
      </c>
      <c r="O126" s="217" t="str">
        <f t="shared" si="27"/>
        <v>model</v>
      </c>
      <c r="P126" s="218" t="str">
        <f t="shared" si="27"/>
        <v>Length</v>
      </c>
      <c r="Q126" s="218" t="str">
        <f t="shared" si="27"/>
        <v>x</v>
      </c>
      <c r="R126" s="218" t="str">
        <f t="shared" si="27"/>
        <v>BS</v>
      </c>
      <c r="S126" s="218" t="str">
        <f t="shared" si="27"/>
        <v>all</v>
      </c>
      <c r="T126" s="217">
        <f t="shared" si="27"/>
        <v>0.1</v>
      </c>
      <c r="U126" s="217" t="str">
        <f t="shared" si="27"/>
        <v>Querbalken Rahmen Breite</v>
      </c>
      <c r="V126" s="217" t="str">
        <f t="shared" si="27"/>
        <v>x</v>
      </c>
      <c r="W126" s="217" t="str">
        <f t="shared" si="27"/>
        <v/>
      </c>
      <c r="X126" s="217" t="str">
        <f t="shared" si="27"/>
        <v/>
      </c>
      <c r="Y126" s="217" t="str">
        <f t="shared" si="27"/>
        <v>gs_frame_width_transom</v>
      </c>
    </row>
    <row r="127" spans="1:25" x14ac:dyDescent="0.3">
      <c r="A127" s="216">
        <f t="shared" si="15"/>
        <v>125</v>
      </c>
      <c r="B127" s="217" t="str">
        <f t="shared" si="26"/>
        <v/>
      </c>
      <c r="C127" s="217" t="str">
        <f t="shared" si="26"/>
        <v/>
      </c>
      <c r="D127" s="217" t="str">
        <f t="shared" si="26"/>
        <v/>
      </c>
      <c r="E127" s="217" t="str">
        <f t="shared" si="26"/>
        <v/>
      </c>
      <c r="F127" s="217" t="str">
        <f t="shared" si="26"/>
        <v/>
      </c>
      <c r="G127" s="217" t="str">
        <f t="shared" si="26"/>
        <v/>
      </c>
      <c r="H127" s="217" t="str">
        <f t="shared" si="26"/>
        <v/>
      </c>
      <c r="I127" s="217" t="str">
        <f t="shared" si="26"/>
        <v/>
      </c>
      <c r="J127" s="217" t="str">
        <f t="shared" si="26"/>
        <v/>
      </c>
      <c r="K127" s="217" t="str">
        <f t="shared" si="26"/>
        <v/>
      </c>
      <c r="L127" s="217" t="str">
        <f t="shared" si="27"/>
        <v>info</v>
      </c>
      <c r="M127" s="217" t="str">
        <f t="shared" si="27"/>
        <v>x</v>
      </c>
      <c r="N127" s="217" t="str">
        <f t="shared" si="27"/>
        <v/>
      </c>
      <c r="O127" s="217" t="str">
        <f t="shared" si="27"/>
        <v>model</v>
      </c>
      <c r="P127" s="218" t="str">
        <f t="shared" si="27"/>
        <v>Length</v>
      </c>
      <c r="Q127" s="218" t="str">
        <f t="shared" si="27"/>
        <v>x</v>
      </c>
      <c r="R127" s="218" t="str">
        <f t="shared" si="27"/>
        <v>BS</v>
      </c>
      <c r="S127" s="218" t="str">
        <f t="shared" si="27"/>
        <v>all</v>
      </c>
      <c r="T127" s="217">
        <f t="shared" si="27"/>
        <v>0.1</v>
      </c>
      <c r="U127" s="217" t="str">
        <f t="shared" si="27"/>
        <v>Seitenfeld Querbalkenrahmen Breite</v>
      </c>
      <c r="V127" s="217" t="str">
        <f t="shared" si="27"/>
        <v>x</v>
      </c>
      <c r="W127" s="217" t="str">
        <f t="shared" si="27"/>
        <v/>
      </c>
      <c r="X127" s="217" t="str">
        <f t="shared" si="27"/>
        <v/>
      </c>
      <c r="Y127" s="217" t="str">
        <f t="shared" si="27"/>
        <v>gs_frame_width_transom_sl</v>
      </c>
    </row>
    <row r="128" spans="1:25" x14ac:dyDescent="0.3">
      <c r="A128" s="216">
        <f t="shared" si="15"/>
        <v>126</v>
      </c>
      <c r="B128" s="217" t="str">
        <f t="shared" si="26"/>
        <v/>
      </c>
      <c r="C128" s="217" t="str">
        <f t="shared" si="26"/>
        <v/>
      </c>
      <c r="D128" s="217" t="str">
        <f t="shared" si="26"/>
        <v/>
      </c>
      <c r="E128" s="217" t="str">
        <f t="shared" si="26"/>
        <v/>
      </c>
      <c r="F128" s="217" t="str">
        <f t="shared" si="26"/>
        <v/>
      </c>
      <c r="G128" s="217" t="str">
        <f t="shared" si="26"/>
        <v/>
      </c>
      <c r="H128" s="217" t="str">
        <f t="shared" si="26"/>
        <v/>
      </c>
      <c r="I128" s="217" t="str">
        <f t="shared" si="26"/>
        <v/>
      </c>
      <c r="J128" s="217" t="str">
        <f t="shared" si="26"/>
        <v/>
      </c>
      <c r="K128" s="217" t="str">
        <f t="shared" si="26"/>
        <v/>
      </c>
      <c r="L128" s="217" t="str">
        <f t="shared" si="27"/>
        <v>info</v>
      </c>
      <c r="M128" s="217" t="str">
        <f t="shared" si="27"/>
        <v>x</v>
      </c>
      <c r="N128" s="217" t="str">
        <f t="shared" si="27"/>
        <v/>
      </c>
      <c r="O128" s="217" t="str">
        <f t="shared" si="27"/>
        <v>model</v>
      </c>
      <c r="P128" s="218" t="str">
        <f t="shared" si="27"/>
        <v>Length</v>
      </c>
      <c r="Q128" s="218" t="str">
        <f t="shared" si="27"/>
        <v>x</v>
      </c>
      <c r="R128" s="218" t="str">
        <f t="shared" si="27"/>
        <v>BS</v>
      </c>
      <c r="S128" s="218" t="str">
        <f t="shared" si="27"/>
        <v>all</v>
      </c>
      <c r="T128" s="217">
        <f t="shared" si="27"/>
        <v>0.1</v>
      </c>
      <c r="U128" s="217" t="str">
        <f t="shared" si="27"/>
        <v>Seitenfeld oberer Rahmen Breite</v>
      </c>
      <c r="V128" s="217" t="str">
        <f t="shared" si="27"/>
        <v>x</v>
      </c>
      <c r="W128" s="217" t="str">
        <f t="shared" si="27"/>
        <v/>
      </c>
      <c r="X128" s="217" t="str">
        <f t="shared" si="27"/>
        <v/>
      </c>
      <c r="Y128" s="217" t="str">
        <f t="shared" si="27"/>
        <v>gs_frame_width_upper_sl</v>
      </c>
    </row>
    <row r="129" spans="1:25" x14ac:dyDescent="0.3">
      <c r="A129" s="216">
        <f t="shared" si="15"/>
        <v>127</v>
      </c>
      <c r="B129" s="217" t="str">
        <f t="shared" si="26"/>
        <v/>
      </c>
      <c r="C129" s="217" t="str">
        <f t="shared" si="26"/>
        <v/>
      </c>
      <c r="D129" s="217" t="str">
        <f t="shared" si="26"/>
        <v/>
      </c>
      <c r="E129" s="217" t="str">
        <f t="shared" si="26"/>
        <v/>
      </c>
      <c r="F129" s="217" t="str">
        <f t="shared" si="26"/>
        <v/>
      </c>
      <c r="G129" s="217" t="str">
        <f t="shared" si="26"/>
        <v/>
      </c>
      <c r="H129" s="217" t="str">
        <f t="shared" si="26"/>
        <v/>
      </c>
      <c r="I129" s="217" t="str">
        <f t="shared" si="26"/>
        <v/>
      </c>
      <c r="J129" s="217" t="str">
        <f t="shared" si="26"/>
        <v/>
      </c>
      <c r="K129" s="217" t="str">
        <f t="shared" si="26"/>
        <v/>
      </c>
      <c r="L129" s="217" t="str">
        <f t="shared" si="27"/>
        <v>info</v>
      </c>
      <c r="M129" s="217" t="str">
        <f t="shared" si="27"/>
        <v>x</v>
      </c>
      <c r="N129" s="217" t="str">
        <f t="shared" si="27"/>
        <v/>
      </c>
      <c r="O129" s="217" t="str">
        <f t="shared" si="27"/>
        <v>model</v>
      </c>
      <c r="P129" s="218" t="str">
        <f t="shared" si="27"/>
        <v>Length</v>
      </c>
      <c r="Q129" s="218" t="str">
        <f t="shared" si="27"/>
        <v>x</v>
      </c>
      <c r="R129" s="218" t="str">
        <f t="shared" si="27"/>
        <v>BS</v>
      </c>
      <c r="S129" s="218" t="str">
        <f t="shared" si="27"/>
        <v>all</v>
      </c>
      <c r="T129" s="217">
        <f t="shared" si="27"/>
        <v>0.1</v>
      </c>
      <c r="U129" s="217" t="str">
        <f t="shared" si="27"/>
        <v>Unterer Rahmen Breite</v>
      </c>
      <c r="V129" s="217" t="str">
        <f t="shared" si="27"/>
        <v>x</v>
      </c>
      <c r="W129" s="217" t="str">
        <f t="shared" si="27"/>
        <v/>
      </c>
      <c r="X129" s="217" t="str">
        <f t="shared" si="27"/>
        <v/>
      </c>
      <c r="Y129" s="217" t="str">
        <f t="shared" si="27"/>
        <v>gs_frame_width_bottom_sl</v>
      </c>
    </row>
    <row r="130" spans="1:25" x14ac:dyDescent="0.3">
      <c r="A130" s="216">
        <f t="shared" si="15"/>
        <v>128</v>
      </c>
      <c r="B130" s="217" t="str">
        <f t="shared" si="26"/>
        <v>x</v>
      </c>
      <c r="C130" s="217" t="str">
        <f t="shared" si="26"/>
        <v/>
      </c>
      <c r="D130" s="217" t="str">
        <f t="shared" si="26"/>
        <v/>
      </c>
      <c r="E130" s="217" t="str">
        <f t="shared" si="26"/>
        <v/>
      </c>
      <c r="F130" s="217" t="str">
        <f t="shared" si="26"/>
        <v/>
      </c>
      <c r="G130" s="217" t="str">
        <f t="shared" si="26"/>
        <v/>
      </c>
      <c r="H130" s="217" t="str">
        <f t="shared" si="26"/>
        <v/>
      </c>
      <c r="I130" s="217" t="str">
        <f t="shared" si="26"/>
        <v/>
      </c>
      <c r="J130" s="217" t="str">
        <f t="shared" si="26"/>
        <v/>
      </c>
      <c r="K130" s="217" t="str">
        <f t="shared" si="26"/>
        <v/>
      </c>
      <c r="L130" s="217" t="str">
        <f t="shared" si="27"/>
        <v>info</v>
      </c>
      <c r="M130" s="217" t="str">
        <f t="shared" si="27"/>
        <v>x</v>
      </c>
      <c r="N130" s="217" t="str">
        <f t="shared" si="27"/>
        <v/>
      </c>
      <c r="O130" s="217" t="str">
        <f t="shared" si="27"/>
        <v>model</v>
      </c>
      <c r="P130" s="218" t="str">
        <f t="shared" si="27"/>
        <v>Length</v>
      </c>
      <c r="Q130" s="218" t="str">
        <f t="shared" si="27"/>
        <v>x</v>
      </c>
      <c r="R130" s="218" t="str">
        <f t="shared" si="27"/>
        <v>BS</v>
      </c>
      <c r="S130" s="218" t="str">
        <f t="shared" si="27"/>
        <v>all</v>
      </c>
      <c r="T130" s="217">
        <f t="shared" si="27"/>
        <v>0.05</v>
      </c>
      <c r="U130" s="217" t="str">
        <f t="shared" si="27"/>
        <v>Rahmen-Dicke</v>
      </c>
      <c r="V130" s="217" t="str">
        <f t="shared" si="27"/>
        <v>x</v>
      </c>
      <c r="W130" s="217" t="str">
        <f t="shared" si="27"/>
        <v/>
      </c>
      <c r="X130" s="217" t="str">
        <f t="shared" si="27"/>
        <v/>
      </c>
      <c r="Y130" s="217" t="str">
        <f t="shared" si="27"/>
        <v>gs_frame_thk</v>
      </c>
    </row>
    <row r="131" spans="1:25" x14ac:dyDescent="0.3">
      <c r="A131" s="216">
        <f t="shared" ref="A131:A194" si="28">ROW()-ROW($A$2)</f>
        <v>129</v>
      </c>
      <c r="B131" s="217" t="str">
        <f t="shared" si="26"/>
        <v>x</v>
      </c>
      <c r="C131" s="217" t="str">
        <f t="shared" si="26"/>
        <v/>
      </c>
      <c r="D131" s="217" t="str">
        <f t="shared" si="26"/>
        <v/>
      </c>
      <c r="E131" s="217" t="str">
        <f t="shared" si="26"/>
        <v/>
      </c>
      <c r="F131" s="217" t="str">
        <f t="shared" si="26"/>
        <v/>
      </c>
      <c r="G131" s="217" t="str">
        <f t="shared" si="26"/>
        <v/>
      </c>
      <c r="H131" s="217" t="str">
        <f t="shared" si="26"/>
        <v/>
      </c>
      <c r="I131" s="217" t="str">
        <f t="shared" si="26"/>
        <v/>
      </c>
      <c r="J131" s="217" t="str">
        <f t="shared" si="26"/>
        <v/>
      </c>
      <c r="K131" s="217" t="str">
        <f t="shared" si="26"/>
        <v/>
      </c>
      <c r="L131" s="217" t="str">
        <f t="shared" si="27"/>
        <v>info</v>
      </c>
      <c r="M131" s="217" t="str">
        <f t="shared" si="27"/>
        <v>x</v>
      </c>
      <c r="N131" s="217" t="str">
        <f t="shared" si="27"/>
        <v/>
      </c>
      <c r="O131" s="217" t="str">
        <f t="shared" si="27"/>
        <v>model</v>
      </c>
      <c r="P131" s="218" t="str">
        <f t="shared" si="27"/>
        <v>Boolean</v>
      </c>
      <c r="Q131" s="218" t="str">
        <f t="shared" si="27"/>
        <v>x</v>
      </c>
      <c r="R131" s="218" t="str">
        <f t="shared" si="27"/>
        <v>BS</v>
      </c>
      <c r="S131" s="218" t="str">
        <f t="shared" si="27"/>
        <v>all</v>
      </c>
      <c r="T131" s="217">
        <f t="shared" si="27"/>
        <v>1</v>
      </c>
      <c r="U131" s="217" t="str">
        <f t="shared" si="27"/>
        <v>Seite Laibung</v>
      </c>
      <c r="V131" s="217" t="str">
        <f t="shared" si="27"/>
        <v>x</v>
      </c>
      <c r="W131" s="217" t="str">
        <f t="shared" si="27"/>
        <v/>
      </c>
      <c r="X131" s="217" t="str">
        <f t="shared" si="27"/>
        <v/>
      </c>
      <c r="Y131" s="217" t="str">
        <f t="shared" si="27"/>
        <v>gs_rev</v>
      </c>
    </row>
    <row r="132" spans="1:25" x14ac:dyDescent="0.3">
      <c r="A132" s="216">
        <f t="shared" si="28"/>
        <v>130</v>
      </c>
      <c r="B132" s="217" t="str">
        <f t="shared" si="26"/>
        <v>x</v>
      </c>
      <c r="C132" s="217" t="str">
        <f t="shared" si="26"/>
        <v/>
      </c>
      <c r="D132" s="217" t="str">
        <f t="shared" si="26"/>
        <v/>
      </c>
      <c r="E132" s="217" t="str">
        <f t="shared" si="26"/>
        <v/>
      </c>
      <c r="F132" s="217" t="str">
        <f t="shared" si="26"/>
        <v/>
      </c>
      <c r="G132" s="217" t="str">
        <f t="shared" si="26"/>
        <v/>
      </c>
      <c r="H132" s="217" t="str">
        <f t="shared" si="26"/>
        <v/>
      </c>
      <c r="I132" s="217" t="str">
        <f t="shared" si="26"/>
        <v/>
      </c>
      <c r="J132" s="217" t="str">
        <f t="shared" si="26"/>
        <v/>
      </c>
      <c r="K132" s="217" t="str">
        <f t="shared" si="26"/>
        <v/>
      </c>
      <c r="L132" s="217" t="str">
        <f t="shared" si="27"/>
        <v>info</v>
      </c>
      <c r="M132" s="217" t="str">
        <f t="shared" si="27"/>
        <v>x</v>
      </c>
      <c r="N132" s="217" t="str">
        <f t="shared" si="27"/>
        <v/>
      </c>
      <c r="O132" s="217" t="str">
        <f t="shared" si="27"/>
        <v>model</v>
      </c>
      <c r="P132" s="218" t="str">
        <f t="shared" si="27"/>
        <v>Length</v>
      </c>
      <c r="Q132" s="218" t="str">
        <f t="shared" si="27"/>
        <v>x</v>
      </c>
      <c r="R132" s="218" t="str">
        <f t="shared" si="27"/>
        <v>BS</v>
      </c>
      <c r="S132" s="218" t="str">
        <f t="shared" si="27"/>
        <v>all</v>
      </c>
      <c r="T132" s="217">
        <f t="shared" si="27"/>
        <v>0.05</v>
      </c>
      <c r="U132" s="217" t="str">
        <f t="shared" si="27"/>
        <v>Block Breite</v>
      </c>
      <c r="V132" s="217" t="str">
        <f t="shared" si="27"/>
        <v>x</v>
      </c>
      <c r="W132" s="217" t="str">
        <f t="shared" si="27"/>
        <v/>
      </c>
      <c r="X132" s="217" t="str">
        <f t="shared" si="27"/>
        <v/>
      </c>
      <c r="Y132" s="217" t="str">
        <f t="shared" si="27"/>
        <v>gs_bl_thk</v>
      </c>
    </row>
    <row r="133" spans="1:25" x14ac:dyDescent="0.3">
      <c r="A133" s="216">
        <f t="shared" si="28"/>
        <v>131</v>
      </c>
      <c r="B133" s="217" t="str">
        <f t="shared" ref="B133:K142" si="29">IF(ISNONTEXT(B$2),IF(B$2="","",IF(INDEX(IMPORT,$A133,B$2)=0,"",IFERROR(VLOOKUP(INDEX(IMPORT,$A133,B$2),ImportTranslation,2,0),INDEX(IMPORT,$A133,B$2)))),B$2)</f>
        <v>x</v>
      </c>
      <c r="C133" s="217" t="str">
        <f t="shared" si="29"/>
        <v/>
      </c>
      <c r="D133" s="217" t="str">
        <f t="shared" si="29"/>
        <v/>
      </c>
      <c r="E133" s="217" t="str">
        <f t="shared" si="29"/>
        <v/>
      </c>
      <c r="F133" s="217" t="str">
        <f t="shared" si="29"/>
        <v/>
      </c>
      <c r="G133" s="217" t="str">
        <f t="shared" si="29"/>
        <v/>
      </c>
      <c r="H133" s="217" t="str">
        <f t="shared" si="29"/>
        <v/>
      </c>
      <c r="I133" s="217" t="str">
        <f t="shared" si="29"/>
        <v/>
      </c>
      <c r="J133" s="217" t="str">
        <f t="shared" si="29"/>
        <v/>
      </c>
      <c r="K133" s="217" t="str">
        <f t="shared" si="29"/>
        <v/>
      </c>
      <c r="L133" s="217" t="str">
        <f t="shared" ref="L133:Y142" si="30">IF(ISNONTEXT(L$2),IF(L$2="","",IF(INDEX(IMPORT,$A133,L$2)=0,"",IFERROR(VLOOKUP(INDEX(IMPORT,$A133,L$2),ImportTranslation,2,0),INDEX(IMPORT,$A133,L$2)))),L$2)</f>
        <v>info</v>
      </c>
      <c r="M133" s="217" t="str">
        <f t="shared" si="30"/>
        <v>x</v>
      </c>
      <c r="N133" s="217" t="str">
        <f t="shared" si="30"/>
        <v/>
      </c>
      <c r="O133" s="217" t="str">
        <f t="shared" si="30"/>
        <v>model</v>
      </c>
      <c r="P133" s="218" t="str">
        <f t="shared" si="30"/>
        <v>Length</v>
      </c>
      <c r="Q133" s="218" t="str">
        <f t="shared" si="30"/>
        <v>x</v>
      </c>
      <c r="R133" s="218" t="str">
        <f t="shared" si="30"/>
        <v>BS</v>
      </c>
      <c r="S133" s="218" t="str">
        <f t="shared" si="30"/>
        <v>all</v>
      </c>
      <c r="T133" s="217">
        <f t="shared" si="30"/>
        <v>0.06</v>
      </c>
      <c r="U133" s="217" t="str">
        <f t="shared" si="30"/>
        <v>Block Dicke</v>
      </c>
      <c r="V133" s="217" t="str">
        <f t="shared" si="30"/>
        <v>x</v>
      </c>
      <c r="W133" s="217" t="str">
        <f t="shared" si="30"/>
        <v/>
      </c>
      <c r="X133" s="217" t="str">
        <f t="shared" si="30"/>
        <v/>
      </c>
      <c r="Y133" s="217" t="str">
        <f t="shared" si="30"/>
        <v>gs_bl_width</v>
      </c>
    </row>
    <row r="134" spans="1:25" x14ac:dyDescent="0.3">
      <c r="A134" s="216">
        <f t="shared" si="28"/>
        <v>132</v>
      </c>
      <c r="B134" s="217" t="str">
        <f t="shared" si="29"/>
        <v>x</v>
      </c>
      <c r="C134" s="217" t="str">
        <f t="shared" si="29"/>
        <v/>
      </c>
      <c r="D134" s="217" t="str">
        <f t="shared" si="29"/>
        <v/>
      </c>
      <c r="E134" s="217" t="str">
        <f t="shared" si="29"/>
        <v/>
      </c>
      <c r="F134" s="217" t="str">
        <f t="shared" si="29"/>
        <v/>
      </c>
      <c r="G134" s="217" t="str">
        <f t="shared" si="29"/>
        <v/>
      </c>
      <c r="H134" s="217" t="str">
        <f t="shared" si="29"/>
        <v/>
      </c>
      <c r="I134" s="217" t="str">
        <f t="shared" si="29"/>
        <v/>
      </c>
      <c r="J134" s="217" t="str">
        <f t="shared" si="29"/>
        <v/>
      </c>
      <c r="K134" s="217" t="str">
        <f t="shared" si="29"/>
        <v/>
      </c>
      <c r="L134" s="217" t="str">
        <f t="shared" si="30"/>
        <v>info</v>
      </c>
      <c r="M134" s="217" t="str">
        <f t="shared" si="30"/>
        <v>x</v>
      </c>
      <c r="N134" s="217" t="str">
        <f t="shared" si="30"/>
        <v/>
      </c>
      <c r="O134" s="217" t="str">
        <f t="shared" si="30"/>
        <v>model</v>
      </c>
      <c r="P134" s="218" t="str">
        <f t="shared" si="30"/>
        <v>Length</v>
      </c>
      <c r="Q134" s="218" t="str">
        <f t="shared" si="30"/>
        <v>x</v>
      </c>
      <c r="R134" s="218" t="str">
        <f t="shared" si="30"/>
        <v>BS</v>
      </c>
      <c r="S134" s="218" t="str">
        <f t="shared" si="30"/>
        <v>all</v>
      </c>
      <c r="T134" s="217">
        <f t="shared" si="30"/>
        <v>0.01</v>
      </c>
      <c r="U134" s="217" t="str">
        <f t="shared" si="30"/>
        <v>Mörtel</v>
      </c>
      <c r="V134" s="217" t="str">
        <f t="shared" si="30"/>
        <v>x</v>
      </c>
      <c r="W134" s="217" t="str">
        <f t="shared" si="30"/>
        <v/>
      </c>
      <c r="X134" s="217" t="str">
        <f t="shared" si="30"/>
        <v/>
      </c>
      <c r="Y134" s="217" t="str">
        <f t="shared" si="30"/>
        <v>gs_fuge</v>
      </c>
    </row>
    <row r="135" spans="1:25" x14ac:dyDescent="0.3">
      <c r="A135" s="216">
        <f t="shared" si="28"/>
        <v>133</v>
      </c>
      <c r="B135" s="217" t="str">
        <f t="shared" si="29"/>
        <v>x</v>
      </c>
      <c r="C135" s="217" t="str">
        <f t="shared" si="29"/>
        <v/>
      </c>
      <c r="D135" s="217" t="str">
        <f t="shared" si="29"/>
        <v/>
      </c>
      <c r="E135" s="217" t="str">
        <f t="shared" si="29"/>
        <v/>
      </c>
      <c r="F135" s="217" t="str">
        <f t="shared" si="29"/>
        <v/>
      </c>
      <c r="G135" s="217" t="str">
        <f t="shared" si="29"/>
        <v/>
      </c>
      <c r="H135" s="217" t="str">
        <f t="shared" si="29"/>
        <v/>
      </c>
      <c r="I135" s="217" t="str">
        <f t="shared" si="29"/>
        <v/>
      </c>
      <c r="J135" s="217" t="str">
        <f t="shared" si="29"/>
        <v/>
      </c>
      <c r="K135" s="217" t="str">
        <f t="shared" si="29"/>
        <v/>
      </c>
      <c r="L135" s="217" t="str">
        <f t="shared" si="30"/>
        <v>info</v>
      </c>
      <c r="M135" s="217" t="str">
        <f t="shared" si="30"/>
        <v>x</v>
      </c>
      <c r="N135" s="217" t="str">
        <f t="shared" si="30"/>
        <v/>
      </c>
      <c r="O135" s="217" t="str">
        <f t="shared" si="30"/>
        <v>model</v>
      </c>
      <c r="P135" s="218" t="str">
        <f t="shared" si="30"/>
        <v>Length</v>
      </c>
      <c r="Q135" s="218" t="str">
        <f t="shared" si="30"/>
        <v>x</v>
      </c>
      <c r="R135" s="218" t="str">
        <f t="shared" si="30"/>
        <v>BS</v>
      </c>
      <c r="S135" s="218" t="str">
        <f t="shared" si="30"/>
        <v>all</v>
      </c>
      <c r="T135" s="217">
        <f t="shared" si="30"/>
        <v>0.01</v>
      </c>
      <c r="U135" s="217" t="str">
        <f t="shared" si="30"/>
        <v>Überstand 1</v>
      </c>
      <c r="V135" s="217" t="str">
        <f t="shared" si="30"/>
        <v>x</v>
      </c>
      <c r="W135" s="217" t="str">
        <f t="shared" si="30"/>
        <v/>
      </c>
      <c r="X135" s="217" t="str">
        <f t="shared" si="30"/>
        <v/>
      </c>
      <c r="Y135" s="217" t="str">
        <f t="shared" si="30"/>
        <v>gs_ub_st1</v>
      </c>
    </row>
    <row r="136" spans="1:25" x14ac:dyDescent="0.3">
      <c r="A136" s="216">
        <f t="shared" si="28"/>
        <v>134</v>
      </c>
      <c r="B136" s="217" t="str">
        <f t="shared" si="29"/>
        <v>x</v>
      </c>
      <c r="C136" s="217" t="str">
        <f t="shared" si="29"/>
        <v/>
      </c>
      <c r="D136" s="217" t="str">
        <f t="shared" si="29"/>
        <v/>
      </c>
      <c r="E136" s="217" t="str">
        <f t="shared" si="29"/>
        <v/>
      </c>
      <c r="F136" s="217" t="str">
        <f t="shared" si="29"/>
        <v/>
      </c>
      <c r="G136" s="217" t="str">
        <f t="shared" si="29"/>
        <v/>
      </c>
      <c r="H136" s="217" t="str">
        <f t="shared" si="29"/>
        <v/>
      </c>
      <c r="I136" s="217" t="str">
        <f t="shared" si="29"/>
        <v/>
      </c>
      <c r="J136" s="217" t="str">
        <f t="shared" si="29"/>
        <v/>
      </c>
      <c r="K136" s="217" t="str">
        <f t="shared" si="29"/>
        <v/>
      </c>
      <c r="L136" s="217" t="str">
        <f t="shared" si="30"/>
        <v>info</v>
      </c>
      <c r="M136" s="217" t="str">
        <f t="shared" si="30"/>
        <v>x</v>
      </c>
      <c r="N136" s="217" t="str">
        <f t="shared" si="30"/>
        <v/>
      </c>
      <c r="O136" s="217" t="str">
        <f t="shared" si="30"/>
        <v>model</v>
      </c>
      <c r="P136" s="218" t="str">
        <f t="shared" si="30"/>
        <v>Length</v>
      </c>
      <c r="Q136" s="218" t="str">
        <f t="shared" si="30"/>
        <v>x</v>
      </c>
      <c r="R136" s="218" t="str">
        <f t="shared" si="30"/>
        <v>BS</v>
      </c>
      <c r="S136" s="218" t="str">
        <f t="shared" si="30"/>
        <v>all</v>
      </c>
      <c r="T136" s="217">
        <f t="shared" si="30"/>
        <v>0.01</v>
      </c>
      <c r="U136" s="217" t="str">
        <f t="shared" si="30"/>
        <v>Überstand 2</v>
      </c>
      <c r="V136" s="217" t="str">
        <f t="shared" si="30"/>
        <v>x</v>
      </c>
      <c r="W136" s="217" t="str">
        <f t="shared" si="30"/>
        <v/>
      </c>
      <c r="X136" s="217" t="str">
        <f t="shared" si="30"/>
        <v/>
      </c>
      <c r="Y136" s="217" t="str">
        <f t="shared" si="30"/>
        <v>gs_ub_st2</v>
      </c>
    </row>
    <row r="137" spans="1:25" x14ac:dyDescent="0.3">
      <c r="A137" s="216">
        <f t="shared" si="28"/>
        <v>135</v>
      </c>
      <c r="B137" s="217" t="str">
        <f t="shared" si="29"/>
        <v>x</v>
      </c>
      <c r="C137" s="217" t="str">
        <f t="shared" si="29"/>
        <v/>
      </c>
      <c r="D137" s="217" t="str">
        <f t="shared" si="29"/>
        <v/>
      </c>
      <c r="E137" s="217" t="str">
        <f t="shared" si="29"/>
        <v/>
      </c>
      <c r="F137" s="217" t="str">
        <f t="shared" si="29"/>
        <v/>
      </c>
      <c r="G137" s="217" t="str">
        <f t="shared" si="29"/>
        <v/>
      </c>
      <c r="H137" s="217" t="str">
        <f t="shared" si="29"/>
        <v/>
      </c>
      <c r="I137" s="217" t="str">
        <f t="shared" si="29"/>
        <v/>
      </c>
      <c r="J137" s="217" t="str">
        <f t="shared" si="29"/>
        <v/>
      </c>
      <c r="K137" s="217" t="str">
        <f t="shared" si="29"/>
        <v/>
      </c>
      <c r="L137" s="217" t="str">
        <f t="shared" si="30"/>
        <v>info</v>
      </c>
      <c r="M137" s="217" t="str">
        <f t="shared" si="30"/>
        <v/>
      </c>
      <c r="N137" s="217" t="str">
        <f t="shared" si="30"/>
        <v/>
      </c>
      <c r="O137" s="217" t="str">
        <f t="shared" si="30"/>
        <v>model</v>
      </c>
      <c r="P137" s="218" t="str">
        <f t="shared" si="30"/>
        <v>Title</v>
      </c>
      <c r="Q137" s="218" t="str">
        <f t="shared" si="30"/>
        <v>x</v>
      </c>
      <c r="R137" s="218" t="str">
        <f t="shared" si="30"/>
        <v>BS</v>
      </c>
      <c r="S137" s="218" t="str">
        <f t="shared" si="30"/>
        <v>all</v>
      </c>
      <c r="T137" s="217" t="str">
        <f t="shared" si="30"/>
        <v/>
      </c>
      <c r="U137" s="217" t="str">
        <f t="shared" si="30"/>
        <v>Oberflächenmaterialien</v>
      </c>
      <c r="V137" s="217" t="str">
        <f t="shared" si="30"/>
        <v/>
      </c>
      <c r="W137" s="217" t="str">
        <f t="shared" si="30"/>
        <v/>
      </c>
      <c r="X137" s="217" t="str">
        <f t="shared" si="30"/>
        <v/>
      </c>
      <c r="Y137" s="217" t="str">
        <f t="shared" si="30"/>
        <v>gs_door_material</v>
      </c>
    </row>
    <row r="138" spans="1:25" x14ac:dyDescent="0.3">
      <c r="A138" s="216">
        <f t="shared" si="28"/>
        <v>136</v>
      </c>
      <c r="B138" s="217" t="str">
        <f t="shared" si="29"/>
        <v>x</v>
      </c>
      <c r="C138" s="217" t="str">
        <f t="shared" si="29"/>
        <v/>
      </c>
      <c r="D138" s="217" t="str">
        <f t="shared" si="29"/>
        <v/>
      </c>
      <c r="E138" s="217" t="str">
        <f t="shared" si="29"/>
        <v/>
      </c>
      <c r="F138" s="217" t="str">
        <f t="shared" si="29"/>
        <v/>
      </c>
      <c r="G138" s="217" t="str">
        <f t="shared" si="29"/>
        <v/>
      </c>
      <c r="H138" s="217" t="str">
        <f t="shared" si="29"/>
        <v/>
      </c>
      <c r="I138" s="217" t="str">
        <f t="shared" si="29"/>
        <v/>
      </c>
      <c r="J138" s="217" t="str">
        <f t="shared" si="29"/>
        <v/>
      </c>
      <c r="K138" s="217" t="str">
        <f t="shared" si="29"/>
        <v/>
      </c>
      <c r="L138" s="217" t="str">
        <f t="shared" si="30"/>
        <v>info</v>
      </c>
      <c r="M138" s="217" t="str">
        <f t="shared" si="30"/>
        <v>x</v>
      </c>
      <c r="N138" s="217" t="str">
        <f t="shared" si="30"/>
        <v/>
      </c>
      <c r="O138" s="217" t="str">
        <f t="shared" si="30"/>
        <v>model</v>
      </c>
      <c r="P138" s="218" t="str">
        <f t="shared" si="30"/>
        <v>Material</v>
      </c>
      <c r="Q138" s="218" t="str">
        <f t="shared" si="30"/>
        <v>x</v>
      </c>
      <c r="R138" s="218" t="str">
        <f t="shared" si="30"/>
        <v>BS</v>
      </c>
      <c r="S138" s="218" t="str">
        <f t="shared" si="30"/>
        <v>all</v>
      </c>
      <c r="T138" s="217">
        <f t="shared" si="30"/>
        <v>133</v>
      </c>
      <c r="U138" s="217" t="str">
        <f t="shared" si="30"/>
        <v>Rahmen</v>
      </c>
      <c r="V138" s="217" t="str">
        <f t="shared" si="30"/>
        <v>x</v>
      </c>
      <c r="W138" s="217" t="str">
        <f t="shared" si="30"/>
        <v/>
      </c>
      <c r="X138" s="217" t="str">
        <f t="shared" si="30"/>
        <v/>
      </c>
      <c r="Y138" s="217" t="str">
        <f t="shared" si="30"/>
        <v>gs_frame_mat</v>
      </c>
    </row>
    <row r="139" spans="1:25" x14ac:dyDescent="0.3">
      <c r="A139" s="216">
        <f t="shared" si="28"/>
        <v>137</v>
      </c>
      <c r="B139" s="217" t="str">
        <f t="shared" si="29"/>
        <v>x</v>
      </c>
      <c r="C139" s="217" t="str">
        <f t="shared" si="29"/>
        <v/>
      </c>
      <c r="D139" s="217" t="str">
        <f t="shared" si="29"/>
        <v/>
      </c>
      <c r="E139" s="217" t="str">
        <f t="shared" si="29"/>
        <v/>
      </c>
      <c r="F139" s="217" t="str">
        <f t="shared" si="29"/>
        <v/>
      </c>
      <c r="G139" s="217" t="str">
        <f t="shared" si="29"/>
        <v/>
      </c>
      <c r="H139" s="217" t="str">
        <f t="shared" si="29"/>
        <v/>
      </c>
      <c r="I139" s="217" t="str">
        <f t="shared" si="29"/>
        <v/>
      </c>
      <c r="J139" s="217" t="str">
        <f t="shared" si="29"/>
        <v/>
      </c>
      <c r="K139" s="217" t="str">
        <f t="shared" si="29"/>
        <v/>
      </c>
      <c r="L139" s="217" t="str">
        <f t="shared" si="30"/>
        <v>info</v>
      </c>
      <c r="M139" s="217" t="str">
        <f t="shared" si="30"/>
        <v>x</v>
      </c>
      <c r="N139" s="217" t="str">
        <f t="shared" si="30"/>
        <v/>
      </c>
      <c r="O139" s="217" t="str">
        <f t="shared" si="30"/>
        <v>model</v>
      </c>
      <c r="P139" s="218" t="str">
        <f t="shared" si="30"/>
        <v>Material</v>
      </c>
      <c r="Q139" s="218" t="str">
        <f t="shared" si="30"/>
        <v>x</v>
      </c>
      <c r="R139" s="218" t="str">
        <f t="shared" si="30"/>
        <v>BS</v>
      </c>
      <c r="S139" s="218" t="str">
        <f t="shared" si="30"/>
        <v>all</v>
      </c>
      <c r="T139" s="217">
        <f t="shared" si="30"/>
        <v>133</v>
      </c>
      <c r="U139" s="217" t="str">
        <f t="shared" si="30"/>
        <v>Paneel</v>
      </c>
      <c r="V139" s="217" t="str">
        <f t="shared" si="30"/>
        <v>x</v>
      </c>
      <c r="W139" s="217" t="str">
        <f t="shared" si="30"/>
        <v/>
      </c>
      <c r="X139" s="217" t="str">
        <f t="shared" si="30"/>
        <v/>
      </c>
      <c r="Y139" s="217" t="str">
        <f t="shared" si="30"/>
        <v>gs_leaf_mat</v>
      </c>
    </row>
    <row r="140" spans="1:25" x14ac:dyDescent="0.3">
      <c r="A140" s="216">
        <f t="shared" si="28"/>
        <v>138</v>
      </c>
      <c r="B140" s="217" t="str">
        <f t="shared" si="29"/>
        <v>x</v>
      </c>
      <c r="C140" s="217" t="str">
        <f t="shared" si="29"/>
        <v/>
      </c>
      <c r="D140" s="217" t="str">
        <f t="shared" si="29"/>
        <v/>
      </c>
      <c r="E140" s="217" t="str">
        <f t="shared" si="29"/>
        <v/>
      </c>
      <c r="F140" s="217" t="str">
        <f t="shared" si="29"/>
        <v/>
      </c>
      <c r="G140" s="217" t="str">
        <f t="shared" si="29"/>
        <v/>
      </c>
      <c r="H140" s="217" t="str">
        <f t="shared" si="29"/>
        <v/>
      </c>
      <c r="I140" s="217" t="str">
        <f t="shared" si="29"/>
        <v/>
      </c>
      <c r="J140" s="217" t="str">
        <f t="shared" si="29"/>
        <v/>
      </c>
      <c r="K140" s="217" t="str">
        <f t="shared" si="29"/>
        <v/>
      </c>
      <c r="L140" s="217" t="str">
        <f t="shared" si="30"/>
        <v>info</v>
      </c>
      <c r="M140" s="217" t="str">
        <f t="shared" si="30"/>
        <v>x</v>
      </c>
      <c r="N140" s="217" t="str">
        <f t="shared" si="30"/>
        <v/>
      </c>
      <c r="O140" s="217" t="str">
        <f t="shared" si="30"/>
        <v>model</v>
      </c>
      <c r="P140" s="218" t="str">
        <f t="shared" si="30"/>
        <v>Material</v>
      </c>
      <c r="Q140" s="218" t="str">
        <f t="shared" si="30"/>
        <v>x</v>
      </c>
      <c r="R140" s="218" t="str">
        <f t="shared" si="30"/>
        <v>BS</v>
      </c>
      <c r="S140" s="218" t="str">
        <f t="shared" si="30"/>
        <v>all</v>
      </c>
      <c r="T140" s="217">
        <f t="shared" si="30"/>
        <v>24</v>
      </c>
      <c r="U140" s="217" t="str">
        <f t="shared" si="30"/>
        <v>Glas</v>
      </c>
      <c r="V140" s="217" t="str">
        <f t="shared" si="30"/>
        <v>x</v>
      </c>
      <c r="W140" s="217" t="str">
        <f t="shared" si="30"/>
        <v/>
      </c>
      <c r="X140" s="217" t="str">
        <f t="shared" si="30"/>
        <v/>
      </c>
      <c r="Y140" s="217" t="str">
        <f t="shared" si="30"/>
        <v>gs_glass_mat</v>
      </c>
    </row>
    <row r="141" spans="1:25" x14ac:dyDescent="0.3">
      <c r="A141" s="216">
        <f t="shared" si="28"/>
        <v>139</v>
      </c>
      <c r="B141" s="217" t="str">
        <f t="shared" si="29"/>
        <v>x</v>
      </c>
      <c r="C141" s="217" t="str">
        <f t="shared" si="29"/>
        <v/>
      </c>
      <c r="D141" s="217" t="str">
        <f t="shared" si="29"/>
        <v/>
      </c>
      <c r="E141" s="217" t="str">
        <f t="shared" si="29"/>
        <v/>
      </c>
      <c r="F141" s="217" t="str">
        <f t="shared" si="29"/>
        <v/>
      </c>
      <c r="G141" s="217" t="str">
        <f t="shared" si="29"/>
        <v/>
      </c>
      <c r="H141" s="217" t="str">
        <f t="shared" si="29"/>
        <v/>
      </c>
      <c r="I141" s="217" t="str">
        <f t="shared" si="29"/>
        <v/>
      </c>
      <c r="J141" s="217" t="str">
        <f t="shared" si="29"/>
        <v/>
      </c>
      <c r="K141" s="217" t="str">
        <f t="shared" si="29"/>
        <v/>
      </c>
      <c r="L141" s="217" t="str">
        <f t="shared" si="30"/>
        <v>info</v>
      </c>
      <c r="M141" s="217" t="str">
        <f t="shared" si="30"/>
        <v>x</v>
      </c>
      <c r="N141" s="217" t="str">
        <f t="shared" si="30"/>
        <v/>
      </c>
      <c r="O141" s="217" t="str">
        <f t="shared" si="30"/>
        <v>model</v>
      </c>
      <c r="P141" s="218" t="str">
        <f t="shared" si="30"/>
        <v>Material</v>
      </c>
      <c r="Q141" s="218" t="str">
        <f t="shared" si="30"/>
        <v>x</v>
      </c>
      <c r="R141" s="218" t="str">
        <f t="shared" si="30"/>
        <v>BS</v>
      </c>
      <c r="S141" s="218" t="str">
        <f t="shared" si="30"/>
        <v>all</v>
      </c>
      <c r="T141" s="217">
        <f t="shared" si="30"/>
        <v>40</v>
      </c>
      <c r="U141" s="217" t="str">
        <f t="shared" si="30"/>
        <v>Metallteile</v>
      </c>
      <c r="V141" s="217" t="str">
        <f t="shared" si="30"/>
        <v>x</v>
      </c>
      <c r="W141" s="217" t="str">
        <f t="shared" si="30"/>
        <v/>
      </c>
      <c r="X141" s="217" t="str">
        <f t="shared" si="30"/>
        <v/>
      </c>
      <c r="Y141" s="217" t="str">
        <f t="shared" si="30"/>
        <v>gs_metal_mat</v>
      </c>
    </row>
    <row r="142" spans="1:25" x14ac:dyDescent="0.3">
      <c r="A142" s="216">
        <f t="shared" si="28"/>
        <v>140</v>
      </c>
      <c r="B142" s="217" t="str">
        <f t="shared" si="29"/>
        <v>x</v>
      </c>
      <c r="C142" s="217" t="str">
        <f t="shared" si="29"/>
        <v/>
      </c>
      <c r="D142" s="217" t="str">
        <f t="shared" si="29"/>
        <v/>
      </c>
      <c r="E142" s="217" t="str">
        <f t="shared" si="29"/>
        <v/>
      </c>
      <c r="F142" s="217" t="str">
        <f t="shared" si="29"/>
        <v/>
      </c>
      <c r="G142" s="217" t="str">
        <f t="shared" si="29"/>
        <v/>
      </c>
      <c r="H142" s="217" t="str">
        <f t="shared" si="29"/>
        <v/>
      </c>
      <c r="I142" s="217" t="str">
        <f t="shared" si="29"/>
        <v/>
      </c>
      <c r="J142" s="217" t="str">
        <f t="shared" si="29"/>
        <v/>
      </c>
      <c r="K142" s="217" t="str">
        <f t="shared" si="29"/>
        <v/>
      </c>
      <c r="L142" s="217" t="str">
        <f t="shared" si="30"/>
        <v>info</v>
      </c>
      <c r="M142" s="217" t="str">
        <f t="shared" si="30"/>
        <v>x</v>
      </c>
      <c r="N142" s="217" t="str">
        <f t="shared" si="30"/>
        <v/>
      </c>
      <c r="O142" s="217" t="str">
        <f t="shared" si="30"/>
        <v>model</v>
      </c>
      <c r="P142" s="218" t="str">
        <f t="shared" si="30"/>
        <v>Material</v>
      </c>
      <c r="Q142" s="218" t="str">
        <f t="shared" si="30"/>
        <v>x</v>
      </c>
      <c r="R142" s="218" t="str">
        <f t="shared" si="30"/>
        <v>BS</v>
      </c>
      <c r="S142" s="218" t="str">
        <f t="shared" si="30"/>
        <v>all</v>
      </c>
      <c r="T142" s="217">
        <f t="shared" si="30"/>
        <v>54</v>
      </c>
      <c r="U142" s="217" t="str">
        <f t="shared" si="30"/>
        <v>Türfüllung</v>
      </c>
      <c r="V142" s="217" t="str">
        <f t="shared" si="30"/>
        <v>x</v>
      </c>
      <c r="W142" s="217" t="str">
        <f t="shared" si="30"/>
        <v/>
      </c>
      <c r="X142" s="217" t="str">
        <f t="shared" si="30"/>
        <v/>
      </c>
      <c r="Y142" s="217" t="str">
        <f t="shared" si="30"/>
        <v>gs_mat_h</v>
      </c>
    </row>
    <row r="143" spans="1:25" x14ac:dyDescent="0.3">
      <c r="A143" s="216">
        <f t="shared" si="28"/>
        <v>141</v>
      </c>
      <c r="B143" s="217" t="str">
        <f t="shared" ref="B143:K152" si="31">IF(ISNONTEXT(B$2),IF(B$2="","",IF(INDEX(IMPORT,$A143,B$2)=0,"",IFERROR(VLOOKUP(INDEX(IMPORT,$A143,B$2),ImportTranslation,2,0),INDEX(IMPORT,$A143,B$2)))),B$2)</f>
        <v>x</v>
      </c>
      <c r="C143" s="217" t="str">
        <f t="shared" si="31"/>
        <v/>
      </c>
      <c r="D143" s="217" t="str">
        <f t="shared" si="31"/>
        <v/>
      </c>
      <c r="E143" s="217" t="str">
        <f t="shared" si="31"/>
        <v/>
      </c>
      <c r="F143" s="217" t="str">
        <f t="shared" si="31"/>
        <v/>
      </c>
      <c r="G143" s="217" t="str">
        <f t="shared" si="31"/>
        <v/>
      </c>
      <c r="H143" s="217" t="str">
        <f t="shared" si="31"/>
        <v/>
      </c>
      <c r="I143" s="217" t="str">
        <f t="shared" si="31"/>
        <v/>
      </c>
      <c r="J143" s="217" t="str">
        <f t="shared" si="31"/>
        <v/>
      </c>
      <c r="K143" s="217" t="str">
        <f t="shared" si="31"/>
        <v/>
      </c>
      <c r="L143" s="217" t="str">
        <f t="shared" ref="L143:Y152" si="32">IF(ISNONTEXT(L$2),IF(L$2="","",IF(INDEX(IMPORT,$A143,L$2)=0,"",IFERROR(VLOOKUP(INDEX(IMPORT,$A143,L$2),ImportTranslation,2,0),INDEX(IMPORT,$A143,L$2)))),L$2)</f>
        <v>info</v>
      </c>
      <c r="M143" s="217" t="str">
        <f t="shared" si="32"/>
        <v>x</v>
      </c>
      <c r="N143" s="217" t="str">
        <f t="shared" si="32"/>
        <v/>
      </c>
      <c r="O143" s="217" t="str">
        <f t="shared" si="32"/>
        <v>model</v>
      </c>
      <c r="P143" s="218" t="str">
        <f t="shared" si="32"/>
        <v>Material</v>
      </c>
      <c r="Q143" s="218" t="str">
        <f t="shared" si="32"/>
        <v>x</v>
      </c>
      <c r="R143" s="218" t="str">
        <f t="shared" si="32"/>
        <v>BS</v>
      </c>
      <c r="S143" s="218" t="str">
        <f t="shared" si="32"/>
        <v>all</v>
      </c>
      <c r="T143" s="217">
        <f t="shared" si="32"/>
        <v>133</v>
      </c>
      <c r="U143" s="217" t="str">
        <f t="shared" si="32"/>
        <v>Sprossen</v>
      </c>
      <c r="V143" s="217" t="str">
        <f t="shared" si="32"/>
        <v>x</v>
      </c>
      <c r="W143" s="217" t="str">
        <f t="shared" si="32"/>
        <v/>
      </c>
      <c r="X143" s="217" t="str">
        <f t="shared" si="32"/>
        <v/>
      </c>
      <c r="Y143" s="217" t="str">
        <f t="shared" si="32"/>
        <v>gs_mat_spr</v>
      </c>
    </row>
    <row r="144" spans="1:25" x14ac:dyDescent="0.3">
      <c r="A144" s="216">
        <f t="shared" si="28"/>
        <v>142</v>
      </c>
      <c r="B144" s="217" t="str">
        <f t="shared" si="31"/>
        <v>x</v>
      </c>
      <c r="C144" s="217" t="str">
        <f t="shared" si="31"/>
        <v/>
      </c>
      <c r="D144" s="217" t="str">
        <f t="shared" si="31"/>
        <v/>
      </c>
      <c r="E144" s="217" t="str">
        <f t="shared" si="31"/>
        <v/>
      </c>
      <c r="F144" s="217" t="str">
        <f t="shared" si="31"/>
        <v/>
      </c>
      <c r="G144" s="217" t="str">
        <f t="shared" si="31"/>
        <v/>
      </c>
      <c r="H144" s="217" t="str">
        <f t="shared" si="31"/>
        <v/>
      </c>
      <c r="I144" s="217" t="str">
        <f t="shared" si="31"/>
        <v/>
      </c>
      <c r="J144" s="217" t="str">
        <f t="shared" si="31"/>
        <v/>
      </c>
      <c r="K144" s="217" t="str">
        <f t="shared" si="31"/>
        <v/>
      </c>
      <c r="L144" s="217" t="str">
        <f t="shared" si="32"/>
        <v>info</v>
      </c>
      <c r="M144" s="217" t="str">
        <f t="shared" si="32"/>
        <v>x</v>
      </c>
      <c r="N144" s="217" t="str">
        <f t="shared" si="32"/>
        <v/>
      </c>
      <c r="O144" s="217" t="str">
        <f t="shared" si="32"/>
        <v>model</v>
      </c>
      <c r="P144" s="218" t="str">
        <f t="shared" si="32"/>
        <v>Material</v>
      </c>
      <c r="Q144" s="218" t="str">
        <f t="shared" si="32"/>
        <v>x</v>
      </c>
      <c r="R144" s="218" t="str">
        <f t="shared" si="32"/>
        <v>BS</v>
      </c>
      <c r="S144" s="218" t="str">
        <f t="shared" si="32"/>
        <v>all</v>
      </c>
      <c r="T144" s="217">
        <f t="shared" si="32"/>
        <v>40</v>
      </c>
      <c r="U144" s="217" t="str">
        <f t="shared" si="32"/>
        <v>Griff</v>
      </c>
      <c r="V144" s="217" t="str">
        <f t="shared" si="32"/>
        <v>x</v>
      </c>
      <c r="W144" s="217" t="str">
        <f t="shared" si="32"/>
        <v/>
      </c>
      <c r="X144" s="217" t="str">
        <f t="shared" si="32"/>
        <v/>
      </c>
      <c r="Y144" s="217" t="str">
        <f t="shared" si="32"/>
        <v>gs_handle_mat</v>
      </c>
    </row>
    <row r="145" spans="1:25" x14ac:dyDescent="0.3">
      <c r="A145" s="216">
        <f t="shared" si="28"/>
        <v>143</v>
      </c>
      <c r="B145" s="217" t="str">
        <f t="shared" si="31"/>
        <v>x</v>
      </c>
      <c r="C145" s="217" t="str">
        <f t="shared" si="31"/>
        <v/>
      </c>
      <c r="D145" s="217" t="str">
        <f t="shared" si="31"/>
        <v/>
      </c>
      <c r="E145" s="217" t="str">
        <f t="shared" si="31"/>
        <v/>
      </c>
      <c r="F145" s="217" t="str">
        <f t="shared" si="31"/>
        <v/>
      </c>
      <c r="G145" s="217" t="str">
        <f t="shared" si="31"/>
        <v/>
      </c>
      <c r="H145" s="217" t="str">
        <f t="shared" si="31"/>
        <v/>
      </c>
      <c r="I145" s="217" t="str">
        <f t="shared" si="31"/>
        <v/>
      </c>
      <c r="J145" s="217" t="str">
        <f t="shared" si="31"/>
        <v/>
      </c>
      <c r="K145" s="217" t="str">
        <f t="shared" si="31"/>
        <v/>
      </c>
      <c r="L145" s="217" t="str">
        <f t="shared" si="32"/>
        <v>info</v>
      </c>
      <c r="M145" s="217" t="str">
        <f t="shared" si="32"/>
        <v>x</v>
      </c>
      <c r="N145" s="217" t="str">
        <f t="shared" si="32"/>
        <v/>
      </c>
      <c r="O145" s="217" t="str">
        <f t="shared" si="32"/>
        <v>model</v>
      </c>
      <c r="P145" s="218" t="str">
        <f t="shared" si="32"/>
        <v>Material</v>
      </c>
      <c r="Q145" s="218" t="str">
        <f t="shared" si="32"/>
        <v>x</v>
      </c>
      <c r="R145" s="218" t="str">
        <f t="shared" si="32"/>
        <v>BS</v>
      </c>
      <c r="S145" s="218" t="str">
        <f t="shared" si="32"/>
        <v>all</v>
      </c>
      <c r="T145" s="217">
        <f t="shared" si="32"/>
        <v>40</v>
      </c>
      <c r="U145" s="217" t="str">
        <f t="shared" si="32"/>
        <v>Griff Zubehör</v>
      </c>
      <c r="V145" s="217" t="str">
        <f t="shared" si="32"/>
        <v>x</v>
      </c>
      <c r="W145" s="217" t="str">
        <f t="shared" si="32"/>
        <v/>
      </c>
      <c r="X145" s="217" t="str">
        <f t="shared" si="32"/>
        <v/>
      </c>
      <c r="Y145" s="217" t="str">
        <f t="shared" si="32"/>
        <v>gs_handle_ac_mat</v>
      </c>
    </row>
    <row r="146" spans="1:25" x14ac:dyDescent="0.3">
      <c r="A146" s="216">
        <f t="shared" si="28"/>
        <v>144</v>
      </c>
      <c r="B146" s="217" t="str">
        <f t="shared" si="31"/>
        <v>x</v>
      </c>
      <c r="C146" s="217" t="str">
        <f t="shared" si="31"/>
        <v/>
      </c>
      <c r="D146" s="217" t="str">
        <f t="shared" si="31"/>
        <v/>
      </c>
      <c r="E146" s="217" t="str">
        <f t="shared" si="31"/>
        <v/>
      </c>
      <c r="F146" s="217" t="str">
        <f t="shared" si="31"/>
        <v/>
      </c>
      <c r="G146" s="217" t="str">
        <f t="shared" si="31"/>
        <v/>
      </c>
      <c r="H146" s="217" t="str">
        <f t="shared" si="31"/>
        <v/>
      </c>
      <c r="I146" s="217" t="str">
        <f t="shared" si="31"/>
        <v/>
      </c>
      <c r="J146" s="217" t="str">
        <f t="shared" si="31"/>
        <v/>
      </c>
      <c r="K146" s="217" t="str">
        <f t="shared" si="31"/>
        <v/>
      </c>
      <c r="L146" s="217" t="str">
        <f t="shared" si="32"/>
        <v>info</v>
      </c>
      <c r="M146" s="217" t="str">
        <f t="shared" si="32"/>
        <v>x</v>
      </c>
      <c r="N146" s="217" t="str">
        <f t="shared" si="32"/>
        <v/>
      </c>
      <c r="O146" s="217" t="str">
        <f t="shared" si="32"/>
        <v>model</v>
      </c>
      <c r="P146" s="218" t="str">
        <f t="shared" si="32"/>
        <v>Material</v>
      </c>
      <c r="Q146" s="218" t="str">
        <f t="shared" si="32"/>
        <v>x</v>
      </c>
      <c r="R146" s="218" t="str">
        <f t="shared" si="32"/>
        <v>BS</v>
      </c>
      <c r="S146" s="218" t="str">
        <f t="shared" si="32"/>
        <v>all</v>
      </c>
      <c r="T146" s="217">
        <f t="shared" si="32"/>
        <v>15</v>
      </c>
      <c r="U146" s="217" t="str">
        <f t="shared" si="32"/>
        <v>Schwelle Oberflächenmaterial</v>
      </c>
      <c r="V146" s="217" t="str">
        <f t="shared" si="32"/>
        <v>x</v>
      </c>
      <c r="W146" s="217" t="str">
        <f t="shared" si="32"/>
        <v/>
      </c>
      <c r="X146" s="217" t="str">
        <f t="shared" si="32"/>
        <v/>
      </c>
      <c r="Y146" s="217" t="str">
        <f t="shared" si="32"/>
        <v>matThreshold</v>
      </c>
    </row>
    <row r="147" spans="1:25" x14ac:dyDescent="0.3">
      <c r="A147" s="216">
        <f t="shared" si="28"/>
        <v>145</v>
      </c>
      <c r="B147" s="217" t="str">
        <f t="shared" si="31"/>
        <v>x</v>
      </c>
      <c r="C147" s="217" t="str">
        <f t="shared" si="31"/>
        <v/>
      </c>
      <c r="D147" s="217" t="str">
        <f t="shared" si="31"/>
        <v/>
      </c>
      <c r="E147" s="217" t="str">
        <f t="shared" si="31"/>
        <v/>
      </c>
      <c r="F147" s="217" t="str">
        <f t="shared" si="31"/>
        <v/>
      </c>
      <c r="G147" s="217" t="str">
        <f t="shared" si="31"/>
        <v/>
      </c>
      <c r="H147" s="217" t="str">
        <f t="shared" si="31"/>
        <v/>
      </c>
      <c r="I147" s="217" t="str">
        <f t="shared" si="31"/>
        <v/>
      </c>
      <c r="J147" s="217" t="str">
        <f t="shared" si="31"/>
        <v/>
      </c>
      <c r="K147" s="217" t="str">
        <f t="shared" si="31"/>
        <v/>
      </c>
      <c r="L147" s="217" t="str">
        <f t="shared" si="32"/>
        <v>info</v>
      </c>
      <c r="M147" s="217" t="str">
        <f t="shared" si="32"/>
        <v>x</v>
      </c>
      <c r="N147" s="217" t="str">
        <f t="shared" si="32"/>
        <v/>
      </c>
      <c r="O147" s="217" t="str">
        <f t="shared" si="32"/>
        <v>model</v>
      </c>
      <c r="P147" s="218" t="str">
        <f t="shared" si="32"/>
        <v>Material</v>
      </c>
      <c r="Q147" s="218" t="str">
        <f t="shared" si="32"/>
        <v>x</v>
      </c>
      <c r="R147" s="218" t="str">
        <f t="shared" si="32"/>
        <v>BS</v>
      </c>
      <c r="S147" s="218" t="str">
        <f t="shared" si="32"/>
        <v>all</v>
      </c>
      <c r="T147" s="217">
        <f t="shared" si="32"/>
        <v>45</v>
      </c>
      <c r="U147" s="217" t="str">
        <f t="shared" si="32"/>
        <v>Schwelle Metallmaterial</v>
      </c>
      <c r="V147" s="217" t="str">
        <f t="shared" si="32"/>
        <v>x</v>
      </c>
      <c r="W147" s="217" t="str">
        <f t="shared" si="32"/>
        <v/>
      </c>
      <c r="X147" s="217" t="str">
        <f t="shared" si="32"/>
        <v/>
      </c>
      <c r="Y147" s="217" t="str">
        <f t="shared" si="32"/>
        <v>matThresholdMet</v>
      </c>
    </row>
    <row r="148" spans="1:25" x14ac:dyDescent="0.3">
      <c r="A148" s="216">
        <f t="shared" si="28"/>
        <v>146</v>
      </c>
      <c r="B148" s="217" t="str">
        <f t="shared" si="31"/>
        <v>x</v>
      </c>
      <c r="C148" s="217" t="str">
        <f t="shared" si="31"/>
        <v/>
      </c>
      <c r="D148" s="217" t="str">
        <f t="shared" si="31"/>
        <v/>
      </c>
      <c r="E148" s="217" t="str">
        <f t="shared" si="31"/>
        <v/>
      </c>
      <c r="F148" s="217" t="str">
        <f t="shared" si="31"/>
        <v/>
      </c>
      <c r="G148" s="217" t="str">
        <f t="shared" si="31"/>
        <v/>
      </c>
      <c r="H148" s="217" t="str">
        <f t="shared" si="31"/>
        <v/>
      </c>
      <c r="I148" s="217" t="str">
        <f t="shared" si="31"/>
        <v/>
      </c>
      <c r="J148" s="217" t="str">
        <f t="shared" si="31"/>
        <v/>
      </c>
      <c r="K148" s="217" t="str">
        <f t="shared" si="31"/>
        <v/>
      </c>
      <c r="L148" s="217" t="str">
        <f t="shared" si="32"/>
        <v>info</v>
      </c>
      <c r="M148" s="217" t="str">
        <f t="shared" si="32"/>
        <v>x</v>
      </c>
      <c r="N148" s="217" t="str">
        <f t="shared" si="32"/>
        <v/>
      </c>
      <c r="O148" s="217" t="str">
        <f t="shared" si="32"/>
        <v>model</v>
      </c>
      <c r="P148" s="218" t="str">
        <f t="shared" si="32"/>
        <v>Material</v>
      </c>
      <c r="Q148" s="218" t="str">
        <f t="shared" si="32"/>
        <v>x</v>
      </c>
      <c r="R148" s="218" t="str">
        <f t="shared" si="32"/>
        <v>BS</v>
      </c>
      <c r="S148" s="218" t="str">
        <f t="shared" si="32"/>
        <v>all</v>
      </c>
      <c r="T148" s="217">
        <f t="shared" si="32"/>
        <v>15</v>
      </c>
      <c r="U148" s="217" t="str">
        <f t="shared" si="32"/>
        <v>Blindschwelle Oberflächenmaterial</v>
      </c>
      <c r="V148" s="217" t="str">
        <f t="shared" si="32"/>
        <v>x</v>
      </c>
      <c r="W148" s="217" t="str">
        <f t="shared" si="32"/>
        <v/>
      </c>
      <c r="X148" s="217" t="str">
        <f t="shared" si="32"/>
        <v/>
      </c>
      <c r="Y148" s="217" t="str">
        <f t="shared" si="32"/>
        <v>matBlindThreshold</v>
      </c>
    </row>
    <row r="149" spans="1:25" x14ac:dyDescent="0.3">
      <c r="A149" s="216">
        <f t="shared" si="28"/>
        <v>147</v>
      </c>
      <c r="B149" s="217" t="str">
        <f t="shared" si="31"/>
        <v/>
      </c>
      <c r="C149" s="217" t="str">
        <f t="shared" si="31"/>
        <v/>
      </c>
      <c r="D149" s="217" t="str">
        <f t="shared" si="31"/>
        <v/>
      </c>
      <c r="E149" s="217" t="str">
        <f t="shared" si="31"/>
        <v/>
      </c>
      <c r="F149" s="217" t="str">
        <f t="shared" si="31"/>
        <v/>
      </c>
      <c r="G149" s="217" t="str">
        <f t="shared" si="31"/>
        <v/>
      </c>
      <c r="H149" s="217" t="str">
        <f t="shared" si="31"/>
        <v/>
      </c>
      <c r="I149" s="217" t="str">
        <f t="shared" si="31"/>
        <v/>
      </c>
      <c r="J149" s="217" t="str">
        <f t="shared" si="31"/>
        <v/>
      </c>
      <c r="K149" s="217" t="str">
        <f t="shared" si="31"/>
        <v/>
      </c>
      <c r="L149" s="217" t="str">
        <f t="shared" si="32"/>
        <v>info</v>
      </c>
      <c r="M149" s="217" t="str">
        <f t="shared" si="32"/>
        <v>x</v>
      </c>
      <c r="N149" s="217" t="str">
        <f t="shared" si="32"/>
        <v/>
      </c>
      <c r="O149" s="217" t="str">
        <f t="shared" si="32"/>
        <v>model</v>
      </c>
      <c r="P149" s="218" t="str">
        <f t="shared" si="32"/>
        <v>Boolean</v>
      </c>
      <c r="Q149" s="218" t="str">
        <f t="shared" si="32"/>
        <v>x</v>
      </c>
      <c r="R149" s="218" t="str">
        <f t="shared" si="32"/>
        <v>BS</v>
      </c>
      <c r="S149" s="218" t="str">
        <f t="shared" si="32"/>
        <v>all</v>
      </c>
      <c r="T149" s="217">
        <f t="shared" si="32"/>
        <v>1</v>
      </c>
      <c r="U149" s="217" t="str">
        <f t="shared" si="32"/>
        <v>Einheitliche Oberflächen Verkleidung</v>
      </c>
      <c r="V149" s="217" t="str">
        <f t="shared" si="32"/>
        <v>x</v>
      </c>
      <c r="W149" s="217" t="str">
        <f t="shared" si="32"/>
        <v/>
      </c>
      <c r="X149" s="217" t="str">
        <f t="shared" si="32"/>
        <v/>
      </c>
      <c r="Y149" s="217" t="str">
        <f t="shared" si="32"/>
        <v>bLinkCasingSurfaces</v>
      </c>
    </row>
    <row r="150" spans="1:25" x14ac:dyDescent="0.3">
      <c r="A150" s="216">
        <f t="shared" si="28"/>
        <v>148</v>
      </c>
      <c r="B150" s="217" t="str">
        <f t="shared" si="31"/>
        <v/>
      </c>
      <c r="C150" s="217" t="str">
        <f t="shared" si="31"/>
        <v>x</v>
      </c>
      <c r="D150" s="217" t="str">
        <f t="shared" si="31"/>
        <v/>
      </c>
      <c r="E150" s="217" t="str">
        <f t="shared" si="31"/>
        <v/>
      </c>
      <c r="F150" s="217" t="str">
        <f t="shared" si="31"/>
        <v/>
      </c>
      <c r="G150" s="217" t="str">
        <f t="shared" si="31"/>
        <v/>
      </c>
      <c r="H150" s="217" t="str">
        <f t="shared" si="31"/>
        <v/>
      </c>
      <c r="I150" s="217" t="str">
        <f t="shared" si="31"/>
        <v/>
      </c>
      <c r="J150" s="217" t="str">
        <f t="shared" si="31"/>
        <v/>
      </c>
      <c r="K150" s="217" t="str">
        <f t="shared" si="31"/>
        <v/>
      </c>
      <c r="L150" s="217" t="str">
        <f t="shared" si="32"/>
        <v>info</v>
      </c>
      <c r="M150" s="217" t="str">
        <f t="shared" si="32"/>
        <v>x</v>
      </c>
      <c r="N150" s="217" t="str">
        <f t="shared" si="32"/>
        <v/>
      </c>
      <c r="O150" s="217" t="str">
        <f t="shared" si="32"/>
        <v>model</v>
      </c>
      <c r="P150" s="218" t="str">
        <f t="shared" si="32"/>
        <v>Integer</v>
      </c>
      <c r="Q150" s="218" t="str">
        <f t="shared" si="32"/>
        <v>x</v>
      </c>
      <c r="R150" s="218" t="str">
        <f t="shared" si="32"/>
        <v>BS</v>
      </c>
      <c r="S150" s="218" t="str">
        <f t="shared" si="32"/>
        <v>all</v>
      </c>
      <c r="T150" s="217" t="str">
        <f t="shared" si="32"/>
        <v>{array}</v>
      </c>
      <c r="U150" s="217" t="str">
        <f t="shared" si="32"/>
        <v/>
      </c>
      <c r="V150" s="217" t="str">
        <f t="shared" si="32"/>
        <v>x</v>
      </c>
      <c r="W150" s="217" t="str">
        <f t="shared" si="32"/>
        <v/>
      </c>
      <c r="X150" s="217" t="str">
        <f t="shared" si="32"/>
        <v/>
      </c>
      <c r="Y150" s="217" t="str">
        <f t="shared" si="32"/>
        <v>stored_material</v>
      </c>
    </row>
    <row r="151" spans="1:25" x14ac:dyDescent="0.3">
      <c r="A151" s="216">
        <f t="shared" si="28"/>
        <v>149</v>
      </c>
      <c r="B151" s="217" t="str">
        <f t="shared" si="31"/>
        <v>x</v>
      </c>
      <c r="C151" s="217" t="str">
        <f t="shared" si="31"/>
        <v/>
      </c>
      <c r="D151" s="217" t="str">
        <f t="shared" si="31"/>
        <v/>
      </c>
      <c r="E151" s="217" t="str">
        <f t="shared" si="31"/>
        <v/>
      </c>
      <c r="F151" s="217" t="str">
        <f t="shared" si="31"/>
        <v/>
      </c>
      <c r="G151" s="217" t="str">
        <f t="shared" si="31"/>
        <v/>
      </c>
      <c r="H151" s="217" t="str">
        <f t="shared" si="31"/>
        <v/>
      </c>
      <c r="I151" s="217" t="str">
        <f t="shared" si="31"/>
        <v/>
      </c>
      <c r="J151" s="217" t="str">
        <f t="shared" si="31"/>
        <v/>
      </c>
      <c r="K151" s="217" t="str">
        <f t="shared" si="31"/>
        <v/>
      </c>
      <c r="L151" s="217" t="str">
        <f t="shared" si="32"/>
        <v>info</v>
      </c>
      <c r="M151" s="217" t="str">
        <f t="shared" si="32"/>
        <v>x</v>
      </c>
      <c r="N151" s="217" t="str">
        <f t="shared" si="32"/>
        <v/>
      </c>
      <c r="O151" s="217" t="str">
        <f t="shared" si="32"/>
        <v>model</v>
      </c>
      <c r="P151" s="218" t="str">
        <f t="shared" si="32"/>
        <v>Material</v>
      </c>
      <c r="Q151" s="218" t="str">
        <f t="shared" si="32"/>
        <v>x</v>
      </c>
      <c r="R151" s="218" t="str">
        <f t="shared" si="32"/>
        <v>BS</v>
      </c>
      <c r="S151" s="218" t="str">
        <f t="shared" si="32"/>
        <v>all</v>
      </c>
      <c r="T151" s="217">
        <f t="shared" si="32"/>
        <v>133</v>
      </c>
      <c r="U151" s="217" t="str">
        <f t="shared" si="32"/>
        <v>Innenverkleidung Oberflächenmaterial</v>
      </c>
      <c r="V151" s="217" t="str">
        <f t="shared" si="32"/>
        <v>x</v>
      </c>
      <c r="W151" s="217" t="str">
        <f t="shared" si="32"/>
        <v/>
      </c>
      <c r="X151" s="217" t="str">
        <f t="shared" si="32"/>
        <v/>
      </c>
      <c r="Y151" s="217" t="str">
        <f t="shared" si="32"/>
        <v>gs_trim_in_mat</v>
      </c>
    </row>
    <row r="152" spans="1:25" x14ac:dyDescent="0.3">
      <c r="A152" s="216">
        <f t="shared" si="28"/>
        <v>150</v>
      </c>
      <c r="B152" s="217" t="str">
        <f t="shared" si="31"/>
        <v>x</v>
      </c>
      <c r="C152" s="217" t="str">
        <f t="shared" si="31"/>
        <v/>
      </c>
      <c r="D152" s="217" t="str">
        <f t="shared" si="31"/>
        <v/>
      </c>
      <c r="E152" s="217" t="str">
        <f t="shared" si="31"/>
        <v/>
      </c>
      <c r="F152" s="217" t="str">
        <f t="shared" si="31"/>
        <v/>
      </c>
      <c r="G152" s="217" t="str">
        <f t="shared" si="31"/>
        <v/>
      </c>
      <c r="H152" s="217" t="str">
        <f t="shared" si="31"/>
        <v/>
      </c>
      <c r="I152" s="217" t="str">
        <f t="shared" si="31"/>
        <v/>
      </c>
      <c r="J152" s="217" t="str">
        <f t="shared" si="31"/>
        <v/>
      </c>
      <c r="K152" s="217" t="str">
        <f t="shared" si="31"/>
        <v/>
      </c>
      <c r="L152" s="217" t="str">
        <f t="shared" si="32"/>
        <v>info</v>
      </c>
      <c r="M152" s="217" t="str">
        <f t="shared" si="32"/>
        <v>x</v>
      </c>
      <c r="N152" s="217" t="str">
        <f t="shared" si="32"/>
        <v/>
      </c>
      <c r="O152" s="217" t="str">
        <f t="shared" si="32"/>
        <v>model</v>
      </c>
      <c r="P152" s="218" t="str">
        <f t="shared" si="32"/>
        <v>Material</v>
      </c>
      <c r="Q152" s="218" t="str">
        <f t="shared" si="32"/>
        <v>x</v>
      </c>
      <c r="R152" s="218" t="str">
        <f t="shared" si="32"/>
        <v>BS</v>
      </c>
      <c r="S152" s="218" t="str">
        <f t="shared" si="32"/>
        <v>all</v>
      </c>
      <c r="T152" s="217">
        <f t="shared" si="32"/>
        <v>133</v>
      </c>
      <c r="U152" s="217" t="str">
        <f t="shared" si="32"/>
        <v>Außenverkleidung Oberflächenmaterial</v>
      </c>
      <c r="V152" s="217" t="str">
        <f t="shared" si="32"/>
        <v>x</v>
      </c>
      <c r="W152" s="217" t="str">
        <f t="shared" si="32"/>
        <v/>
      </c>
      <c r="X152" s="217" t="str">
        <f t="shared" si="32"/>
        <v/>
      </c>
      <c r="Y152" s="217" t="str">
        <f t="shared" si="32"/>
        <v>gs_trim_out_mat</v>
      </c>
    </row>
    <row r="153" spans="1:25" x14ac:dyDescent="0.3">
      <c r="A153" s="216">
        <f t="shared" si="28"/>
        <v>151</v>
      </c>
      <c r="B153" s="217" t="str">
        <f t="shared" ref="B153:K162" si="33">IF(ISNONTEXT(B$2),IF(B$2="","",IF(INDEX(IMPORT,$A153,B$2)=0,"",IFERROR(VLOOKUP(INDEX(IMPORT,$A153,B$2),ImportTranslation,2,0),INDEX(IMPORT,$A153,B$2)))),B$2)</f>
        <v>x</v>
      </c>
      <c r="C153" s="217" t="str">
        <f t="shared" si="33"/>
        <v/>
      </c>
      <c r="D153" s="217" t="str">
        <f t="shared" si="33"/>
        <v/>
      </c>
      <c r="E153" s="217" t="str">
        <f t="shared" si="33"/>
        <v/>
      </c>
      <c r="F153" s="217" t="str">
        <f t="shared" si="33"/>
        <v/>
      </c>
      <c r="G153" s="217" t="str">
        <f t="shared" si="33"/>
        <v/>
      </c>
      <c r="H153" s="217" t="str">
        <f t="shared" si="33"/>
        <v/>
      </c>
      <c r="I153" s="217" t="str">
        <f t="shared" si="33"/>
        <v/>
      </c>
      <c r="J153" s="217" t="str">
        <f t="shared" si="33"/>
        <v/>
      </c>
      <c r="K153" s="217" t="str">
        <f t="shared" si="33"/>
        <v/>
      </c>
      <c r="L153" s="217" t="str">
        <f t="shared" ref="L153:Y162" si="34">IF(ISNONTEXT(L$2),IF(L$2="","",IF(INDEX(IMPORT,$A153,L$2)=0,"",IFERROR(VLOOKUP(INDEX(IMPORT,$A153,L$2),ImportTranslation,2,0),INDEX(IMPORT,$A153,L$2)))),L$2)</f>
        <v>info</v>
      </c>
      <c r="M153" s="217" t="str">
        <f t="shared" si="34"/>
        <v/>
      </c>
      <c r="N153" s="217" t="str">
        <f t="shared" si="34"/>
        <v/>
      </c>
      <c r="O153" s="217" t="str">
        <f t="shared" si="34"/>
        <v>model</v>
      </c>
      <c r="P153" s="218" t="str">
        <f t="shared" si="34"/>
        <v>Boolean</v>
      </c>
      <c r="Q153" s="218" t="str">
        <f t="shared" si="34"/>
        <v>x</v>
      </c>
      <c r="R153" s="218" t="str">
        <f t="shared" si="34"/>
        <v>BS</v>
      </c>
      <c r="S153" s="218" t="str">
        <f t="shared" si="34"/>
        <v>all</v>
      </c>
      <c r="T153" s="217" t="str">
        <f t="shared" si="34"/>
        <v/>
      </c>
      <c r="U153" s="217" t="str">
        <f t="shared" si="34"/>
        <v>Schwelle</v>
      </c>
      <c r="V153" s="217" t="str">
        <f t="shared" si="34"/>
        <v/>
      </c>
      <c r="W153" s="217" t="str">
        <f t="shared" si="34"/>
        <v/>
      </c>
      <c r="X153" s="217" t="str">
        <f t="shared" si="34"/>
        <v/>
      </c>
      <c r="Y153" s="217" t="str">
        <f t="shared" si="34"/>
        <v>bThreshold</v>
      </c>
    </row>
    <row r="154" spans="1:25" x14ac:dyDescent="0.3">
      <c r="A154" s="216">
        <f t="shared" si="28"/>
        <v>152</v>
      </c>
      <c r="B154" s="217" t="str">
        <f t="shared" si="33"/>
        <v>x</v>
      </c>
      <c r="C154" s="217" t="str">
        <f t="shared" si="33"/>
        <v/>
      </c>
      <c r="D154" s="217" t="str">
        <f t="shared" si="33"/>
        <v/>
      </c>
      <c r="E154" s="217" t="str">
        <f t="shared" si="33"/>
        <v/>
      </c>
      <c r="F154" s="217" t="str">
        <f t="shared" si="33"/>
        <v/>
      </c>
      <c r="G154" s="217" t="str">
        <f t="shared" si="33"/>
        <v/>
      </c>
      <c r="H154" s="217" t="str">
        <f t="shared" si="33"/>
        <v/>
      </c>
      <c r="I154" s="217" t="str">
        <f t="shared" si="33"/>
        <v/>
      </c>
      <c r="J154" s="217" t="str">
        <f t="shared" si="33"/>
        <v/>
      </c>
      <c r="K154" s="217" t="str">
        <f t="shared" si="33"/>
        <v/>
      </c>
      <c r="L154" s="217" t="str">
        <f t="shared" si="34"/>
        <v>info</v>
      </c>
      <c r="M154" s="217" t="str">
        <f t="shared" si="34"/>
        <v>x</v>
      </c>
      <c r="N154" s="217" t="str">
        <f t="shared" si="34"/>
        <v/>
      </c>
      <c r="O154" s="217" t="str">
        <f t="shared" si="34"/>
        <v>model</v>
      </c>
      <c r="P154" s="218" t="str">
        <f t="shared" si="34"/>
        <v>String</v>
      </c>
      <c r="Q154" s="218" t="str">
        <f t="shared" si="34"/>
        <v>x</v>
      </c>
      <c r="R154" s="218" t="str">
        <f t="shared" si="34"/>
        <v>BS</v>
      </c>
      <c r="S154" s="218" t="str">
        <f t="shared" si="34"/>
        <v>all</v>
      </c>
      <c r="T154" s="217" t="str">
        <f t="shared" si="34"/>
        <v>Normal</v>
      </c>
      <c r="U154" s="217" t="str">
        <f t="shared" si="34"/>
        <v>Schwellentyp</v>
      </c>
      <c r="V154" s="217" t="str">
        <f t="shared" si="34"/>
        <v>x</v>
      </c>
      <c r="W154" s="217" t="str">
        <f t="shared" si="34"/>
        <v/>
      </c>
      <c r="X154" s="217" t="str">
        <f t="shared" si="34"/>
        <v/>
      </c>
      <c r="Y154" s="217" t="str">
        <f t="shared" si="34"/>
        <v>thresholdType</v>
      </c>
    </row>
    <row r="155" spans="1:25" x14ac:dyDescent="0.3">
      <c r="A155" s="216">
        <f t="shared" si="28"/>
        <v>153</v>
      </c>
      <c r="B155" s="217" t="str">
        <f t="shared" si="33"/>
        <v>x</v>
      </c>
      <c r="C155" s="217" t="str">
        <f t="shared" si="33"/>
        <v>x</v>
      </c>
      <c r="D155" s="217" t="str">
        <f t="shared" si="33"/>
        <v/>
      </c>
      <c r="E155" s="217" t="str">
        <f t="shared" si="33"/>
        <v/>
      </c>
      <c r="F155" s="217" t="str">
        <f t="shared" si="33"/>
        <v/>
      </c>
      <c r="G155" s="217" t="str">
        <f t="shared" si="33"/>
        <v/>
      </c>
      <c r="H155" s="217" t="str">
        <f t="shared" si="33"/>
        <v/>
      </c>
      <c r="I155" s="217" t="str">
        <f t="shared" si="33"/>
        <v/>
      </c>
      <c r="J155" s="217" t="str">
        <f t="shared" si="33"/>
        <v/>
      </c>
      <c r="K155" s="217" t="str">
        <f t="shared" si="33"/>
        <v/>
      </c>
      <c r="L155" s="217" t="str">
        <f t="shared" si="34"/>
        <v>info</v>
      </c>
      <c r="M155" s="217" t="str">
        <f t="shared" si="34"/>
        <v>x</v>
      </c>
      <c r="N155" s="217" t="str">
        <f t="shared" si="34"/>
        <v/>
      </c>
      <c r="O155" s="217" t="str">
        <f t="shared" si="34"/>
        <v>model</v>
      </c>
      <c r="P155" s="218" t="str">
        <f t="shared" si="34"/>
        <v>Integer</v>
      </c>
      <c r="Q155" s="218" t="str">
        <f t="shared" si="34"/>
        <v>x</v>
      </c>
      <c r="R155" s="218" t="str">
        <f t="shared" si="34"/>
        <v>BS</v>
      </c>
      <c r="S155" s="218" t="str">
        <f t="shared" si="34"/>
        <v>all</v>
      </c>
      <c r="T155" s="217">
        <f t="shared" si="34"/>
        <v>1</v>
      </c>
      <c r="U155" s="217" t="str">
        <f t="shared" si="34"/>
        <v>Schwelle</v>
      </c>
      <c r="V155" s="217" t="str">
        <f t="shared" si="34"/>
        <v>x</v>
      </c>
      <c r="W155" s="217" t="str">
        <f t="shared" si="34"/>
        <v/>
      </c>
      <c r="X155" s="217" t="str">
        <f t="shared" si="34"/>
        <v/>
      </c>
      <c r="Y155" s="217" t="str">
        <f t="shared" si="34"/>
        <v>iThresholdType</v>
      </c>
    </row>
    <row r="156" spans="1:25" x14ac:dyDescent="0.3">
      <c r="A156" s="216">
        <f t="shared" si="28"/>
        <v>154</v>
      </c>
      <c r="B156" s="217" t="str">
        <f t="shared" si="33"/>
        <v>x</v>
      </c>
      <c r="C156" s="217" t="str">
        <f t="shared" si="33"/>
        <v>x</v>
      </c>
      <c r="D156" s="217" t="str">
        <f t="shared" si="33"/>
        <v/>
      </c>
      <c r="E156" s="217" t="str">
        <f t="shared" si="33"/>
        <v/>
      </c>
      <c r="F156" s="217" t="str">
        <f t="shared" si="33"/>
        <v/>
      </c>
      <c r="G156" s="217" t="str">
        <f t="shared" si="33"/>
        <v/>
      </c>
      <c r="H156" s="217" t="str">
        <f t="shared" si="33"/>
        <v/>
      </c>
      <c r="I156" s="217" t="str">
        <f t="shared" si="33"/>
        <v/>
      </c>
      <c r="J156" s="217" t="str">
        <f t="shared" si="33"/>
        <v/>
      </c>
      <c r="K156" s="217" t="str">
        <f t="shared" si="33"/>
        <v/>
      </c>
      <c r="L156" s="217" t="str">
        <f t="shared" si="34"/>
        <v>info</v>
      </c>
      <c r="M156" s="217" t="str">
        <f t="shared" si="34"/>
        <v>x</v>
      </c>
      <c r="N156" s="217" t="str">
        <f t="shared" si="34"/>
        <v/>
      </c>
      <c r="O156" s="217" t="str">
        <f t="shared" si="34"/>
        <v>model</v>
      </c>
      <c r="P156" s="218" t="str">
        <f t="shared" si="34"/>
        <v>Integer</v>
      </c>
      <c r="Q156" s="218" t="str">
        <f t="shared" si="34"/>
        <v>x</v>
      </c>
      <c r="R156" s="218" t="str">
        <f t="shared" si="34"/>
        <v>BS</v>
      </c>
      <c r="S156" s="218" t="str">
        <f t="shared" si="34"/>
        <v>all</v>
      </c>
      <c r="T156" s="217">
        <f t="shared" si="34"/>
        <v>1</v>
      </c>
      <c r="U156" s="217" t="str">
        <f t="shared" si="34"/>
        <v>Standard-Schwelle Typ</v>
      </c>
      <c r="V156" s="217" t="str">
        <f t="shared" si="34"/>
        <v>x</v>
      </c>
      <c r="W156" s="217" t="str">
        <f t="shared" si="34"/>
        <v/>
      </c>
      <c r="X156" s="217" t="str">
        <f t="shared" si="34"/>
        <v/>
      </c>
      <c r="Y156" s="217" t="str">
        <f t="shared" si="34"/>
        <v>iNormalThresholdType</v>
      </c>
    </row>
    <row r="157" spans="1:25" x14ac:dyDescent="0.3">
      <c r="A157" s="216">
        <f t="shared" si="28"/>
        <v>155</v>
      </c>
      <c r="B157" s="217" t="str">
        <f t="shared" si="33"/>
        <v>x</v>
      </c>
      <c r="C157" s="217" t="str">
        <f t="shared" si="33"/>
        <v/>
      </c>
      <c r="D157" s="217" t="str">
        <f t="shared" si="33"/>
        <v/>
      </c>
      <c r="E157" s="217" t="str">
        <f t="shared" si="33"/>
        <v/>
      </c>
      <c r="F157" s="217" t="str">
        <f t="shared" si="33"/>
        <v/>
      </c>
      <c r="G157" s="217" t="str">
        <f t="shared" si="33"/>
        <v/>
      </c>
      <c r="H157" s="217" t="str">
        <f t="shared" si="33"/>
        <v/>
      </c>
      <c r="I157" s="217" t="str">
        <f t="shared" si="33"/>
        <v/>
      </c>
      <c r="J157" s="217" t="str">
        <f t="shared" si="33"/>
        <v/>
      </c>
      <c r="K157" s="217" t="str">
        <f t="shared" si="33"/>
        <v/>
      </c>
      <c r="L157" s="217" t="str">
        <f t="shared" si="34"/>
        <v>info</v>
      </c>
      <c r="M157" s="217" t="str">
        <f t="shared" si="34"/>
        <v>x</v>
      </c>
      <c r="N157" s="217" t="str">
        <f t="shared" si="34"/>
        <v/>
      </c>
      <c r="O157" s="217" t="str">
        <f t="shared" si="34"/>
        <v>model</v>
      </c>
      <c r="P157" s="218" t="str">
        <f t="shared" si="34"/>
        <v>Boolean</v>
      </c>
      <c r="Q157" s="218" t="str">
        <f t="shared" si="34"/>
        <v>x</v>
      </c>
      <c r="R157" s="218" t="str">
        <f t="shared" si="34"/>
        <v>BS</v>
      </c>
      <c r="S157" s="218" t="str">
        <f t="shared" si="34"/>
        <v>all</v>
      </c>
      <c r="T157" s="217" t="str">
        <f t="shared" si="34"/>
        <v/>
      </c>
      <c r="U157" s="217" t="str">
        <f t="shared" si="34"/>
        <v>Blindschwelle</v>
      </c>
      <c r="V157" s="217" t="str">
        <f t="shared" si="34"/>
        <v>x</v>
      </c>
      <c r="W157" s="217" t="str">
        <f t="shared" si="34"/>
        <v/>
      </c>
      <c r="X157" s="217" t="str">
        <f t="shared" si="34"/>
        <v/>
      </c>
      <c r="Y157" s="217" t="str">
        <f t="shared" si="34"/>
        <v>bBlindThreshold</v>
      </c>
    </row>
    <row r="158" spans="1:25" x14ac:dyDescent="0.3">
      <c r="A158" s="216">
        <f t="shared" si="28"/>
        <v>156</v>
      </c>
      <c r="B158" s="217" t="str">
        <f t="shared" si="33"/>
        <v>x</v>
      </c>
      <c r="C158" s="217" t="str">
        <f t="shared" si="33"/>
        <v/>
      </c>
      <c r="D158" s="217" t="str">
        <f t="shared" si="33"/>
        <v/>
      </c>
      <c r="E158" s="217" t="str">
        <f t="shared" si="33"/>
        <v/>
      </c>
      <c r="F158" s="217" t="str">
        <f t="shared" si="33"/>
        <v/>
      </c>
      <c r="G158" s="217" t="str">
        <f t="shared" si="33"/>
        <v/>
      </c>
      <c r="H158" s="217" t="str">
        <f t="shared" si="33"/>
        <v/>
      </c>
      <c r="I158" s="217" t="str">
        <f t="shared" si="33"/>
        <v/>
      </c>
      <c r="J158" s="217" t="str">
        <f t="shared" si="33"/>
        <v/>
      </c>
      <c r="K158" s="217" t="str">
        <f t="shared" si="33"/>
        <v/>
      </c>
      <c r="L158" s="217" t="str">
        <f t="shared" si="34"/>
        <v>info</v>
      </c>
      <c r="M158" s="217" t="str">
        <f t="shared" si="34"/>
        <v>x</v>
      </c>
      <c r="N158" s="217" t="str">
        <f t="shared" si="34"/>
        <v/>
      </c>
      <c r="O158" s="217" t="str">
        <f t="shared" si="34"/>
        <v>model</v>
      </c>
      <c r="P158" s="218" t="str">
        <f t="shared" si="34"/>
        <v>Length</v>
      </c>
      <c r="Q158" s="218" t="str">
        <f t="shared" si="34"/>
        <v>x</v>
      </c>
      <c r="R158" s="218" t="str">
        <f t="shared" si="34"/>
        <v>BS</v>
      </c>
      <c r="S158" s="218" t="str">
        <f t="shared" si="34"/>
        <v>all</v>
      </c>
      <c r="T158" s="217">
        <f t="shared" si="34"/>
        <v>0.02</v>
      </c>
      <c r="U158" s="217" t="str">
        <f t="shared" si="34"/>
        <v>Schwellenhöhe</v>
      </c>
      <c r="V158" s="217" t="str">
        <f t="shared" si="34"/>
        <v>x</v>
      </c>
      <c r="W158" s="217" t="str">
        <f t="shared" si="34"/>
        <v/>
      </c>
      <c r="X158" s="217" t="str">
        <f t="shared" si="34"/>
        <v/>
      </c>
      <c r="Y158" s="217" t="str">
        <f t="shared" si="34"/>
        <v>thresholdHeight3D</v>
      </c>
    </row>
    <row r="159" spans="1:25" x14ac:dyDescent="0.3">
      <c r="A159" s="216">
        <f t="shared" si="28"/>
        <v>157</v>
      </c>
      <c r="B159" s="217" t="str">
        <f t="shared" si="33"/>
        <v>x</v>
      </c>
      <c r="C159" s="217" t="str">
        <f t="shared" si="33"/>
        <v/>
      </c>
      <c r="D159" s="217" t="str">
        <f t="shared" si="33"/>
        <v/>
      </c>
      <c r="E159" s="217" t="str">
        <f t="shared" si="33"/>
        <v/>
      </c>
      <c r="F159" s="217" t="str">
        <f t="shared" si="33"/>
        <v/>
      </c>
      <c r="G159" s="217" t="str">
        <f t="shared" si="33"/>
        <v/>
      </c>
      <c r="H159" s="217" t="str">
        <f t="shared" si="33"/>
        <v/>
      </c>
      <c r="I159" s="217" t="str">
        <f t="shared" si="33"/>
        <v/>
      </c>
      <c r="J159" s="217" t="str">
        <f t="shared" si="33"/>
        <v/>
      </c>
      <c r="K159" s="217" t="str">
        <f t="shared" si="33"/>
        <v/>
      </c>
      <c r="L159" s="217" t="str">
        <f t="shared" si="34"/>
        <v>info</v>
      </c>
      <c r="M159" s="217" t="str">
        <f t="shared" si="34"/>
        <v>x</v>
      </c>
      <c r="N159" s="217" t="str">
        <f t="shared" si="34"/>
        <v/>
      </c>
      <c r="O159" s="217" t="str">
        <f t="shared" si="34"/>
        <v>model</v>
      </c>
      <c r="P159" s="218" t="str">
        <f t="shared" si="34"/>
        <v>Length</v>
      </c>
      <c r="Q159" s="218" t="str">
        <f t="shared" si="34"/>
        <v>x</v>
      </c>
      <c r="R159" s="218" t="str">
        <f t="shared" si="34"/>
        <v>BS</v>
      </c>
      <c r="S159" s="218" t="str">
        <f t="shared" si="34"/>
        <v>all</v>
      </c>
      <c r="T159" s="217">
        <f t="shared" si="34"/>
        <v>0.02</v>
      </c>
      <c r="U159" s="217" t="str">
        <f t="shared" si="34"/>
        <v>Schwellenhöhe</v>
      </c>
      <c r="V159" s="217" t="str">
        <f t="shared" si="34"/>
        <v>x</v>
      </c>
      <c r="W159" s="217" t="str">
        <f t="shared" si="34"/>
        <v/>
      </c>
      <c r="X159" s="217" t="str">
        <f t="shared" si="34"/>
        <v/>
      </c>
      <c r="Y159" s="217" t="str">
        <f t="shared" si="34"/>
        <v>thresholdHeight1</v>
      </c>
    </row>
    <row r="160" spans="1:25" x14ac:dyDescent="0.3">
      <c r="A160" s="216">
        <f t="shared" si="28"/>
        <v>158</v>
      </c>
      <c r="B160" s="217" t="str">
        <f t="shared" si="33"/>
        <v>x</v>
      </c>
      <c r="C160" s="217" t="str">
        <f t="shared" si="33"/>
        <v/>
      </c>
      <c r="D160" s="217" t="str">
        <f t="shared" si="33"/>
        <v/>
      </c>
      <c r="E160" s="217" t="str">
        <f t="shared" si="33"/>
        <v/>
      </c>
      <c r="F160" s="217" t="str">
        <f t="shared" si="33"/>
        <v/>
      </c>
      <c r="G160" s="217" t="str">
        <f t="shared" si="33"/>
        <v/>
      </c>
      <c r="H160" s="217" t="str">
        <f t="shared" si="33"/>
        <v/>
      </c>
      <c r="I160" s="217" t="str">
        <f t="shared" si="33"/>
        <v/>
      </c>
      <c r="J160" s="217" t="str">
        <f t="shared" si="33"/>
        <v/>
      </c>
      <c r="K160" s="217" t="str">
        <f t="shared" si="33"/>
        <v/>
      </c>
      <c r="L160" s="217" t="str">
        <f t="shared" si="34"/>
        <v>info</v>
      </c>
      <c r="M160" s="217" t="str">
        <f t="shared" si="34"/>
        <v>x</v>
      </c>
      <c r="N160" s="217" t="str">
        <f t="shared" si="34"/>
        <v/>
      </c>
      <c r="O160" s="217" t="str">
        <f t="shared" si="34"/>
        <v>model</v>
      </c>
      <c r="P160" s="218" t="str">
        <f t="shared" si="34"/>
        <v>Length</v>
      </c>
      <c r="Q160" s="218" t="str">
        <f t="shared" si="34"/>
        <v>x</v>
      </c>
      <c r="R160" s="218" t="str">
        <f t="shared" si="34"/>
        <v>BS</v>
      </c>
      <c r="S160" s="218" t="str">
        <f t="shared" si="34"/>
        <v>all</v>
      </c>
      <c r="T160" s="217">
        <f t="shared" si="34"/>
        <v>0.02</v>
      </c>
      <c r="U160" s="217" t="str">
        <f t="shared" si="34"/>
        <v>Schwellenhöhe (b)</v>
      </c>
      <c r="V160" s="217" t="str">
        <f t="shared" si="34"/>
        <v>x</v>
      </c>
      <c r="W160" s="217" t="str">
        <f t="shared" si="34"/>
        <v/>
      </c>
      <c r="X160" s="217" t="str">
        <f t="shared" si="34"/>
        <v/>
      </c>
      <c r="Y160" s="217" t="str">
        <f t="shared" si="34"/>
        <v>thresholdHeight2</v>
      </c>
    </row>
    <row r="161" spans="1:25" x14ac:dyDescent="0.3">
      <c r="A161" s="216">
        <f t="shared" si="28"/>
        <v>159</v>
      </c>
      <c r="B161" s="217" t="str">
        <f t="shared" si="33"/>
        <v>x</v>
      </c>
      <c r="C161" s="217" t="str">
        <f t="shared" si="33"/>
        <v/>
      </c>
      <c r="D161" s="217" t="str">
        <f t="shared" si="33"/>
        <v/>
      </c>
      <c r="E161" s="217" t="str">
        <f t="shared" si="33"/>
        <v/>
      </c>
      <c r="F161" s="217" t="str">
        <f t="shared" si="33"/>
        <v/>
      </c>
      <c r="G161" s="217" t="str">
        <f t="shared" si="33"/>
        <v/>
      </c>
      <c r="H161" s="217" t="str">
        <f t="shared" si="33"/>
        <v/>
      </c>
      <c r="I161" s="217" t="str">
        <f t="shared" si="33"/>
        <v/>
      </c>
      <c r="J161" s="217" t="str">
        <f t="shared" si="33"/>
        <v/>
      </c>
      <c r="K161" s="217" t="str">
        <f t="shared" si="33"/>
        <v/>
      </c>
      <c r="L161" s="217" t="str">
        <f t="shared" si="34"/>
        <v>info</v>
      </c>
      <c r="M161" s="217" t="str">
        <f t="shared" si="34"/>
        <v>x</v>
      </c>
      <c r="N161" s="217" t="str">
        <f t="shared" si="34"/>
        <v/>
      </c>
      <c r="O161" s="217" t="str">
        <f t="shared" si="34"/>
        <v>model</v>
      </c>
      <c r="P161" s="218" t="str">
        <f t="shared" si="34"/>
        <v>Length</v>
      </c>
      <c r="Q161" s="218" t="str">
        <f t="shared" si="34"/>
        <v>x</v>
      </c>
      <c r="R161" s="218" t="str">
        <f t="shared" si="34"/>
        <v>BS</v>
      </c>
      <c r="S161" s="218" t="str">
        <f t="shared" si="34"/>
        <v>all</v>
      </c>
      <c r="T161" s="217">
        <f t="shared" si="34"/>
        <v>0.02</v>
      </c>
      <c r="U161" s="217" t="str">
        <f t="shared" si="34"/>
        <v>Schwellenhöhe (c)</v>
      </c>
      <c r="V161" s="217" t="str">
        <f t="shared" si="34"/>
        <v>x</v>
      </c>
      <c r="W161" s="217" t="str">
        <f t="shared" si="34"/>
        <v/>
      </c>
      <c r="X161" s="217" t="str">
        <f t="shared" si="34"/>
        <v/>
      </c>
      <c r="Y161" s="217" t="str">
        <f t="shared" si="34"/>
        <v>thresholdHeight3</v>
      </c>
    </row>
    <row r="162" spans="1:25" x14ac:dyDescent="0.3">
      <c r="A162" s="216">
        <f t="shared" si="28"/>
        <v>160</v>
      </c>
      <c r="B162" s="217" t="str">
        <f t="shared" si="33"/>
        <v>x</v>
      </c>
      <c r="C162" s="217" t="str">
        <f t="shared" si="33"/>
        <v/>
      </c>
      <c r="D162" s="217" t="str">
        <f t="shared" si="33"/>
        <v/>
      </c>
      <c r="E162" s="217" t="str">
        <f t="shared" si="33"/>
        <v/>
      </c>
      <c r="F162" s="217" t="str">
        <f t="shared" si="33"/>
        <v/>
      </c>
      <c r="G162" s="217" t="str">
        <f t="shared" si="33"/>
        <v/>
      </c>
      <c r="H162" s="217" t="str">
        <f t="shared" si="33"/>
        <v/>
      </c>
      <c r="I162" s="217" t="str">
        <f t="shared" si="33"/>
        <v/>
      </c>
      <c r="J162" s="217" t="str">
        <f t="shared" si="33"/>
        <v/>
      </c>
      <c r="K162" s="217" t="str">
        <f t="shared" si="33"/>
        <v/>
      </c>
      <c r="L162" s="217" t="str">
        <f t="shared" si="34"/>
        <v>info</v>
      </c>
      <c r="M162" s="217" t="str">
        <f t="shared" si="34"/>
        <v>x</v>
      </c>
      <c r="N162" s="217" t="str">
        <f t="shared" si="34"/>
        <v/>
      </c>
      <c r="O162" s="217" t="str">
        <f t="shared" si="34"/>
        <v>model</v>
      </c>
      <c r="P162" s="218" t="str">
        <f t="shared" si="34"/>
        <v>Boolean</v>
      </c>
      <c r="Q162" s="218" t="str">
        <f t="shared" si="34"/>
        <v>x</v>
      </c>
      <c r="R162" s="218" t="str">
        <f t="shared" si="34"/>
        <v>BS</v>
      </c>
      <c r="S162" s="218" t="str">
        <f t="shared" si="34"/>
        <v>all</v>
      </c>
      <c r="T162" s="217" t="str">
        <f t="shared" si="34"/>
        <v/>
      </c>
      <c r="U162" s="217" t="str">
        <f t="shared" si="34"/>
        <v>Schwelle in 2D</v>
      </c>
      <c r="V162" s="217" t="str">
        <f t="shared" si="34"/>
        <v>x</v>
      </c>
      <c r="W162" s="217" t="str">
        <f t="shared" si="34"/>
        <v/>
      </c>
      <c r="X162" s="217" t="str">
        <f t="shared" si="34"/>
        <v/>
      </c>
      <c r="Y162" s="217" t="str">
        <f t="shared" si="34"/>
        <v>bShowThreshold2D</v>
      </c>
    </row>
    <row r="163" spans="1:25" x14ac:dyDescent="0.3">
      <c r="A163" s="216">
        <f t="shared" si="28"/>
        <v>161</v>
      </c>
      <c r="B163" s="217" t="str">
        <f t="shared" ref="B163:K172" si="35">IF(ISNONTEXT(B$2),IF(B$2="","",IF(INDEX(IMPORT,$A163,B$2)=0,"",IFERROR(VLOOKUP(INDEX(IMPORT,$A163,B$2),ImportTranslation,2,0),INDEX(IMPORT,$A163,B$2)))),B$2)</f>
        <v>x</v>
      </c>
      <c r="C163" s="217" t="str">
        <f t="shared" si="35"/>
        <v/>
      </c>
      <c r="D163" s="217" t="str">
        <f t="shared" si="35"/>
        <v/>
      </c>
      <c r="E163" s="217" t="str">
        <f t="shared" si="35"/>
        <v/>
      </c>
      <c r="F163" s="217" t="str">
        <f t="shared" si="35"/>
        <v/>
      </c>
      <c r="G163" s="217" t="str">
        <f t="shared" si="35"/>
        <v/>
      </c>
      <c r="H163" s="217" t="str">
        <f t="shared" si="35"/>
        <v/>
      </c>
      <c r="I163" s="217" t="str">
        <f t="shared" si="35"/>
        <v/>
      </c>
      <c r="J163" s="217" t="str">
        <f t="shared" si="35"/>
        <v/>
      </c>
      <c r="K163" s="217" t="str">
        <f t="shared" si="35"/>
        <v/>
      </c>
      <c r="L163" s="217" t="str">
        <f t="shared" ref="L163:Y172" si="36">IF(ISNONTEXT(L$2),IF(L$2="","",IF(INDEX(IMPORT,$A163,L$2)=0,"",IFERROR(VLOOKUP(INDEX(IMPORT,$A163,L$2),ImportTranslation,2,0),INDEX(IMPORT,$A163,L$2)))),L$2)</f>
        <v>info</v>
      </c>
      <c r="M163" s="217" t="str">
        <f t="shared" si="36"/>
        <v>x</v>
      </c>
      <c r="N163" s="217" t="str">
        <f t="shared" si="36"/>
        <v/>
      </c>
      <c r="O163" s="217" t="str">
        <f t="shared" si="36"/>
        <v>model</v>
      </c>
      <c r="P163" s="218" t="str">
        <f t="shared" si="36"/>
        <v>PenColor</v>
      </c>
      <c r="Q163" s="218" t="str">
        <f t="shared" si="36"/>
        <v>x</v>
      </c>
      <c r="R163" s="218" t="str">
        <f t="shared" si="36"/>
        <v>BS</v>
      </c>
      <c r="S163" s="218" t="str">
        <f t="shared" si="36"/>
        <v>all</v>
      </c>
      <c r="T163" s="217">
        <f t="shared" si="36"/>
        <v>1</v>
      </c>
      <c r="U163" s="217" t="str">
        <f t="shared" si="36"/>
        <v>Stift Schwelle</v>
      </c>
      <c r="V163" s="217" t="str">
        <f t="shared" si="36"/>
        <v>x</v>
      </c>
      <c r="W163" s="217" t="str">
        <f t="shared" si="36"/>
        <v/>
      </c>
      <c r="X163" s="217" t="str">
        <f t="shared" si="36"/>
        <v/>
      </c>
      <c r="Y163" s="217" t="str">
        <f t="shared" si="36"/>
        <v>penThreshold</v>
      </c>
    </row>
    <row r="164" spans="1:25" x14ac:dyDescent="0.3">
      <c r="A164" s="216">
        <f t="shared" si="28"/>
        <v>162</v>
      </c>
      <c r="B164" s="217" t="str">
        <f t="shared" si="35"/>
        <v>x</v>
      </c>
      <c r="C164" s="217" t="str">
        <f t="shared" si="35"/>
        <v/>
      </c>
      <c r="D164" s="217" t="str">
        <f t="shared" si="35"/>
        <v/>
      </c>
      <c r="E164" s="217" t="str">
        <f t="shared" si="35"/>
        <v/>
      </c>
      <c r="F164" s="217" t="str">
        <f t="shared" si="35"/>
        <v/>
      </c>
      <c r="G164" s="217" t="str">
        <f t="shared" si="35"/>
        <v/>
      </c>
      <c r="H164" s="217" t="str">
        <f t="shared" si="35"/>
        <v/>
      </c>
      <c r="I164" s="217" t="str">
        <f t="shared" si="35"/>
        <v/>
      </c>
      <c r="J164" s="217" t="str">
        <f t="shared" si="35"/>
        <v/>
      </c>
      <c r="K164" s="217" t="str">
        <f t="shared" si="35"/>
        <v/>
      </c>
      <c r="L164" s="217" t="str">
        <f t="shared" si="36"/>
        <v>info</v>
      </c>
      <c r="M164" s="217" t="str">
        <f t="shared" si="36"/>
        <v>x</v>
      </c>
      <c r="N164" s="217" t="str">
        <f t="shared" si="36"/>
        <v/>
      </c>
      <c r="O164" s="217" t="str">
        <f t="shared" si="36"/>
        <v>model</v>
      </c>
      <c r="P164" s="218" t="str">
        <f t="shared" si="36"/>
        <v>LineType</v>
      </c>
      <c r="Q164" s="218" t="str">
        <f t="shared" si="36"/>
        <v>x</v>
      </c>
      <c r="R164" s="218" t="str">
        <f t="shared" si="36"/>
        <v>BS</v>
      </c>
      <c r="S164" s="218" t="str">
        <f t="shared" si="36"/>
        <v>all</v>
      </c>
      <c r="T164" s="217">
        <f t="shared" si="36"/>
        <v>1</v>
      </c>
      <c r="U164" s="217" t="str">
        <f t="shared" si="36"/>
        <v>Linientyp Schwelle</v>
      </c>
      <c r="V164" s="217" t="str">
        <f t="shared" si="36"/>
        <v>x</v>
      </c>
      <c r="W164" s="217" t="str">
        <f t="shared" si="36"/>
        <v/>
      </c>
      <c r="X164" s="217" t="str">
        <f t="shared" si="36"/>
        <v/>
      </c>
      <c r="Y164" s="217" t="str">
        <f t="shared" si="36"/>
        <v>ltThreshold</v>
      </c>
    </row>
    <row r="165" spans="1:25" x14ac:dyDescent="0.3">
      <c r="A165" s="216">
        <f t="shared" si="28"/>
        <v>163</v>
      </c>
      <c r="B165" s="217" t="str">
        <f t="shared" si="35"/>
        <v>x</v>
      </c>
      <c r="C165" s="217" t="str">
        <f t="shared" si="35"/>
        <v/>
      </c>
      <c r="D165" s="217" t="str">
        <f t="shared" si="35"/>
        <v/>
      </c>
      <c r="E165" s="217" t="str">
        <f t="shared" si="35"/>
        <v/>
      </c>
      <c r="F165" s="217" t="str">
        <f t="shared" si="35"/>
        <v/>
      </c>
      <c r="G165" s="217" t="str">
        <f t="shared" si="35"/>
        <v/>
      </c>
      <c r="H165" s="217" t="str">
        <f t="shared" si="35"/>
        <v/>
      </c>
      <c r="I165" s="217" t="str">
        <f t="shared" si="35"/>
        <v/>
      </c>
      <c r="J165" s="217" t="str">
        <f t="shared" si="35"/>
        <v/>
      </c>
      <c r="K165" s="217" t="str">
        <f t="shared" si="35"/>
        <v/>
      </c>
      <c r="L165" s="217" t="str">
        <f t="shared" si="36"/>
        <v>info</v>
      </c>
      <c r="M165" s="217" t="str">
        <f t="shared" si="36"/>
        <v/>
      </c>
      <c r="N165" s="217" t="str">
        <f t="shared" si="36"/>
        <v/>
      </c>
      <c r="O165" s="217" t="str">
        <f t="shared" si="36"/>
        <v>model</v>
      </c>
      <c r="P165" s="218" t="str">
        <f t="shared" si="36"/>
        <v>String</v>
      </c>
      <c r="Q165" s="218" t="str">
        <f t="shared" si="36"/>
        <v>x</v>
      </c>
      <c r="R165" s="218" t="str">
        <f t="shared" si="36"/>
        <v>BS</v>
      </c>
      <c r="S165" s="218" t="str">
        <f t="shared" si="36"/>
        <v>all</v>
      </c>
      <c r="T165" s="217" t="str">
        <f t="shared" si="36"/>
        <v>Wandöffnung zum aktuellen Geschoss</v>
      </c>
      <c r="U165" s="217" t="str">
        <f t="shared" si="36"/>
        <v>Wandöffnung unter Schwelle</v>
      </c>
      <c r="V165" s="217" t="str">
        <f t="shared" si="36"/>
        <v/>
      </c>
      <c r="W165" s="217" t="str">
        <f t="shared" si="36"/>
        <v/>
      </c>
      <c r="X165" s="217" t="str">
        <f t="shared" si="36"/>
        <v/>
      </c>
      <c r="Y165" s="217" t="str">
        <f t="shared" si="36"/>
        <v>holeUnderThreshold</v>
      </c>
    </row>
    <row r="166" spans="1:25" x14ac:dyDescent="0.3">
      <c r="A166" s="216">
        <f t="shared" si="28"/>
        <v>164</v>
      </c>
      <c r="B166" s="217" t="str">
        <f t="shared" si="35"/>
        <v>x</v>
      </c>
      <c r="C166" s="217" t="str">
        <f t="shared" si="35"/>
        <v>x</v>
      </c>
      <c r="D166" s="217" t="str">
        <f t="shared" si="35"/>
        <v/>
      </c>
      <c r="E166" s="217" t="str">
        <f t="shared" si="35"/>
        <v/>
      </c>
      <c r="F166" s="217" t="str">
        <f t="shared" si="35"/>
        <v/>
      </c>
      <c r="G166" s="217" t="str">
        <f t="shared" si="35"/>
        <v/>
      </c>
      <c r="H166" s="217" t="str">
        <f t="shared" si="35"/>
        <v/>
      </c>
      <c r="I166" s="217" t="str">
        <f t="shared" si="35"/>
        <v/>
      </c>
      <c r="J166" s="217" t="str">
        <f t="shared" si="35"/>
        <v/>
      </c>
      <c r="K166" s="217" t="str">
        <f t="shared" si="35"/>
        <v/>
      </c>
      <c r="L166" s="217" t="str">
        <f t="shared" si="36"/>
        <v>info</v>
      </c>
      <c r="M166" s="217" t="str">
        <f t="shared" si="36"/>
        <v>x</v>
      </c>
      <c r="N166" s="217" t="str">
        <f t="shared" si="36"/>
        <v/>
      </c>
      <c r="O166" s="217" t="str">
        <f t="shared" si="36"/>
        <v>model</v>
      </c>
      <c r="P166" s="218" t="str">
        <f t="shared" si="36"/>
        <v>Integer</v>
      </c>
      <c r="Q166" s="218" t="str">
        <f t="shared" si="36"/>
        <v>x</v>
      </c>
      <c r="R166" s="218" t="str">
        <f t="shared" si="36"/>
        <v>BS</v>
      </c>
      <c r="S166" s="218" t="str">
        <f t="shared" si="36"/>
        <v>all</v>
      </c>
      <c r="T166" s="217">
        <f t="shared" si="36"/>
        <v>1</v>
      </c>
      <c r="U166" s="217" t="str">
        <f t="shared" si="36"/>
        <v>Wandöffnung unter Schwelle</v>
      </c>
      <c r="V166" s="217" t="str">
        <f t="shared" si="36"/>
        <v>x</v>
      </c>
      <c r="W166" s="217" t="str">
        <f t="shared" si="36"/>
        <v/>
      </c>
      <c r="X166" s="217" t="str">
        <f t="shared" si="36"/>
        <v/>
      </c>
      <c r="Y166" s="217" t="str">
        <f t="shared" si="36"/>
        <v>iHoleUnderThreshold</v>
      </c>
    </row>
    <row r="167" spans="1:25" x14ac:dyDescent="0.3">
      <c r="A167" s="216">
        <f t="shared" si="28"/>
        <v>165</v>
      </c>
      <c r="B167" s="217" t="str">
        <f t="shared" si="35"/>
        <v>x</v>
      </c>
      <c r="C167" s="217" t="str">
        <f t="shared" si="35"/>
        <v/>
      </c>
      <c r="D167" s="217" t="str">
        <f t="shared" si="35"/>
        <v/>
      </c>
      <c r="E167" s="217" t="str">
        <f t="shared" si="35"/>
        <v/>
      </c>
      <c r="F167" s="217" t="str">
        <f t="shared" si="35"/>
        <v/>
      </c>
      <c r="G167" s="217" t="str">
        <f t="shared" si="35"/>
        <v/>
      </c>
      <c r="H167" s="217" t="str">
        <f t="shared" si="35"/>
        <v/>
      </c>
      <c r="I167" s="217" t="str">
        <f t="shared" si="35"/>
        <v/>
      </c>
      <c r="J167" s="217" t="str">
        <f t="shared" si="35"/>
        <v/>
      </c>
      <c r="K167" s="217" t="str">
        <f t="shared" si="35"/>
        <v/>
      </c>
      <c r="L167" s="217" t="str">
        <f t="shared" si="36"/>
        <v>info</v>
      </c>
      <c r="M167" s="217" t="str">
        <f t="shared" si="36"/>
        <v>x</v>
      </c>
      <c r="N167" s="217" t="str">
        <f t="shared" si="36"/>
        <v/>
      </c>
      <c r="O167" s="217" t="str">
        <f t="shared" si="36"/>
        <v>model</v>
      </c>
      <c r="P167" s="218" t="str">
        <f t="shared" si="36"/>
        <v>Length</v>
      </c>
      <c r="Q167" s="218" t="str">
        <f t="shared" si="36"/>
        <v>x</v>
      </c>
      <c r="R167" s="218" t="str">
        <f t="shared" si="36"/>
        <v>BS</v>
      </c>
      <c r="S167" s="218" t="str">
        <f t="shared" si="36"/>
        <v>all</v>
      </c>
      <c r="T167" s="217">
        <f t="shared" si="36"/>
        <v>0.05</v>
      </c>
      <c r="U167" s="217" t="str">
        <f t="shared" si="36"/>
        <v>Eigene Wandöffnung Übergröße</v>
      </c>
      <c r="V167" s="217" t="str">
        <f t="shared" si="36"/>
        <v>x</v>
      </c>
      <c r="W167" s="217" t="str">
        <f t="shared" si="36"/>
        <v/>
      </c>
      <c r="X167" s="217" t="str">
        <f t="shared" si="36"/>
        <v/>
      </c>
      <c r="Y167" s="217" t="str">
        <f t="shared" si="36"/>
        <v>thresholdBottomOversize</v>
      </c>
    </row>
    <row r="168" spans="1:25" x14ac:dyDescent="0.3">
      <c r="A168" s="216">
        <f t="shared" si="28"/>
        <v>166</v>
      </c>
      <c r="B168" s="217" t="str">
        <f t="shared" si="35"/>
        <v>x</v>
      </c>
      <c r="C168" s="217" t="str">
        <f t="shared" si="35"/>
        <v/>
      </c>
      <c r="D168" s="217" t="str">
        <f t="shared" si="35"/>
        <v/>
      </c>
      <c r="E168" s="217" t="str">
        <f t="shared" si="35"/>
        <v/>
      </c>
      <c r="F168" s="217" t="str">
        <f t="shared" si="35"/>
        <v/>
      </c>
      <c r="G168" s="217" t="str">
        <f t="shared" si="35"/>
        <v/>
      </c>
      <c r="H168" s="217" t="str">
        <f t="shared" si="35"/>
        <v/>
      </c>
      <c r="I168" s="217" t="str">
        <f t="shared" si="35"/>
        <v/>
      </c>
      <c r="J168" s="217" t="str">
        <f t="shared" si="35"/>
        <v/>
      </c>
      <c r="K168" s="217" t="str">
        <f t="shared" si="35"/>
        <v/>
      </c>
      <c r="L168" s="217" t="str">
        <f t="shared" si="36"/>
        <v>info</v>
      </c>
      <c r="M168" s="217" t="str">
        <f t="shared" si="36"/>
        <v/>
      </c>
      <c r="N168" s="217" t="str">
        <f t="shared" si="36"/>
        <v/>
      </c>
      <c r="O168" s="217" t="str">
        <f t="shared" si="36"/>
        <v>model</v>
      </c>
      <c r="P168" s="218" t="str">
        <f t="shared" si="36"/>
        <v>String</v>
      </c>
      <c r="Q168" s="218" t="str">
        <f t="shared" si="36"/>
        <v>x</v>
      </c>
      <c r="R168" s="218" t="str">
        <f t="shared" si="36"/>
        <v>BS</v>
      </c>
      <c r="S168" s="218" t="str">
        <f t="shared" si="36"/>
        <v>all</v>
      </c>
      <c r="T168" s="217" t="str">
        <f t="shared" si="36"/>
        <v>Maßstababhängig</v>
      </c>
      <c r="U168" s="217" t="str">
        <f t="shared" si="36"/>
        <v>Schwellensymbol nach SIA</v>
      </c>
      <c r="V168" s="217" t="str">
        <f t="shared" si="36"/>
        <v/>
      </c>
      <c r="W168" s="217" t="str">
        <f t="shared" si="36"/>
        <v/>
      </c>
      <c r="X168" s="217" t="str">
        <f t="shared" si="36"/>
        <v/>
      </c>
      <c r="Y168" s="217" t="str">
        <f t="shared" si="36"/>
        <v>showSIASymbol</v>
      </c>
    </row>
    <row r="169" spans="1:25" x14ac:dyDescent="0.3">
      <c r="A169" s="216">
        <f t="shared" si="28"/>
        <v>167</v>
      </c>
      <c r="B169" s="217" t="str">
        <f t="shared" si="35"/>
        <v>x</v>
      </c>
      <c r="C169" s="217" t="str">
        <f t="shared" si="35"/>
        <v>x</v>
      </c>
      <c r="D169" s="217" t="str">
        <f t="shared" si="35"/>
        <v/>
      </c>
      <c r="E169" s="217" t="str">
        <f t="shared" si="35"/>
        <v/>
      </c>
      <c r="F169" s="217" t="str">
        <f t="shared" si="35"/>
        <v/>
      </c>
      <c r="G169" s="217" t="str">
        <f t="shared" si="35"/>
        <v/>
      </c>
      <c r="H169" s="217" t="str">
        <f t="shared" si="35"/>
        <v/>
      </c>
      <c r="I169" s="217" t="str">
        <f t="shared" si="35"/>
        <v/>
      </c>
      <c r="J169" s="217" t="str">
        <f t="shared" si="35"/>
        <v/>
      </c>
      <c r="K169" s="217" t="str">
        <f t="shared" si="35"/>
        <v/>
      </c>
      <c r="L169" s="217" t="str">
        <f t="shared" si="36"/>
        <v>info</v>
      </c>
      <c r="M169" s="217" t="str">
        <f t="shared" si="36"/>
        <v>x</v>
      </c>
      <c r="N169" s="217" t="str">
        <f t="shared" si="36"/>
        <v/>
      </c>
      <c r="O169" s="217" t="str">
        <f t="shared" si="36"/>
        <v>model</v>
      </c>
      <c r="P169" s="218" t="str">
        <f t="shared" si="36"/>
        <v>Integer</v>
      </c>
      <c r="Q169" s="218" t="str">
        <f t="shared" si="36"/>
        <v>x</v>
      </c>
      <c r="R169" s="218" t="str">
        <f t="shared" si="36"/>
        <v>BS</v>
      </c>
      <c r="S169" s="218" t="str">
        <f t="shared" si="36"/>
        <v>all</v>
      </c>
      <c r="T169" s="217" t="str">
        <f t="shared" si="36"/>
        <v/>
      </c>
      <c r="U169" s="217" t="str">
        <f t="shared" si="36"/>
        <v>Schwellensymbol nach SIA</v>
      </c>
      <c r="V169" s="217" t="str">
        <f t="shared" si="36"/>
        <v>x</v>
      </c>
      <c r="W169" s="217" t="str">
        <f t="shared" si="36"/>
        <v/>
      </c>
      <c r="X169" s="217" t="str">
        <f t="shared" si="36"/>
        <v/>
      </c>
      <c r="Y169" s="217" t="str">
        <f t="shared" si="36"/>
        <v>iShowSIASymbol</v>
      </c>
    </row>
    <row r="170" spans="1:25" x14ac:dyDescent="0.3">
      <c r="A170" s="216">
        <f t="shared" si="28"/>
        <v>168</v>
      </c>
      <c r="B170" s="217" t="str">
        <f t="shared" si="35"/>
        <v>x</v>
      </c>
      <c r="C170" s="217" t="str">
        <f t="shared" si="35"/>
        <v/>
      </c>
      <c r="D170" s="217" t="str">
        <f t="shared" si="35"/>
        <v/>
      </c>
      <c r="E170" s="217" t="str">
        <f t="shared" si="35"/>
        <v/>
      </c>
      <c r="F170" s="217" t="str">
        <f t="shared" si="35"/>
        <v/>
      </c>
      <c r="G170" s="217" t="str">
        <f t="shared" si="35"/>
        <v/>
      </c>
      <c r="H170" s="217" t="str">
        <f t="shared" si="35"/>
        <v/>
      </c>
      <c r="I170" s="217" t="str">
        <f t="shared" si="35"/>
        <v/>
      </c>
      <c r="J170" s="217" t="str">
        <f t="shared" si="35"/>
        <v/>
      </c>
      <c r="K170" s="217" t="str">
        <f t="shared" si="35"/>
        <v/>
      </c>
      <c r="L170" s="217" t="str">
        <f t="shared" si="36"/>
        <v>info</v>
      </c>
      <c r="M170" s="217" t="str">
        <f t="shared" si="36"/>
        <v>x</v>
      </c>
      <c r="N170" s="217" t="str">
        <f t="shared" si="36"/>
        <v/>
      </c>
      <c r="O170" s="217" t="str">
        <f t="shared" si="36"/>
        <v>model</v>
      </c>
      <c r="P170" s="218" t="str">
        <f t="shared" si="36"/>
        <v>Boolean</v>
      </c>
      <c r="Q170" s="218" t="str">
        <f t="shared" si="36"/>
        <v>x</v>
      </c>
      <c r="R170" s="218" t="str">
        <f t="shared" si="36"/>
        <v>BS</v>
      </c>
      <c r="S170" s="218" t="str">
        <f t="shared" si="36"/>
        <v>all</v>
      </c>
      <c r="T170" s="217" t="str">
        <f t="shared" si="36"/>
        <v/>
      </c>
      <c r="U170" s="217" t="str">
        <f t="shared" si="36"/>
        <v>Editierbare Schwellenhöhe im Symbol</v>
      </c>
      <c r="V170" s="217" t="str">
        <f t="shared" si="36"/>
        <v>x</v>
      </c>
      <c r="W170" s="217" t="str">
        <f t="shared" si="36"/>
        <v/>
      </c>
      <c r="X170" s="217" t="str">
        <f t="shared" si="36"/>
        <v/>
      </c>
      <c r="Y170" s="217" t="str">
        <f t="shared" si="36"/>
        <v>bEditableSIASymbol</v>
      </c>
    </row>
    <row r="171" spans="1:25" x14ac:dyDescent="0.3">
      <c r="A171" s="216">
        <f t="shared" si="28"/>
        <v>169</v>
      </c>
      <c r="B171" s="217" t="str">
        <f t="shared" si="35"/>
        <v>x</v>
      </c>
      <c r="C171" s="217" t="str">
        <f t="shared" si="35"/>
        <v/>
      </c>
      <c r="D171" s="217" t="str">
        <f t="shared" si="35"/>
        <v/>
      </c>
      <c r="E171" s="217" t="str">
        <f t="shared" si="35"/>
        <v/>
      </c>
      <c r="F171" s="217" t="str">
        <f t="shared" si="35"/>
        <v/>
      </c>
      <c r="G171" s="217" t="str">
        <f t="shared" si="35"/>
        <v/>
      </c>
      <c r="H171" s="217" t="str">
        <f t="shared" si="35"/>
        <v/>
      </c>
      <c r="I171" s="217" t="str">
        <f t="shared" si="35"/>
        <v/>
      </c>
      <c r="J171" s="217" t="str">
        <f t="shared" si="35"/>
        <v/>
      </c>
      <c r="K171" s="217" t="str">
        <f t="shared" si="35"/>
        <v/>
      </c>
      <c r="L171" s="217" t="str">
        <f t="shared" si="36"/>
        <v>info</v>
      </c>
      <c r="M171" s="217" t="str">
        <f t="shared" si="36"/>
        <v>x</v>
      </c>
      <c r="N171" s="217" t="str">
        <f t="shared" si="36"/>
        <v/>
      </c>
      <c r="O171" s="217" t="str">
        <f t="shared" si="36"/>
        <v>model</v>
      </c>
      <c r="P171" s="218" t="str">
        <f t="shared" si="36"/>
        <v>Length</v>
      </c>
      <c r="Q171" s="218" t="str">
        <f t="shared" si="36"/>
        <v>x</v>
      </c>
      <c r="R171" s="218" t="str">
        <f t="shared" si="36"/>
        <v>BS</v>
      </c>
      <c r="S171" s="218" t="str">
        <f t="shared" si="36"/>
        <v>all</v>
      </c>
      <c r="T171" s="217" t="str">
        <f t="shared" si="36"/>
        <v/>
      </c>
      <c r="U171" s="217" t="str">
        <f t="shared" si="36"/>
        <v>Position Schwelle</v>
      </c>
      <c r="V171" s="217" t="str">
        <f t="shared" si="36"/>
        <v>x</v>
      </c>
      <c r="W171" s="217" t="str">
        <f t="shared" si="36"/>
        <v/>
      </c>
      <c r="X171" s="217" t="str">
        <f t="shared" si="36"/>
        <v/>
      </c>
      <c r="Y171" s="217" t="str">
        <f t="shared" si="36"/>
        <v>thresholdPos1</v>
      </c>
    </row>
    <row r="172" spans="1:25" x14ac:dyDescent="0.3">
      <c r="A172" s="216">
        <f t="shared" si="28"/>
        <v>170</v>
      </c>
      <c r="B172" s="217" t="str">
        <f t="shared" si="35"/>
        <v>x</v>
      </c>
      <c r="C172" s="217" t="str">
        <f t="shared" si="35"/>
        <v/>
      </c>
      <c r="D172" s="217" t="str">
        <f t="shared" si="35"/>
        <v/>
      </c>
      <c r="E172" s="217" t="str">
        <f t="shared" si="35"/>
        <v/>
      </c>
      <c r="F172" s="217" t="str">
        <f t="shared" si="35"/>
        <v/>
      </c>
      <c r="G172" s="217" t="str">
        <f t="shared" si="35"/>
        <v/>
      </c>
      <c r="H172" s="217" t="str">
        <f t="shared" si="35"/>
        <v/>
      </c>
      <c r="I172" s="217" t="str">
        <f t="shared" si="35"/>
        <v/>
      </c>
      <c r="J172" s="217" t="str">
        <f t="shared" si="35"/>
        <v/>
      </c>
      <c r="K172" s="217" t="str">
        <f t="shared" si="35"/>
        <v/>
      </c>
      <c r="L172" s="217" t="str">
        <f t="shared" si="36"/>
        <v>info</v>
      </c>
      <c r="M172" s="217" t="str">
        <f t="shared" si="36"/>
        <v>x</v>
      </c>
      <c r="N172" s="217" t="str">
        <f t="shared" si="36"/>
        <v/>
      </c>
      <c r="O172" s="217" t="str">
        <f t="shared" si="36"/>
        <v>model</v>
      </c>
      <c r="P172" s="218" t="str">
        <f t="shared" si="36"/>
        <v>Length</v>
      </c>
      <c r="Q172" s="218" t="str">
        <f t="shared" si="36"/>
        <v>x</v>
      </c>
      <c r="R172" s="218" t="str">
        <f t="shared" si="36"/>
        <v>BS</v>
      </c>
      <c r="S172" s="218" t="str">
        <f t="shared" si="36"/>
        <v>all</v>
      </c>
      <c r="T172" s="217" t="str">
        <f t="shared" si="36"/>
        <v/>
      </c>
      <c r="U172" s="217" t="str">
        <f t="shared" si="36"/>
        <v>Position Schwelle</v>
      </c>
      <c r="V172" s="217" t="str">
        <f t="shared" si="36"/>
        <v>x</v>
      </c>
      <c r="W172" s="217" t="str">
        <f t="shared" si="36"/>
        <v/>
      </c>
      <c r="X172" s="217" t="str">
        <f t="shared" si="36"/>
        <v/>
      </c>
      <c r="Y172" s="217" t="str">
        <f t="shared" si="36"/>
        <v>thresholdPos2</v>
      </c>
    </row>
    <row r="173" spans="1:25" x14ac:dyDescent="0.3">
      <c r="A173" s="216">
        <f t="shared" si="28"/>
        <v>171</v>
      </c>
      <c r="B173" s="217" t="str">
        <f t="shared" ref="B173:K182" si="37">IF(ISNONTEXT(B$2),IF(B$2="","",IF(INDEX(IMPORT,$A173,B$2)=0,"",IFERROR(VLOOKUP(INDEX(IMPORT,$A173,B$2),ImportTranslation,2,0),INDEX(IMPORT,$A173,B$2)))),B$2)</f>
        <v>x</v>
      </c>
      <c r="C173" s="217" t="str">
        <f t="shared" si="37"/>
        <v/>
      </c>
      <c r="D173" s="217" t="str">
        <f t="shared" si="37"/>
        <v/>
      </c>
      <c r="E173" s="217" t="str">
        <f t="shared" si="37"/>
        <v/>
      </c>
      <c r="F173" s="217" t="str">
        <f t="shared" si="37"/>
        <v/>
      </c>
      <c r="G173" s="217" t="str">
        <f t="shared" si="37"/>
        <v/>
      </c>
      <c r="H173" s="217" t="str">
        <f t="shared" si="37"/>
        <v/>
      </c>
      <c r="I173" s="217" t="str">
        <f t="shared" si="37"/>
        <v/>
      </c>
      <c r="J173" s="217" t="str">
        <f t="shared" si="37"/>
        <v/>
      </c>
      <c r="K173" s="217" t="str">
        <f t="shared" si="37"/>
        <v/>
      </c>
      <c r="L173" s="217" t="str">
        <f t="shared" ref="L173:Y182" si="38">IF(ISNONTEXT(L$2),IF(L$2="","",IF(INDEX(IMPORT,$A173,L$2)=0,"",IFERROR(VLOOKUP(INDEX(IMPORT,$A173,L$2),ImportTranslation,2,0),INDEX(IMPORT,$A173,L$2)))),L$2)</f>
        <v>info</v>
      </c>
      <c r="M173" s="217" t="str">
        <f t="shared" si="38"/>
        <v>x</v>
      </c>
      <c r="N173" s="217" t="str">
        <f t="shared" si="38"/>
        <v/>
      </c>
      <c r="O173" s="217" t="str">
        <f t="shared" si="38"/>
        <v>model</v>
      </c>
      <c r="P173" s="218" t="str">
        <f t="shared" si="38"/>
        <v>Length</v>
      </c>
      <c r="Q173" s="218" t="str">
        <f t="shared" si="38"/>
        <v>x</v>
      </c>
      <c r="R173" s="218" t="str">
        <f t="shared" si="38"/>
        <v>BS</v>
      </c>
      <c r="S173" s="218" t="str">
        <f t="shared" si="38"/>
        <v>all</v>
      </c>
      <c r="T173" s="217" t="str">
        <f t="shared" si="38"/>
        <v/>
      </c>
      <c r="U173" s="217" t="str">
        <f t="shared" si="38"/>
        <v>Position Schwelle</v>
      </c>
      <c r="V173" s="217" t="str">
        <f t="shared" si="38"/>
        <v>x</v>
      </c>
      <c r="W173" s="217" t="str">
        <f t="shared" si="38"/>
        <v/>
      </c>
      <c r="X173" s="217" t="str">
        <f t="shared" si="38"/>
        <v/>
      </c>
      <c r="Y173" s="217" t="str">
        <f t="shared" si="38"/>
        <v>thresholdPos3</v>
      </c>
    </row>
    <row r="174" spans="1:25" x14ac:dyDescent="0.3">
      <c r="A174" s="216">
        <f t="shared" si="28"/>
        <v>172</v>
      </c>
      <c r="B174" s="217" t="str">
        <f t="shared" si="37"/>
        <v>x</v>
      </c>
      <c r="C174" s="217" t="str">
        <f t="shared" si="37"/>
        <v/>
      </c>
      <c r="D174" s="217" t="str">
        <f t="shared" si="37"/>
        <v/>
      </c>
      <c r="E174" s="217" t="str">
        <f t="shared" si="37"/>
        <v/>
      </c>
      <c r="F174" s="217" t="str">
        <f t="shared" si="37"/>
        <v/>
      </c>
      <c r="G174" s="217" t="str">
        <f t="shared" si="37"/>
        <v/>
      </c>
      <c r="H174" s="217" t="str">
        <f t="shared" si="37"/>
        <v/>
      </c>
      <c r="I174" s="217" t="str">
        <f t="shared" si="37"/>
        <v/>
      </c>
      <c r="J174" s="217" t="str">
        <f t="shared" si="37"/>
        <v/>
      </c>
      <c r="K174" s="217" t="str">
        <f t="shared" si="37"/>
        <v/>
      </c>
      <c r="L174" s="217" t="str">
        <f t="shared" si="38"/>
        <v>info</v>
      </c>
      <c r="M174" s="217" t="str">
        <f t="shared" si="38"/>
        <v>x</v>
      </c>
      <c r="N174" s="217" t="str">
        <f t="shared" si="38"/>
        <v/>
      </c>
      <c r="O174" s="217" t="str">
        <f t="shared" si="38"/>
        <v>model</v>
      </c>
      <c r="P174" s="218" t="str">
        <f t="shared" si="38"/>
        <v>String</v>
      </c>
      <c r="Q174" s="218" t="str">
        <f t="shared" si="38"/>
        <v>x</v>
      </c>
      <c r="R174" s="218" t="str">
        <f t="shared" si="38"/>
        <v>BS</v>
      </c>
      <c r="S174" s="218" t="str">
        <f t="shared" si="38"/>
        <v>all</v>
      </c>
      <c r="T174" s="217" t="str">
        <f t="shared" si="38"/>
        <v>Typ 1</v>
      </c>
      <c r="U174" s="217" t="str">
        <f t="shared" si="38"/>
        <v>Schwellentyp</v>
      </c>
      <c r="V174" s="217" t="str">
        <f t="shared" si="38"/>
        <v>x</v>
      </c>
      <c r="W174" s="217" t="str">
        <f t="shared" si="38"/>
        <v/>
      </c>
      <c r="X174" s="217" t="str">
        <f t="shared" si="38"/>
        <v/>
      </c>
      <c r="Y174" s="217" t="str">
        <f t="shared" si="38"/>
        <v>SIASymbolType</v>
      </c>
    </row>
    <row r="175" spans="1:25" x14ac:dyDescent="0.3">
      <c r="A175" s="216">
        <f t="shared" si="28"/>
        <v>173</v>
      </c>
      <c r="B175" s="217" t="str">
        <f t="shared" si="37"/>
        <v>x</v>
      </c>
      <c r="C175" s="217" t="str">
        <f t="shared" si="37"/>
        <v>x</v>
      </c>
      <c r="D175" s="217" t="str">
        <f t="shared" si="37"/>
        <v/>
      </c>
      <c r="E175" s="217" t="str">
        <f t="shared" si="37"/>
        <v/>
      </c>
      <c r="F175" s="217" t="str">
        <f t="shared" si="37"/>
        <v/>
      </c>
      <c r="G175" s="217" t="str">
        <f t="shared" si="37"/>
        <v/>
      </c>
      <c r="H175" s="217" t="str">
        <f t="shared" si="37"/>
        <v/>
      </c>
      <c r="I175" s="217" t="str">
        <f t="shared" si="37"/>
        <v/>
      </c>
      <c r="J175" s="217" t="str">
        <f t="shared" si="37"/>
        <v/>
      </c>
      <c r="K175" s="217" t="str">
        <f t="shared" si="37"/>
        <v/>
      </c>
      <c r="L175" s="217" t="str">
        <f t="shared" si="38"/>
        <v>info</v>
      </c>
      <c r="M175" s="217" t="str">
        <f t="shared" si="38"/>
        <v>x</v>
      </c>
      <c r="N175" s="217" t="str">
        <f t="shared" si="38"/>
        <v/>
      </c>
      <c r="O175" s="217" t="str">
        <f t="shared" si="38"/>
        <v>model</v>
      </c>
      <c r="P175" s="218" t="str">
        <f t="shared" si="38"/>
        <v>Integer</v>
      </c>
      <c r="Q175" s="218" t="str">
        <f t="shared" si="38"/>
        <v>x</v>
      </c>
      <c r="R175" s="218" t="str">
        <f t="shared" si="38"/>
        <v>BS</v>
      </c>
      <c r="S175" s="218" t="str">
        <f t="shared" si="38"/>
        <v>all</v>
      </c>
      <c r="T175" s="217">
        <f t="shared" si="38"/>
        <v>1</v>
      </c>
      <c r="U175" s="217" t="str">
        <f t="shared" si="38"/>
        <v>Schwellentyp</v>
      </c>
      <c r="V175" s="217" t="str">
        <f t="shared" si="38"/>
        <v>x</v>
      </c>
      <c r="W175" s="217" t="str">
        <f t="shared" si="38"/>
        <v/>
      </c>
      <c r="X175" s="217" t="str">
        <f t="shared" si="38"/>
        <v/>
      </c>
      <c r="Y175" s="217" t="str">
        <f t="shared" si="38"/>
        <v>iSIASymbolType</v>
      </c>
    </row>
    <row r="176" spans="1:25" x14ac:dyDescent="0.3">
      <c r="A176" s="216">
        <f t="shared" si="28"/>
        <v>174</v>
      </c>
      <c r="B176" s="217" t="str">
        <f t="shared" si="37"/>
        <v>x</v>
      </c>
      <c r="C176" s="217" t="str">
        <f t="shared" si="37"/>
        <v/>
      </c>
      <c r="D176" s="217" t="str">
        <f t="shared" si="37"/>
        <v/>
      </c>
      <c r="E176" s="217" t="str">
        <f t="shared" si="37"/>
        <v/>
      </c>
      <c r="F176" s="217" t="str">
        <f t="shared" si="37"/>
        <v/>
      </c>
      <c r="G176" s="217" t="str">
        <f t="shared" si="37"/>
        <v/>
      </c>
      <c r="H176" s="217" t="str">
        <f t="shared" si="37"/>
        <v/>
      </c>
      <c r="I176" s="217" t="str">
        <f t="shared" si="37"/>
        <v/>
      </c>
      <c r="J176" s="217" t="str">
        <f t="shared" si="37"/>
        <v/>
      </c>
      <c r="K176" s="217" t="str">
        <f t="shared" si="37"/>
        <v/>
      </c>
      <c r="L176" s="217" t="str">
        <f t="shared" si="38"/>
        <v>info</v>
      </c>
      <c r="M176" s="217" t="str">
        <f t="shared" si="38"/>
        <v>x</v>
      </c>
      <c r="N176" s="217" t="str">
        <f t="shared" si="38"/>
        <v/>
      </c>
      <c r="O176" s="217" t="str">
        <f t="shared" si="38"/>
        <v>model</v>
      </c>
      <c r="P176" s="218" t="str">
        <f t="shared" si="38"/>
        <v>String</v>
      </c>
      <c r="Q176" s="218" t="str">
        <f t="shared" si="38"/>
        <v>x</v>
      </c>
      <c r="R176" s="218" t="str">
        <f t="shared" si="38"/>
        <v>BS</v>
      </c>
      <c r="S176" s="218" t="str">
        <f t="shared" si="38"/>
        <v>all</v>
      </c>
      <c r="T176" s="217" t="str">
        <f t="shared" si="38"/>
        <v>Rechts</v>
      </c>
      <c r="U176" s="217" t="str">
        <f t="shared" si="38"/>
        <v>Position Schwellensymbol</v>
      </c>
      <c r="V176" s="217" t="str">
        <f t="shared" si="38"/>
        <v>x</v>
      </c>
      <c r="W176" s="217" t="str">
        <f t="shared" si="38"/>
        <v/>
      </c>
      <c r="X176" s="217" t="str">
        <f t="shared" si="38"/>
        <v/>
      </c>
      <c r="Y176" s="217" t="str">
        <f t="shared" si="38"/>
        <v>SIASymbolSide</v>
      </c>
    </row>
    <row r="177" spans="1:25" x14ac:dyDescent="0.3">
      <c r="A177" s="216">
        <f t="shared" si="28"/>
        <v>175</v>
      </c>
      <c r="B177" s="217" t="str">
        <f t="shared" si="37"/>
        <v>x</v>
      </c>
      <c r="C177" s="217" t="str">
        <f t="shared" si="37"/>
        <v>x</v>
      </c>
      <c r="D177" s="217" t="str">
        <f t="shared" si="37"/>
        <v/>
      </c>
      <c r="E177" s="217" t="str">
        <f t="shared" si="37"/>
        <v/>
      </c>
      <c r="F177" s="217" t="str">
        <f t="shared" si="37"/>
        <v/>
      </c>
      <c r="G177" s="217" t="str">
        <f t="shared" si="37"/>
        <v/>
      </c>
      <c r="H177" s="217" t="str">
        <f t="shared" si="37"/>
        <v/>
      </c>
      <c r="I177" s="217" t="str">
        <f t="shared" si="37"/>
        <v/>
      </c>
      <c r="J177" s="217" t="str">
        <f t="shared" si="37"/>
        <v/>
      </c>
      <c r="K177" s="217" t="str">
        <f t="shared" si="37"/>
        <v/>
      </c>
      <c r="L177" s="217" t="str">
        <f t="shared" si="38"/>
        <v>info</v>
      </c>
      <c r="M177" s="217" t="str">
        <f t="shared" si="38"/>
        <v>x</v>
      </c>
      <c r="N177" s="217" t="str">
        <f t="shared" si="38"/>
        <v/>
      </c>
      <c r="O177" s="217" t="str">
        <f t="shared" si="38"/>
        <v>model</v>
      </c>
      <c r="P177" s="218" t="str">
        <f t="shared" si="38"/>
        <v>Integer</v>
      </c>
      <c r="Q177" s="218" t="str">
        <f t="shared" si="38"/>
        <v>x</v>
      </c>
      <c r="R177" s="218" t="str">
        <f t="shared" si="38"/>
        <v>BS</v>
      </c>
      <c r="S177" s="218" t="str">
        <f t="shared" si="38"/>
        <v>all</v>
      </c>
      <c r="T177" s="217">
        <f t="shared" si="38"/>
        <v>1</v>
      </c>
      <c r="U177" s="217" t="str">
        <f t="shared" si="38"/>
        <v>Position Schwellensymbol</v>
      </c>
      <c r="V177" s="217" t="str">
        <f t="shared" si="38"/>
        <v>x</v>
      </c>
      <c r="W177" s="217" t="str">
        <f t="shared" si="38"/>
        <v/>
      </c>
      <c r="X177" s="217" t="str">
        <f t="shared" si="38"/>
        <v/>
      </c>
      <c r="Y177" s="217" t="str">
        <f t="shared" si="38"/>
        <v>iSIASymbolSide</v>
      </c>
    </row>
    <row r="178" spans="1:25" x14ac:dyDescent="0.3">
      <c r="A178" s="216">
        <f t="shared" si="28"/>
        <v>176</v>
      </c>
      <c r="B178" s="217" t="str">
        <f t="shared" si="37"/>
        <v>x</v>
      </c>
      <c r="C178" s="217" t="str">
        <f t="shared" si="37"/>
        <v/>
      </c>
      <c r="D178" s="217" t="str">
        <f t="shared" si="37"/>
        <v/>
      </c>
      <c r="E178" s="217" t="str">
        <f t="shared" si="37"/>
        <v/>
      </c>
      <c r="F178" s="217" t="str">
        <f t="shared" si="37"/>
        <v/>
      </c>
      <c r="G178" s="217" t="str">
        <f t="shared" si="37"/>
        <v/>
      </c>
      <c r="H178" s="217" t="str">
        <f t="shared" si="37"/>
        <v/>
      </c>
      <c r="I178" s="217" t="str">
        <f t="shared" si="37"/>
        <v/>
      </c>
      <c r="J178" s="217" t="str">
        <f t="shared" si="37"/>
        <v/>
      </c>
      <c r="K178" s="217" t="str">
        <f t="shared" si="37"/>
        <v/>
      </c>
      <c r="L178" s="217" t="str">
        <f t="shared" si="38"/>
        <v>info</v>
      </c>
      <c r="M178" s="217" t="str">
        <f t="shared" si="38"/>
        <v>x</v>
      </c>
      <c r="N178" s="217" t="str">
        <f t="shared" si="38"/>
        <v/>
      </c>
      <c r="O178" s="217" t="str">
        <f t="shared" si="38"/>
        <v>model</v>
      </c>
      <c r="P178" s="218" t="str">
        <f t="shared" si="38"/>
        <v>PenColor</v>
      </c>
      <c r="Q178" s="218" t="str">
        <f t="shared" si="38"/>
        <v>x</v>
      </c>
      <c r="R178" s="218" t="str">
        <f t="shared" si="38"/>
        <v>BS</v>
      </c>
      <c r="S178" s="218" t="str">
        <f t="shared" si="38"/>
        <v>all</v>
      </c>
      <c r="T178" s="217">
        <f t="shared" si="38"/>
        <v>1</v>
      </c>
      <c r="U178" s="217" t="str">
        <f t="shared" si="38"/>
        <v>Stift Text</v>
      </c>
      <c r="V178" s="217" t="str">
        <f t="shared" si="38"/>
        <v>x</v>
      </c>
      <c r="W178" s="217" t="str">
        <f t="shared" si="38"/>
        <v/>
      </c>
      <c r="X178" s="217" t="str">
        <f t="shared" si="38"/>
        <v/>
      </c>
      <c r="Y178" s="217" t="str">
        <f t="shared" si="38"/>
        <v>penSIASymbolText</v>
      </c>
    </row>
    <row r="179" spans="1:25" x14ac:dyDescent="0.3">
      <c r="A179" s="216">
        <f t="shared" si="28"/>
        <v>177</v>
      </c>
      <c r="B179" s="217" t="str">
        <f t="shared" si="37"/>
        <v>x</v>
      </c>
      <c r="C179" s="217" t="str">
        <f t="shared" si="37"/>
        <v/>
      </c>
      <c r="D179" s="217" t="str">
        <f t="shared" si="37"/>
        <v/>
      </c>
      <c r="E179" s="217" t="str">
        <f t="shared" si="37"/>
        <v/>
      </c>
      <c r="F179" s="217" t="str">
        <f t="shared" si="37"/>
        <v/>
      </c>
      <c r="G179" s="217" t="str">
        <f t="shared" si="37"/>
        <v/>
      </c>
      <c r="H179" s="217" t="str">
        <f t="shared" si="37"/>
        <v/>
      </c>
      <c r="I179" s="217" t="str">
        <f t="shared" si="37"/>
        <v/>
      </c>
      <c r="J179" s="217" t="str">
        <f t="shared" si="37"/>
        <v/>
      </c>
      <c r="K179" s="217" t="str">
        <f t="shared" si="37"/>
        <v/>
      </c>
      <c r="L179" s="217" t="str">
        <f t="shared" si="38"/>
        <v>info</v>
      </c>
      <c r="M179" s="217" t="str">
        <f t="shared" si="38"/>
        <v>x</v>
      </c>
      <c r="N179" s="217" t="str">
        <f t="shared" si="38"/>
        <v/>
      </c>
      <c r="O179" s="217" t="str">
        <f t="shared" si="38"/>
        <v>model</v>
      </c>
      <c r="P179" s="218" t="str">
        <f t="shared" si="38"/>
        <v>PenColor</v>
      </c>
      <c r="Q179" s="218" t="str">
        <f t="shared" si="38"/>
        <v>x</v>
      </c>
      <c r="R179" s="218" t="str">
        <f t="shared" si="38"/>
        <v>BS</v>
      </c>
      <c r="S179" s="218" t="str">
        <f t="shared" si="38"/>
        <v>all</v>
      </c>
      <c r="T179" s="217">
        <f t="shared" si="38"/>
        <v>1</v>
      </c>
      <c r="U179" s="217" t="str">
        <f t="shared" si="38"/>
        <v>Symbol-Stift</v>
      </c>
      <c r="V179" s="217" t="str">
        <f t="shared" si="38"/>
        <v>x</v>
      </c>
      <c r="W179" s="217" t="str">
        <f t="shared" si="38"/>
        <v/>
      </c>
      <c r="X179" s="217" t="str">
        <f t="shared" si="38"/>
        <v/>
      </c>
      <c r="Y179" s="217" t="str">
        <f t="shared" si="38"/>
        <v>penSIASymbolLine</v>
      </c>
    </row>
    <row r="180" spans="1:25" x14ac:dyDescent="0.3">
      <c r="A180" s="216">
        <f t="shared" si="28"/>
        <v>178</v>
      </c>
      <c r="B180" s="217" t="str">
        <f t="shared" si="37"/>
        <v>x</v>
      </c>
      <c r="C180" s="217" t="str">
        <f t="shared" si="37"/>
        <v/>
      </c>
      <c r="D180" s="217" t="str">
        <f t="shared" si="37"/>
        <v/>
      </c>
      <c r="E180" s="217" t="str">
        <f t="shared" si="37"/>
        <v/>
      </c>
      <c r="F180" s="217" t="str">
        <f t="shared" si="37"/>
        <v/>
      </c>
      <c r="G180" s="217" t="str">
        <f t="shared" si="37"/>
        <v/>
      </c>
      <c r="H180" s="217" t="str">
        <f t="shared" si="37"/>
        <v/>
      </c>
      <c r="I180" s="217" t="str">
        <f t="shared" si="37"/>
        <v/>
      </c>
      <c r="J180" s="217" t="str">
        <f t="shared" si="37"/>
        <v/>
      </c>
      <c r="K180" s="217" t="str">
        <f t="shared" si="37"/>
        <v/>
      </c>
      <c r="L180" s="217" t="str">
        <f t="shared" si="38"/>
        <v>info</v>
      </c>
      <c r="M180" s="217" t="str">
        <f t="shared" si="38"/>
        <v>x</v>
      </c>
      <c r="N180" s="217" t="str">
        <f t="shared" si="38"/>
        <v/>
      </c>
      <c r="O180" s="217" t="str">
        <f t="shared" si="38"/>
        <v>model</v>
      </c>
      <c r="P180" s="218" t="str">
        <f t="shared" si="38"/>
        <v>String</v>
      </c>
      <c r="Q180" s="218" t="str">
        <f t="shared" si="38"/>
        <v>x</v>
      </c>
      <c r="R180" s="218" t="str">
        <f t="shared" si="38"/>
        <v>BS</v>
      </c>
      <c r="S180" s="218" t="str">
        <f t="shared" si="38"/>
        <v>all</v>
      </c>
      <c r="T180" s="217" t="str">
        <f t="shared" si="38"/>
        <v>Arial</v>
      </c>
      <c r="U180" s="217" t="str">
        <f t="shared" si="38"/>
        <v>Marker-Text</v>
      </c>
      <c r="V180" s="217" t="str">
        <f t="shared" si="38"/>
        <v>x</v>
      </c>
      <c r="W180" s="217" t="str">
        <f t="shared" si="38"/>
        <v/>
      </c>
      <c r="X180" s="217" t="str">
        <f t="shared" si="38"/>
        <v/>
      </c>
      <c r="Y180" s="217" t="str">
        <f t="shared" si="38"/>
        <v>SIASymbolFontStyle</v>
      </c>
    </row>
    <row r="181" spans="1:25" x14ac:dyDescent="0.3">
      <c r="A181" s="216">
        <f t="shared" si="28"/>
        <v>179</v>
      </c>
      <c r="B181" s="217" t="str">
        <f t="shared" si="37"/>
        <v>x</v>
      </c>
      <c r="C181" s="217" t="str">
        <f t="shared" si="37"/>
        <v/>
      </c>
      <c r="D181" s="217" t="str">
        <f t="shared" si="37"/>
        <v/>
      </c>
      <c r="E181" s="217" t="str">
        <f t="shared" si="37"/>
        <v/>
      </c>
      <c r="F181" s="217" t="str">
        <f t="shared" si="37"/>
        <v/>
      </c>
      <c r="G181" s="217" t="str">
        <f t="shared" si="37"/>
        <v/>
      </c>
      <c r="H181" s="217" t="str">
        <f t="shared" si="37"/>
        <v/>
      </c>
      <c r="I181" s="217" t="str">
        <f t="shared" si="37"/>
        <v/>
      </c>
      <c r="J181" s="217" t="str">
        <f t="shared" si="37"/>
        <v/>
      </c>
      <c r="K181" s="217" t="str">
        <f t="shared" si="37"/>
        <v/>
      </c>
      <c r="L181" s="217" t="str">
        <f t="shared" si="38"/>
        <v>info</v>
      </c>
      <c r="M181" s="217" t="str">
        <f t="shared" si="38"/>
        <v>x</v>
      </c>
      <c r="N181" s="217" t="str">
        <f t="shared" si="38"/>
        <v/>
      </c>
      <c r="O181" s="217" t="str">
        <f t="shared" si="38"/>
        <v>model</v>
      </c>
      <c r="P181" s="218" t="str">
        <f t="shared" si="38"/>
        <v>RealNum</v>
      </c>
      <c r="Q181" s="218" t="str">
        <f t="shared" si="38"/>
        <v>x</v>
      </c>
      <c r="R181" s="218" t="str">
        <f t="shared" si="38"/>
        <v>BS</v>
      </c>
      <c r="S181" s="218" t="str">
        <f t="shared" si="38"/>
        <v>all</v>
      </c>
      <c r="T181" s="217">
        <f t="shared" si="38"/>
        <v>1</v>
      </c>
      <c r="U181" s="217" t="str">
        <f t="shared" si="38"/>
        <v>Schriftgröße</v>
      </c>
      <c r="V181" s="217" t="str">
        <f t="shared" si="38"/>
        <v>x</v>
      </c>
      <c r="W181" s="217" t="str">
        <f t="shared" si="38"/>
        <v/>
      </c>
      <c r="X181" s="217" t="str">
        <f t="shared" si="38"/>
        <v/>
      </c>
      <c r="Y181" s="217" t="str">
        <f t="shared" si="38"/>
        <v>SIASymbolFontSize</v>
      </c>
    </row>
    <row r="182" spans="1:25" x14ac:dyDescent="0.3">
      <c r="A182" s="216">
        <f t="shared" si="28"/>
        <v>180</v>
      </c>
      <c r="B182" s="217" t="str">
        <f t="shared" si="37"/>
        <v>x</v>
      </c>
      <c r="C182" s="217" t="str">
        <f t="shared" si="37"/>
        <v/>
      </c>
      <c r="D182" s="217" t="str">
        <f t="shared" si="37"/>
        <v/>
      </c>
      <c r="E182" s="217" t="str">
        <f t="shared" si="37"/>
        <v/>
      </c>
      <c r="F182" s="217" t="str">
        <f t="shared" si="37"/>
        <v/>
      </c>
      <c r="G182" s="217" t="str">
        <f t="shared" si="37"/>
        <v/>
      </c>
      <c r="H182" s="217" t="str">
        <f t="shared" si="37"/>
        <v/>
      </c>
      <c r="I182" s="217" t="str">
        <f t="shared" si="37"/>
        <v/>
      </c>
      <c r="J182" s="217" t="str">
        <f t="shared" si="37"/>
        <v/>
      </c>
      <c r="K182" s="217" t="str">
        <f t="shared" si="37"/>
        <v/>
      </c>
      <c r="L182" s="217" t="str">
        <f t="shared" si="38"/>
        <v>info</v>
      </c>
      <c r="M182" s="217" t="str">
        <f t="shared" si="38"/>
        <v/>
      </c>
      <c r="N182" s="217" t="str">
        <f t="shared" si="38"/>
        <v/>
      </c>
      <c r="O182" s="217" t="str">
        <f t="shared" si="38"/>
        <v>model</v>
      </c>
      <c r="P182" s="218" t="str">
        <f t="shared" si="38"/>
        <v>Boolean</v>
      </c>
      <c r="Q182" s="218" t="str">
        <f t="shared" si="38"/>
        <v>x</v>
      </c>
      <c r="R182" s="218" t="str">
        <f t="shared" si="38"/>
        <v>BS</v>
      </c>
      <c r="S182" s="218" t="str">
        <f t="shared" si="38"/>
        <v>all</v>
      </c>
      <c r="T182" s="217" t="str">
        <f t="shared" si="38"/>
        <v/>
      </c>
      <c r="U182" s="217" t="str">
        <f t="shared" si="38"/>
        <v>Außenverkleidung</v>
      </c>
      <c r="V182" s="217" t="str">
        <f t="shared" si="38"/>
        <v/>
      </c>
      <c r="W182" s="217" t="str">
        <f t="shared" si="38"/>
        <v/>
      </c>
      <c r="X182" s="217" t="str">
        <f t="shared" si="38"/>
        <v/>
      </c>
      <c r="Y182" s="217" t="str">
        <f t="shared" si="38"/>
        <v>gs_trim_outside</v>
      </c>
    </row>
    <row r="183" spans="1:25" x14ac:dyDescent="0.3">
      <c r="A183" s="216">
        <f t="shared" si="28"/>
        <v>181</v>
      </c>
      <c r="B183" s="217" t="str">
        <f t="shared" ref="B183:K192" si="39">IF(ISNONTEXT(B$2),IF(B$2="","",IF(INDEX(IMPORT,$A183,B$2)=0,"",IFERROR(VLOOKUP(INDEX(IMPORT,$A183,B$2),ImportTranslation,2,0),INDEX(IMPORT,$A183,B$2)))),B$2)</f>
        <v>x</v>
      </c>
      <c r="C183" s="217" t="str">
        <f t="shared" si="39"/>
        <v>x</v>
      </c>
      <c r="D183" s="217" t="str">
        <f t="shared" si="39"/>
        <v/>
      </c>
      <c r="E183" s="217" t="str">
        <f t="shared" si="39"/>
        <v/>
      </c>
      <c r="F183" s="217" t="str">
        <f t="shared" si="39"/>
        <v/>
      </c>
      <c r="G183" s="217" t="str">
        <f t="shared" si="39"/>
        <v/>
      </c>
      <c r="H183" s="217" t="str">
        <f t="shared" si="39"/>
        <v/>
      </c>
      <c r="I183" s="217" t="str">
        <f t="shared" si="39"/>
        <v/>
      </c>
      <c r="J183" s="217" t="str">
        <f t="shared" si="39"/>
        <v/>
      </c>
      <c r="K183" s="217" t="str">
        <f t="shared" si="39"/>
        <v/>
      </c>
      <c r="L183" s="217" t="str">
        <f t="shared" ref="L183:Y192" si="40">IF(ISNONTEXT(L$2),IF(L$2="","",IF(INDEX(IMPORT,$A183,L$2)=0,"",IFERROR(VLOOKUP(INDEX(IMPORT,$A183,L$2),ImportTranslation,2,0),INDEX(IMPORT,$A183,L$2)))),L$2)</f>
        <v>info</v>
      </c>
      <c r="M183" s="217" t="str">
        <f t="shared" si="40"/>
        <v>x</v>
      </c>
      <c r="N183" s="217" t="str">
        <f t="shared" si="40"/>
        <v/>
      </c>
      <c r="O183" s="217" t="str">
        <f t="shared" si="40"/>
        <v>model</v>
      </c>
      <c r="P183" s="218" t="str">
        <f t="shared" si="40"/>
        <v>String</v>
      </c>
      <c r="Q183" s="218" t="str">
        <f t="shared" si="40"/>
        <v>x</v>
      </c>
      <c r="R183" s="218" t="str">
        <f t="shared" si="40"/>
        <v>BS</v>
      </c>
      <c r="S183" s="218" t="str">
        <f t="shared" si="40"/>
        <v>all</v>
      </c>
      <c r="T183" s="217" t="str">
        <f t="shared" si="40"/>
        <v>Rechteckig</v>
      </c>
      <c r="U183" s="217" t="str">
        <f t="shared" si="40"/>
        <v>Türfutter außen</v>
      </c>
      <c r="V183" s="217" t="str">
        <f t="shared" si="40"/>
        <v>x</v>
      </c>
      <c r="W183" s="217" t="str">
        <f t="shared" si="40"/>
        <v/>
      </c>
      <c r="X183" s="217" t="str">
        <f t="shared" si="40"/>
        <v/>
      </c>
      <c r="Y183" s="217" t="str">
        <f t="shared" si="40"/>
        <v>gs_trimtype_out</v>
      </c>
    </row>
    <row r="184" spans="1:25" x14ac:dyDescent="0.3">
      <c r="A184" s="216">
        <f t="shared" si="28"/>
        <v>182</v>
      </c>
      <c r="B184" s="217" t="str">
        <f t="shared" si="39"/>
        <v>x</v>
      </c>
      <c r="C184" s="217" t="str">
        <f t="shared" si="39"/>
        <v>x</v>
      </c>
      <c r="D184" s="217" t="str">
        <f t="shared" si="39"/>
        <v/>
      </c>
      <c r="E184" s="217" t="str">
        <f t="shared" si="39"/>
        <v/>
      </c>
      <c r="F184" s="217" t="str">
        <f t="shared" si="39"/>
        <v/>
      </c>
      <c r="G184" s="217" t="str">
        <f t="shared" si="39"/>
        <v/>
      </c>
      <c r="H184" s="217" t="str">
        <f t="shared" si="39"/>
        <v/>
      </c>
      <c r="I184" s="217" t="str">
        <f t="shared" si="39"/>
        <v/>
      </c>
      <c r="J184" s="217" t="str">
        <f t="shared" si="39"/>
        <v/>
      </c>
      <c r="K184" s="217" t="str">
        <f t="shared" si="39"/>
        <v/>
      </c>
      <c r="L184" s="217" t="str">
        <f t="shared" si="40"/>
        <v>info</v>
      </c>
      <c r="M184" s="217" t="str">
        <f t="shared" si="40"/>
        <v>x</v>
      </c>
      <c r="N184" s="217" t="str">
        <f t="shared" si="40"/>
        <v/>
      </c>
      <c r="O184" s="217" t="str">
        <f t="shared" si="40"/>
        <v>model</v>
      </c>
      <c r="P184" s="218" t="str">
        <f t="shared" si="40"/>
        <v>Integer</v>
      </c>
      <c r="Q184" s="218" t="str">
        <f t="shared" si="40"/>
        <v>x</v>
      </c>
      <c r="R184" s="218" t="str">
        <f t="shared" si="40"/>
        <v>BS</v>
      </c>
      <c r="S184" s="218" t="str">
        <f t="shared" si="40"/>
        <v>all</v>
      </c>
      <c r="T184" s="217">
        <f t="shared" si="40"/>
        <v>1</v>
      </c>
      <c r="U184" s="217" t="str">
        <f t="shared" si="40"/>
        <v>Türfutter außen</v>
      </c>
      <c r="V184" s="217" t="str">
        <f t="shared" si="40"/>
        <v>x</v>
      </c>
      <c r="W184" s="217" t="str">
        <f t="shared" si="40"/>
        <v/>
      </c>
      <c r="X184" s="217" t="str">
        <f t="shared" si="40"/>
        <v/>
      </c>
      <c r="Y184" s="217" t="str">
        <f t="shared" si="40"/>
        <v>gs_trimtype_out_int</v>
      </c>
    </row>
    <row r="185" spans="1:25" x14ac:dyDescent="0.3">
      <c r="A185" s="216">
        <f t="shared" si="28"/>
        <v>183</v>
      </c>
      <c r="B185" s="217" t="str">
        <f t="shared" si="39"/>
        <v>x</v>
      </c>
      <c r="C185" s="217" t="str">
        <f t="shared" si="39"/>
        <v/>
      </c>
      <c r="D185" s="217" t="str">
        <f t="shared" si="39"/>
        <v/>
      </c>
      <c r="E185" s="217" t="str">
        <f t="shared" si="39"/>
        <v/>
      </c>
      <c r="F185" s="217" t="str">
        <f t="shared" si="39"/>
        <v/>
      </c>
      <c r="G185" s="217" t="str">
        <f t="shared" si="39"/>
        <v/>
      </c>
      <c r="H185" s="217" t="str">
        <f t="shared" si="39"/>
        <v/>
      </c>
      <c r="I185" s="217" t="str">
        <f t="shared" si="39"/>
        <v/>
      </c>
      <c r="J185" s="217" t="str">
        <f t="shared" si="39"/>
        <v/>
      </c>
      <c r="K185" s="217" t="str">
        <f t="shared" si="39"/>
        <v/>
      </c>
      <c r="L185" s="217" t="str">
        <f t="shared" si="40"/>
        <v>info</v>
      </c>
      <c r="M185" s="217" t="str">
        <f t="shared" si="40"/>
        <v>x</v>
      </c>
      <c r="N185" s="217" t="str">
        <f t="shared" si="40"/>
        <v/>
      </c>
      <c r="O185" s="217" t="str">
        <f t="shared" si="40"/>
        <v>model</v>
      </c>
      <c r="P185" s="218" t="str">
        <f t="shared" si="40"/>
        <v>Integer</v>
      </c>
      <c r="Q185" s="218" t="str">
        <f t="shared" si="40"/>
        <v>x</v>
      </c>
      <c r="R185" s="218" t="str">
        <f t="shared" si="40"/>
        <v>BS</v>
      </c>
      <c r="S185" s="218" t="str">
        <f t="shared" si="40"/>
        <v>all</v>
      </c>
      <c r="T185" s="217">
        <f t="shared" si="40"/>
        <v>1</v>
      </c>
      <c r="U185" s="217" t="str">
        <f t="shared" si="40"/>
        <v>Gehäuse Kopftyp</v>
      </c>
      <c r="V185" s="217" t="str">
        <f t="shared" si="40"/>
        <v>x</v>
      </c>
      <c r="W185" s="217" t="str">
        <f t="shared" si="40"/>
        <v/>
      </c>
      <c r="X185" s="217" t="str">
        <f t="shared" si="40"/>
        <v/>
      </c>
      <c r="Y185" s="217" t="str">
        <f t="shared" si="40"/>
        <v>iCasingHeadTypeOut</v>
      </c>
    </row>
    <row r="186" spans="1:25" x14ac:dyDescent="0.3">
      <c r="A186" s="216">
        <f t="shared" si="28"/>
        <v>184</v>
      </c>
      <c r="B186" s="217" t="str">
        <f t="shared" si="39"/>
        <v>x</v>
      </c>
      <c r="C186" s="217" t="str">
        <f t="shared" si="39"/>
        <v/>
      </c>
      <c r="D186" s="217" t="str">
        <f t="shared" si="39"/>
        <v/>
      </c>
      <c r="E186" s="217" t="str">
        <f t="shared" si="39"/>
        <v/>
      </c>
      <c r="F186" s="217" t="str">
        <f t="shared" si="39"/>
        <v/>
      </c>
      <c r="G186" s="217" t="str">
        <f t="shared" si="39"/>
        <v/>
      </c>
      <c r="H186" s="217" t="str">
        <f t="shared" si="39"/>
        <v/>
      </c>
      <c r="I186" s="217" t="str">
        <f t="shared" si="39"/>
        <v/>
      </c>
      <c r="J186" s="217" t="str">
        <f t="shared" si="39"/>
        <v/>
      </c>
      <c r="K186" s="217" t="str">
        <f t="shared" si="39"/>
        <v/>
      </c>
      <c r="L186" s="217" t="str">
        <f t="shared" si="40"/>
        <v>info</v>
      </c>
      <c r="M186" s="217" t="str">
        <f t="shared" si="40"/>
        <v>x</v>
      </c>
      <c r="N186" s="217" t="str">
        <f t="shared" si="40"/>
        <v/>
      </c>
      <c r="O186" s="217" t="str">
        <f t="shared" si="40"/>
        <v>model</v>
      </c>
      <c r="P186" s="218" t="str">
        <f t="shared" si="40"/>
        <v>Boolean</v>
      </c>
      <c r="Q186" s="218" t="str">
        <f t="shared" si="40"/>
        <v>x</v>
      </c>
      <c r="R186" s="218" t="str">
        <f t="shared" si="40"/>
        <v>BS</v>
      </c>
      <c r="S186" s="218" t="str">
        <f t="shared" si="40"/>
        <v>all</v>
      </c>
      <c r="T186" s="217">
        <f t="shared" si="40"/>
        <v>1</v>
      </c>
      <c r="U186" s="217" t="str">
        <f t="shared" si="40"/>
        <v>Querbalken oben</v>
      </c>
      <c r="V186" s="217" t="str">
        <f t="shared" si="40"/>
        <v>x</v>
      </c>
      <c r="W186" s="217" t="str">
        <f t="shared" si="40"/>
        <v/>
      </c>
      <c r="X186" s="217" t="str">
        <f t="shared" si="40"/>
        <v/>
      </c>
      <c r="Y186" s="217" t="str">
        <f t="shared" si="40"/>
        <v>bArchitraveCapital</v>
      </c>
    </row>
    <row r="187" spans="1:25" x14ac:dyDescent="0.3">
      <c r="A187" s="216">
        <f t="shared" si="28"/>
        <v>185</v>
      </c>
      <c r="B187" s="217" t="str">
        <f t="shared" si="39"/>
        <v>x</v>
      </c>
      <c r="C187" s="217" t="str">
        <f t="shared" si="39"/>
        <v/>
      </c>
      <c r="D187" s="217" t="str">
        <f t="shared" si="39"/>
        <v/>
      </c>
      <c r="E187" s="217" t="str">
        <f t="shared" si="39"/>
        <v/>
      </c>
      <c r="F187" s="217" t="str">
        <f t="shared" si="39"/>
        <v/>
      </c>
      <c r="G187" s="217" t="str">
        <f t="shared" si="39"/>
        <v/>
      </c>
      <c r="H187" s="217" t="str">
        <f t="shared" si="39"/>
        <v/>
      </c>
      <c r="I187" s="217" t="str">
        <f t="shared" si="39"/>
        <v/>
      </c>
      <c r="J187" s="217" t="str">
        <f t="shared" si="39"/>
        <v/>
      </c>
      <c r="K187" s="217" t="str">
        <f t="shared" si="39"/>
        <v/>
      </c>
      <c r="L187" s="217" t="str">
        <f t="shared" si="40"/>
        <v>info</v>
      </c>
      <c r="M187" s="217" t="str">
        <f t="shared" si="40"/>
        <v>x</v>
      </c>
      <c r="N187" s="217" t="str">
        <f t="shared" si="40"/>
        <v/>
      </c>
      <c r="O187" s="217" t="str">
        <f t="shared" si="40"/>
        <v>model</v>
      </c>
      <c r="P187" s="218" t="str">
        <f t="shared" si="40"/>
        <v>Integer</v>
      </c>
      <c r="Q187" s="218" t="str">
        <f t="shared" si="40"/>
        <v>x</v>
      </c>
      <c r="R187" s="218" t="str">
        <f t="shared" si="40"/>
        <v>BS</v>
      </c>
      <c r="S187" s="218" t="str">
        <f t="shared" si="40"/>
        <v>all</v>
      </c>
      <c r="T187" s="217">
        <f t="shared" si="40"/>
        <v>1</v>
      </c>
      <c r="U187" s="217" t="str">
        <f t="shared" si="40"/>
        <v>Querbalken Typ oben</v>
      </c>
      <c r="V187" s="217" t="str">
        <f t="shared" si="40"/>
        <v>x</v>
      </c>
      <c r="W187" s="217" t="str">
        <f t="shared" si="40"/>
        <v/>
      </c>
      <c r="X187" s="217" t="str">
        <f t="shared" si="40"/>
        <v/>
      </c>
      <c r="Y187" s="217" t="str">
        <f t="shared" si="40"/>
        <v>iArchitraveCapitalType</v>
      </c>
    </row>
    <row r="188" spans="1:25" x14ac:dyDescent="0.3">
      <c r="A188" s="216">
        <f t="shared" si="28"/>
        <v>186</v>
      </c>
      <c r="B188" s="217" t="str">
        <f t="shared" si="39"/>
        <v>x</v>
      </c>
      <c r="C188" s="217" t="str">
        <f t="shared" si="39"/>
        <v/>
      </c>
      <c r="D188" s="217" t="str">
        <f t="shared" si="39"/>
        <v/>
      </c>
      <c r="E188" s="217" t="str">
        <f t="shared" si="39"/>
        <v/>
      </c>
      <c r="F188" s="217" t="str">
        <f t="shared" si="39"/>
        <v/>
      </c>
      <c r="G188" s="217" t="str">
        <f t="shared" si="39"/>
        <v/>
      </c>
      <c r="H188" s="217" t="str">
        <f t="shared" si="39"/>
        <v/>
      </c>
      <c r="I188" s="217" t="str">
        <f t="shared" si="39"/>
        <v/>
      </c>
      <c r="J188" s="217" t="str">
        <f t="shared" si="39"/>
        <v/>
      </c>
      <c r="K188" s="217" t="str">
        <f t="shared" si="39"/>
        <v/>
      </c>
      <c r="L188" s="217" t="str">
        <f t="shared" si="40"/>
        <v>info</v>
      </c>
      <c r="M188" s="217" t="str">
        <f t="shared" si="40"/>
        <v>x</v>
      </c>
      <c r="N188" s="217" t="str">
        <f t="shared" si="40"/>
        <v/>
      </c>
      <c r="O188" s="217" t="str">
        <f t="shared" si="40"/>
        <v>model</v>
      </c>
      <c r="P188" s="218" t="str">
        <f t="shared" si="40"/>
        <v>Length</v>
      </c>
      <c r="Q188" s="218" t="str">
        <f t="shared" si="40"/>
        <v>x</v>
      </c>
      <c r="R188" s="218" t="str">
        <f t="shared" si="40"/>
        <v>BS</v>
      </c>
      <c r="S188" s="218" t="str">
        <f t="shared" si="40"/>
        <v>all</v>
      </c>
      <c r="T188" s="217">
        <f t="shared" si="40"/>
        <v>0.02</v>
      </c>
      <c r="U188" s="217" t="str">
        <f t="shared" si="40"/>
        <v>Querbalken oben Breite</v>
      </c>
      <c r="V188" s="217" t="str">
        <f t="shared" si="40"/>
        <v>x</v>
      </c>
      <c r="W188" s="217" t="str">
        <f t="shared" si="40"/>
        <v/>
      </c>
      <c r="X188" s="217" t="str">
        <f t="shared" si="40"/>
        <v/>
      </c>
      <c r="Y188" s="217" t="str">
        <f t="shared" si="40"/>
        <v>architraveCapitalWidth</v>
      </c>
    </row>
    <row r="189" spans="1:25" x14ac:dyDescent="0.3">
      <c r="A189" s="216">
        <f t="shared" si="28"/>
        <v>187</v>
      </c>
      <c r="B189" s="217" t="str">
        <f t="shared" si="39"/>
        <v>x</v>
      </c>
      <c r="C189" s="217" t="str">
        <f t="shared" si="39"/>
        <v/>
      </c>
      <c r="D189" s="217" t="str">
        <f t="shared" si="39"/>
        <v/>
      </c>
      <c r="E189" s="217" t="str">
        <f t="shared" si="39"/>
        <v/>
      </c>
      <c r="F189" s="217" t="str">
        <f t="shared" si="39"/>
        <v/>
      </c>
      <c r="G189" s="217" t="str">
        <f t="shared" si="39"/>
        <v/>
      </c>
      <c r="H189" s="217" t="str">
        <f t="shared" si="39"/>
        <v/>
      </c>
      <c r="I189" s="217" t="str">
        <f t="shared" si="39"/>
        <v/>
      </c>
      <c r="J189" s="217" t="str">
        <f t="shared" si="39"/>
        <v/>
      </c>
      <c r="K189" s="217" t="str">
        <f t="shared" si="39"/>
        <v/>
      </c>
      <c r="L189" s="217" t="str">
        <f t="shared" si="40"/>
        <v>info</v>
      </c>
      <c r="M189" s="217" t="str">
        <f t="shared" si="40"/>
        <v>x</v>
      </c>
      <c r="N189" s="217" t="str">
        <f t="shared" si="40"/>
        <v/>
      </c>
      <c r="O189" s="217" t="str">
        <f t="shared" si="40"/>
        <v>model</v>
      </c>
      <c r="P189" s="218" t="str">
        <f t="shared" si="40"/>
        <v>Boolean</v>
      </c>
      <c r="Q189" s="218" t="str">
        <f t="shared" si="40"/>
        <v>x</v>
      </c>
      <c r="R189" s="218" t="str">
        <f t="shared" si="40"/>
        <v>BS</v>
      </c>
      <c r="S189" s="218" t="str">
        <f t="shared" si="40"/>
        <v>all</v>
      </c>
      <c r="T189" s="217">
        <f t="shared" si="40"/>
        <v>1</v>
      </c>
      <c r="U189" s="217" t="str">
        <f t="shared" si="40"/>
        <v>Verkleidung</v>
      </c>
      <c r="V189" s="217" t="str">
        <f t="shared" si="40"/>
        <v>x</v>
      </c>
      <c r="W189" s="217" t="str">
        <f t="shared" si="40"/>
        <v/>
      </c>
      <c r="X189" s="217" t="str">
        <f t="shared" si="40"/>
        <v/>
      </c>
      <c r="Y189" s="217" t="str">
        <f t="shared" si="40"/>
        <v>gs_trim_show_cover_out</v>
      </c>
    </row>
    <row r="190" spans="1:25" x14ac:dyDescent="0.3">
      <c r="A190" s="216">
        <f t="shared" si="28"/>
        <v>188</v>
      </c>
      <c r="B190" s="217" t="str">
        <f t="shared" si="39"/>
        <v>x</v>
      </c>
      <c r="C190" s="217" t="str">
        <f t="shared" si="39"/>
        <v/>
      </c>
      <c r="D190" s="217" t="str">
        <f t="shared" si="39"/>
        <v/>
      </c>
      <c r="E190" s="217" t="str">
        <f t="shared" si="39"/>
        <v/>
      </c>
      <c r="F190" s="217" t="str">
        <f t="shared" si="39"/>
        <v/>
      </c>
      <c r="G190" s="217" t="str">
        <f t="shared" si="39"/>
        <v/>
      </c>
      <c r="H190" s="217" t="str">
        <f t="shared" si="39"/>
        <v/>
      </c>
      <c r="I190" s="217" t="str">
        <f t="shared" si="39"/>
        <v/>
      </c>
      <c r="J190" s="217" t="str">
        <f t="shared" si="39"/>
        <v/>
      </c>
      <c r="K190" s="217" t="str">
        <f t="shared" si="39"/>
        <v/>
      </c>
      <c r="L190" s="217" t="str">
        <f t="shared" si="40"/>
        <v>info</v>
      </c>
      <c r="M190" s="217" t="str">
        <f t="shared" si="40"/>
        <v>x</v>
      </c>
      <c r="N190" s="217" t="str">
        <f t="shared" si="40"/>
        <v/>
      </c>
      <c r="O190" s="217" t="str">
        <f t="shared" si="40"/>
        <v>model</v>
      </c>
      <c r="P190" s="218" t="str">
        <f t="shared" si="40"/>
        <v>Boolean</v>
      </c>
      <c r="Q190" s="218" t="str">
        <f t="shared" si="40"/>
        <v>x</v>
      </c>
      <c r="R190" s="218" t="str">
        <f t="shared" si="40"/>
        <v>BS</v>
      </c>
      <c r="S190" s="218" t="str">
        <f t="shared" si="40"/>
        <v>all</v>
      </c>
      <c r="T190" s="217">
        <f t="shared" si="40"/>
        <v>1</v>
      </c>
      <c r="U190" s="217" t="str">
        <f t="shared" si="40"/>
        <v>einheitliche Einfassungsbreiten</v>
      </c>
      <c r="V190" s="217" t="str">
        <f t="shared" si="40"/>
        <v>x</v>
      </c>
      <c r="W190" s="217" t="str">
        <f t="shared" si="40"/>
        <v/>
      </c>
      <c r="X190" s="217" t="str">
        <f t="shared" si="40"/>
        <v/>
      </c>
      <c r="Y190" s="217" t="str">
        <f t="shared" si="40"/>
        <v>gs_trim_outside_uniform</v>
      </c>
    </row>
    <row r="191" spans="1:25" x14ac:dyDescent="0.3">
      <c r="A191" s="216">
        <f t="shared" si="28"/>
        <v>189</v>
      </c>
      <c r="B191" s="217" t="str">
        <f t="shared" si="39"/>
        <v>x</v>
      </c>
      <c r="C191" s="217" t="str">
        <f t="shared" si="39"/>
        <v/>
      </c>
      <c r="D191" s="217" t="str">
        <f t="shared" si="39"/>
        <v/>
      </c>
      <c r="E191" s="217" t="str">
        <f t="shared" si="39"/>
        <v/>
      </c>
      <c r="F191" s="217" t="str">
        <f t="shared" si="39"/>
        <v/>
      </c>
      <c r="G191" s="217" t="str">
        <f t="shared" si="39"/>
        <v/>
      </c>
      <c r="H191" s="217" t="str">
        <f t="shared" si="39"/>
        <v/>
      </c>
      <c r="I191" s="217" t="str">
        <f t="shared" si="39"/>
        <v/>
      </c>
      <c r="J191" s="217" t="str">
        <f t="shared" si="39"/>
        <v/>
      </c>
      <c r="K191" s="217" t="str">
        <f t="shared" si="39"/>
        <v/>
      </c>
      <c r="L191" s="217" t="str">
        <f t="shared" si="40"/>
        <v>info</v>
      </c>
      <c r="M191" s="217" t="str">
        <f t="shared" si="40"/>
        <v>x</v>
      </c>
      <c r="N191" s="217" t="str">
        <f t="shared" si="40"/>
        <v/>
      </c>
      <c r="O191" s="217" t="str">
        <f t="shared" si="40"/>
        <v>model</v>
      </c>
      <c r="P191" s="218" t="str">
        <f t="shared" si="40"/>
        <v>Length</v>
      </c>
      <c r="Q191" s="218" t="str">
        <f t="shared" si="40"/>
        <v>x</v>
      </c>
      <c r="R191" s="218" t="str">
        <f t="shared" si="40"/>
        <v>BS</v>
      </c>
      <c r="S191" s="218" t="str">
        <f t="shared" si="40"/>
        <v>all</v>
      </c>
      <c r="T191" s="217">
        <f t="shared" si="40"/>
        <v>0.05</v>
      </c>
      <c r="U191" s="217" t="str">
        <f t="shared" si="40"/>
        <v>Breite Seite 1</v>
      </c>
      <c r="V191" s="217" t="str">
        <f t="shared" si="40"/>
        <v>x</v>
      </c>
      <c r="W191" s="217" t="str">
        <f t="shared" si="40"/>
        <v/>
      </c>
      <c r="X191" s="217" t="str">
        <f t="shared" si="40"/>
        <v/>
      </c>
      <c r="Y191" s="217" t="str">
        <f t="shared" si="40"/>
        <v>gs_tw_right_out</v>
      </c>
    </row>
    <row r="192" spans="1:25" x14ac:dyDescent="0.3">
      <c r="A192" s="216">
        <f t="shared" si="28"/>
        <v>190</v>
      </c>
      <c r="B192" s="217" t="str">
        <f t="shared" si="39"/>
        <v>x</v>
      </c>
      <c r="C192" s="217" t="str">
        <f t="shared" si="39"/>
        <v/>
      </c>
      <c r="D192" s="217" t="str">
        <f t="shared" si="39"/>
        <v/>
      </c>
      <c r="E192" s="217" t="str">
        <f t="shared" si="39"/>
        <v/>
      </c>
      <c r="F192" s="217" t="str">
        <f t="shared" si="39"/>
        <v/>
      </c>
      <c r="G192" s="217" t="str">
        <f t="shared" si="39"/>
        <v/>
      </c>
      <c r="H192" s="217" t="str">
        <f t="shared" si="39"/>
        <v/>
      </c>
      <c r="I192" s="217" t="str">
        <f t="shared" si="39"/>
        <v/>
      </c>
      <c r="J192" s="217" t="str">
        <f t="shared" si="39"/>
        <v/>
      </c>
      <c r="K192" s="217" t="str">
        <f t="shared" si="39"/>
        <v/>
      </c>
      <c r="L192" s="217" t="str">
        <f t="shared" si="40"/>
        <v>info</v>
      </c>
      <c r="M192" s="217" t="str">
        <f t="shared" si="40"/>
        <v>x</v>
      </c>
      <c r="N192" s="217" t="str">
        <f t="shared" si="40"/>
        <v/>
      </c>
      <c r="O192" s="217" t="str">
        <f t="shared" si="40"/>
        <v>model</v>
      </c>
      <c r="P192" s="218" t="str">
        <f t="shared" si="40"/>
        <v>Length</v>
      </c>
      <c r="Q192" s="218" t="str">
        <f t="shared" si="40"/>
        <v>x</v>
      </c>
      <c r="R192" s="218" t="str">
        <f t="shared" si="40"/>
        <v>BS</v>
      </c>
      <c r="S192" s="218" t="str">
        <f t="shared" si="40"/>
        <v>all</v>
      </c>
      <c r="T192" s="217">
        <f t="shared" si="40"/>
        <v>0.05</v>
      </c>
      <c r="U192" s="217" t="str">
        <f t="shared" si="40"/>
        <v>Breite Seite 2</v>
      </c>
      <c r="V192" s="217" t="str">
        <f t="shared" si="40"/>
        <v>x</v>
      </c>
      <c r="W192" s="217" t="str">
        <f t="shared" si="40"/>
        <v/>
      </c>
      <c r="X192" s="217" t="str">
        <f t="shared" si="40"/>
        <v/>
      </c>
      <c r="Y192" s="217" t="str">
        <f t="shared" si="40"/>
        <v>gs_tw_left_out</v>
      </c>
    </row>
    <row r="193" spans="1:25" x14ac:dyDescent="0.3">
      <c r="A193" s="216">
        <f t="shared" si="28"/>
        <v>191</v>
      </c>
      <c r="B193" s="217" t="str">
        <f t="shared" ref="B193:K202" si="41">IF(ISNONTEXT(B$2),IF(B$2="","",IF(INDEX(IMPORT,$A193,B$2)=0,"",IFERROR(VLOOKUP(INDEX(IMPORT,$A193,B$2),ImportTranslation,2,0),INDEX(IMPORT,$A193,B$2)))),B$2)</f>
        <v>x</v>
      </c>
      <c r="C193" s="217" t="str">
        <f t="shared" si="41"/>
        <v/>
      </c>
      <c r="D193" s="217" t="str">
        <f t="shared" si="41"/>
        <v/>
      </c>
      <c r="E193" s="217" t="str">
        <f t="shared" si="41"/>
        <v/>
      </c>
      <c r="F193" s="217" t="str">
        <f t="shared" si="41"/>
        <v/>
      </c>
      <c r="G193" s="217" t="str">
        <f t="shared" si="41"/>
        <v/>
      </c>
      <c r="H193" s="217" t="str">
        <f t="shared" si="41"/>
        <v/>
      </c>
      <c r="I193" s="217" t="str">
        <f t="shared" si="41"/>
        <v/>
      </c>
      <c r="J193" s="217" t="str">
        <f t="shared" si="41"/>
        <v/>
      </c>
      <c r="K193" s="217" t="str">
        <f t="shared" si="41"/>
        <v/>
      </c>
      <c r="L193" s="217" t="str">
        <f t="shared" ref="L193:Y202" si="42">IF(ISNONTEXT(L$2),IF(L$2="","",IF(INDEX(IMPORT,$A193,L$2)=0,"",IFERROR(VLOOKUP(INDEX(IMPORT,$A193,L$2),ImportTranslation,2,0),INDEX(IMPORT,$A193,L$2)))),L$2)</f>
        <v>info</v>
      </c>
      <c r="M193" s="217" t="str">
        <f t="shared" si="42"/>
        <v>x</v>
      </c>
      <c r="N193" s="217" t="str">
        <f t="shared" si="42"/>
        <v/>
      </c>
      <c r="O193" s="217" t="str">
        <f t="shared" si="42"/>
        <v>model</v>
      </c>
      <c r="P193" s="218" t="str">
        <f t="shared" si="42"/>
        <v>Length</v>
      </c>
      <c r="Q193" s="218" t="str">
        <f t="shared" si="42"/>
        <v>x</v>
      </c>
      <c r="R193" s="218" t="str">
        <f t="shared" si="42"/>
        <v>BS</v>
      </c>
      <c r="S193" s="218" t="str">
        <f t="shared" si="42"/>
        <v>all</v>
      </c>
      <c r="T193" s="217">
        <f t="shared" si="42"/>
        <v>0.05</v>
      </c>
      <c r="U193" s="217" t="str">
        <f t="shared" si="42"/>
        <v>Breite oben</v>
      </c>
      <c r="V193" s="217" t="str">
        <f t="shared" si="42"/>
        <v>x</v>
      </c>
      <c r="W193" s="217" t="str">
        <f t="shared" si="42"/>
        <v/>
      </c>
      <c r="X193" s="217" t="str">
        <f t="shared" si="42"/>
        <v/>
      </c>
      <c r="Y193" s="217" t="str">
        <f t="shared" si="42"/>
        <v>gs_tw_top_out</v>
      </c>
    </row>
    <row r="194" spans="1:25" x14ac:dyDescent="0.3">
      <c r="A194" s="216">
        <f t="shared" si="28"/>
        <v>192</v>
      </c>
      <c r="B194" s="217" t="str">
        <f t="shared" si="41"/>
        <v>x</v>
      </c>
      <c r="C194" s="217" t="str">
        <f t="shared" si="41"/>
        <v/>
      </c>
      <c r="D194" s="217" t="str">
        <f t="shared" si="41"/>
        <v/>
      </c>
      <c r="E194" s="217" t="str">
        <f t="shared" si="41"/>
        <v/>
      </c>
      <c r="F194" s="217" t="str">
        <f t="shared" si="41"/>
        <v/>
      </c>
      <c r="G194" s="217" t="str">
        <f t="shared" si="41"/>
        <v/>
      </c>
      <c r="H194" s="217" t="str">
        <f t="shared" si="41"/>
        <v/>
      </c>
      <c r="I194" s="217" t="str">
        <f t="shared" si="41"/>
        <v/>
      </c>
      <c r="J194" s="217" t="str">
        <f t="shared" si="41"/>
        <v/>
      </c>
      <c r="K194" s="217" t="str">
        <f t="shared" si="41"/>
        <v/>
      </c>
      <c r="L194" s="217" t="str">
        <f t="shared" si="42"/>
        <v>info</v>
      </c>
      <c r="M194" s="217" t="str">
        <f t="shared" si="42"/>
        <v>x</v>
      </c>
      <c r="N194" s="217" t="str">
        <f t="shared" si="42"/>
        <v/>
      </c>
      <c r="O194" s="217" t="str">
        <f t="shared" si="42"/>
        <v>model</v>
      </c>
      <c r="P194" s="218" t="str">
        <f t="shared" si="42"/>
        <v>Length</v>
      </c>
      <c r="Q194" s="218" t="str">
        <f t="shared" si="42"/>
        <v>x</v>
      </c>
      <c r="R194" s="218" t="str">
        <f t="shared" si="42"/>
        <v>BS</v>
      </c>
      <c r="S194" s="218" t="str">
        <f t="shared" si="42"/>
        <v>all</v>
      </c>
      <c r="T194" s="217">
        <f t="shared" si="42"/>
        <v>1.9E-2</v>
      </c>
      <c r="U194" s="217" t="str">
        <f t="shared" si="42"/>
        <v>Dicke an Wand</v>
      </c>
      <c r="V194" s="217" t="str">
        <f t="shared" si="42"/>
        <v>x</v>
      </c>
      <c r="W194" s="217" t="str">
        <f t="shared" si="42"/>
        <v/>
      </c>
      <c r="X194" s="217" t="str">
        <f t="shared" si="42"/>
        <v/>
      </c>
      <c r="Y194" s="217" t="str">
        <f t="shared" si="42"/>
        <v>gs_trim_thk_out</v>
      </c>
    </row>
    <row r="195" spans="1:25" x14ac:dyDescent="0.3">
      <c r="A195" s="216">
        <f t="shared" ref="A195:A258" si="43">ROW()-ROW($A$2)</f>
        <v>193</v>
      </c>
      <c r="B195" s="217" t="str">
        <f t="shared" si="41"/>
        <v>x</v>
      </c>
      <c r="C195" s="217" t="str">
        <f t="shared" si="41"/>
        <v/>
      </c>
      <c r="D195" s="217" t="str">
        <f t="shared" si="41"/>
        <v/>
      </c>
      <c r="E195" s="217" t="str">
        <f t="shared" si="41"/>
        <v/>
      </c>
      <c r="F195" s="217" t="str">
        <f t="shared" si="41"/>
        <v/>
      </c>
      <c r="G195" s="217" t="str">
        <f t="shared" si="41"/>
        <v/>
      </c>
      <c r="H195" s="217" t="str">
        <f t="shared" si="41"/>
        <v/>
      </c>
      <c r="I195" s="217" t="str">
        <f t="shared" si="41"/>
        <v/>
      </c>
      <c r="J195" s="217" t="str">
        <f t="shared" si="41"/>
        <v/>
      </c>
      <c r="K195" s="217" t="str">
        <f t="shared" si="41"/>
        <v/>
      </c>
      <c r="L195" s="217" t="str">
        <f t="shared" si="42"/>
        <v>info</v>
      </c>
      <c r="M195" s="217" t="str">
        <f t="shared" si="42"/>
        <v>x</v>
      </c>
      <c r="N195" s="217" t="str">
        <f t="shared" si="42"/>
        <v/>
      </c>
      <c r="O195" s="217" t="str">
        <f t="shared" si="42"/>
        <v>model</v>
      </c>
      <c r="P195" s="218" t="str">
        <f t="shared" si="42"/>
        <v>Length</v>
      </c>
      <c r="Q195" s="218" t="str">
        <f t="shared" si="42"/>
        <v>x</v>
      </c>
      <c r="R195" s="218" t="str">
        <f t="shared" si="42"/>
        <v>BS</v>
      </c>
      <c r="S195" s="218" t="str">
        <f t="shared" si="42"/>
        <v>all</v>
      </c>
      <c r="T195" s="217">
        <f t="shared" si="42"/>
        <v>2.5000000000000001E-2</v>
      </c>
      <c r="U195" s="217" t="str">
        <f t="shared" si="42"/>
        <v>Dicke in Wandloch</v>
      </c>
      <c r="V195" s="217" t="str">
        <f t="shared" si="42"/>
        <v>x</v>
      </c>
      <c r="W195" s="217" t="str">
        <f t="shared" si="42"/>
        <v/>
      </c>
      <c r="X195" s="217" t="str">
        <f t="shared" si="42"/>
        <v/>
      </c>
      <c r="Y195" s="217" t="str">
        <f t="shared" si="42"/>
        <v>gs_trim_width_out</v>
      </c>
    </row>
    <row r="196" spans="1:25" x14ac:dyDescent="0.3">
      <c r="A196" s="216">
        <f t="shared" si="43"/>
        <v>194</v>
      </c>
      <c r="B196" s="217" t="str">
        <f t="shared" si="41"/>
        <v>x</v>
      </c>
      <c r="C196" s="217" t="str">
        <f t="shared" si="41"/>
        <v/>
      </c>
      <c r="D196" s="217" t="str">
        <f t="shared" si="41"/>
        <v/>
      </c>
      <c r="E196" s="217" t="str">
        <f t="shared" si="41"/>
        <v/>
      </c>
      <c r="F196" s="217" t="str">
        <f t="shared" si="41"/>
        <v/>
      </c>
      <c r="G196" s="217" t="str">
        <f t="shared" si="41"/>
        <v/>
      </c>
      <c r="H196" s="217" t="str">
        <f t="shared" si="41"/>
        <v/>
      </c>
      <c r="I196" s="217" t="str">
        <f t="shared" si="41"/>
        <v/>
      </c>
      <c r="J196" s="217" t="str">
        <f t="shared" si="41"/>
        <v/>
      </c>
      <c r="K196" s="217" t="str">
        <f t="shared" si="41"/>
        <v/>
      </c>
      <c r="L196" s="217" t="str">
        <f t="shared" si="42"/>
        <v>info</v>
      </c>
      <c r="M196" s="217" t="str">
        <f t="shared" si="42"/>
        <v>x</v>
      </c>
      <c r="N196" s="217" t="str">
        <f t="shared" si="42"/>
        <v/>
      </c>
      <c r="O196" s="217" t="str">
        <f t="shared" si="42"/>
        <v>model</v>
      </c>
      <c r="P196" s="218" t="str">
        <f t="shared" si="42"/>
        <v>Length</v>
      </c>
      <c r="Q196" s="218" t="str">
        <f t="shared" si="42"/>
        <v>x</v>
      </c>
      <c r="R196" s="218" t="str">
        <f t="shared" si="42"/>
        <v>BS</v>
      </c>
      <c r="S196" s="218" t="str">
        <f t="shared" si="42"/>
        <v>all</v>
      </c>
      <c r="T196" s="217" t="str">
        <f t="shared" si="42"/>
        <v/>
      </c>
      <c r="U196" s="217" t="str">
        <f t="shared" si="42"/>
        <v>Versatz</v>
      </c>
      <c r="V196" s="217" t="str">
        <f t="shared" si="42"/>
        <v>x</v>
      </c>
      <c r="W196" s="217" t="str">
        <f t="shared" si="42"/>
        <v/>
      </c>
      <c r="X196" s="217" t="str">
        <f t="shared" si="42"/>
        <v/>
      </c>
      <c r="Y196" s="217" t="str">
        <f t="shared" si="42"/>
        <v>gs_trim_offs_out</v>
      </c>
    </row>
    <row r="197" spans="1:25" x14ac:dyDescent="0.3">
      <c r="A197" s="216">
        <f t="shared" si="43"/>
        <v>195</v>
      </c>
      <c r="B197" s="217" t="str">
        <f t="shared" si="41"/>
        <v>x</v>
      </c>
      <c r="C197" s="217" t="str">
        <f t="shared" si="41"/>
        <v/>
      </c>
      <c r="D197" s="217" t="str">
        <f t="shared" si="41"/>
        <v/>
      </c>
      <c r="E197" s="217" t="str">
        <f t="shared" si="41"/>
        <v/>
      </c>
      <c r="F197" s="217" t="str">
        <f t="shared" si="41"/>
        <v/>
      </c>
      <c r="G197" s="217" t="str">
        <f t="shared" si="41"/>
        <v/>
      </c>
      <c r="H197" s="217" t="str">
        <f t="shared" si="41"/>
        <v/>
      </c>
      <c r="I197" s="217" t="str">
        <f t="shared" si="41"/>
        <v/>
      </c>
      <c r="J197" s="217" t="str">
        <f t="shared" si="41"/>
        <v/>
      </c>
      <c r="K197" s="217" t="str">
        <f t="shared" si="41"/>
        <v/>
      </c>
      <c r="L197" s="217" t="str">
        <f t="shared" si="42"/>
        <v>info</v>
      </c>
      <c r="M197" s="217" t="str">
        <f t="shared" si="42"/>
        <v>x</v>
      </c>
      <c r="N197" s="217" t="str">
        <f t="shared" si="42"/>
        <v/>
      </c>
      <c r="O197" s="217" t="str">
        <f t="shared" si="42"/>
        <v>model</v>
      </c>
      <c r="P197" s="218" t="str">
        <f t="shared" si="42"/>
        <v>Length</v>
      </c>
      <c r="Q197" s="218" t="str">
        <f t="shared" si="42"/>
        <v>x</v>
      </c>
      <c r="R197" s="218" t="str">
        <f t="shared" si="42"/>
        <v>BS</v>
      </c>
      <c r="S197" s="218" t="str">
        <f t="shared" si="42"/>
        <v>all</v>
      </c>
      <c r="T197" s="217">
        <f t="shared" si="42"/>
        <v>0.05</v>
      </c>
      <c r="U197" s="217" t="str">
        <f t="shared" si="42"/>
        <v>Auskragung</v>
      </c>
      <c r="V197" s="217" t="str">
        <f t="shared" si="42"/>
        <v>x</v>
      </c>
      <c r="W197" s="217" t="str">
        <f t="shared" si="42"/>
        <v/>
      </c>
      <c r="X197" s="217" t="str">
        <f t="shared" si="42"/>
        <v/>
      </c>
      <c r="Y197" s="217" t="str">
        <f t="shared" si="42"/>
        <v>gs_trim_jambext_nosing_out</v>
      </c>
    </row>
    <row r="198" spans="1:25" x14ac:dyDescent="0.3">
      <c r="A198" s="216">
        <f t="shared" si="43"/>
        <v>196</v>
      </c>
      <c r="B198" s="217" t="str">
        <f t="shared" si="41"/>
        <v>x</v>
      </c>
      <c r="C198" s="217" t="str">
        <f t="shared" si="41"/>
        <v/>
      </c>
      <c r="D198" s="217" t="str">
        <f t="shared" si="41"/>
        <v/>
      </c>
      <c r="E198" s="217" t="str">
        <f t="shared" si="41"/>
        <v/>
      </c>
      <c r="F198" s="217" t="str">
        <f t="shared" si="41"/>
        <v/>
      </c>
      <c r="G198" s="217" t="str">
        <f t="shared" si="41"/>
        <v/>
      </c>
      <c r="H198" s="217" t="str">
        <f t="shared" si="41"/>
        <v/>
      </c>
      <c r="I198" s="217" t="str">
        <f t="shared" si="41"/>
        <v/>
      </c>
      <c r="J198" s="217" t="str">
        <f t="shared" si="41"/>
        <v/>
      </c>
      <c r="K198" s="217" t="str">
        <f t="shared" si="41"/>
        <v/>
      </c>
      <c r="L198" s="217" t="str">
        <f t="shared" si="42"/>
        <v>info</v>
      </c>
      <c r="M198" s="217" t="str">
        <f t="shared" si="42"/>
        <v>x</v>
      </c>
      <c r="N198" s="217" t="str">
        <f t="shared" si="42"/>
        <v/>
      </c>
      <c r="O198" s="217" t="str">
        <f t="shared" si="42"/>
        <v>model</v>
      </c>
      <c r="P198" s="218" t="str">
        <f t="shared" si="42"/>
        <v>Length</v>
      </c>
      <c r="Q198" s="218" t="str">
        <f t="shared" si="42"/>
        <v>x</v>
      </c>
      <c r="R198" s="218" t="str">
        <f t="shared" si="42"/>
        <v>BS</v>
      </c>
      <c r="S198" s="218" t="str">
        <f t="shared" si="42"/>
        <v>all</v>
      </c>
      <c r="T198" s="217">
        <f t="shared" si="42"/>
        <v>0.1</v>
      </c>
      <c r="U198" s="217" t="str">
        <f t="shared" si="42"/>
        <v>Oberer Überstand</v>
      </c>
      <c r="V198" s="217" t="str">
        <f t="shared" si="42"/>
        <v>x</v>
      </c>
      <c r="W198" s="217" t="str">
        <f t="shared" si="42"/>
        <v/>
      </c>
      <c r="X198" s="217" t="str">
        <f t="shared" si="42"/>
        <v/>
      </c>
      <c r="Y198" s="217" t="str">
        <f t="shared" si="42"/>
        <v>gs_trimov_top_right_out</v>
      </c>
    </row>
    <row r="199" spans="1:25" x14ac:dyDescent="0.3">
      <c r="A199" s="216">
        <f t="shared" si="43"/>
        <v>197</v>
      </c>
      <c r="B199" s="217" t="str">
        <f t="shared" si="41"/>
        <v>x</v>
      </c>
      <c r="C199" s="217" t="str">
        <f t="shared" si="41"/>
        <v/>
      </c>
      <c r="D199" s="217" t="str">
        <f t="shared" si="41"/>
        <v/>
      </c>
      <c r="E199" s="217" t="str">
        <f t="shared" si="41"/>
        <v/>
      </c>
      <c r="F199" s="217" t="str">
        <f t="shared" si="41"/>
        <v/>
      </c>
      <c r="G199" s="217" t="str">
        <f t="shared" si="41"/>
        <v/>
      </c>
      <c r="H199" s="217" t="str">
        <f t="shared" si="41"/>
        <v/>
      </c>
      <c r="I199" s="217" t="str">
        <f t="shared" si="41"/>
        <v/>
      </c>
      <c r="J199" s="217" t="str">
        <f t="shared" si="41"/>
        <v/>
      </c>
      <c r="K199" s="217" t="str">
        <f t="shared" si="41"/>
        <v/>
      </c>
      <c r="L199" s="217" t="str">
        <f t="shared" si="42"/>
        <v>info</v>
      </c>
      <c r="M199" s="217" t="str">
        <f t="shared" si="42"/>
        <v>x</v>
      </c>
      <c r="N199" s="217" t="str">
        <f t="shared" si="42"/>
        <v/>
      </c>
      <c r="O199" s="217" t="str">
        <f t="shared" si="42"/>
        <v>model</v>
      </c>
      <c r="P199" s="218" t="str">
        <f t="shared" si="42"/>
        <v>PenColor</v>
      </c>
      <c r="Q199" s="218" t="str">
        <f t="shared" si="42"/>
        <v>x</v>
      </c>
      <c r="R199" s="218" t="str">
        <f t="shared" si="42"/>
        <v>BS</v>
      </c>
      <c r="S199" s="218" t="str">
        <f t="shared" si="42"/>
        <v>all</v>
      </c>
      <c r="T199" s="217">
        <f t="shared" si="42"/>
        <v>1</v>
      </c>
      <c r="U199" s="217" t="str">
        <f t="shared" si="42"/>
        <v>Futter Schnittlinienstift auf beiden Seiten</v>
      </c>
      <c r="V199" s="217" t="str">
        <f t="shared" si="42"/>
        <v>x</v>
      </c>
      <c r="W199" s="217" t="str">
        <f t="shared" si="42"/>
        <v/>
      </c>
      <c r="X199" s="217" t="str">
        <f t="shared" si="42"/>
        <v/>
      </c>
      <c r="Y199" s="217" t="str">
        <f t="shared" si="42"/>
        <v>gs_trim_pen_cont</v>
      </c>
    </row>
    <row r="200" spans="1:25" x14ac:dyDescent="0.3">
      <c r="A200" s="216">
        <f t="shared" si="43"/>
        <v>198</v>
      </c>
      <c r="B200" s="217" t="str">
        <f t="shared" si="41"/>
        <v>x</v>
      </c>
      <c r="C200" s="217" t="str">
        <f t="shared" si="41"/>
        <v/>
      </c>
      <c r="D200" s="217" t="str">
        <f t="shared" si="41"/>
        <v/>
      </c>
      <c r="E200" s="217" t="str">
        <f t="shared" si="41"/>
        <v/>
      </c>
      <c r="F200" s="217" t="str">
        <f t="shared" si="41"/>
        <v/>
      </c>
      <c r="G200" s="217" t="str">
        <f t="shared" si="41"/>
        <v/>
      </c>
      <c r="H200" s="217" t="str">
        <f t="shared" si="41"/>
        <v/>
      </c>
      <c r="I200" s="217" t="str">
        <f t="shared" si="41"/>
        <v/>
      </c>
      <c r="J200" s="217" t="str">
        <f t="shared" si="41"/>
        <v/>
      </c>
      <c r="K200" s="217" t="str">
        <f t="shared" si="41"/>
        <v/>
      </c>
      <c r="L200" s="217" t="str">
        <f t="shared" si="42"/>
        <v>info</v>
      </c>
      <c r="M200" s="217" t="str">
        <f t="shared" si="42"/>
        <v>x</v>
      </c>
      <c r="N200" s="217" t="str">
        <f t="shared" si="42"/>
        <v/>
      </c>
      <c r="O200" s="217" t="str">
        <f t="shared" si="42"/>
        <v>model</v>
      </c>
      <c r="P200" s="218" t="str">
        <f t="shared" si="42"/>
        <v>FillPattern</v>
      </c>
      <c r="Q200" s="218" t="str">
        <f t="shared" si="42"/>
        <v>x</v>
      </c>
      <c r="R200" s="218" t="str">
        <f t="shared" si="42"/>
        <v>BS</v>
      </c>
      <c r="S200" s="218" t="str">
        <f t="shared" si="42"/>
        <v>all</v>
      </c>
      <c r="T200" s="217">
        <f t="shared" si="42"/>
        <v>65</v>
      </c>
      <c r="U200" s="217" t="str">
        <f t="shared" si="42"/>
        <v>Schraffur Zarge außen</v>
      </c>
      <c r="V200" s="217" t="str">
        <f t="shared" si="42"/>
        <v>x</v>
      </c>
      <c r="W200" s="217" t="str">
        <f t="shared" si="42"/>
        <v/>
      </c>
      <c r="X200" s="217" t="str">
        <f t="shared" si="42"/>
        <v/>
      </c>
      <c r="Y200" s="217" t="str">
        <f t="shared" si="42"/>
        <v>gs_trim_fill_out</v>
      </c>
    </row>
    <row r="201" spans="1:25" x14ac:dyDescent="0.3">
      <c r="A201" s="216">
        <f t="shared" si="43"/>
        <v>199</v>
      </c>
      <c r="B201" s="217" t="str">
        <f t="shared" si="41"/>
        <v>x</v>
      </c>
      <c r="C201" s="217" t="str">
        <f t="shared" si="41"/>
        <v/>
      </c>
      <c r="D201" s="217" t="str">
        <f t="shared" si="41"/>
        <v/>
      </c>
      <c r="E201" s="217" t="str">
        <f t="shared" si="41"/>
        <v/>
      </c>
      <c r="F201" s="217" t="str">
        <f t="shared" si="41"/>
        <v/>
      </c>
      <c r="G201" s="217" t="str">
        <f t="shared" si="41"/>
        <v/>
      </c>
      <c r="H201" s="217" t="str">
        <f t="shared" si="41"/>
        <v/>
      </c>
      <c r="I201" s="217" t="str">
        <f t="shared" si="41"/>
        <v/>
      </c>
      <c r="J201" s="217" t="str">
        <f t="shared" si="41"/>
        <v/>
      </c>
      <c r="K201" s="217" t="str">
        <f t="shared" si="41"/>
        <v/>
      </c>
      <c r="L201" s="217" t="str">
        <f t="shared" si="42"/>
        <v>info</v>
      </c>
      <c r="M201" s="217" t="str">
        <f t="shared" si="42"/>
        <v>x</v>
      </c>
      <c r="N201" s="217" t="str">
        <f t="shared" si="42"/>
        <v/>
      </c>
      <c r="O201" s="217" t="str">
        <f t="shared" si="42"/>
        <v>model</v>
      </c>
      <c r="P201" s="218" t="str">
        <f t="shared" si="42"/>
        <v>PenColor</v>
      </c>
      <c r="Q201" s="218" t="str">
        <f t="shared" si="42"/>
        <v>x</v>
      </c>
      <c r="R201" s="218" t="str">
        <f t="shared" si="42"/>
        <v>BS</v>
      </c>
      <c r="S201" s="218" t="str">
        <f t="shared" si="42"/>
        <v>all</v>
      </c>
      <c r="T201" s="217">
        <f t="shared" si="42"/>
        <v>19</v>
      </c>
      <c r="U201" s="217" t="str">
        <f t="shared" si="42"/>
        <v>Schraffurstift Zarge assuen</v>
      </c>
      <c r="V201" s="217" t="str">
        <f t="shared" si="42"/>
        <v>x</v>
      </c>
      <c r="W201" s="217" t="str">
        <f t="shared" si="42"/>
        <v/>
      </c>
      <c r="X201" s="217" t="str">
        <f t="shared" si="42"/>
        <v/>
      </c>
      <c r="Y201" s="217" t="str">
        <f t="shared" si="42"/>
        <v>gs_trim_pen_fg_out</v>
      </c>
    </row>
    <row r="202" spans="1:25" x14ac:dyDescent="0.3">
      <c r="A202" s="216">
        <f t="shared" si="43"/>
        <v>200</v>
      </c>
      <c r="B202" s="217" t="str">
        <f t="shared" si="41"/>
        <v>x</v>
      </c>
      <c r="C202" s="217" t="str">
        <f t="shared" si="41"/>
        <v/>
      </c>
      <c r="D202" s="217" t="str">
        <f t="shared" si="41"/>
        <v/>
      </c>
      <c r="E202" s="217" t="str">
        <f t="shared" si="41"/>
        <v/>
      </c>
      <c r="F202" s="217" t="str">
        <f t="shared" si="41"/>
        <v/>
      </c>
      <c r="G202" s="217" t="str">
        <f t="shared" si="41"/>
        <v/>
      </c>
      <c r="H202" s="217" t="str">
        <f t="shared" si="41"/>
        <v/>
      </c>
      <c r="I202" s="217" t="str">
        <f t="shared" si="41"/>
        <v/>
      </c>
      <c r="J202" s="217" t="str">
        <f t="shared" si="41"/>
        <v/>
      </c>
      <c r="K202" s="217" t="str">
        <f t="shared" si="41"/>
        <v/>
      </c>
      <c r="L202" s="217" t="str">
        <f t="shared" si="42"/>
        <v>info</v>
      </c>
      <c r="M202" s="217" t="str">
        <f t="shared" si="42"/>
        <v>x</v>
      </c>
      <c r="N202" s="217" t="str">
        <f t="shared" si="42"/>
        <v/>
      </c>
      <c r="O202" s="217" t="str">
        <f t="shared" si="42"/>
        <v>model</v>
      </c>
      <c r="P202" s="218" t="str">
        <f t="shared" si="42"/>
        <v>PenColor</v>
      </c>
      <c r="Q202" s="218" t="str">
        <f t="shared" si="42"/>
        <v>x</v>
      </c>
      <c r="R202" s="218" t="str">
        <f t="shared" si="42"/>
        <v>BS</v>
      </c>
      <c r="S202" s="218" t="str">
        <f t="shared" si="42"/>
        <v>all</v>
      </c>
      <c r="T202" s="217">
        <f t="shared" si="42"/>
        <v>19</v>
      </c>
      <c r="U202" s="217" t="str">
        <f t="shared" si="42"/>
        <v>Stift Hintergr.schr. Verkleidung außen</v>
      </c>
      <c r="V202" s="217" t="str">
        <f t="shared" si="42"/>
        <v>x</v>
      </c>
      <c r="W202" s="217" t="str">
        <f t="shared" si="42"/>
        <v/>
      </c>
      <c r="X202" s="217" t="str">
        <f t="shared" si="42"/>
        <v/>
      </c>
      <c r="Y202" s="217" t="str">
        <f t="shared" si="42"/>
        <v>gs_trim_pen_bg_out</v>
      </c>
    </row>
    <row r="203" spans="1:25" x14ac:dyDescent="0.3">
      <c r="A203" s="216">
        <f t="shared" si="43"/>
        <v>201</v>
      </c>
      <c r="B203" s="217" t="str">
        <f t="shared" ref="B203:K212" si="44">IF(ISNONTEXT(B$2),IF(B$2="","",IF(INDEX(IMPORT,$A203,B$2)=0,"",IFERROR(VLOOKUP(INDEX(IMPORT,$A203,B$2),ImportTranslation,2,0),INDEX(IMPORT,$A203,B$2)))),B$2)</f>
        <v>x</v>
      </c>
      <c r="C203" s="217" t="str">
        <f t="shared" si="44"/>
        <v/>
      </c>
      <c r="D203" s="217" t="str">
        <f t="shared" si="44"/>
        <v/>
      </c>
      <c r="E203" s="217" t="str">
        <f t="shared" si="44"/>
        <v/>
      </c>
      <c r="F203" s="217" t="str">
        <f t="shared" si="44"/>
        <v/>
      </c>
      <c r="G203" s="217" t="str">
        <f t="shared" si="44"/>
        <v/>
      </c>
      <c r="H203" s="217" t="str">
        <f t="shared" si="44"/>
        <v/>
      </c>
      <c r="I203" s="217" t="str">
        <f t="shared" si="44"/>
        <v/>
      </c>
      <c r="J203" s="217" t="str">
        <f t="shared" si="44"/>
        <v/>
      </c>
      <c r="K203" s="217" t="str">
        <f t="shared" si="44"/>
        <v/>
      </c>
      <c r="L203" s="217" t="str">
        <f t="shared" ref="L203:Y212" si="45">IF(ISNONTEXT(L$2),IF(L$2="","",IF(INDEX(IMPORT,$A203,L$2)=0,"",IFERROR(VLOOKUP(INDEX(IMPORT,$A203,L$2),ImportTranslation,2,0),INDEX(IMPORT,$A203,L$2)))),L$2)</f>
        <v>info</v>
      </c>
      <c r="M203" s="217" t="str">
        <f t="shared" si="45"/>
        <v/>
      </c>
      <c r="N203" s="217" t="str">
        <f t="shared" si="45"/>
        <v/>
      </c>
      <c r="O203" s="217" t="str">
        <f t="shared" si="45"/>
        <v>model</v>
      </c>
      <c r="P203" s="218" t="str">
        <f t="shared" si="45"/>
        <v>Boolean</v>
      </c>
      <c r="Q203" s="218" t="str">
        <f t="shared" si="45"/>
        <v>x</v>
      </c>
      <c r="R203" s="218" t="str">
        <f t="shared" si="45"/>
        <v>BS</v>
      </c>
      <c r="S203" s="218" t="str">
        <f t="shared" si="45"/>
        <v>all</v>
      </c>
      <c r="T203" s="217" t="str">
        <f t="shared" si="45"/>
        <v/>
      </c>
      <c r="U203" s="217" t="str">
        <f t="shared" si="45"/>
        <v>Innenverkleidung</v>
      </c>
      <c r="V203" s="217" t="str">
        <f t="shared" si="45"/>
        <v/>
      </c>
      <c r="W203" s="217" t="str">
        <f t="shared" si="45"/>
        <v/>
      </c>
      <c r="X203" s="217" t="str">
        <f t="shared" si="45"/>
        <v/>
      </c>
      <c r="Y203" s="217" t="str">
        <f t="shared" si="45"/>
        <v>gs_trim_inside</v>
      </c>
    </row>
    <row r="204" spans="1:25" x14ac:dyDescent="0.3">
      <c r="A204" s="216">
        <f t="shared" si="43"/>
        <v>202</v>
      </c>
      <c r="B204" s="217" t="str">
        <f t="shared" si="44"/>
        <v>x</v>
      </c>
      <c r="C204" s="217" t="str">
        <f t="shared" si="44"/>
        <v>x</v>
      </c>
      <c r="D204" s="217" t="str">
        <f t="shared" si="44"/>
        <v/>
      </c>
      <c r="E204" s="217" t="str">
        <f t="shared" si="44"/>
        <v/>
      </c>
      <c r="F204" s="217" t="str">
        <f t="shared" si="44"/>
        <v/>
      </c>
      <c r="G204" s="217" t="str">
        <f t="shared" si="44"/>
        <v/>
      </c>
      <c r="H204" s="217" t="str">
        <f t="shared" si="44"/>
        <v/>
      </c>
      <c r="I204" s="217" t="str">
        <f t="shared" si="44"/>
        <v/>
      </c>
      <c r="J204" s="217" t="str">
        <f t="shared" si="44"/>
        <v/>
      </c>
      <c r="K204" s="217" t="str">
        <f t="shared" si="44"/>
        <v/>
      </c>
      <c r="L204" s="217" t="str">
        <f t="shared" si="45"/>
        <v>info</v>
      </c>
      <c r="M204" s="217" t="str">
        <f t="shared" si="45"/>
        <v>x</v>
      </c>
      <c r="N204" s="217" t="str">
        <f t="shared" si="45"/>
        <v/>
      </c>
      <c r="O204" s="217" t="str">
        <f t="shared" si="45"/>
        <v>model</v>
      </c>
      <c r="P204" s="218" t="str">
        <f t="shared" si="45"/>
        <v>String</v>
      </c>
      <c r="Q204" s="218" t="str">
        <f t="shared" si="45"/>
        <v>x</v>
      </c>
      <c r="R204" s="218" t="str">
        <f t="shared" si="45"/>
        <v>BS</v>
      </c>
      <c r="S204" s="218" t="str">
        <f t="shared" si="45"/>
        <v>all</v>
      </c>
      <c r="T204" s="217" t="str">
        <f t="shared" si="45"/>
        <v>Rechteckig</v>
      </c>
      <c r="U204" s="217" t="str">
        <f t="shared" si="45"/>
        <v>Türfutter innen</v>
      </c>
      <c r="V204" s="217" t="str">
        <f t="shared" si="45"/>
        <v>x</v>
      </c>
      <c r="W204" s="217" t="str">
        <f t="shared" si="45"/>
        <v/>
      </c>
      <c r="X204" s="217" t="str">
        <f t="shared" si="45"/>
        <v/>
      </c>
      <c r="Y204" s="217" t="str">
        <f t="shared" si="45"/>
        <v>gs_trimtype_in</v>
      </c>
    </row>
    <row r="205" spans="1:25" x14ac:dyDescent="0.3">
      <c r="A205" s="216">
        <f t="shared" si="43"/>
        <v>203</v>
      </c>
      <c r="B205" s="217" t="str">
        <f t="shared" si="44"/>
        <v>x</v>
      </c>
      <c r="C205" s="217" t="str">
        <f t="shared" si="44"/>
        <v>x</v>
      </c>
      <c r="D205" s="217" t="str">
        <f t="shared" si="44"/>
        <v/>
      </c>
      <c r="E205" s="217" t="str">
        <f t="shared" si="44"/>
        <v/>
      </c>
      <c r="F205" s="217" t="str">
        <f t="shared" si="44"/>
        <v/>
      </c>
      <c r="G205" s="217" t="str">
        <f t="shared" si="44"/>
        <v/>
      </c>
      <c r="H205" s="217" t="str">
        <f t="shared" si="44"/>
        <v/>
      </c>
      <c r="I205" s="217" t="str">
        <f t="shared" si="44"/>
        <v/>
      </c>
      <c r="J205" s="217" t="str">
        <f t="shared" si="44"/>
        <v/>
      </c>
      <c r="K205" s="217" t="str">
        <f t="shared" si="44"/>
        <v/>
      </c>
      <c r="L205" s="217" t="str">
        <f t="shared" si="45"/>
        <v>info</v>
      </c>
      <c r="M205" s="217" t="str">
        <f t="shared" si="45"/>
        <v>x</v>
      </c>
      <c r="N205" s="217" t="str">
        <f t="shared" si="45"/>
        <v/>
      </c>
      <c r="O205" s="217" t="str">
        <f t="shared" si="45"/>
        <v>model</v>
      </c>
      <c r="P205" s="218" t="str">
        <f t="shared" si="45"/>
        <v>Integer</v>
      </c>
      <c r="Q205" s="218" t="str">
        <f t="shared" si="45"/>
        <v>x</v>
      </c>
      <c r="R205" s="218" t="str">
        <f t="shared" si="45"/>
        <v>BS</v>
      </c>
      <c r="S205" s="218" t="str">
        <f t="shared" si="45"/>
        <v>all</v>
      </c>
      <c r="T205" s="217">
        <f t="shared" si="45"/>
        <v>1</v>
      </c>
      <c r="U205" s="217" t="str">
        <f t="shared" si="45"/>
        <v>Türfutter innen</v>
      </c>
      <c r="V205" s="217" t="str">
        <f t="shared" si="45"/>
        <v>x</v>
      </c>
      <c r="W205" s="217" t="str">
        <f t="shared" si="45"/>
        <v/>
      </c>
      <c r="X205" s="217" t="str">
        <f t="shared" si="45"/>
        <v/>
      </c>
      <c r="Y205" s="217" t="str">
        <f t="shared" si="45"/>
        <v>gs_trimtype_in_int</v>
      </c>
    </row>
    <row r="206" spans="1:25" x14ac:dyDescent="0.3">
      <c r="A206" s="216">
        <f t="shared" si="43"/>
        <v>204</v>
      </c>
      <c r="B206" s="217" t="str">
        <f t="shared" si="44"/>
        <v>x</v>
      </c>
      <c r="C206" s="217" t="str">
        <f t="shared" si="44"/>
        <v/>
      </c>
      <c r="D206" s="217" t="str">
        <f t="shared" si="44"/>
        <v/>
      </c>
      <c r="E206" s="217" t="str">
        <f t="shared" si="44"/>
        <v/>
      </c>
      <c r="F206" s="217" t="str">
        <f t="shared" si="44"/>
        <v/>
      </c>
      <c r="G206" s="217" t="str">
        <f t="shared" si="44"/>
        <v/>
      </c>
      <c r="H206" s="217" t="str">
        <f t="shared" si="44"/>
        <v/>
      </c>
      <c r="I206" s="217" t="str">
        <f t="shared" si="44"/>
        <v/>
      </c>
      <c r="J206" s="217" t="str">
        <f t="shared" si="44"/>
        <v/>
      </c>
      <c r="K206" s="217" t="str">
        <f t="shared" si="44"/>
        <v/>
      </c>
      <c r="L206" s="217" t="str">
        <f t="shared" si="45"/>
        <v>info</v>
      </c>
      <c r="M206" s="217" t="str">
        <f t="shared" si="45"/>
        <v>x</v>
      </c>
      <c r="N206" s="217" t="str">
        <f t="shared" si="45"/>
        <v/>
      </c>
      <c r="O206" s="217" t="str">
        <f t="shared" si="45"/>
        <v>model</v>
      </c>
      <c r="P206" s="218" t="str">
        <f t="shared" si="45"/>
        <v>Boolean</v>
      </c>
      <c r="Q206" s="218" t="str">
        <f t="shared" si="45"/>
        <v>x</v>
      </c>
      <c r="R206" s="218" t="str">
        <f t="shared" si="45"/>
        <v>BS</v>
      </c>
      <c r="S206" s="218" t="str">
        <f t="shared" si="45"/>
        <v>all</v>
      </c>
      <c r="T206" s="217">
        <f t="shared" si="45"/>
        <v>1</v>
      </c>
      <c r="U206" s="217" t="str">
        <f t="shared" si="45"/>
        <v>Verkleidung</v>
      </c>
      <c r="V206" s="217" t="str">
        <f t="shared" si="45"/>
        <v>x</v>
      </c>
      <c r="W206" s="217" t="str">
        <f t="shared" si="45"/>
        <v/>
      </c>
      <c r="X206" s="217" t="str">
        <f t="shared" si="45"/>
        <v/>
      </c>
      <c r="Y206" s="217" t="str">
        <f t="shared" si="45"/>
        <v>gs_trim_show_cover_in</v>
      </c>
    </row>
    <row r="207" spans="1:25" x14ac:dyDescent="0.3">
      <c r="A207" s="216">
        <f t="shared" si="43"/>
        <v>205</v>
      </c>
      <c r="B207" s="217" t="str">
        <f t="shared" si="44"/>
        <v>x</v>
      </c>
      <c r="C207" s="217" t="str">
        <f t="shared" si="44"/>
        <v/>
      </c>
      <c r="D207" s="217" t="str">
        <f t="shared" si="44"/>
        <v/>
      </c>
      <c r="E207" s="217" t="str">
        <f t="shared" si="44"/>
        <v/>
      </c>
      <c r="F207" s="217" t="str">
        <f t="shared" si="44"/>
        <v/>
      </c>
      <c r="G207" s="217" t="str">
        <f t="shared" si="44"/>
        <v/>
      </c>
      <c r="H207" s="217" t="str">
        <f t="shared" si="44"/>
        <v/>
      </c>
      <c r="I207" s="217" t="str">
        <f t="shared" si="44"/>
        <v/>
      </c>
      <c r="J207" s="217" t="str">
        <f t="shared" si="44"/>
        <v/>
      </c>
      <c r="K207" s="217" t="str">
        <f t="shared" si="44"/>
        <v/>
      </c>
      <c r="L207" s="217" t="str">
        <f t="shared" si="45"/>
        <v>info</v>
      </c>
      <c r="M207" s="217" t="str">
        <f t="shared" si="45"/>
        <v>x</v>
      </c>
      <c r="N207" s="217" t="str">
        <f t="shared" si="45"/>
        <v/>
      </c>
      <c r="O207" s="217" t="str">
        <f t="shared" si="45"/>
        <v>model</v>
      </c>
      <c r="P207" s="218" t="str">
        <f t="shared" si="45"/>
        <v>Boolean</v>
      </c>
      <c r="Q207" s="218" t="str">
        <f t="shared" si="45"/>
        <v>x</v>
      </c>
      <c r="R207" s="218" t="str">
        <f t="shared" si="45"/>
        <v>BS</v>
      </c>
      <c r="S207" s="218" t="str">
        <f t="shared" si="45"/>
        <v>all</v>
      </c>
      <c r="T207" s="217">
        <f t="shared" si="45"/>
        <v>1</v>
      </c>
      <c r="U207" s="217" t="str">
        <f t="shared" si="45"/>
        <v>einheitliche Einfassungsbreiten</v>
      </c>
      <c r="V207" s="217" t="str">
        <f t="shared" si="45"/>
        <v>x</v>
      </c>
      <c r="W207" s="217" t="str">
        <f t="shared" si="45"/>
        <v/>
      </c>
      <c r="X207" s="217" t="str">
        <f t="shared" si="45"/>
        <v/>
      </c>
      <c r="Y207" s="217" t="str">
        <f t="shared" si="45"/>
        <v>gs_trim_inside_uniform</v>
      </c>
    </row>
    <row r="208" spans="1:25" x14ac:dyDescent="0.3">
      <c r="A208" s="216">
        <f t="shared" si="43"/>
        <v>206</v>
      </c>
      <c r="B208" s="217" t="str">
        <f t="shared" si="44"/>
        <v>x</v>
      </c>
      <c r="C208" s="217" t="str">
        <f t="shared" si="44"/>
        <v/>
      </c>
      <c r="D208" s="217" t="str">
        <f t="shared" si="44"/>
        <v/>
      </c>
      <c r="E208" s="217" t="str">
        <f t="shared" si="44"/>
        <v/>
      </c>
      <c r="F208" s="217" t="str">
        <f t="shared" si="44"/>
        <v/>
      </c>
      <c r="G208" s="217" t="str">
        <f t="shared" si="44"/>
        <v/>
      </c>
      <c r="H208" s="217" t="str">
        <f t="shared" si="44"/>
        <v/>
      </c>
      <c r="I208" s="217" t="str">
        <f t="shared" si="44"/>
        <v/>
      </c>
      <c r="J208" s="217" t="str">
        <f t="shared" si="44"/>
        <v/>
      </c>
      <c r="K208" s="217" t="str">
        <f t="shared" si="44"/>
        <v/>
      </c>
      <c r="L208" s="217" t="str">
        <f t="shared" si="45"/>
        <v>info</v>
      </c>
      <c r="M208" s="217" t="str">
        <f t="shared" si="45"/>
        <v>x</v>
      </c>
      <c r="N208" s="217" t="str">
        <f t="shared" si="45"/>
        <v/>
      </c>
      <c r="O208" s="217" t="str">
        <f t="shared" si="45"/>
        <v>model</v>
      </c>
      <c r="P208" s="218" t="str">
        <f t="shared" si="45"/>
        <v>Length</v>
      </c>
      <c r="Q208" s="218" t="str">
        <f t="shared" si="45"/>
        <v>x</v>
      </c>
      <c r="R208" s="218" t="str">
        <f t="shared" si="45"/>
        <v>BS</v>
      </c>
      <c r="S208" s="218" t="str">
        <f t="shared" si="45"/>
        <v>all</v>
      </c>
      <c r="T208" s="217">
        <f t="shared" si="45"/>
        <v>0.05</v>
      </c>
      <c r="U208" s="217" t="str">
        <f t="shared" si="45"/>
        <v>Breite Seite 1</v>
      </c>
      <c r="V208" s="217" t="str">
        <f t="shared" si="45"/>
        <v>x</v>
      </c>
      <c r="W208" s="217" t="str">
        <f t="shared" si="45"/>
        <v/>
      </c>
      <c r="X208" s="217" t="str">
        <f t="shared" si="45"/>
        <v/>
      </c>
      <c r="Y208" s="217" t="str">
        <f t="shared" si="45"/>
        <v>gs_tw_right_in</v>
      </c>
    </row>
    <row r="209" spans="1:25" x14ac:dyDescent="0.3">
      <c r="A209" s="216">
        <f t="shared" si="43"/>
        <v>207</v>
      </c>
      <c r="B209" s="217" t="str">
        <f t="shared" si="44"/>
        <v>x</v>
      </c>
      <c r="C209" s="217" t="str">
        <f t="shared" si="44"/>
        <v/>
      </c>
      <c r="D209" s="217" t="str">
        <f t="shared" si="44"/>
        <v/>
      </c>
      <c r="E209" s="217" t="str">
        <f t="shared" si="44"/>
        <v/>
      </c>
      <c r="F209" s="217" t="str">
        <f t="shared" si="44"/>
        <v/>
      </c>
      <c r="G209" s="217" t="str">
        <f t="shared" si="44"/>
        <v/>
      </c>
      <c r="H209" s="217" t="str">
        <f t="shared" si="44"/>
        <v/>
      </c>
      <c r="I209" s="217" t="str">
        <f t="shared" si="44"/>
        <v/>
      </c>
      <c r="J209" s="217" t="str">
        <f t="shared" si="44"/>
        <v/>
      </c>
      <c r="K209" s="217" t="str">
        <f t="shared" si="44"/>
        <v/>
      </c>
      <c r="L209" s="217" t="str">
        <f t="shared" si="45"/>
        <v>info</v>
      </c>
      <c r="M209" s="217" t="str">
        <f t="shared" si="45"/>
        <v>x</v>
      </c>
      <c r="N209" s="217" t="str">
        <f t="shared" si="45"/>
        <v/>
      </c>
      <c r="O209" s="217" t="str">
        <f t="shared" si="45"/>
        <v>model</v>
      </c>
      <c r="P209" s="218" t="str">
        <f t="shared" si="45"/>
        <v>Length</v>
      </c>
      <c r="Q209" s="218" t="str">
        <f t="shared" si="45"/>
        <v>x</v>
      </c>
      <c r="R209" s="218" t="str">
        <f t="shared" si="45"/>
        <v>BS</v>
      </c>
      <c r="S209" s="218" t="str">
        <f t="shared" si="45"/>
        <v>all</v>
      </c>
      <c r="T209" s="217">
        <f t="shared" si="45"/>
        <v>0.05</v>
      </c>
      <c r="U209" s="217" t="str">
        <f t="shared" si="45"/>
        <v>Breite Seite 2</v>
      </c>
      <c r="V209" s="217" t="str">
        <f t="shared" si="45"/>
        <v>x</v>
      </c>
      <c r="W209" s="217" t="str">
        <f t="shared" si="45"/>
        <v/>
      </c>
      <c r="X209" s="217" t="str">
        <f t="shared" si="45"/>
        <v/>
      </c>
      <c r="Y209" s="217" t="str">
        <f t="shared" si="45"/>
        <v>gs_tw_left_in</v>
      </c>
    </row>
    <row r="210" spans="1:25" x14ac:dyDescent="0.3">
      <c r="A210" s="216">
        <f t="shared" si="43"/>
        <v>208</v>
      </c>
      <c r="B210" s="217" t="str">
        <f t="shared" si="44"/>
        <v>x</v>
      </c>
      <c r="C210" s="217" t="str">
        <f t="shared" si="44"/>
        <v/>
      </c>
      <c r="D210" s="217" t="str">
        <f t="shared" si="44"/>
        <v/>
      </c>
      <c r="E210" s="217" t="str">
        <f t="shared" si="44"/>
        <v/>
      </c>
      <c r="F210" s="217" t="str">
        <f t="shared" si="44"/>
        <v/>
      </c>
      <c r="G210" s="217" t="str">
        <f t="shared" si="44"/>
        <v/>
      </c>
      <c r="H210" s="217" t="str">
        <f t="shared" si="44"/>
        <v/>
      </c>
      <c r="I210" s="217" t="str">
        <f t="shared" si="44"/>
        <v/>
      </c>
      <c r="J210" s="217" t="str">
        <f t="shared" si="44"/>
        <v/>
      </c>
      <c r="K210" s="217" t="str">
        <f t="shared" si="44"/>
        <v/>
      </c>
      <c r="L210" s="217" t="str">
        <f t="shared" si="45"/>
        <v>info</v>
      </c>
      <c r="M210" s="217" t="str">
        <f t="shared" si="45"/>
        <v>x</v>
      </c>
      <c r="N210" s="217" t="str">
        <f t="shared" si="45"/>
        <v/>
      </c>
      <c r="O210" s="217" t="str">
        <f t="shared" si="45"/>
        <v>model</v>
      </c>
      <c r="P210" s="218" t="str">
        <f t="shared" si="45"/>
        <v>Length</v>
      </c>
      <c r="Q210" s="218" t="str">
        <f t="shared" si="45"/>
        <v>x</v>
      </c>
      <c r="R210" s="218" t="str">
        <f t="shared" si="45"/>
        <v>BS</v>
      </c>
      <c r="S210" s="218" t="str">
        <f t="shared" si="45"/>
        <v>all</v>
      </c>
      <c r="T210" s="217">
        <f t="shared" si="45"/>
        <v>0.05</v>
      </c>
      <c r="U210" s="217" t="str">
        <f t="shared" si="45"/>
        <v>Breite oben</v>
      </c>
      <c r="V210" s="217" t="str">
        <f t="shared" si="45"/>
        <v>x</v>
      </c>
      <c r="W210" s="217" t="str">
        <f t="shared" si="45"/>
        <v/>
      </c>
      <c r="X210" s="217" t="str">
        <f t="shared" si="45"/>
        <v/>
      </c>
      <c r="Y210" s="217" t="str">
        <f t="shared" si="45"/>
        <v>gs_tw_top_in</v>
      </c>
    </row>
    <row r="211" spans="1:25" x14ac:dyDescent="0.3">
      <c r="A211" s="216">
        <f t="shared" si="43"/>
        <v>209</v>
      </c>
      <c r="B211" s="217" t="str">
        <f t="shared" si="44"/>
        <v>x</v>
      </c>
      <c r="C211" s="217" t="str">
        <f t="shared" si="44"/>
        <v/>
      </c>
      <c r="D211" s="217" t="str">
        <f t="shared" si="44"/>
        <v/>
      </c>
      <c r="E211" s="217" t="str">
        <f t="shared" si="44"/>
        <v/>
      </c>
      <c r="F211" s="217" t="str">
        <f t="shared" si="44"/>
        <v/>
      </c>
      <c r="G211" s="217" t="str">
        <f t="shared" si="44"/>
        <v/>
      </c>
      <c r="H211" s="217" t="str">
        <f t="shared" si="44"/>
        <v/>
      </c>
      <c r="I211" s="217" t="str">
        <f t="shared" si="44"/>
        <v/>
      </c>
      <c r="J211" s="217" t="str">
        <f t="shared" si="44"/>
        <v/>
      </c>
      <c r="K211" s="217" t="str">
        <f t="shared" si="44"/>
        <v/>
      </c>
      <c r="L211" s="217" t="str">
        <f t="shared" si="45"/>
        <v>info</v>
      </c>
      <c r="M211" s="217" t="str">
        <f t="shared" si="45"/>
        <v>x</v>
      </c>
      <c r="N211" s="217" t="str">
        <f t="shared" si="45"/>
        <v/>
      </c>
      <c r="O211" s="217" t="str">
        <f t="shared" si="45"/>
        <v>model</v>
      </c>
      <c r="P211" s="218" t="str">
        <f t="shared" si="45"/>
        <v>Length</v>
      </c>
      <c r="Q211" s="218" t="str">
        <f t="shared" si="45"/>
        <v>x</v>
      </c>
      <c r="R211" s="218" t="str">
        <f t="shared" si="45"/>
        <v>BS</v>
      </c>
      <c r="S211" s="218" t="str">
        <f t="shared" si="45"/>
        <v>all</v>
      </c>
      <c r="T211" s="217">
        <f t="shared" si="45"/>
        <v>1.9E-2</v>
      </c>
      <c r="U211" s="217" t="str">
        <f t="shared" si="45"/>
        <v>Dicke an Wand</v>
      </c>
      <c r="V211" s="217" t="str">
        <f t="shared" si="45"/>
        <v>x</v>
      </c>
      <c r="W211" s="217" t="str">
        <f t="shared" si="45"/>
        <v/>
      </c>
      <c r="X211" s="217" t="str">
        <f t="shared" si="45"/>
        <v/>
      </c>
      <c r="Y211" s="217" t="str">
        <f t="shared" si="45"/>
        <v>gs_trim_thk_in</v>
      </c>
    </row>
    <row r="212" spans="1:25" x14ac:dyDescent="0.3">
      <c r="A212" s="216">
        <f t="shared" si="43"/>
        <v>210</v>
      </c>
      <c r="B212" s="217" t="str">
        <f t="shared" si="44"/>
        <v>x</v>
      </c>
      <c r="C212" s="217" t="str">
        <f t="shared" si="44"/>
        <v/>
      </c>
      <c r="D212" s="217" t="str">
        <f t="shared" si="44"/>
        <v/>
      </c>
      <c r="E212" s="217" t="str">
        <f t="shared" si="44"/>
        <v/>
      </c>
      <c r="F212" s="217" t="str">
        <f t="shared" si="44"/>
        <v/>
      </c>
      <c r="G212" s="217" t="str">
        <f t="shared" si="44"/>
        <v/>
      </c>
      <c r="H212" s="217" t="str">
        <f t="shared" si="44"/>
        <v/>
      </c>
      <c r="I212" s="217" t="str">
        <f t="shared" si="44"/>
        <v/>
      </c>
      <c r="J212" s="217" t="str">
        <f t="shared" si="44"/>
        <v/>
      </c>
      <c r="K212" s="217" t="str">
        <f t="shared" si="44"/>
        <v/>
      </c>
      <c r="L212" s="217" t="str">
        <f t="shared" si="45"/>
        <v>info</v>
      </c>
      <c r="M212" s="217" t="str">
        <f t="shared" si="45"/>
        <v>x</v>
      </c>
      <c r="N212" s="217" t="str">
        <f t="shared" si="45"/>
        <v/>
      </c>
      <c r="O212" s="217" t="str">
        <f t="shared" si="45"/>
        <v>model</v>
      </c>
      <c r="P212" s="218" t="str">
        <f t="shared" si="45"/>
        <v>Length</v>
      </c>
      <c r="Q212" s="218" t="str">
        <f t="shared" si="45"/>
        <v>x</v>
      </c>
      <c r="R212" s="218" t="str">
        <f t="shared" si="45"/>
        <v>BS</v>
      </c>
      <c r="S212" s="218" t="str">
        <f t="shared" si="45"/>
        <v>all</v>
      </c>
      <c r="T212" s="217">
        <f t="shared" si="45"/>
        <v>2.5000000000000001E-2</v>
      </c>
      <c r="U212" s="217" t="str">
        <f t="shared" si="45"/>
        <v>Dicke in Wandloch</v>
      </c>
      <c r="V212" s="217" t="str">
        <f t="shared" si="45"/>
        <v>x</v>
      </c>
      <c r="W212" s="217" t="str">
        <f t="shared" si="45"/>
        <v/>
      </c>
      <c r="X212" s="217" t="str">
        <f t="shared" si="45"/>
        <v/>
      </c>
      <c r="Y212" s="217" t="str">
        <f t="shared" si="45"/>
        <v>gs_trim_width_in</v>
      </c>
    </row>
    <row r="213" spans="1:25" x14ac:dyDescent="0.3">
      <c r="A213" s="216">
        <f t="shared" si="43"/>
        <v>211</v>
      </c>
      <c r="B213" s="217" t="str">
        <f t="shared" ref="B213:K222" si="46">IF(ISNONTEXT(B$2),IF(B$2="","",IF(INDEX(IMPORT,$A213,B$2)=0,"",IFERROR(VLOOKUP(INDEX(IMPORT,$A213,B$2),ImportTranslation,2,0),INDEX(IMPORT,$A213,B$2)))),B$2)</f>
        <v>x</v>
      </c>
      <c r="C213" s="217" t="str">
        <f t="shared" si="46"/>
        <v/>
      </c>
      <c r="D213" s="217" t="str">
        <f t="shared" si="46"/>
        <v/>
      </c>
      <c r="E213" s="217" t="str">
        <f t="shared" si="46"/>
        <v/>
      </c>
      <c r="F213" s="217" t="str">
        <f t="shared" si="46"/>
        <v/>
      </c>
      <c r="G213" s="217" t="str">
        <f t="shared" si="46"/>
        <v/>
      </c>
      <c r="H213" s="217" t="str">
        <f t="shared" si="46"/>
        <v/>
      </c>
      <c r="I213" s="217" t="str">
        <f t="shared" si="46"/>
        <v/>
      </c>
      <c r="J213" s="217" t="str">
        <f t="shared" si="46"/>
        <v/>
      </c>
      <c r="K213" s="217" t="str">
        <f t="shared" si="46"/>
        <v/>
      </c>
      <c r="L213" s="217" t="str">
        <f t="shared" ref="L213:Y222" si="47">IF(ISNONTEXT(L$2),IF(L$2="","",IF(INDEX(IMPORT,$A213,L$2)=0,"",IFERROR(VLOOKUP(INDEX(IMPORT,$A213,L$2),ImportTranslation,2,0),INDEX(IMPORT,$A213,L$2)))),L$2)</f>
        <v>info</v>
      </c>
      <c r="M213" s="217" t="str">
        <f t="shared" si="47"/>
        <v>x</v>
      </c>
      <c r="N213" s="217" t="str">
        <f t="shared" si="47"/>
        <v/>
      </c>
      <c r="O213" s="217" t="str">
        <f t="shared" si="47"/>
        <v>model</v>
      </c>
      <c r="P213" s="218" t="str">
        <f t="shared" si="47"/>
        <v>Length</v>
      </c>
      <c r="Q213" s="218" t="str">
        <f t="shared" si="47"/>
        <v>x</v>
      </c>
      <c r="R213" s="218" t="str">
        <f t="shared" si="47"/>
        <v>BS</v>
      </c>
      <c r="S213" s="218" t="str">
        <f t="shared" si="47"/>
        <v>all</v>
      </c>
      <c r="T213" s="217" t="str">
        <f t="shared" si="47"/>
        <v/>
      </c>
      <c r="U213" s="217" t="str">
        <f t="shared" si="47"/>
        <v>Versatz</v>
      </c>
      <c r="V213" s="217" t="str">
        <f t="shared" si="47"/>
        <v>x</v>
      </c>
      <c r="W213" s="217" t="str">
        <f t="shared" si="47"/>
        <v/>
      </c>
      <c r="X213" s="217" t="str">
        <f t="shared" si="47"/>
        <v/>
      </c>
      <c r="Y213" s="217" t="str">
        <f t="shared" si="47"/>
        <v>gs_trim_offs_in</v>
      </c>
    </row>
    <row r="214" spans="1:25" x14ac:dyDescent="0.3">
      <c r="A214" s="216">
        <f t="shared" si="43"/>
        <v>212</v>
      </c>
      <c r="B214" s="217" t="str">
        <f t="shared" si="46"/>
        <v>x</v>
      </c>
      <c r="C214" s="217" t="str">
        <f t="shared" si="46"/>
        <v/>
      </c>
      <c r="D214" s="217" t="str">
        <f t="shared" si="46"/>
        <v/>
      </c>
      <c r="E214" s="217" t="str">
        <f t="shared" si="46"/>
        <v/>
      </c>
      <c r="F214" s="217" t="str">
        <f t="shared" si="46"/>
        <v/>
      </c>
      <c r="G214" s="217" t="str">
        <f t="shared" si="46"/>
        <v/>
      </c>
      <c r="H214" s="217" t="str">
        <f t="shared" si="46"/>
        <v/>
      </c>
      <c r="I214" s="217" t="str">
        <f t="shared" si="46"/>
        <v/>
      </c>
      <c r="J214" s="217" t="str">
        <f t="shared" si="46"/>
        <v/>
      </c>
      <c r="K214" s="217" t="str">
        <f t="shared" si="46"/>
        <v/>
      </c>
      <c r="L214" s="217" t="str">
        <f t="shared" si="47"/>
        <v>info</v>
      </c>
      <c r="M214" s="217" t="str">
        <f t="shared" si="47"/>
        <v>x</v>
      </c>
      <c r="N214" s="217" t="str">
        <f t="shared" si="47"/>
        <v/>
      </c>
      <c r="O214" s="217" t="str">
        <f t="shared" si="47"/>
        <v>model</v>
      </c>
      <c r="P214" s="218" t="str">
        <f t="shared" si="47"/>
        <v>Length</v>
      </c>
      <c r="Q214" s="218" t="str">
        <f t="shared" si="47"/>
        <v>x</v>
      </c>
      <c r="R214" s="218" t="str">
        <f t="shared" si="47"/>
        <v>BS</v>
      </c>
      <c r="S214" s="218" t="str">
        <f t="shared" si="47"/>
        <v>all</v>
      </c>
      <c r="T214" s="217">
        <f t="shared" si="47"/>
        <v>0.03</v>
      </c>
      <c r="U214" s="217" t="str">
        <f t="shared" si="47"/>
        <v>Auskragung</v>
      </c>
      <c r="V214" s="217" t="str">
        <f t="shared" si="47"/>
        <v>x</v>
      </c>
      <c r="W214" s="217" t="str">
        <f t="shared" si="47"/>
        <v/>
      </c>
      <c r="X214" s="217" t="str">
        <f t="shared" si="47"/>
        <v/>
      </c>
      <c r="Y214" s="217" t="str">
        <f t="shared" si="47"/>
        <v>gs_trim_jambext_nosing_in</v>
      </c>
    </row>
    <row r="215" spans="1:25" x14ac:dyDescent="0.3">
      <c r="A215" s="216">
        <f t="shared" si="43"/>
        <v>213</v>
      </c>
      <c r="B215" s="217" t="str">
        <f t="shared" si="46"/>
        <v>x</v>
      </c>
      <c r="C215" s="217" t="str">
        <f t="shared" si="46"/>
        <v/>
      </c>
      <c r="D215" s="217" t="str">
        <f t="shared" si="46"/>
        <v/>
      </c>
      <c r="E215" s="217" t="str">
        <f t="shared" si="46"/>
        <v/>
      </c>
      <c r="F215" s="217" t="str">
        <f t="shared" si="46"/>
        <v/>
      </c>
      <c r="G215" s="217" t="str">
        <f t="shared" si="46"/>
        <v/>
      </c>
      <c r="H215" s="217" t="str">
        <f t="shared" si="46"/>
        <v/>
      </c>
      <c r="I215" s="217" t="str">
        <f t="shared" si="46"/>
        <v/>
      </c>
      <c r="J215" s="217" t="str">
        <f t="shared" si="46"/>
        <v/>
      </c>
      <c r="K215" s="217" t="str">
        <f t="shared" si="46"/>
        <v/>
      </c>
      <c r="L215" s="217" t="str">
        <f t="shared" si="47"/>
        <v>info</v>
      </c>
      <c r="M215" s="217" t="str">
        <f t="shared" si="47"/>
        <v>x</v>
      </c>
      <c r="N215" s="217" t="str">
        <f t="shared" si="47"/>
        <v/>
      </c>
      <c r="O215" s="217" t="str">
        <f t="shared" si="47"/>
        <v>model</v>
      </c>
      <c r="P215" s="218" t="str">
        <f t="shared" si="47"/>
        <v>Length</v>
      </c>
      <c r="Q215" s="218" t="str">
        <f t="shared" si="47"/>
        <v>x</v>
      </c>
      <c r="R215" s="218" t="str">
        <f t="shared" si="47"/>
        <v>BS</v>
      </c>
      <c r="S215" s="218" t="str">
        <f t="shared" si="47"/>
        <v>all</v>
      </c>
      <c r="T215" s="217">
        <f t="shared" si="47"/>
        <v>0.1</v>
      </c>
      <c r="U215" s="217" t="str">
        <f t="shared" si="47"/>
        <v>Oberer Überstand</v>
      </c>
      <c r="V215" s="217" t="str">
        <f t="shared" si="47"/>
        <v>x</v>
      </c>
      <c r="W215" s="217" t="str">
        <f t="shared" si="47"/>
        <v/>
      </c>
      <c r="X215" s="217" t="str">
        <f t="shared" si="47"/>
        <v/>
      </c>
      <c r="Y215" s="217" t="str">
        <f t="shared" si="47"/>
        <v>gs_trimov_top_right_in</v>
      </c>
    </row>
    <row r="216" spans="1:25" x14ac:dyDescent="0.3">
      <c r="A216" s="216">
        <f t="shared" si="43"/>
        <v>214</v>
      </c>
      <c r="B216" s="217" t="str">
        <f t="shared" si="46"/>
        <v>x</v>
      </c>
      <c r="C216" s="217" t="str">
        <f t="shared" si="46"/>
        <v/>
      </c>
      <c r="D216" s="217" t="str">
        <f t="shared" si="46"/>
        <v/>
      </c>
      <c r="E216" s="217" t="str">
        <f t="shared" si="46"/>
        <v/>
      </c>
      <c r="F216" s="217" t="str">
        <f t="shared" si="46"/>
        <v/>
      </c>
      <c r="G216" s="217" t="str">
        <f t="shared" si="46"/>
        <v/>
      </c>
      <c r="H216" s="217" t="str">
        <f t="shared" si="46"/>
        <v/>
      </c>
      <c r="I216" s="217" t="str">
        <f t="shared" si="46"/>
        <v/>
      </c>
      <c r="J216" s="217" t="str">
        <f t="shared" si="46"/>
        <v/>
      </c>
      <c r="K216" s="217" t="str">
        <f t="shared" si="46"/>
        <v/>
      </c>
      <c r="L216" s="217" t="str">
        <f t="shared" si="47"/>
        <v>info</v>
      </c>
      <c r="M216" s="217" t="str">
        <f t="shared" si="47"/>
        <v>x</v>
      </c>
      <c r="N216" s="217" t="str">
        <f t="shared" si="47"/>
        <v/>
      </c>
      <c r="O216" s="217" t="str">
        <f t="shared" si="47"/>
        <v>model</v>
      </c>
      <c r="P216" s="218" t="str">
        <f t="shared" si="47"/>
        <v>FillPattern</v>
      </c>
      <c r="Q216" s="218" t="str">
        <f t="shared" si="47"/>
        <v>x</v>
      </c>
      <c r="R216" s="218" t="str">
        <f t="shared" si="47"/>
        <v>BS</v>
      </c>
      <c r="S216" s="218" t="str">
        <f t="shared" si="47"/>
        <v>all</v>
      </c>
      <c r="T216" s="217">
        <f t="shared" si="47"/>
        <v>65</v>
      </c>
      <c r="U216" s="217" t="str">
        <f t="shared" si="47"/>
        <v>Schraffur Zarge innen</v>
      </c>
      <c r="V216" s="217" t="str">
        <f t="shared" si="47"/>
        <v>x</v>
      </c>
      <c r="W216" s="217" t="str">
        <f t="shared" si="47"/>
        <v/>
      </c>
      <c r="X216" s="217" t="str">
        <f t="shared" si="47"/>
        <v/>
      </c>
      <c r="Y216" s="217" t="str">
        <f t="shared" si="47"/>
        <v>gs_trim_fill_in</v>
      </c>
    </row>
    <row r="217" spans="1:25" x14ac:dyDescent="0.3">
      <c r="A217" s="216">
        <f t="shared" si="43"/>
        <v>215</v>
      </c>
      <c r="B217" s="217" t="str">
        <f t="shared" si="46"/>
        <v>x</v>
      </c>
      <c r="C217" s="217" t="str">
        <f t="shared" si="46"/>
        <v/>
      </c>
      <c r="D217" s="217" t="str">
        <f t="shared" si="46"/>
        <v/>
      </c>
      <c r="E217" s="217" t="str">
        <f t="shared" si="46"/>
        <v/>
      </c>
      <c r="F217" s="217" t="str">
        <f t="shared" si="46"/>
        <v/>
      </c>
      <c r="G217" s="217" t="str">
        <f t="shared" si="46"/>
        <v/>
      </c>
      <c r="H217" s="217" t="str">
        <f t="shared" si="46"/>
        <v/>
      </c>
      <c r="I217" s="217" t="str">
        <f t="shared" si="46"/>
        <v/>
      </c>
      <c r="J217" s="217" t="str">
        <f t="shared" si="46"/>
        <v/>
      </c>
      <c r="K217" s="217" t="str">
        <f t="shared" si="46"/>
        <v/>
      </c>
      <c r="L217" s="217" t="str">
        <f t="shared" si="47"/>
        <v>info</v>
      </c>
      <c r="M217" s="217" t="str">
        <f t="shared" si="47"/>
        <v>x</v>
      </c>
      <c r="N217" s="217" t="str">
        <f t="shared" si="47"/>
        <v/>
      </c>
      <c r="O217" s="217" t="str">
        <f t="shared" si="47"/>
        <v>model</v>
      </c>
      <c r="P217" s="218" t="str">
        <f t="shared" si="47"/>
        <v>PenColor</v>
      </c>
      <c r="Q217" s="218" t="str">
        <f t="shared" si="47"/>
        <v>x</v>
      </c>
      <c r="R217" s="218" t="str">
        <f t="shared" si="47"/>
        <v>BS</v>
      </c>
      <c r="S217" s="218" t="str">
        <f t="shared" si="47"/>
        <v>all</v>
      </c>
      <c r="T217" s="217">
        <f t="shared" si="47"/>
        <v>19</v>
      </c>
      <c r="U217" s="217" t="str">
        <f t="shared" si="47"/>
        <v>Schraffurstift Zarge innen</v>
      </c>
      <c r="V217" s="217" t="str">
        <f t="shared" si="47"/>
        <v>x</v>
      </c>
      <c r="W217" s="217" t="str">
        <f t="shared" si="47"/>
        <v/>
      </c>
      <c r="X217" s="217" t="str">
        <f t="shared" si="47"/>
        <v/>
      </c>
      <c r="Y217" s="217" t="str">
        <f t="shared" si="47"/>
        <v>gs_trim_pen_fg_in</v>
      </c>
    </row>
    <row r="218" spans="1:25" x14ac:dyDescent="0.3">
      <c r="A218" s="216">
        <f t="shared" si="43"/>
        <v>216</v>
      </c>
      <c r="B218" s="217" t="str">
        <f t="shared" si="46"/>
        <v>x</v>
      </c>
      <c r="C218" s="217" t="str">
        <f t="shared" si="46"/>
        <v/>
      </c>
      <c r="D218" s="217" t="str">
        <f t="shared" si="46"/>
        <v/>
      </c>
      <c r="E218" s="217" t="str">
        <f t="shared" si="46"/>
        <v/>
      </c>
      <c r="F218" s="217" t="str">
        <f t="shared" si="46"/>
        <v/>
      </c>
      <c r="G218" s="217" t="str">
        <f t="shared" si="46"/>
        <v/>
      </c>
      <c r="H218" s="217" t="str">
        <f t="shared" si="46"/>
        <v/>
      </c>
      <c r="I218" s="217" t="str">
        <f t="shared" si="46"/>
        <v/>
      </c>
      <c r="J218" s="217" t="str">
        <f t="shared" si="46"/>
        <v/>
      </c>
      <c r="K218" s="217" t="str">
        <f t="shared" si="46"/>
        <v/>
      </c>
      <c r="L218" s="217" t="str">
        <f t="shared" si="47"/>
        <v>info</v>
      </c>
      <c r="M218" s="217" t="str">
        <f t="shared" si="47"/>
        <v>x</v>
      </c>
      <c r="N218" s="217" t="str">
        <f t="shared" si="47"/>
        <v/>
      </c>
      <c r="O218" s="217" t="str">
        <f t="shared" si="47"/>
        <v>model</v>
      </c>
      <c r="P218" s="218" t="str">
        <f t="shared" si="47"/>
        <v>PenColor</v>
      </c>
      <c r="Q218" s="218" t="str">
        <f t="shared" si="47"/>
        <v>x</v>
      </c>
      <c r="R218" s="218" t="str">
        <f t="shared" si="47"/>
        <v>BS</v>
      </c>
      <c r="S218" s="218" t="str">
        <f t="shared" si="47"/>
        <v>all</v>
      </c>
      <c r="T218" s="217">
        <f t="shared" si="47"/>
        <v>19</v>
      </c>
      <c r="U218" s="217" t="str">
        <f t="shared" si="47"/>
        <v>Hintergrundstift Zarge innen</v>
      </c>
      <c r="V218" s="217" t="str">
        <f t="shared" si="47"/>
        <v>x</v>
      </c>
      <c r="W218" s="217" t="str">
        <f t="shared" si="47"/>
        <v/>
      </c>
      <c r="X218" s="217" t="str">
        <f t="shared" si="47"/>
        <v/>
      </c>
      <c r="Y218" s="217" t="str">
        <f t="shared" si="47"/>
        <v>gs_trim_pen_bg_in</v>
      </c>
    </row>
    <row r="219" spans="1:25" x14ac:dyDescent="0.3">
      <c r="A219" s="216">
        <f t="shared" si="43"/>
        <v>217</v>
      </c>
      <c r="B219" s="217" t="str">
        <f t="shared" si="46"/>
        <v>x</v>
      </c>
      <c r="C219" s="217" t="str">
        <f t="shared" si="46"/>
        <v/>
      </c>
      <c r="D219" s="217" t="str">
        <f t="shared" si="46"/>
        <v/>
      </c>
      <c r="E219" s="217" t="str">
        <f t="shared" si="46"/>
        <v/>
      </c>
      <c r="F219" s="217" t="str">
        <f t="shared" si="46"/>
        <v/>
      </c>
      <c r="G219" s="217" t="str">
        <f t="shared" si="46"/>
        <v/>
      </c>
      <c r="H219" s="217" t="str">
        <f t="shared" si="46"/>
        <v/>
      </c>
      <c r="I219" s="217" t="str">
        <f t="shared" si="46"/>
        <v/>
      </c>
      <c r="J219" s="217" t="str">
        <f t="shared" si="46"/>
        <v/>
      </c>
      <c r="K219" s="217" t="str">
        <f t="shared" si="46"/>
        <v/>
      </c>
      <c r="L219" s="217" t="str">
        <f t="shared" si="47"/>
        <v>info</v>
      </c>
      <c r="M219" s="217" t="str">
        <f t="shared" si="47"/>
        <v/>
      </c>
      <c r="N219" s="217" t="str">
        <f t="shared" si="47"/>
        <v/>
      </c>
      <c r="O219" s="217" t="str">
        <f t="shared" si="47"/>
        <v>model</v>
      </c>
      <c r="P219" s="218" t="str">
        <f t="shared" si="47"/>
        <v>Boolean</v>
      </c>
      <c r="Q219" s="218" t="str">
        <f t="shared" si="47"/>
        <v>x</v>
      </c>
      <c r="R219" s="218" t="str">
        <f t="shared" si="47"/>
        <v>BS</v>
      </c>
      <c r="S219" s="218" t="str">
        <f t="shared" si="47"/>
        <v>all</v>
      </c>
      <c r="T219" s="217" t="str">
        <f t="shared" si="47"/>
        <v/>
      </c>
      <c r="U219" s="217" t="str">
        <f t="shared" si="47"/>
        <v>Fensterbank Außen</v>
      </c>
      <c r="V219" s="217" t="str">
        <f t="shared" si="47"/>
        <v/>
      </c>
      <c r="W219" s="217" t="str">
        <f t="shared" si="47"/>
        <v/>
      </c>
      <c r="X219" s="217" t="str">
        <f t="shared" si="47"/>
        <v/>
      </c>
      <c r="Y219" s="217" t="str">
        <f t="shared" si="47"/>
        <v>gs_sill_outside</v>
      </c>
    </row>
    <row r="220" spans="1:25" x14ac:dyDescent="0.3">
      <c r="A220" s="216">
        <f t="shared" si="43"/>
        <v>218</v>
      </c>
      <c r="B220" s="217" t="str">
        <f t="shared" si="46"/>
        <v>x</v>
      </c>
      <c r="C220" s="217" t="str">
        <f t="shared" si="46"/>
        <v/>
      </c>
      <c r="D220" s="217" t="str">
        <f t="shared" si="46"/>
        <v/>
      </c>
      <c r="E220" s="217" t="str">
        <f t="shared" si="46"/>
        <v/>
      </c>
      <c r="F220" s="217" t="str">
        <f t="shared" si="46"/>
        <v/>
      </c>
      <c r="G220" s="217" t="str">
        <f t="shared" si="46"/>
        <v/>
      </c>
      <c r="H220" s="217" t="str">
        <f t="shared" si="46"/>
        <v/>
      </c>
      <c r="I220" s="217" t="str">
        <f t="shared" si="46"/>
        <v/>
      </c>
      <c r="J220" s="217" t="str">
        <f t="shared" si="46"/>
        <v/>
      </c>
      <c r="K220" s="217" t="str">
        <f t="shared" si="46"/>
        <v/>
      </c>
      <c r="L220" s="217" t="str">
        <f t="shared" si="47"/>
        <v>info</v>
      </c>
      <c r="M220" s="217" t="str">
        <f t="shared" si="47"/>
        <v>x</v>
      </c>
      <c r="N220" s="217" t="str">
        <f t="shared" si="47"/>
        <v/>
      </c>
      <c r="O220" s="217" t="str">
        <f t="shared" si="47"/>
        <v>model</v>
      </c>
      <c r="P220" s="218" t="str">
        <f t="shared" si="47"/>
        <v>Boolean</v>
      </c>
      <c r="Q220" s="218" t="str">
        <f t="shared" si="47"/>
        <v>x</v>
      </c>
      <c r="R220" s="218" t="str">
        <f t="shared" si="47"/>
        <v>BS</v>
      </c>
      <c r="S220" s="218" t="str">
        <f t="shared" si="47"/>
        <v>all</v>
      </c>
      <c r="T220" s="217" t="str">
        <f t="shared" si="47"/>
        <v/>
      </c>
      <c r="U220" s="217" t="str">
        <f t="shared" si="47"/>
        <v>Übergröße Fensterbank Außen</v>
      </c>
      <c r="V220" s="217" t="str">
        <f t="shared" si="47"/>
        <v>x</v>
      </c>
      <c r="W220" s="217" t="str">
        <f t="shared" si="47"/>
        <v/>
      </c>
      <c r="X220" s="217" t="str">
        <f t="shared" si="47"/>
        <v/>
      </c>
      <c r="Y220" s="217" t="str">
        <f t="shared" si="47"/>
        <v>gs_sill_oversize</v>
      </c>
    </row>
    <row r="221" spans="1:25" x14ac:dyDescent="0.3">
      <c r="A221" s="216">
        <f t="shared" si="43"/>
        <v>219</v>
      </c>
      <c r="B221" s="217" t="str">
        <f t="shared" si="46"/>
        <v>x</v>
      </c>
      <c r="C221" s="217" t="str">
        <f t="shared" si="46"/>
        <v/>
      </c>
      <c r="D221" s="217" t="str">
        <f t="shared" si="46"/>
        <v/>
      </c>
      <c r="E221" s="217" t="str">
        <f t="shared" si="46"/>
        <v/>
      </c>
      <c r="F221" s="217" t="str">
        <f t="shared" si="46"/>
        <v/>
      </c>
      <c r="G221" s="217" t="str">
        <f t="shared" si="46"/>
        <v/>
      </c>
      <c r="H221" s="217" t="str">
        <f t="shared" si="46"/>
        <v/>
      </c>
      <c r="I221" s="217" t="str">
        <f t="shared" si="46"/>
        <v/>
      </c>
      <c r="J221" s="217" t="str">
        <f t="shared" si="46"/>
        <v/>
      </c>
      <c r="K221" s="217" t="str">
        <f t="shared" si="46"/>
        <v/>
      </c>
      <c r="L221" s="217" t="str">
        <f t="shared" si="47"/>
        <v>info</v>
      </c>
      <c r="M221" s="217" t="str">
        <f t="shared" si="47"/>
        <v>x</v>
      </c>
      <c r="N221" s="217" t="str">
        <f t="shared" si="47"/>
        <v/>
      </c>
      <c r="O221" s="217" t="str">
        <f t="shared" si="47"/>
        <v>model</v>
      </c>
      <c r="P221" s="218" t="str">
        <f t="shared" si="47"/>
        <v>Integer</v>
      </c>
      <c r="Q221" s="218" t="str">
        <f t="shared" si="47"/>
        <v>x</v>
      </c>
      <c r="R221" s="218" t="str">
        <f t="shared" si="47"/>
        <v>BS</v>
      </c>
      <c r="S221" s="218" t="str">
        <f t="shared" si="47"/>
        <v>all</v>
      </c>
      <c r="T221" s="217">
        <f t="shared" si="47"/>
        <v>2</v>
      </c>
      <c r="U221" s="217" t="str">
        <f t="shared" si="47"/>
        <v>Fensterbanktyp</v>
      </c>
      <c r="V221" s="217" t="str">
        <f t="shared" si="47"/>
        <v>x</v>
      </c>
      <c r="W221" s="217" t="str">
        <f t="shared" si="47"/>
        <v/>
      </c>
      <c r="X221" s="217" t="str">
        <f t="shared" si="47"/>
        <v/>
      </c>
      <c r="Y221" s="217" t="str">
        <f t="shared" si="47"/>
        <v>iSillType</v>
      </c>
    </row>
    <row r="222" spans="1:25" x14ac:dyDescent="0.3">
      <c r="A222" s="216">
        <f t="shared" si="43"/>
        <v>220</v>
      </c>
      <c r="B222" s="217" t="str">
        <f t="shared" si="46"/>
        <v>x</v>
      </c>
      <c r="C222" s="217" t="str">
        <f t="shared" si="46"/>
        <v/>
      </c>
      <c r="D222" s="217" t="str">
        <f t="shared" si="46"/>
        <v/>
      </c>
      <c r="E222" s="217" t="str">
        <f t="shared" si="46"/>
        <v/>
      </c>
      <c r="F222" s="217" t="str">
        <f t="shared" si="46"/>
        <v/>
      </c>
      <c r="G222" s="217" t="str">
        <f t="shared" si="46"/>
        <v/>
      </c>
      <c r="H222" s="217" t="str">
        <f t="shared" si="46"/>
        <v/>
      </c>
      <c r="I222" s="217" t="str">
        <f t="shared" si="46"/>
        <v/>
      </c>
      <c r="J222" s="217" t="str">
        <f t="shared" si="46"/>
        <v/>
      </c>
      <c r="K222" s="217" t="str">
        <f t="shared" si="46"/>
        <v>x</v>
      </c>
      <c r="L222" s="217" t="str">
        <f t="shared" si="47"/>
        <v>info</v>
      </c>
      <c r="M222" s="217" t="str">
        <f t="shared" si="47"/>
        <v>x</v>
      </c>
      <c r="N222" s="217" t="str">
        <f t="shared" si="47"/>
        <v/>
      </c>
      <c r="O222" s="217" t="str">
        <f t="shared" si="47"/>
        <v>model</v>
      </c>
      <c r="P222" s="218" t="str">
        <f t="shared" si="47"/>
        <v>Length</v>
      </c>
      <c r="Q222" s="218" t="str">
        <f t="shared" si="47"/>
        <v>x</v>
      </c>
      <c r="R222" s="218" t="str">
        <f t="shared" si="47"/>
        <v>BS</v>
      </c>
      <c r="S222" s="218" t="str">
        <f t="shared" si="47"/>
        <v>all</v>
      </c>
      <c r="T222" s="217" t="str">
        <f t="shared" si="47"/>
        <v/>
      </c>
      <c r="U222" s="217" t="str">
        <f t="shared" si="47"/>
        <v>Fensterbank Breite</v>
      </c>
      <c r="V222" s="217" t="str">
        <f t="shared" si="47"/>
        <v>x</v>
      </c>
      <c r="W222" s="217" t="str">
        <f t="shared" si="47"/>
        <v/>
      </c>
      <c r="X222" s="217" t="str">
        <f t="shared" si="47"/>
        <v/>
      </c>
      <c r="Y222" s="217" t="str">
        <f t="shared" si="47"/>
        <v>gs_sill_width</v>
      </c>
    </row>
    <row r="223" spans="1:25" x14ac:dyDescent="0.3">
      <c r="A223" s="216">
        <f t="shared" si="43"/>
        <v>221</v>
      </c>
      <c r="B223" s="217" t="str">
        <f t="shared" ref="B223:K232" si="48">IF(ISNONTEXT(B$2),IF(B$2="","",IF(INDEX(IMPORT,$A223,B$2)=0,"",IFERROR(VLOOKUP(INDEX(IMPORT,$A223,B$2),ImportTranslation,2,0),INDEX(IMPORT,$A223,B$2)))),B$2)</f>
        <v>x</v>
      </c>
      <c r="C223" s="217" t="str">
        <f t="shared" si="48"/>
        <v/>
      </c>
      <c r="D223" s="217" t="str">
        <f t="shared" si="48"/>
        <v/>
      </c>
      <c r="E223" s="217" t="str">
        <f t="shared" si="48"/>
        <v/>
      </c>
      <c r="F223" s="217" t="str">
        <f t="shared" si="48"/>
        <v/>
      </c>
      <c r="G223" s="217" t="str">
        <f t="shared" si="48"/>
        <v/>
      </c>
      <c r="H223" s="217" t="str">
        <f t="shared" si="48"/>
        <v/>
      </c>
      <c r="I223" s="217" t="str">
        <f t="shared" si="48"/>
        <v/>
      </c>
      <c r="J223" s="217" t="str">
        <f t="shared" si="48"/>
        <v/>
      </c>
      <c r="K223" s="217" t="str">
        <f t="shared" si="48"/>
        <v/>
      </c>
      <c r="L223" s="217" t="str">
        <f t="shared" ref="L223:Y232" si="49">IF(ISNONTEXT(L$2),IF(L$2="","",IF(INDEX(IMPORT,$A223,L$2)=0,"",IFERROR(VLOOKUP(INDEX(IMPORT,$A223,L$2),ImportTranslation,2,0),INDEX(IMPORT,$A223,L$2)))),L$2)</f>
        <v>info</v>
      </c>
      <c r="M223" s="217" t="str">
        <f t="shared" si="49"/>
        <v>x</v>
      </c>
      <c r="N223" s="217" t="str">
        <f t="shared" si="49"/>
        <v/>
      </c>
      <c r="O223" s="217" t="str">
        <f t="shared" si="49"/>
        <v>model</v>
      </c>
      <c r="P223" s="218" t="str">
        <f t="shared" si="49"/>
        <v>Length</v>
      </c>
      <c r="Q223" s="218" t="str">
        <f t="shared" si="49"/>
        <v>x</v>
      </c>
      <c r="R223" s="218" t="str">
        <f t="shared" si="49"/>
        <v>BS</v>
      </c>
      <c r="S223" s="218" t="str">
        <f t="shared" si="49"/>
        <v>all</v>
      </c>
      <c r="T223" s="217">
        <f t="shared" si="49"/>
        <v>0.01</v>
      </c>
      <c r="U223" s="217" t="str">
        <f t="shared" si="49"/>
        <v>Fensterbank obere Breite</v>
      </c>
      <c r="V223" s="217" t="str">
        <f t="shared" si="49"/>
        <v>x</v>
      </c>
      <c r="W223" s="217" t="str">
        <f t="shared" si="49"/>
        <v/>
      </c>
      <c r="X223" s="217" t="str">
        <f t="shared" si="49"/>
        <v/>
      </c>
      <c r="Y223" s="217" t="str">
        <f t="shared" si="49"/>
        <v>gs_sill_topWidth</v>
      </c>
    </row>
    <row r="224" spans="1:25" x14ac:dyDescent="0.3">
      <c r="A224" s="216">
        <f t="shared" si="43"/>
        <v>222</v>
      </c>
      <c r="B224" s="217" t="str">
        <f t="shared" si="48"/>
        <v>x</v>
      </c>
      <c r="C224" s="217" t="str">
        <f t="shared" si="48"/>
        <v/>
      </c>
      <c r="D224" s="217" t="str">
        <f t="shared" si="48"/>
        <v/>
      </c>
      <c r="E224" s="217" t="str">
        <f t="shared" si="48"/>
        <v/>
      </c>
      <c r="F224" s="217" t="str">
        <f t="shared" si="48"/>
        <v/>
      </c>
      <c r="G224" s="217" t="str">
        <f t="shared" si="48"/>
        <v/>
      </c>
      <c r="H224" s="217" t="str">
        <f t="shared" si="48"/>
        <v/>
      </c>
      <c r="I224" s="217" t="str">
        <f t="shared" si="48"/>
        <v/>
      </c>
      <c r="J224" s="217" t="str">
        <f t="shared" si="48"/>
        <v/>
      </c>
      <c r="K224" s="217" t="str">
        <f t="shared" si="48"/>
        <v/>
      </c>
      <c r="L224" s="217" t="str">
        <f t="shared" si="49"/>
        <v>info</v>
      </c>
      <c r="M224" s="217" t="str">
        <f t="shared" si="49"/>
        <v>x</v>
      </c>
      <c r="N224" s="217" t="str">
        <f t="shared" si="49"/>
        <v/>
      </c>
      <c r="O224" s="217" t="str">
        <f t="shared" si="49"/>
        <v>model</v>
      </c>
      <c r="P224" s="218" t="str">
        <f t="shared" si="49"/>
        <v>Length</v>
      </c>
      <c r="Q224" s="218" t="str">
        <f t="shared" si="49"/>
        <v>x</v>
      </c>
      <c r="R224" s="218" t="str">
        <f t="shared" si="49"/>
        <v>BS</v>
      </c>
      <c r="S224" s="218" t="str">
        <f t="shared" si="49"/>
        <v>all</v>
      </c>
      <c r="T224" s="217">
        <f t="shared" si="49"/>
        <v>0.01</v>
      </c>
      <c r="U224" s="217" t="str">
        <f t="shared" si="49"/>
        <v>Fensterbank obere Höhe</v>
      </c>
      <c r="V224" s="217" t="str">
        <f t="shared" si="49"/>
        <v>x</v>
      </c>
      <c r="W224" s="217" t="str">
        <f t="shared" si="49"/>
        <v/>
      </c>
      <c r="X224" s="217" t="str">
        <f t="shared" si="49"/>
        <v/>
      </c>
      <c r="Y224" s="217" t="str">
        <f t="shared" si="49"/>
        <v>gs_sill_topHeight</v>
      </c>
    </row>
    <row r="225" spans="1:25" x14ac:dyDescent="0.3">
      <c r="A225" s="216">
        <f t="shared" si="43"/>
        <v>223</v>
      </c>
      <c r="B225" s="217" t="str">
        <f t="shared" si="48"/>
        <v>x</v>
      </c>
      <c r="C225" s="217" t="str">
        <f t="shared" si="48"/>
        <v/>
      </c>
      <c r="D225" s="217" t="str">
        <f t="shared" si="48"/>
        <v/>
      </c>
      <c r="E225" s="217" t="str">
        <f t="shared" si="48"/>
        <v/>
      </c>
      <c r="F225" s="217" t="str">
        <f t="shared" si="48"/>
        <v/>
      </c>
      <c r="G225" s="217" t="str">
        <f t="shared" si="48"/>
        <v/>
      </c>
      <c r="H225" s="217" t="str">
        <f t="shared" si="48"/>
        <v/>
      </c>
      <c r="I225" s="217" t="str">
        <f t="shared" si="48"/>
        <v/>
      </c>
      <c r="J225" s="217" t="str">
        <f t="shared" si="48"/>
        <v/>
      </c>
      <c r="K225" s="217" t="str">
        <f t="shared" si="48"/>
        <v/>
      </c>
      <c r="L225" s="217" t="str">
        <f t="shared" si="49"/>
        <v>info</v>
      </c>
      <c r="M225" s="217" t="str">
        <f t="shared" si="49"/>
        <v>x</v>
      </c>
      <c r="N225" s="217" t="str">
        <f t="shared" si="49"/>
        <v/>
      </c>
      <c r="O225" s="217" t="str">
        <f t="shared" si="49"/>
        <v>model</v>
      </c>
      <c r="P225" s="218" t="str">
        <f t="shared" si="49"/>
        <v>Length</v>
      </c>
      <c r="Q225" s="218" t="str">
        <f t="shared" si="49"/>
        <v>x</v>
      </c>
      <c r="R225" s="218" t="str">
        <f t="shared" si="49"/>
        <v>BS</v>
      </c>
      <c r="S225" s="218" t="str">
        <f t="shared" si="49"/>
        <v>all</v>
      </c>
      <c r="T225" s="217">
        <f t="shared" si="49"/>
        <v>2.5000000000000001E-2</v>
      </c>
      <c r="U225" s="217" t="str">
        <f t="shared" si="49"/>
        <v>Schwellendicke</v>
      </c>
      <c r="V225" s="217" t="str">
        <f t="shared" si="49"/>
        <v>x</v>
      </c>
      <c r="W225" s="217" t="str">
        <f t="shared" si="49"/>
        <v/>
      </c>
      <c r="X225" s="217" t="str">
        <f t="shared" si="49"/>
        <v/>
      </c>
      <c r="Y225" s="217" t="str">
        <f t="shared" si="49"/>
        <v>gs_sill_thk</v>
      </c>
    </row>
    <row r="226" spans="1:25" x14ac:dyDescent="0.3">
      <c r="A226" s="216">
        <f t="shared" si="43"/>
        <v>224</v>
      </c>
      <c r="B226" s="217" t="str">
        <f t="shared" si="48"/>
        <v>x</v>
      </c>
      <c r="C226" s="217" t="str">
        <f t="shared" si="48"/>
        <v/>
      </c>
      <c r="D226" s="217" t="str">
        <f t="shared" si="48"/>
        <v/>
      </c>
      <c r="E226" s="217" t="str">
        <f t="shared" si="48"/>
        <v/>
      </c>
      <c r="F226" s="217" t="str">
        <f t="shared" si="48"/>
        <v/>
      </c>
      <c r="G226" s="217" t="str">
        <f t="shared" si="48"/>
        <v/>
      </c>
      <c r="H226" s="217" t="str">
        <f t="shared" si="48"/>
        <v/>
      </c>
      <c r="I226" s="217" t="str">
        <f t="shared" si="48"/>
        <v/>
      </c>
      <c r="J226" s="217" t="str">
        <f t="shared" si="48"/>
        <v/>
      </c>
      <c r="K226" s="217" t="str">
        <f t="shared" si="48"/>
        <v/>
      </c>
      <c r="L226" s="217" t="str">
        <f t="shared" si="49"/>
        <v>info</v>
      </c>
      <c r="M226" s="217" t="str">
        <f t="shared" si="49"/>
        <v>x</v>
      </c>
      <c r="N226" s="217" t="str">
        <f t="shared" si="49"/>
        <v/>
      </c>
      <c r="O226" s="217" t="str">
        <f t="shared" si="49"/>
        <v>model</v>
      </c>
      <c r="P226" s="218" t="str">
        <f t="shared" si="49"/>
        <v>Length</v>
      </c>
      <c r="Q226" s="218" t="str">
        <f t="shared" si="49"/>
        <v>x</v>
      </c>
      <c r="R226" s="218" t="str">
        <f t="shared" si="49"/>
        <v>BS</v>
      </c>
      <c r="S226" s="218" t="str">
        <f t="shared" si="49"/>
        <v>all</v>
      </c>
      <c r="T226" s="217">
        <f t="shared" si="49"/>
        <v>1.4999999999999999E-2</v>
      </c>
      <c r="U226" s="217" t="str">
        <f t="shared" si="49"/>
        <v>Fensterbank Vorderseite Dicke</v>
      </c>
      <c r="V226" s="217" t="str">
        <f t="shared" si="49"/>
        <v>x</v>
      </c>
      <c r="W226" s="217" t="str">
        <f t="shared" si="49"/>
        <v/>
      </c>
      <c r="X226" s="217" t="str">
        <f t="shared" si="49"/>
        <v/>
      </c>
      <c r="Y226" s="217" t="str">
        <f t="shared" si="49"/>
        <v>gs_sill_endthk</v>
      </c>
    </row>
    <row r="227" spans="1:25" x14ac:dyDescent="0.3">
      <c r="A227" s="216">
        <f t="shared" si="43"/>
        <v>225</v>
      </c>
      <c r="B227" s="217" t="str">
        <f t="shared" si="48"/>
        <v>x</v>
      </c>
      <c r="C227" s="217" t="str">
        <f t="shared" si="48"/>
        <v/>
      </c>
      <c r="D227" s="217" t="str">
        <f t="shared" si="48"/>
        <v/>
      </c>
      <c r="E227" s="217" t="str">
        <f t="shared" si="48"/>
        <v/>
      </c>
      <c r="F227" s="217" t="str">
        <f t="shared" si="48"/>
        <v/>
      </c>
      <c r="G227" s="217" t="str">
        <f t="shared" si="48"/>
        <v/>
      </c>
      <c r="H227" s="217" t="str">
        <f t="shared" si="48"/>
        <v/>
      </c>
      <c r="I227" s="217" t="str">
        <f t="shared" si="48"/>
        <v/>
      </c>
      <c r="J227" s="217" t="str">
        <f t="shared" si="48"/>
        <v/>
      </c>
      <c r="K227" s="217" t="str">
        <f t="shared" si="48"/>
        <v/>
      </c>
      <c r="L227" s="217" t="str">
        <f t="shared" si="49"/>
        <v>info</v>
      </c>
      <c r="M227" s="217" t="str">
        <f t="shared" si="49"/>
        <v>x</v>
      </c>
      <c r="N227" s="217" t="str">
        <f t="shared" si="49"/>
        <v/>
      </c>
      <c r="O227" s="217" t="str">
        <f t="shared" si="49"/>
        <v>model</v>
      </c>
      <c r="P227" s="218" t="str">
        <f t="shared" si="49"/>
        <v>Length</v>
      </c>
      <c r="Q227" s="218" t="str">
        <f t="shared" si="49"/>
        <v>x</v>
      </c>
      <c r="R227" s="218" t="str">
        <f t="shared" si="49"/>
        <v>BS</v>
      </c>
      <c r="S227" s="218" t="str">
        <f t="shared" si="49"/>
        <v>all</v>
      </c>
      <c r="T227" s="217">
        <f t="shared" si="49"/>
        <v>5.0000000000000001E-3</v>
      </c>
      <c r="U227" s="217" t="str">
        <f t="shared" si="49"/>
        <v>Schwelle Ansicht</v>
      </c>
      <c r="V227" s="217" t="str">
        <f t="shared" si="49"/>
        <v>x</v>
      </c>
      <c r="W227" s="217" t="str">
        <f t="shared" si="49"/>
        <v/>
      </c>
      <c r="X227" s="217" t="str">
        <f t="shared" si="49"/>
        <v/>
      </c>
      <c r="Y227" s="217" t="str">
        <f t="shared" si="49"/>
        <v>gs_sill_elev</v>
      </c>
    </row>
    <row r="228" spans="1:25" x14ac:dyDescent="0.3">
      <c r="A228" s="216">
        <f t="shared" si="43"/>
        <v>226</v>
      </c>
      <c r="B228" s="217" t="str">
        <f t="shared" si="48"/>
        <v>x</v>
      </c>
      <c r="C228" s="217" t="str">
        <f t="shared" si="48"/>
        <v/>
      </c>
      <c r="D228" s="217" t="str">
        <f t="shared" si="48"/>
        <v/>
      </c>
      <c r="E228" s="217" t="str">
        <f t="shared" si="48"/>
        <v/>
      </c>
      <c r="F228" s="217" t="str">
        <f t="shared" si="48"/>
        <v/>
      </c>
      <c r="G228" s="217" t="str">
        <f t="shared" si="48"/>
        <v/>
      </c>
      <c r="H228" s="217" t="str">
        <f t="shared" si="48"/>
        <v/>
      </c>
      <c r="I228" s="217" t="str">
        <f t="shared" si="48"/>
        <v/>
      </c>
      <c r="J228" s="217" t="str">
        <f t="shared" si="48"/>
        <v/>
      </c>
      <c r="K228" s="217" t="str">
        <f t="shared" si="48"/>
        <v/>
      </c>
      <c r="L228" s="217" t="str">
        <f t="shared" si="49"/>
        <v>info</v>
      </c>
      <c r="M228" s="217" t="str">
        <f t="shared" si="49"/>
        <v>x</v>
      </c>
      <c r="N228" s="217" t="str">
        <f t="shared" si="49"/>
        <v/>
      </c>
      <c r="O228" s="217" t="str">
        <f t="shared" si="49"/>
        <v>model</v>
      </c>
      <c r="P228" s="218" t="str">
        <f t="shared" si="49"/>
        <v>Length</v>
      </c>
      <c r="Q228" s="218" t="str">
        <f t="shared" si="49"/>
        <v>x</v>
      </c>
      <c r="R228" s="218" t="str">
        <f t="shared" si="49"/>
        <v>BS</v>
      </c>
      <c r="S228" s="218" t="str">
        <f t="shared" si="49"/>
        <v>all</v>
      </c>
      <c r="T228" s="217">
        <f t="shared" si="49"/>
        <v>0.02</v>
      </c>
      <c r="U228" s="217" t="str">
        <f t="shared" si="49"/>
        <v>Fensterbank Tropfüberhang</v>
      </c>
      <c r="V228" s="217" t="str">
        <f t="shared" si="49"/>
        <v>x</v>
      </c>
      <c r="W228" s="217" t="str">
        <f t="shared" si="49"/>
        <v/>
      </c>
      <c r="X228" s="217" t="str">
        <f t="shared" si="49"/>
        <v/>
      </c>
      <c r="Y228" s="217" t="str">
        <f t="shared" si="49"/>
        <v>gs_sill_dripnos</v>
      </c>
    </row>
    <row r="229" spans="1:25" x14ac:dyDescent="0.3">
      <c r="A229" s="216">
        <f t="shared" si="43"/>
        <v>227</v>
      </c>
      <c r="B229" s="217" t="str">
        <f t="shared" si="48"/>
        <v>x</v>
      </c>
      <c r="C229" s="217" t="str">
        <f t="shared" si="48"/>
        <v/>
      </c>
      <c r="D229" s="217" t="str">
        <f t="shared" si="48"/>
        <v/>
      </c>
      <c r="E229" s="217" t="str">
        <f t="shared" si="48"/>
        <v/>
      </c>
      <c r="F229" s="217" t="str">
        <f t="shared" si="48"/>
        <v/>
      </c>
      <c r="G229" s="217" t="str">
        <f t="shared" si="48"/>
        <v/>
      </c>
      <c r="H229" s="217" t="str">
        <f t="shared" si="48"/>
        <v/>
      </c>
      <c r="I229" s="217" t="str">
        <f t="shared" si="48"/>
        <v/>
      </c>
      <c r="J229" s="217" t="str">
        <f t="shared" si="48"/>
        <v/>
      </c>
      <c r="K229" s="217" t="str">
        <f t="shared" si="48"/>
        <v/>
      </c>
      <c r="L229" s="217" t="str">
        <f t="shared" si="49"/>
        <v>info</v>
      </c>
      <c r="M229" s="217" t="str">
        <f t="shared" si="49"/>
        <v>x</v>
      </c>
      <c r="N229" s="217" t="str">
        <f t="shared" si="49"/>
        <v/>
      </c>
      <c r="O229" s="217" t="str">
        <f t="shared" si="49"/>
        <v>model</v>
      </c>
      <c r="P229" s="218" t="str">
        <f t="shared" si="49"/>
        <v>Length</v>
      </c>
      <c r="Q229" s="218" t="str">
        <f t="shared" si="49"/>
        <v>x</v>
      </c>
      <c r="R229" s="218" t="str">
        <f t="shared" si="49"/>
        <v>BS</v>
      </c>
      <c r="S229" s="218" t="str">
        <f t="shared" si="49"/>
        <v>all</v>
      </c>
      <c r="T229" s="217">
        <f t="shared" si="49"/>
        <v>0.03</v>
      </c>
      <c r="U229" s="217" t="str">
        <f t="shared" si="49"/>
        <v>Dicke Fensterbankkante</v>
      </c>
      <c r="V229" s="217" t="str">
        <f t="shared" si="49"/>
        <v>x</v>
      </c>
      <c r="W229" s="217" t="str">
        <f t="shared" si="49"/>
        <v/>
      </c>
      <c r="X229" s="217" t="str">
        <f t="shared" si="49"/>
        <v/>
      </c>
      <c r="Y229" s="217" t="str">
        <f t="shared" si="49"/>
        <v>gs_sill_dripwidth</v>
      </c>
    </row>
    <row r="230" spans="1:25" x14ac:dyDescent="0.3">
      <c r="A230" s="216">
        <f t="shared" si="43"/>
        <v>228</v>
      </c>
      <c r="B230" s="217" t="str">
        <f t="shared" si="48"/>
        <v>x</v>
      </c>
      <c r="C230" s="217" t="str">
        <f t="shared" si="48"/>
        <v/>
      </c>
      <c r="D230" s="217" t="str">
        <f t="shared" si="48"/>
        <v/>
      </c>
      <c r="E230" s="217" t="str">
        <f t="shared" si="48"/>
        <v/>
      </c>
      <c r="F230" s="217" t="str">
        <f t="shared" si="48"/>
        <v/>
      </c>
      <c r="G230" s="217" t="str">
        <f t="shared" si="48"/>
        <v/>
      </c>
      <c r="H230" s="217" t="str">
        <f t="shared" si="48"/>
        <v/>
      </c>
      <c r="I230" s="217" t="str">
        <f t="shared" si="48"/>
        <v/>
      </c>
      <c r="J230" s="217" t="str">
        <f t="shared" si="48"/>
        <v/>
      </c>
      <c r="K230" s="217" t="str">
        <f t="shared" si="48"/>
        <v/>
      </c>
      <c r="L230" s="217" t="str">
        <f t="shared" si="49"/>
        <v>info</v>
      </c>
      <c r="M230" s="217" t="str">
        <f t="shared" si="49"/>
        <v>x</v>
      </c>
      <c r="N230" s="217" t="str">
        <f t="shared" si="49"/>
        <v/>
      </c>
      <c r="O230" s="217" t="str">
        <f t="shared" si="49"/>
        <v>model</v>
      </c>
      <c r="P230" s="218" t="str">
        <f t="shared" si="49"/>
        <v>Length</v>
      </c>
      <c r="Q230" s="218" t="str">
        <f t="shared" si="49"/>
        <v>x</v>
      </c>
      <c r="R230" s="218" t="str">
        <f t="shared" si="49"/>
        <v>BS</v>
      </c>
      <c r="S230" s="218" t="str">
        <f t="shared" si="49"/>
        <v>all</v>
      </c>
      <c r="T230" s="217">
        <f t="shared" si="49"/>
        <v>0.03</v>
      </c>
      <c r="U230" s="217" t="str">
        <f t="shared" si="49"/>
        <v>Schwelle Überstand</v>
      </c>
      <c r="V230" s="217" t="str">
        <f t="shared" si="49"/>
        <v>x</v>
      </c>
      <c r="W230" s="217" t="str">
        <f t="shared" si="49"/>
        <v/>
      </c>
      <c r="X230" s="217" t="str">
        <f t="shared" si="49"/>
        <v/>
      </c>
      <c r="Y230" s="217" t="str">
        <f t="shared" si="49"/>
        <v>gs_sill_nosing</v>
      </c>
    </row>
    <row r="231" spans="1:25" x14ac:dyDescent="0.3">
      <c r="A231" s="216">
        <f t="shared" si="43"/>
        <v>229</v>
      </c>
      <c r="B231" s="217" t="str">
        <f t="shared" si="48"/>
        <v>x</v>
      </c>
      <c r="C231" s="217" t="str">
        <f t="shared" si="48"/>
        <v/>
      </c>
      <c r="D231" s="217" t="str">
        <f t="shared" si="48"/>
        <v/>
      </c>
      <c r="E231" s="217" t="str">
        <f t="shared" si="48"/>
        <v/>
      </c>
      <c r="F231" s="217" t="str">
        <f t="shared" si="48"/>
        <v/>
      </c>
      <c r="G231" s="217" t="str">
        <f t="shared" si="48"/>
        <v/>
      </c>
      <c r="H231" s="217" t="str">
        <f t="shared" si="48"/>
        <v/>
      </c>
      <c r="I231" s="217" t="str">
        <f t="shared" si="48"/>
        <v/>
      </c>
      <c r="J231" s="217" t="str">
        <f t="shared" si="48"/>
        <v/>
      </c>
      <c r="K231" s="217" t="str">
        <f t="shared" si="48"/>
        <v/>
      </c>
      <c r="L231" s="217" t="str">
        <f t="shared" si="49"/>
        <v>info</v>
      </c>
      <c r="M231" s="217" t="str">
        <f t="shared" si="49"/>
        <v>x</v>
      </c>
      <c r="N231" s="217" t="str">
        <f t="shared" si="49"/>
        <v/>
      </c>
      <c r="O231" s="217" t="str">
        <f t="shared" si="49"/>
        <v>model</v>
      </c>
      <c r="P231" s="218" t="str">
        <f t="shared" si="49"/>
        <v>Angle</v>
      </c>
      <c r="Q231" s="218" t="str">
        <f t="shared" si="49"/>
        <v>x</v>
      </c>
      <c r="R231" s="218" t="str">
        <f t="shared" si="49"/>
        <v>BS</v>
      </c>
      <c r="S231" s="218" t="str">
        <f t="shared" si="49"/>
        <v>all</v>
      </c>
      <c r="T231" s="217">
        <f t="shared" si="49"/>
        <v>3</v>
      </c>
      <c r="U231" s="217" t="str">
        <f t="shared" si="49"/>
        <v>Schwelle Winkel</v>
      </c>
      <c r="V231" s="217" t="str">
        <f t="shared" si="49"/>
        <v>x</v>
      </c>
      <c r="W231" s="217" t="str">
        <f t="shared" si="49"/>
        <v/>
      </c>
      <c r="X231" s="217" t="str">
        <f t="shared" si="49"/>
        <v/>
      </c>
      <c r="Y231" s="217" t="str">
        <f t="shared" si="49"/>
        <v>gs_sill_angle</v>
      </c>
    </row>
    <row r="232" spans="1:25" x14ac:dyDescent="0.3">
      <c r="A232" s="216">
        <f t="shared" si="43"/>
        <v>230</v>
      </c>
      <c r="B232" s="217" t="str">
        <f t="shared" si="48"/>
        <v>x</v>
      </c>
      <c r="C232" s="217" t="str">
        <f t="shared" si="48"/>
        <v/>
      </c>
      <c r="D232" s="217" t="str">
        <f t="shared" si="48"/>
        <v/>
      </c>
      <c r="E232" s="217" t="str">
        <f t="shared" si="48"/>
        <v/>
      </c>
      <c r="F232" s="217" t="str">
        <f t="shared" si="48"/>
        <v/>
      </c>
      <c r="G232" s="217" t="str">
        <f t="shared" si="48"/>
        <v/>
      </c>
      <c r="H232" s="217" t="str">
        <f t="shared" si="48"/>
        <v/>
      </c>
      <c r="I232" s="217" t="str">
        <f t="shared" si="48"/>
        <v/>
      </c>
      <c r="J232" s="217" t="str">
        <f t="shared" si="48"/>
        <v/>
      </c>
      <c r="K232" s="217" t="str">
        <f t="shared" si="48"/>
        <v/>
      </c>
      <c r="L232" s="217" t="str">
        <f t="shared" si="49"/>
        <v>info</v>
      </c>
      <c r="M232" s="217" t="str">
        <f t="shared" si="49"/>
        <v>x</v>
      </c>
      <c r="N232" s="217" t="str">
        <f t="shared" si="49"/>
        <v/>
      </c>
      <c r="O232" s="217" t="str">
        <f t="shared" si="49"/>
        <v>model</v>
      </c>
      <c r="P232" s="218" t="str">
        <f t="shared" si="49"/>
        <v>Length</v>
      </c>
      <c r="Q232" s="218" t="str">
        <f t="shared" si="49"/>
        <v>x</v>
      </c>
      <c r="R232" s="218" t="str">
        <f t="shared" si="49"/>
        <v>BS</v>
      </c>
      <c r="S232" s="218" t="str">
        <f t="shared" si="49"/>
        <v>all</v>
      </c>
      <c r="T232" s="217" t="str">
        <f t="shared" si="49"/>
        <v/>
      </c>
      <c r="U232" s="217" t="str">
        <f t="shared" si="49"/>
        <v>Fensterbank Überhang links</v>
      </c>
      <c r="V232" s="217" t="str">
        <f t="shared" si="49"/>
        <v>x</v>
      </c>
      <c r="W232" s="217" t="str">
        <f t="shared" si="49"/>
        <v/>
      </c>
      <c r="X232" s="217" t="str">
        <f t="shared" si="49"/>
        <v/>
      </c>
      <c r="Y232" s="217" t="str">
        <f t="shared" si="49"/>
        <v>gs_sill_ovhg_left</v>
      </c>
    </row>
    <row r="233" spans="1:25" x14ac:dyDescent="0.3">
      <c r="A233" s="216">
        <f t="shared" si="43"/>
        <v>231</v>
      </c>
      <c r="B233" s="217" t="str">
        <f t="shared" ref="B233:K242" si="50">IF(ISNONTEXT(B$2),IF(B$2="","",IF(INDEX(IMPORT,$A233,B$2)=0,"",IFERROR(VLOOKUP(INDEX(IMPORT,$A233,B$2),ImportTranslation,2,0),INDEX(IMPORT,$A233,B$2)))),B$2)</f>
        <v>x</v>
      </c>
      <c r="C233" s="217" t="str">
        <f t="shared" si="50"/>
        <v/>
      </c>
      <c r="D233" s="217" t="str">
        <f t="shared" si="50"/>
        <v/>
      </c>
      <c r="E233" s="217" t="str">
        <f t="shared" si="50"/>
        <v/>
      </c>
      <c r="F233" s="217" t="str">
        <f t="shared" si="50"/>
        <v/>
      </c>
      <c r="G233" s="217" t="str">
        <f t="shared" si="50"/>
        <v/>
      </c>
      <c r="H233" s="217" t="str">
        <f t="shared" si="50"/>
        <v/>
      </c>
      <c r="I233" s="217" t="str">
        <f t="shared" si="50"/>
        <v/>
      </c>
      <c r="J233" s="217" t="str">
        <f t="shared" si="50"/>
        <v/>
      </c>
      <c r="K233" s="217" t="str">
        <f t="shared" si="50"/>
        <v/>
      </c>
      <c r="L233" s="217" t="str">
        <f t="shared" ref="L233:Y242" si="51">IF(ISNONTEXT(L$2),IF(L$2="","",IF(INDEX(IMPORT,$A233,L$2)=0,"",IFERROR(VLOOKUP(INDEX(IMPORT,$A233,L$2),ImportTranslation,2,0),INDEX(IMPORT,$A233,L$2)))),L$2)</f>
        <v>info</v>
      </c>
      <c r="M233" s="217" t="str">
        <f t="shared" si="51"/>
        <v>x</v>
      </c>
      <c r="N233" s="217" t="str">
        <f t="shared" si="51"/>
        <v/>
      </c>
      <c r="O233" s="217" t="str">
        <f t="shared" si="51"/>
        <v>model</v>
      </c>
      <c r="P233" s="218" t="str">
        <f t="shared" si="51"/>
        <v>Length</v>
      </c>
      <c r="Q233" s="218" t="str">
        <f t="shared" si="51"/>
        <v>x</v>
      </c>
      <c r="R233" s="218" t="str">
        <f t="shared" si="51"/>
        <v>BS</v>
      </c>
      <c r="S233" s="218" t="str">
        <f t="shared" si="51"/>
        <v>all</v>
      </c>
      <c r="T233" s="217" t="str">
        <f t="shared" si="51"/>
        <v/>
      </c>
      <c r="U233" s="217" t="str">
        <f t="shared" si="51"/>
        <v>Fensterbank Überhang rechts</v>
      </c>
      <c r="V233" s="217" t="str">
        <f t="shared" si="51"/>
        <v>x</v>
      </c>
      <c r="W233" s="217" t="str">
        <f t="shared" si="51"/>
        <v/>
      </c>
      <c r="X233" s="217" t="str">
        <f t="shared" si="51"/>
        <v/>
      </c>
      <c r="Y233" s="217" t="str">
        <f t="shared" si="51"/>
        <v>gs_sill_ovhg_right</v>
      </c>
    </row>
    <row r="234" spans="1:25" x14ac:dyDescent="0.3">
      <c r="A234" s="216">
        <f t="shared" si="43"/>
        <v>232</v>
      </c>
      <c r="B234" s="217" t="str">
        <f t="shared" si="50"/>
        <v>x</v>
      </c>
      <c r="C234" s="217" t="str">
        <f t="shared" si="50"/>
        <v/>
      </c>
      <c r="D234" s="217" t="str">
        <f t="shared" si="50"/>
        <v/>
      </c>
      <c r="E234" s="217" t="str">
        <f t="shared" si="50"/>
        <v/>
      </c>
      <c r="F234" s="217" t="str">
        <f t="shared" si="50"/>
        <v/>
      </c>
      <c r="G234" s="217" t="str">
        <f t="shared" si="50"/>
        <v/>
      </c>
      <c r="H234" s="217" t="str">
        <f t="shared" si="50"/>
        <v/>
      </c>
      <c r="I234" s="217" t="str">
        <f t="shared" si="50"/>
        <v/>
      </c>
      <c r="J234" s="217" t="str">
        <f t="shared" si="50"/>
        <v/>
      </c>
      <c r="K234" s="217" t="str">
        <f t="shared" si="50"/>
        <v/>
      </c>
      <c r="L234" s="217" t="str">
        <f t="shared" si="51"/>
        <v>info</v>
      </c>
      <c r="M234" s="217" t="str">
        <f t="shared" si="51"/>
        <v>x</v>
      </c>
      <c r="N234" s="217" t="str">
        <f t="shared" si="51"/>
        <v/>
      </c>
      <c r="O234" s="217" t="str">
        <f t="shared" si="51"/>
        <v>model</v>
      </c>
      <c r="P234" s="218" t="str">
        <f t="shared" si="51"/>
        <v>Length</v>
      </c>
      <c r="Q234" s="218" t="str">
        <f t="shared" si="51"/>
        <v>x</v>
      </c>
      <c r="R234" s="218" t="str">
        <f t="shared" si="51"/>
        <v>BS</v>
      </c>
      <c r="S234" s="218" t="str">
        <f t="shared" si="51"/>
        <v>all</v>
      </c>
      <c r="T234" s="217">
        <f t="shared" si="51"/>
        <v>0.02</v>
      </c>
      <c r="U234" s="217" t="str">
        <f t="shared" si="51"/>
        <v>Fensterbank Einschub Tiefe</v>
      </c>
      <c r="V234" s="217" t="str">
        <f t="shared" si="51"/>
        <v>x</v>
      </c>
      <c r="W234" s="217" t="str">
        <f t="shared" si="51"/>
        <v/>
      </c>
      <c r="X234" s="217" t="str">
        <f t="shared" si="51"/>
        <v/>
      </c>
      <c r="Y234" s="217" t="str">
        <f t="shared" si="51"/>
        <v>gs_sill_slip_in</v>
      </c>
    </row>
    <row r="235" spans="1:25" x14ac:dyDescent="0.3">
      <c r="A235" s="216">
        <f t="shared" si="43"/>
        <v>233</v>
      </c>
      <c r="B235" s="217" t="str">
        <f t="shared" si="50"/>
        <v>x</v>
      </c>
      <c r="C235" s="217" t="str">
        <f t="shared" si="50"/>
        <v/>
      </c>
      <c r="D235" s="217" t="str">
        <f t="shared" si="50"/>
        <v/>
      </c>
      <c r="E235" s="217" t="str">
        <f t="shared" si="50"/>
        <v/>
      </c>
      <c r="F235" s="217" t="str">
        <f t="shared" si="50"/>
        <v/>
      </c>
      <c r="G235" s="217" t="str">
        <f t="shared" si="50"/>
        <v/>
      </c>
      <c r="H235" s="217" t="str">
        <f t="shared" si="50"/>
        <v/>
      </c>
      <c r="I235" s="217" t="str">
        <f t="shared" si="50"/>
        <v/>
      </c>
      <c r="J235" s="217" t="str">
        <f t="shared" si="50"/>
        <v/>
      </c>
      <c r="K235" s="217" t="str">
        <f t="shared" si="50"/>
        <v/>
      </c>
      <c r="L235" s="217" t="str">
        <f t="shared" si="51"/>
        <v>info</v>
      </c>
      <c r="M235" s="217" t="str">
        <f t="shared" si="51"/>
        <v>x</v>
      </c>
      <c r="N235" s="217" t="str">
        <f t="shared" si="51"/>
        <v/>
      </c>
      <c r="O235" s="217" t="str">
        <f t="shared" si="51"/>
        <v>model</v>
      </c>
      <c r="P235" s="218" t="str">
        <f t="shared" si="51"/>
        <v>Length</v>
      </c>
      <c r="Q235" s="218" t="str">
        <f t="shared" si="51"/>
        <v>x</v>
      </c>
      <c r="R235" s="218" t="str">
        <f t="shared" si="51"/>
        <v>BS</v>
      </c>
      <c r="S235" s="218" t="str">
        <f t="shared" si="51"/>
        <v>all</v>
      </c>
      <c r="T235" s="217" t="str">
        <f t="shared" si="51"/>
        <v/>
      </c>
      <c r="U235" s="217" t="str">
        <f t="shared" si="51"/>
        <v>Fensterbank Einschub von Wand</v>
      </c>
      <c r="V235" s="217" t="str">
        <f t="shared" si="51"/>
        <v>x</v>
      </c>
      <c r="W235" s="217" t="str">
        <f t="shared" si="51"/>
        <v/>
      </c>
      <c r="X235" s="217" t="str">
        <f t="shared" si="51"/>
        <v/>
      </c>
      <c r="Y235" s="217" t="str">
        <f t="shared" si="51"/>
        <v>gs_sill_slip_wall</v>
      </c>
    </row>
    <row r="236" spans="1:25" x14ac:dyDescent="0.3">
      <c r="A236" s="216">
        <f t="shared" si="43"/>
        <v>234</v>
      </c>
      <c r="B236" s="217" t="str">
        <f t="shared" si="50"/>
        <v>x</v>
      </c>
      <c r="C236" s="217" t="str">
        <f t="shared" si="50"/>
        <v/>
      </c>
      <c r="D236" s="217" t="str">
        <f t="shared" si="50"/>
        <v/>
      </c>
      <c r="E236" s="217" t="str">
        <f t="shared" si="50"/>
        <v/>
      </c>
      <c r="F236" s="217" t="str">
        <f t="shared" si="50"/>
        <v/>
      </c>
      <c r="G236" s="217" t="str">
        <f t="shared" si="50"/>
        <v/>
      </c>
      <c r="H236" s="217" t="str">
        <f t="shared" si="50"/>
        <v/>
      </c>
      <c r="I236" s="217" t="str">
        <f t="shared" si="50"/>
        <v/>
      </c>
      <c r="J236" s="217" t="str">
        <f t="shared" si="50"/>
        <v/>
      </c>
      <c r="K236" s="217" t="str">
        <f t="shared" si="50"/>
        <v/>
      </c>
      <c r="L236" s="217" t="str">
        <f t="shared" si="51"/>
        <v>info</v>
      </c>
      <c r="M236" s="217" t="str">
        <f t="shared" si="51"/>
        <v>x</v>
      </c>
      <c r="N236" s="217" t="str">
        <f t="shared" si="51"/>
        <v/>
      </c>
      <c r="O236" s="217" t="str">
        <f t="shared" si="51"/>
        <v>model</v>
      </c>
      <c r="P236" s="218" t="str">
        <f t="shared" si="51"/>
        <v>Length</v>
      </c>
      <c r="Q236" s="218" t="str">
        <f t="shared" si="51"/>
        <v>x</v>
      </c>
      <c r="R236" s="218" t="str">
        <f t="shared" si="51"/>
        <v>BS</v>
      </c>
      <c r="S236" s="218" t="str">
        <f t="shared" si="51"/>
        <v>all</v>
      </c>
      <c r="T236" s="217" t="str">
        <f t="shared" si="51"/>
        <v/>
      </c>
      <c r="U236" s="217" t="str">
        <f t="shared" si="51"/>
        <v>Hintere Lochtiefe</v>
      </c>
      <c r="V236" s="217" t="str">
        <f t="shared" si="51"/>
        <v>x</v>
      </c>
      <c r="W236" s="217" t="str">
        <f t="shared" si="51"/>
        <v/>
      </c>
      <c r="X236" s="217" t="str">
        <f t="shared" si="51"/>
        <v/>
      </c>
      <c r="Y236" s="217" t="str">
        <f t="shared" si="51"/>
        <v>gs_sill_holeDepthBehind</v>
      </c>
    </row>
    <row r="237" spans="1:25" x14ac:dyDescent="0.3">
      <c r="A237" s="216">
        <f t="shared" si="43"/>
        <v>235</v>
      </c>
      <c r="B237" s="217" t="str">
        <f t="shared" si="50"/>
        <v>x</v>
      </c>
      <c r="C237" s="217" t="str">
        <f t="shared" si="50"/>
        <v/>
      </c>
      <c r="D237" s="217" t="str">
        <f t="shared" si="50"/>
        <v/>
      </c>
      <c r="E237" s="217" t="str">
        <f t="shared" si="50"/>
        <v/>
      </c>
      <c r="F237" s="217" t="str">
        <f t="shared" si="50"/>
        <v/>
      </c>
      <c r="G237" s="217" t="str">
        <f t="shared" si="50"/>
        <v/>
      </c>
      <c r="H237" s="217" t="str">
        <f t="shared" si="50"/>
        <v/>
      </c>
      <c r="I237" s="217" t="str">
        <f t="shared" si="50"/>
        <v/>
      </c>
      <c r="J237" s="217" t="str">
        <f t="shared" si="50"/>
        <v/>
      </c>
      <c r="K237" s="217" t="str">
        <f t="shared" si="50"/>
        <v/>
      </c>
      <c r="L237" s="217" t="str">
        <f t="shared" si="51"/>
        <v>info</v>
      </c>
      <c r="M237" s="217" t="str">
        <f t="shared" si="51"/>
        <v>x</v>
      </c>
      <c r="N237" s="217" t="str">
        <f t="shared" si="51"/>
        <v/>
      </c>
      <c r="O237" s="217" t="str">
        <f t="shared" si="51"/>
        <v>model</v>
      </c>
      <c r="P237" s="218" t="str">
        <f t="shared" si="51"/>
        <v>Boolean</v>
      </c>
      <c r="Q237" s="218" t="str">
        <f t="shared" si="51"/>
        <v>x</v>
      </c>
      <c r="R237" s="218" t="str">
        <f t="shared" si="51"/>
        <v>BS</v>
      </c>
      <c r="S237" s="218" t="str">
        <f t="shared" si="51"/>
        <v>all</v>
      </c>
      <c r="T237" s="217">
        <f t="shared" si="51"/>
        <v>1</v>
      </c>
      <c r="U237" s="217" t="str">
        <f t="shared" si="51"/>
        <v>Fensterbank ist gebogen in gebogenen Wänden</v>
      </c>
      <c r="V237" s="217" t="str">
        <f t="shared" si="51"/>
        <v>x</v>
      </c>
      <c r="W237" s="217" t="str">
        <f t="shared" si="51"/>
        <v/>
      </c>
      <c r="X237" s="217" t="str">
        <f t="shared" si="51"/>
        <v/>
      </c>
      <c r="Y237" s="217" t="str">
        <f t="shared" si="51"/>
        <v>gs_sill_curved</v>
      </c>
    </row>
    <row r="238" spans="1:25" x14ac:dyDescent="0.3">
      <c r="A238" s="216">
        <f t="shared" si="43"/>
        <v>236</v>
      </c>
      <c r="B238" s="217" t="str">
        <f t="shared" si="50"/>
        <v>x</v>
      </c>
      <c r="C238" s="217" t="str">
        <f t="shared" si="50"/>
        <v/>
      </c>
      <c r="D238" s="217" t="str">
        <f t="shared" si="50"/>
        <v/>
      </c>
      <c r="E238" s="217" t="str">
        <f t="shared" si="50"/>
        <v/>
      </c>
      <c r="F238" s="217" t="str">
        <f t="shared" si="50"/>
        <v/>
      </c>
      <c r="G238" s="217" t="str">
        <f t="shared" si="50"/>
        <v/>
      </c>
      <c r="H238" s="217" t="str">
        <f t="shared" si="50"/>
        <v/>
      </c>
      <c r="I238" s="217" t="str">
        <f t="shared" si="50"/>
        <v/>
      </c>
      <c r="J238" s="217" t="str">
        <f t="shared" si="50"/>
        <v/>
      </c>
      <c r="K238" s="217" t="str">
        <f t="shared" si="50"/>
        <v/>
      </c>
      <c r="L238" s="217" t="str">
        <f t="shared" si="51"/>
        <v>info</v>
      </c>
      <c r="M238" s="217" t="str">
        <f t="shared" si="51"/>
        <v>x</v>
      </c>
      <c r="N238" s="217" t="str">
        <f t="shared" si="51"/>
        <v/>
      </c>
      <c r="O238" s="217" t="str">
        <f t="shared" si="51"/>
        <v>model</v>
      </c>
      <c r="P238" s="218" t="str">
        <f t="shared" si="51"/>
        <v>Boolean</v>
      </c>
      <c r="Q238" s="218" t="str">
        <f t="shared" si="51"/>
        <v>x</v>
      </c>
      <c r="R238" s="218" t="str">
        <f t="shared" si="51"/>
        <v>BS</v>
      </c>
      <c r="S238" s="218" t="str">
        <f t="shared" si="51"/>
        <v>all</v>
      </c>
      <c r="T238" s="217">
        <f t="shared" si="51"/>
        <v>1</v>
      </c>
      <c r="U238" s="217" t="str">
        <f t="shared" si="51"/>
        <v>Dämmung unter Fensterbank</v>
      </c>
      <c r="V238" s="217" t="str">
        <f t="shared" si="51"/>
        <v>x</v>
      </c>
      <c r="W238" s="217" t="str">
        <f t="shared" si="51"/>
        <v/>
      </c>
      <c r="X238" s="217" t="str">
        <f t="shared" si="51"/>
        <v/>
      </c>
      <c r="Y238" s="217" t="str">
        <f t="shared" si="51"/>
        <v>gs_sill_ins_below</v>
      </c>
    </row>
    <row r="239" spans="1:25" x14ac:dyDescent="0.3">
      <c r="A239" s="216">
        <f t="shared" si="43"/>
        <v>237</v>
      </c>
      <c r="B239" s="217" t="str">
        <f t="shared" si="50"/>
        <v>x</v>
      </c>
      <c r="C239" s="217" t="str">
        <f t="shared" si="50"/>
        <v/>
      </c>
      <c r="D239" s="217" t="str">
        <f t="shared" si="50"/>
        <v/>
      </c>
      <c r="E239" s="217" t="str">
        <f t="shared" si="50"/>
        <v/>
      </c>
      <c r="F239" s="217" t="str">
        <f t="shared" si="50"/>
        <v/>
      </c>
      <c r="G239" s="217" t="str">
        <f t="shared" si="50"/>
        <v/>
      </c>
      <c r="H239" s="217" t="str">
        <f t="shared" si="50"/>
        <v/>
      </c>
      <c r="I239" s="217" t="str">
        <f t="shared" si="50"/>
        <v/>
      </c>
      <c r="J239" s="217" t="str">
        <f t="shared" si="50"/>
        <v/>
      </c>
      <c r="K239" s="217" t="str">
        <f t="shared" si="50"/>
        <v/>
      </c>
      <c r="L239" s="217" t="str">
        <f t="shared" si="51"/>
        <v>info</v>
      </c>
      <c r="M239" s="217" t="str">
        <f t="shared" si="51"/>
        <v>x</v>
      </c>
      <c r="N239" s="217" t="str">
        <f t="shared" si="51"/>
        <v/>
      </c>
      <c r="O239" s="217" t="str">
        <f t="shared" si="51"/>
        <v>model</v>
      </c>
      <c r="P239" s="218" t="str">
        <f t="shared" si="51"/>
        <v>Boolean</v>
      </c>
      <c r="Q239" s="218" t="str">
        <f t="shared" si="51"/>
        <v>x</v>
      </c>
      <c r="R239" s="218" t="str">
        <f t="shared" si="51"/>
        <v>BS</v>
      </c>
      <c r="S239" s="218" t="str">
        <f t="shared" si="51"/>
        <v>all</v>
      </c>
      <c r="T239" s="217" t="str">
        <f t="shared" si="51"/>
        <v/>
      </c>
      <c r="U239" s="217" t="str">
        <f t="shared" si="51"/>
        <v>Wand-Dämmschicht benutzen</v>
      </c>
      <c r="V239" s="217" t="str">
        <f t="shared" si="51"/>
        <v>x</v>
      </c>
      <c r="W239" s="217" t="str">
        <f t="shared" si="51"/>
        <v/>
      </c>
      <c r="X239" s="217" t="str">
        <f t="shared" si="51"/>
        <v/>
      </c>
      <c r="Y239" s="217" t="str">
        <f t="shared" si="51"/>
        <v>gs_sill_ins_use_wall_skin</v>
      </c>
    </row>
    <row r="240" spans="1:25" x14ac:dyDescent="0.3">
      <c r="A240" s="216">
        <f t="shared" si="43"/>
        <v>238</v>
      </c>
      <c r="B240" s="217" t="str">
        <f t="shared" si="50"/>
        <v>x</v>
      </c>
      <c r="C240" s="217" t="str">
        <f t="shared" si="50"/>
        <v/>
      </c>
      <c r="D240" s="217" t="str">
        <f t="shared" si="50"/>
        <v/>
      </c>
      <c r="E240" s="217" t="str">
        <f t="shared" si="50"/>
        <v/>
      </c>
      <c r="F240" s="217" t="str">
        <f t="shared" si="50"/>
        <v/>
      </c>
      <c r="G240" s="217" t="str">
        <f t="shared" si="50"/>
        <v/>
      </c>
      <c r="H240" s="217" t="str">
        <f t="shared" si="50"/>
        <v/>
      </c>
      <c r="I240" s="217" t="str">
        <f t="shared" si="50"/>
        <v/>
      </c>
      <c r="J240" s="217" t="str">
        <f t="shared" si="50"/>
        <v/>
      </c>
      <c r="K240" s="217" t="str">
        <f t="shared" si="50"/>
        <v/>
      </c>
      <c r="L240" s="217" t="str">
        <f t="shared" si="51"/>
        <v>info</v>
      </c>
      <c r="M240" s="217" t="str">
        <f t="shared" si="51"/>
        <v>x</v>
      </c>
      <c r="N240" s="217" t="str">
        <f t="shared" si="51"/>
        <v/>
      </c>
      <c r="O240" s="217" t="str">
        <f t="shared" si="51"/>
        <v>model</v>
      </c>
      <c r="P240" s="218" t="str">
        <f t="shared" si="51"/>
        <v>Integer</v>
      </c>
      <c r="Q240" s="218" t="str">
        <f t="shared" si="51"/>
        <v>x</v>
      </c>
      <c r="R240" s="218" t="str">
        <f t="shared" si="51"/>
        <v>BS</v>
      </c>
      <c r="S240" s="218" t="str">
        <f t="shared" si="51"/>
        <v>all</v>
      </c>
      <c r="T240" s="217">
        <f t="shared" si="51"/>
        <v>1</v>
      </c>
      <c r="U240" s="217" t="str">
        <f t="shared" si="51"/>
        <v>Rollschicht 3D Detaillierungsgrad</v>
      </c>
      <c r="V240" s="217" t="str">
        <f t="shared" si="51"/>
        <v>x</v>
      </c>
      <c r="W240" s="217" t="str">
        <f t="shared" si="51"/>
        <v/>
      </c>
      <c r="X240" s="217" t="str">
        <f t="shared" si="51"/>
        <v/>
      </c>
      <c r="Y240" s="217" t="str">
        <f t="shared" si="51"/>
        <v>iBrickSilldetlevel</v>
      </c>
    </row>
    <row r="241" spans="1:25" x14ac:dyDescent="0.3">
      <c r="A241" s="216">
        <f t="shared" si="43"/>
        <v>239</v>
      </c>
      <c r="B241" s="217" t="str">
        <f t="shared" si="50"/>
        <v>x</v>
      </c>
      <c r="C241" s="217" t="str">
        <f t="shared" si="50"/>
        <v/>
      </c>
      <c r="D241" s="217" t="str">
        <f t="shared" si="50"/>
        <v/>
      </c>
      <c r="E241" s="217" t="str">
        <f t="shared" si="50"/>
        <v/>
      </c>
      <c r="F241" s="217" t="str">
        <f t="shared" si="50"/>
        <v/>
      </c>
      <c r="G241" s="217" t="str">
        <f t="shared" si="50"/>
        <v/>
      </c>
      <c r="H241" s="217" t="str">
        <f t="shared" si="50"/>
        <v/>
      </c>
      <c r="I241" s="217" t="str">
        <f t="shared" si="50"/>
        <v/>
      </c>
      <c r="J241" s="217" t="str">
        <f t="shared" si="50"/>
        <v/>
      </c>
      <c r="K241" s="217" t="str">
        <f t="shared" si="50"/>
        <v/>
      </c>
      <c r="L241" s="217" t="str">
        <f t="shared" si="51"/>
        <v>info</v>
      </c>
      <c r="M241" s="217" t="str">
        <f t="shared" si="51"/>
        <v>x</v>
      </c>
      <c r="N241" s="217" t="str">
        <f t="shared" si="51"/>
        <v/>
      </c>
      <c r="O241" s="217" t="str">
        <f t="shared" si="51"/>
        <v>model</v>
      </c>
      <c r="P241" s="218" t="str">
        <f t="shared" si="51"/>
        <v>Length</v>
      </c>
      <c r="Q241" s="218" t="str">
        <f t="shared" si="51"/>
        <v>x</v>
      </c>
      <c r="R241" s="218" t="str">
        <f t="shared" si="51"/>
        <v>BS</v>
      </c>
      <c r="S241" s="218" t="str">
        <f t="shared" si="51"/>
        <v>all</v>
      </c>
      <c r="T241" s="217">
        <f t="shared" si="51"/>
        <v>6.5000000000000002E-2</v>
      </c>
      <c r="U241" s="217" t="str">
        <f t="shared" si="51"/>
        <v>Steinbreite</v>
      </c>
      <c r="V241" s="217" t="str">
        <f t="shared" si="51"/>
        <v>x</v>
      </c>
      <c r="W241" s="217" t="str">
        <f t="shared" si="51"/>
        <v/>
      </c>
      <c r="X241" s="217" t="str">
        <f t="shared" si="51"/>
        <v/>
      </c>
      <c r="Y241" s="217" t="str">
        <f t="shared" si="51"/>
        <v>gs_brick_sill_br_thk</v>
      </c>
    </row>
    <row r="242" spans="1:25" x14ac:dyDescent="0.3">
      <c r="A242" s="216">
        <f t="shared" si="43"/>
        <v>240</v>
      </c>
      <c r="B242" s="217" t="str">
        <f t="shared" si="50"/>
        <v>x</v>
      </c>
      <c r="C242" s="217" t="str">
        <f t="shared" si="50"/>
        <v/>
      </c>
      <c r="D242" s="217" t="str">
        <f t="shared" si="50"/>
        <v/>
      </c>
      <c r="E242" s="217" t="str">
        <f t="shared" si="50"/>
        <v/>
      </c>
      <c r="F242" s="217" t="str">
        <f t="shared" si="50"/>
        <v/>
      </c>
      <c r="G242" s="217" t="str">
        <f t="shared" si="50"/>
        <v/>
      </c>
      <c r="H242" s="217" t="str">
        <f t="shared" si="50"/>
        <v/>
      </c>
      <c r="I242" s="217" t="str">
        <f t="shared" si="50"/>
        <v/>
      </c>
      <c r="J242" s="217" t="str">
        <f t="shared" si="50"/>
        <v/>
      </c>
      <c r="K242" s="217" t="str">
        <f t="shared" si="50"/>
        <v/>
      </c>
      <c r="L242" s="217" t="str">
        <f t="shared" si="51"/>
        <v>info</v>
      </c>
      <c r="M242" s="217" t="str">
        <f t="shared" si="51"/>
        <v>x</v>
      </c>
      <c r="N242" s="217" t="str">
        <f t="shared" si="51"/>
        <v/>
      </c>
      <c r="O242" s="217" t="str">
        <f t="shared" si="51"/>
        <v>model</v>
      </c>
      <c r="P242" s="218" t="str">
        <f t="shared" si="51"/>
        <v>Length</v>
      </c>
      <c r="Q242" s="218" t="str">
        <f t="shared" si="51"/>
        <v>x</v>
      </c>
      <c r="R242" s="218" t="str">
        <f t="shared" si="51"/>
        <v>BS</v>
      </c>
      <c r="S242" s="218" t="str">
        <f t="shared" si="51"/>
        <v>all</v>
      </c>
      <c r="T242" s="217">
        <f t="shared" si="51"/>
        <v>1.4999999999999999E-2</v>
      </c>
      <c r="U242" s="217" t="str">
        <f t="shared" si="51"/>
        <v>Fugenbreite</v>
      </c>
      <c r="V242" s="217" t="str">
        <f t="shared" si="51"/>
        <v>x</v>
      </c>
      <c r="W242" s="217" t="str">
        <f t="shared" si="51"/>
        <v/>
      </c>
      <c r="X242" s="217" t="str">
        <f t="shared" si="51"/>
        <v/>
      </c>
      <c r="Y242" s="217" t="str">
        <f t="shared" si="51"/>
        <v>gs_brick_sill_mort_thk</v>
      </c>
    </row>
    <row r="243" spans="1:25" x14ac:dyDescent="0.3">
      <c r="A243" s="216">
        <f t="shared" si="43"/>
        <v>241</v>
      </c>
      <c r="B243" s="217" t="str">
        <f t="shared" ref="B243:K252" si="52">IF(ISNONTEXT(B$2),IF(B$2="","",IF(INDEX(IMPORT,$A243,B$2)=0,"",IFERROR(VLOOKUP(INDEX(IMPORT,$A243,B$2),ImportTranslation,2,0),INDEX(IMPORT,$A243,B$2)))),B$2)</f>
        <v>x</v>
      </c>
      <c r="C243" s="217" t="str">
        <f t="shared" si="52"/>
        <v/>
      </c>
      <c r="D243" s="217" t="str">
        <f t="shared" si="52"/>
        <v/>
      </c>
      <c r="E243" s="217" t="str">
        <f t="shared" si="52"/>
        <v/>
      </c>
      <c r="F243" s="217" t="str">
        <f t="shared" si="52"/>
        <v/>
      </c>
      <c r="G243" s="217" t="str">
        <f t="shared" si="52"/>
        <v/>
      </c>
      <c r="H243" s="217" t="str">
        <f t="shared" si="52"/>
        <v/>
      </c>
      <c r="I243" s="217" t="str">
        <f t="shared" si="52"/>
        <v/>
      </c>
      <c r="J243" s="217" t="str">
        <f t="shared" si="52"/>
        <v/>
      </c>
      <c r="K243" s="217" t="str">
        <f t="shared" si="52"/>
        <v/>
      </c>
      <c r="L243" s="217" t="str">
        <f t="shared" ref="L243:Y252" si="53">IF(ISNONTEXT(L$2),IF(L$2="","",IF(INDEX(IMPORT,$A243,L$2)=0,"",IFERROR(VLOOKUP(INDEX(IMPORT,$A243,L$2),ImportTranslation,2,0),INDEX(IMPORT,$A243,L$2)))),L$2)</f>
        <v>info</v>
      </c>
      <c r="M243" s="217" t="str">
        <f t="shared" si="53"/>
        <v>x</v>
      </c>
      <c r="N243" s="217" t="str">
        <f t="shared" si="53"/>
        <v/>
      </c>
      <c r="O243" s="217" t="str">
        <f t="shared" si="53"/>
        <v>model</v>
      </c>
      <c r="P243" s="218" t="str">
        <f t="shared" si="53"/>
        <v>PenColor</v>
      </c>
      <c r="Q243" s="218" t="str">
        <f t="shared" si="53"/>
        <v>x</v>
      </c>
      <c r="R243" s="218" t="str">
        <f t="shared" si="53"/>
        <v>BS</v>
      </c>
      <c r="S243" s="218" t="str">
        <f t="shared" si="53"/>
        <v>all</v>
      </c>
      <c r="T243" s="217">
        <f t="shared" si="53"/>
        <v>1</v>
      </c>
      <c r="U243" s="217" t="str">
        <f t="shared" si="53"/>
        <v>Fensterbank Stift für 3D und Aufsicht</v>
      </c>
      <c r="V243" s="217" t="str">
        <f t="shared" si="53"/>
        <v>x</v>
      </c>
      <c r="W243" s="217" t="str">
        <f t="shared" si="53"/>
        <v/>
      </c>
      <c r="X243" s="217" t="str">
        <f t="shared" si="53"/>
        <v/>
      </c>
      <c r="Y243" s="217" t="str">
        <f t="shared" si="53"/>
        <v>gs_sill_pen_3D</v>
      </c>
    </row>
    <row r="244" spans="1:25" x14ac:dyDescent="0.3">
      <c r="A244" s="216">
        <f t="shared" si="43"/>
        <v>242</v>
      </c>
      <c r="B244" s="217" t="str">
        <f t="shared" si="52"/>
        <v>x</v>
      </c>
      <c r="C244" s="217" t="str">
        <f t="shared" si="52"/>
        <v/>
      </c>
      <c r="D244" s="217" t="str">
        <f t="shared" si="52"/>
        <v/>
      </c>
      <c r="E244" s="217" t="str">
        <f t="shared" si="52"/>
        <v/>
      </c>
      <c r="F244" s="217" t="str">
        <f t="shared" si="52"/>
        <v/>
      </c>
      <c r="G244" s="217" t="str">
        <f t="shared" si="52"/>
        <v/>
      </c>
      <c r="H244" s="217" t="str">
        <f t="shared" si="52"/>
        <v/>
      </c>
      <c r="I244" s="217" t="str">
        <f t="shared" si="52"/>
        <v/>
      </c>
      <c r="J244" s="217" t="str">
        <f t="shared" si="52"/>
        <v/>
      </c>
      <c r="K244" s="217" t="str">
        <f t="shared" si="52"/>
        <v/>
      </c>
      <c r="L244" s="217" t="str">
        <f t="shared" si="53"/>
        <v>info</v>
      </c>
      <c r="M244" s="217" t="str">
        <f t="shared" si="53"/>
        <v>x</v>
      </c>
      <c r="N244" s="217" t="str">
        <f t="shared" si="53"/>
        <v/>
      </c>
      <c r="O244" s="217" t="str">
        <f t="shared" si="53"/>
        <v>model</v>
      </c>
      <c r="P244" s="218" t="str">
        <f t="shared" si="53"/>
        <v>PenColor</v>
      </c>
      <c r="Q244" s="218" t="str">
        <f t="shared" si="53"/>
        <v>x</v>
      </c>
      <c r="R244" s="218" t="str">
        <f t="shared" si="53"/>
        <v>BS</v>
      </c>
      <c r="S244" s="218" t="str">
        <f t="shared" si="53"/>
        <v>all</v>
      </c>
      <c r="T244" s="217">
        <f t="shared" si="53"/>
        <v>1</v>
      </c>
      <c r="U244" s="217" t="str">
        <f t="shared" si="53"/>
        <v>Fensterbank Schnitt Konturstift</v>
      </c>
      <c r="V244" s="217" t="str">
        <f t="shared" si="53"/>
        <v>x</v>
      </c>
      <c r="W244" s="217" t="str">
        <f t="shared" si="53"/>
        <v/>
      </c>
      <c r="X244" s="217" t="str">
        <f t="shared" si="53"/>
        <v/>
      </c>
      <c r="Y244" s="217" t="str">
        <f t="shared" si="53"/>
        <v>gs_sill_pen_sectcont</v>
      </c>
    </row>
    <row r="245" spans="1:25" x14ac:dyDescent="0.3">
      <c r="A245" s="216">
        <f t="shared" si="43"/>
        <v>243</v>
      </c>
      <c r="B245" s="217" t="str">
        <f t="shared" si="52"/>
        <v>x</v>
      </c>
      <c r="C245" s="217" t="str">
        <f t="shared" si="52"/>
        <v/>
      </c>
      <c r="D245" s="217" t="str">
        <f t="shared" si="52"/>
        <v/>
      </c>
      <c r="E245" s="217" t="str">
        <f t="shared" si="52"/>
        <v/>
      </c>
      <c r="F245" s="217" t="str">
        <f t="shared" si="52"/>
        <v/>
      </c>
      <c r="G245" s="217" t="str">
        <f t="shared" si="52"/>
        <v/>
      </c>
      <c r="H245" s="217" t="str">
        <f t="shared" si="52"/>
        <v/>
      </c>
      <c r="I245" s="217" t="str">
        <f t="shared" si="52"/>
        <v/>
      </c>
      <c r="J245" s="217" t="str">
        <f t="shared" si="52"/>
        <v/>
      </c>
      <c r="K245" s="217" t="str">
        <f t="shared" si="52"/>
        <v/>
      </c>
      <c r="L245" s="217" t="str">
        <f t="shared" si="53"/>
        <v>info</v>
      </c>
      <c r="M245" s="217" t="str">
        <f t="shared" si="53"/>
        <v>x</v>
      </c>
      <c r="N245" s="217" t="str">
        <f t="shared" si="53"/>
        <v/>
      </c>
      <c r="O245" s="217" t="str">
        <f t="shared" si="53"/>
        <v>model</v>
      </c>
      <c r="P245" s="218" t="str">
        <f t="shared" si="53"/>
        <v>FillPattern</v>
      </c>
      <c r="Q245" s="218" t="str">
        <f t="shared" si="53"/>
        <v>x</v>
      </c>
      <c r="R245" s="218" t="str">
        <f t="shared" si="53"/>
        <v>BS</v>
      </c>
      <c r="S245" s="218" t="str">
        <f t="shared" si="53"/>
        <v>all</v>
      </c>
      <c r="T245" s="217">
        <f t="shared" si="53"/>
        <v>65</v>
      </c>
      <c r="U245" s="217" t="str">
        <f t="shared" si="53"/>
        <v>Fensterbank Schnitt Schraffurtyp</v>
      </c>
      <c r="V245" s="217" t="str">
        <f t="shared" si="53"/>
        <v>x</v>
      </c>
      <c r="W245" s="217" t="str">
        <f t="shared" si="53"/>
        <v/>
      </c>
      <c r="X245" s="217" t="str">
        <f t="shared" si="53"/>
        <v/>
      </c>
      <c r="Y245" s="217" t="str">
        <f t="shared" si="53"/>
        <v>gs_sill_fill</v>
      </c>
    </row>
    <row r="246" spans="1:25" x14ac:dyDescent="0.3">
      <c r="A246" s="216">
        <f t="shared" si="43"/>
        <v>244</v>
      </c>
      <c r="B246" s="217" t="str">
        <f t="shared" si="52"/>
        <v>x</v>
      </c>
      <c r="C246" s="217" t="str">
        <f t="shared" si="52"/>
        <v/>
      </c>
      <c r="D246" s="217" t="str">
        <f t="shared" si="52"/>
        <v/>
      </c>
      <c r="E246" s="217" t="str">
        <f t="shared" si="52"/>
        <v/>
      </c>
      <c r="F246" s="217" t="str">
        <f t="shared" si="52"/>
        <v/>
      </c>
      <c r="G246" s="217" t="str">
        <f t="shared" si="52"/>
        <v/>
      </c>
      <c r="H246" s="217" t="str">
        <f t="shared" si="52"/>
        <v/>
      </c>
      <c r="I246" s="217" t="str">
        <f t="shared" si="52"/>
        <v/>
      </c>
      <c r="J246" s="217" t="str">
        <f t="shared" si="52"/>
        <v/>
      </c>
      <c r="K246" s="217" t="str">
        <f t="shared" si="52"/>
        <v/>
      </c>
      <c r="L246" s="217" t="str">
        <f t="shared" si="53"/>
        <v>info</v>
      </c>
      <c r="M246" s="217" t="str">
        <f t="shared" si="53"/>
        <v>x</v>
      </c>
      <c r="N246" s="217" t="str">
        <f t="shared" si="53"/>
        <v/>
      </c>
      <c r="O246" s="217" t="str">
        <f t="shared" si="53"/>
        <v>model</v>
      </c>
      <c r="P246" s="218" t="str">
        <f t="shared" si="53"/>
        <v>PenColor</v>
      </c>
      <c r="Q246" s="218" t="str">
        <f t="shared" si="53"/>
        <v>x</v>
      </c>
      <c r="R246" s="218" t="str">
        <f t="shared" si="53"/>
        <v>BS</v>
      </c>
      <c r="S246" s="218" t="str">
        <f t="shared" si="53"/>
        <v>all</v>
      </c>
      <c r="T246" s="217">
        <f t="shared" si="53"/>
        <v>19</v>
      </c>
      <c r="U246" s="217" t="str">
        <f t="shared" si="53"/>
        <v>Fensterbank Schnitt Schraffurstift</v>
      </c>
      <c r="V246" s="217" t="str">
        <f t="shared" si="53"/>
        <v>x</v>
      </c>
      <c r="W246" s="217" t="str">
        <f t="shared" si="53"/>
        <v/>
      </c>
      <c r="X246" s="217" t="str">
        <f t="shared" si="53"/>
        <v/>
      </c>
      <c r="Y246" s="217" t="str">
        <f t="shared" si="53"/>
        <v>gs_sill_pen_fg</v>
      </c>
    </row>
    <row r="247" spans="1:25" x14ac:dyDescent="0.3">
      <c r="A247" s="216">
        <f t="shared" si="43"/>
        <v>245</v>
      </c>
      <c r="B247" s="217" t="str">
        <f t="shared" si="52"/>
        <v>x</v>
      </c>
      <c r="C247" s="217" t="str">
        <f t="shared" si="52"/>
        <v/>
      </c>
      <c r="D247" s="217" t="str">
        <f t="shared" si="52"/>
        <v/>
      </c>
      <c r="E247" s="217" t="str">
        <f t="shared" si="52"/>
        <v/>
      </c>
      <c r="F247" s="217" t="str">
        <f t="shared" si="52"/>
        <v/>
      </c>
      <c r="G247" s="217" t="str">
        <f t="shared" si="52"/>
        <v/>
      </c>
      <c r="H247" s="217" t="str">
        <f t="shared" si="52"/>
        <v/>
      </c>
      <c r="I247" s="217" t="str">
        <f t="shared" si="52"/>
        <v/>
      </c>
      <c r="J247" s="217" t="str">
        <f t="shared" si="52"/>
        <v/>
      </c>
      <c r="K247" s="217" t="str">
        <f t="shared" si="52"/>
        <v/>
      </c>
      <c r="L247" s="217" t="str">
        <f t="shared" si="53"/>
        <v>info</v>
      </c>
      <c r="M247" s="217" t="str">
        <f t="shared" si="53"/>
        <v>x</v>
      </c>
      <c r="N247" s="217" t="str">
        <f t="shared" si="53"/>
        <v/>
      </c>
      <c r="O247" s="217" t="str">
        <f t="shared" si="53"/>
        <v>model</v>
      </c>
      <c r="P247" s="218" t="str">
        <f t="shared" si="53"/>
        <v>PenColor</v>
      </c>
      <c r="Q247" s="218" t="str">
        <f t="shared" si="53"/>
        <v>x</v>
      </c>
      <c r="R247" s="218" t="str">
        <f t="shared" si="53"/>
        <v>BS</v>
      </c>
      <c r="S247" s="218" t="str">
        <f t="shared" si="53"/>
        <v>all</v>
      </c>
      <c r="T247" s="217">
        <f t="shared" si="53"/>
        <v>19</v>
      </c>
      <c r="U247" s="217" t="str">
        <f t="shared" si="53"/>
        <v>Fensterbank Schnitt Schraffur Hintergrundstift</v>
      </c>
      <c r="V247" s="217" t="str">
        <f t="shared" si="53"/>
        <v>x</v>
      </c>
      <c r="W247" s="217" t="str">
        <f t="shared" si="53"/>
        <v/>
      </c>
      <c r="X247" s="217" t="str">
        <f t="shared" si="53"/>
        <v/>
      </c>
      <c r="Y247" s="217" t="str">
        <f t="shared" si="53"/>
        <v>gs_sill_pen_bg</v>
      </c>
    </row>
    <row r="248" spans="1:25" x14ac:dyDescent="0.3">
      <c r="A248" s="216">
        <f t="shared" si="43"/>
        <v>246</v>
      </c>
      <c r="B248" s="217" t="str">
        <f t="shared" si="52"/>
        <v>x</v>
      </c>
      <c r="C248" s="217" t="str">
        <f t="shared" si="52"/>
        <v/>
      </c>
      <c r="D248" s="217" t="str">
        <f t="shared" si="52"/>
        <v/>
      </c>
      <c r="E248" s="217" t="str">
        <f t="shared" si="52"/>
        <v/>
      </c>
      <c r="F248" s="217" t="str">
        <f t="shared" si="52"/>
        <v/>
      </c>
      <c r="G248" s="217" t="str">
        <f t="shared" si="52"/>
        <v/>
      </c>
      <c r="H248" s="217" t="str">
        <f t="shared" si="52"/>
        <v/>
      </c>
      <c r="I248" s="217" t="str">
        <f t="shared" si="52"/>
        <v/>
      </c>
      <c r="J248" s="217" t="str">
        <f t="shared" si="52"/>
        <v/>
      </c>
      <c r="K248" s="217" t="str">
        <f t="shared" si="52"/>
        <v/>
      </c>
      <c r="L248" s="217" t="str">
        <f t="shared" si="53"/>
        <v>info</v>
      </c>
      <c r="M248" s="217" t="str">
        <f t="shared" si="53"/>
        <v>x</v>
      </c>
      <c r="N248" s="217" t="str">
        <f t="shared" si="53"/>
        <v/>
      </c>
      <c r="O248" s="217" t="str">
        <f t="shared" si="53"/>
        <v>model</v>
      </c>
      <c r="P248" s="218" t="str">
        <f t="shared" si="53"/>
        <v>PenColor</v>
      </c>
      <c r="Q248" s="218" t="str">
        <f t="shared" si="53"/>
        <v>x</v>
      </c>
      <c r="R248" s="218" t="str">
        <f t="shared" si="53"/>
        <v>BS</v>
      </c>
      <c r="S248" s="218" t="str">
        <f t="shared" si="53"/>
        <v>all</v>
      </c>
      <c r="T248" s="217">
        <f t="shared" si="53"/>
        <v>1</v>
      </c>
      <c r="U248" s="217" t="str">
        <f t="shared" si="53"/>
        <v>Schnitt Dämmung Konturstift</v>
      </c>
      <c r="V248" s="217" t="str">
        <f t="shared" si="53"/>
        <v>x</v>
      </c>
      <c r="W248" s="217" t="str">
        <f t="shared" si="53"/>
        <v/>
      </c>
      <c r="X248" s="217" t="str">
        <f t="shared" si="53"/>
        <v/>
      </c>
      <c r="Y248" s="217" t="str">
        <f t="shared" si="53"/>
        <v>gs_sill_pen_ins_sectcont</v>
      </c>
    </row>
    <row r="249" spans="1:25" x14ac:dyDescent="0.3">
      <c r="A249" s="216">
        <f t="shared" si="43"/>
        <v>247</v>
      </c>
      <c r="B249" s="217" t="str">
        <f t="shared" si="52"/>
        <v>x</v>
      </c>
      <c r="C249" s="217" t="str">
        <f t="shared" si="52"/>
        <v/>
      </c>
      <c r="D249" s="217" t="str">
        <f t="shared" si="52"/>
        <v/>
      </c>
      <c r="E249" s="217" t="str">
        <f t="shared" si="52"/>
        <v/>
      </c>
      <c r="F249" s="217" t="str">
        <f t="shared" si="52"/>
        <v/>
      </c>
      <c r="G249" s="217" t="str">
        <f t="shared" si="52"/>
        <v/>
      </c>
      <c r="H249" s="217" t="str">
        <f t="shared" si="52"/>
        <v/>
      </c>
      <c r="I249" s="217" t="str">
        <f t="shared" si="52"/>
        <v/>
      </c>
      <c r="J249" s="217" t="str">
        <f t="shared" si="52"/>
        <v/>
      </c>
      <c r="K249" s="217" t="str">
        <f t="shared" si="52"/>
        <v/>
      </c>
      <c r="L249" s="217" t="str">
        <f t="shared" si="53"/>
        <v>info</v>
      </c>
      <c r="M249" s="217" t="str">
        <f t="shared" si="53"/>
        <v>x</v>
      </c>
      <c r="N249" s="217" t="str">
        <f t="shared" si="53"/>
        <v/>
      </c>
      <c r="O249" s="217" t="str">
        <f t="shared" si="53"/>
        <v>model</v>
      </c>
      <c r="P249" s="218" t="str">
        <f t="shared" si="53"/>
        <v>FillPattern</v>
      </c>
      <c r="Q249" s="218" t="str">
        <f t="shared" si="53"/>
        <v>x</v>
      </c>
      <c r="R249" s="218" t="str">
        <f t="shared" si="53"/>
        <v>BS</v>
      </c>
      <c r="S249" s="218" t="str">
        <f t="shared" si="53"/>
        <v>all</v>
      </c>
      <c r="T249" s="217">
        <f t="shared" si="53"/>
        <v>17</v>
      </c>
      <c r="U249" s="217" t="str">
        <f t="shared" si="53"/>
        <v>Schnitt Dämmung Schraffurtyp</v>
      </c>
      <c r="V249" s="217" t="str">
        <f t="shared" si="53"/>
        <v>x</v>
      </c>
      <c r="W249" s="217" t="str">
        <f t="shared" si="53"/>
        <v/>
      </c>
      <c r="X249" s="217" t="str">
        <f t="shared" si="53"/>
        <v/>
      </c>
      <c r="Y249" s="217" t="str">
        <f t="shared" si="53"/>
        <v>gs_sill_fill_ins_fg</v>
      </c>
    </row>
    <row r="250" spans="1:25" x14ac:dyDescent="0.3">
      <c r="A250" s="216">
        <f t="shared" si="43"/>
        <v>248</v>
      </c>
      <c r="B250" s="217" t="str">
        <f t="shared" si="52"/>
        <v>x</v>
      </c>
      <c r="C250" s="217" t="str">
        <f t="shared" si="52"/>
        <v/>
      </c>
      <c r="D250" s="217" t="str">
        <f t="shared" si="52"/>
        <v/>
      </c>
      <c r="E250" s="217" t="str">
        <f t="shared" si="52"/>
        <v/>
      </c>
      <c r="F250" s="217" t="str">
        <f t="shared" si="52"/>
        <v/>
      </c>
      <c r="G250" s="217" t="str">
        <f t="shared" si="52"/>
        <v/>
      </c>
      <c r="H250" s="217" t="str">
        <f t="shared" si="52"/>
        <v/>
      </c>
      <c r="I250" s="217" t="str">
        <f t="shared" si="52"/>
        <v/>
      </c>
      <c r="J250" s="217" t="str">
        <f t="shared" si="52"/>
        <v/>
      </c>
      <c r="K250" s="217" t="str">
        <f t="shared" si="52"/>
        <v/>
      </c>
      <c r="L250" s="217" t="str">
        <f t="shared" si="53"/>
        <v>info</v>
      </c>
      <c r="M250" s="217" t="str">
        <f t="shared" si="53"/>
        <v>x</v>
      </c>
      <c r="N250" s="217" t="str">
        <f t="shared" si="53"/>
        <v/>
      </c>
      <c r="O250" s="217" t="str">
        <f t="shared" si="53"/>
        <v>model</v>
      </c>
      <c r="P250" s="218" t="str">
        <f t="shared" si="53"/>
        <v>PenColor</v>
      </c>
      <c r="Q250" s="218" t="str">
        <f t="shared" si="53"/>
        <v>x</v>
      </c>
      <c r="R250" s="218" t="str">
        <f t="shared" si="53"/>
        <v>BS</v>
      </c>
      <c r="S250" s="218" t="str">
        <f t="shared" si="53"/>
        <v>all</v>
      </c>
      <c r="T250" s="217">
        <f t="shared" si="53"/>
        <v>1</v>
      </c>
      <c r="U250" s="217" t="str">
        <f t="shared" si="53"/>
        <v>Schnitt Dämmung Schraffurstift</v>
      </c>
      <c r="V250" s="217" t="str">
        <f t="shared" si="53"/>
        <v>x</v>
      </c>
      <c r="W250" s="217" t="str">
        <f t="shared" si="53"/>
        <v/>
      </c>
      <c r="X250" s="217" t="str">
        <f t="shared" si="53"/>
        <v/>
      </c>
      <c r="Y250" s="217" t="str">
        <f t="shared" si="53"/>
        <v>gs_sill_pen_ins_fg</v>
      </c>
    </row>
    <row r="251" spans="1:25" x14ac:dyDescent="0.3">
      <c r="A251" s="216">
        <f t="shared" si="43"/>
        <v>249</v>
      </c>
      <c r="B251" s="217" t="str">
        <f t="shared" si="52"/>
        <v>x</v>
      </c>
      <c r="C251" s="217" t="str">
        <f t="shared" si="52"/>
        <v/>
      </c>
      <c r="D251" s="217" t="str">
        <f t="shared" si="52"/>
        <v/>
      </c>
      <c r="E251" s="217" t="str">
        <f t="shared" si="52"/>
        <v/>
      </c>
      <c r="F251" s="217" t="str">
        <f t="shared" si="52"/>
        <v/>
      </c>
      <c r="G251" s="217" t="str">
        <f t="shared" si="52"/>
        <v/>
      </c>
      <c r="H251" s="217" t="str">
        <f t="shared" si="52"/>
        <v/>
      </c>
      <c r="I251" s="217" t="str">
        <f t="shared" si="52"/>
        <v/>
      </c>
      <c r="J251" s="217" t="str">
        <f t="shared" si="52"/>
        <v/>
      </c>
      <c r="K251" s="217" t="str">
        <f t="shared" si="52"/>
        <v/>
      </c>
      <c r="L251" s="217" t="str">
        <f t="shared" si="53"/>
        <v>info</v>
      </c>
      <c r="M251" s="217" t="str">
        <f t="shared" si="53"/>
        <v>x</v>
      </c>
      <c r="N251" s="217" t="str">
        <f t="shared" si="53"/>
        <v/>
      </c>
      <c r="O251" s="217" t="str">
        <f t="shared" si="53"/>
        <v>model</v>
      </c>
      <c r="P251" s="218" t="str">
        <f t="shared" si="53"/>
        <v>PenColor</v>
      </c>
      <c r="Q251" s="218" t="str">
        <f t="shared" si="53"/>
        <v>x</v>
      </c>
      <c r="R251" s="218" t="str">
        <f t="shared" si="53"/>
        <v>BS</v>
      </c>
      <c r="S251" s="218" t="str">
        <f t="shared" si="53"/>
        <v>all</v>
      </c>
      <c r="T251" s="217">
        <f t="shared" si="53"/>
        <v>19</v>
      </c>
      <c r="U251" s="217" t="str">
        <f t="shared" si="53"/>
        <v>Schnitt Dämmung Schraffur Hintergrundstift</v>
      </c>
      <c r="V251" s="217" t="str">
        <f t="shared" si="53"/>
        <v>x</v>
      </c>
      <c r="W251" s="217" t="str">
        <f t="shared" si="53"/>
        <v/>
      </c>
      <c r="X251" s="217" t="str">
        <f t="shared" si="53"/>
        <v/>
      </c>
      <c r="Y251" s="217" t="str">
        <f t="shared" si="53"/>
        <v>gs_sill_pen_ins_bg</v>
      </c>
    </row>
    <row r="252" spans="1:25" x14ac:dyDescent="0.3">
      <c r="A252" s="216">
        <f t="shared" si="43"/>
        <v>250</v>
      </c>
      <c r="B252" s="217" t="str">
        <f t="shared" si="52"/>
        <v>x</v>
      </c>
      <c r="C252" s="217" t="str">
        <f t="shared" si="52"/>
        <v/>
      </c>
      <c r="D252" s="217" t="str">
        <f t="shared" si="52"/>
        <v/>
      </c>
      <c r="E252" s="217" t="str">
        <f t="shared" si="52"/>
        <v/>
      </c>
      <c r="F252" s="217" t="str">
        <f t="shared" si="52"/>
        <v/>
      </c>
      <c r="G252" s="217" t="str">
        <f t="shared" si="52"/>
        <v/>
      </c>
      <c r="H252" s="217" t="str">
        <f t="shared" si="52"/>
        <v/>
      </c>
      <c r="I252" s="217" t="str">
        <f t="shared" si="52"/>
        <v/>
      </c>
      <c r="J252" s="217" t="str">
        <f t="shared" si="52"/>
        <v/>
      </c>
      <c r="K252" s="217" t="str">
        <f t="shared" si="52"/>
        <v/>
      </c>
      <c r="L252" s="217" t="str">
        <f t="shared" si="53"/>
        <v>info</v>
      </c>
      <c r="M252" s="217" t="str">
        <f t="shared" si="53"/>
        <v>x</v>
      </c>
      <c r="N252" s="217" t="str">
        <f t="shared" si="53"/>
        <v/>
      </c>
      <c r="O252" s="217" t="str">
        <f t="shared" si="53"/>
        <v>model</v>
      </c>
      <c r="P252" s="218" t="str">
        <f t="shared" si="53"/>
        <v>Material</v>
      </c>
      <c r="Q252" s="218" t="str">
        <f t="shared" si="53"/>
        <v>x</v>
      </c>
      <c r="R252" s="218" t="str">
        <f t="shared" si="53"/>
        <v>BS</v>
      </c>
      <c r="S252" s="218" t="str">
        <f t="shared" si="53"/>
        <v>all</v>
      </c>
      <c r="T252" s="217">
        <f t="shared" si="53"/>
        <v>1</v>
      </c>
      <c r="U252" s="217" t="str">
        <f t="shared" si="53"/>
        <v>Fensterbank Oberflächenmaterial</v>
      </c>
      <c r="V252" s="217" t="str">
        <f t="shared" si="53"/>
        <v>x</v>
      </c>
      <c r="W252" s="217" t="str">
        <f t="shared" si="53"/>
        <v/>
      </c>
      <c r="X252" s="217" t="str">
        <f t="shared" si="53"/>
        <v/>
      </c>
      <c r="Y252" s="217" t="str">
        <f t="shared" si="53"/>
        <v>gs_sill_mat</v>
      </c>
    </row>
    <row r="253" spans="1:25" x14ac:dyDescent="0.3">
      <c r="A253" s="216">
        <f t="shared" si="43"/>
        <v>251</v>
      </c>
      <c r="B253" s="217" t="str">
        <f t="shared" ref="B253:K262" si="54">IF(ISNONTEXT(B$2),IF(B$2="","",IF(INDEX(IMPORT,$A253,B$2)=0,"",IFERROR(VLOOKUP(INDEX(IMPORT,$A253,B$2),ImportTranslation,2,0),INDEX(IMPORT,$A253,B$2)))),B$2)</f>
        <v>x</v>
      </c>
      <c r="C253" s="217" t="str">
        <f t="shared" si="54"/>
        <v/>
      </c>
      <c r="D253" s="217" t="str">
        <f t="shared" si="54"/>
        <v/>
      </c>
      <c r="E253" s="217" t="str">
        <f t="shared" si="54"/>
        <v/>
      </c>
      <c r="F253" s="217" t="str">
        <f t="shared" si="54"/>
        <v/>
      </c>
      <c r="G253" s="217" t="str">
        <f t="shared" si="54"/>
        <v/>
      </c>
      <c r="H253" s="217" t="str">
        <f t="shared" si="54"/>
        <v/>
      </c>
      <c r="I253" s="217" t="str">
        <f t="shared" si="54"/>
        <v/>
      </c>
      <c r="J253" s="217" t="str">
        <f t="shared" si="54"/>
        <v/>
      </c>
      <c r="K253" s="217" t="str">
        <f t="shared" si="54"/>
        <v/>
      </c>
      <c r="L253" s="217" t="str">
        <f t="shared" ref="L253:Y262" si="55">IF(ISNONTEXT(L$2),IF(L$2="","",IF(INDEX(IMPORT,$A253,L$2)=0,"",IFERROR(VLOOKUP(INDEX(IMPORT,$A253,L$2),ImportTranslation,2,0),INDEX(IMPORT,$A253,L$2)))),L$2)</f>
        <v>info</v>
      </c>
      <c r="M253" s="217" t="str">
        <f t="shared" si="55"/>
        <v>x</v>
      </c>
      <c r="N253" s="217" t="str">
        <f t="shared" si="55"/>
        <v/>
      </c>
      <c r="O253" s="217" t="str">
        <f t="shared" si="55"/>
        <v>model</v>
      </c>
      <c r="P253" s="218" t="str">
        <f t="shared" si="55"/>
        <v>Material</v>
      </c>
      <c r="Q253" s="218" t="str">
        <f t="shared" si="55"/>
        <v>x</v>
      </c>
      <c r="R253" s="218" t="str">
        <f t="shared" si="55"/>
        <v>BS</v>
      </c>
      <c r="S253" s="218" t="str">
        <f t="shared" si="55"/>
        <v>all</v>
      </c>
      <c r="T253" s="217">
        <f t="shared" si="55"/>
        <v>2</v>
      </c>
      <c r="U253" s="217" t="str">
        <f t="shared" si="55"/>
        <v>Mauerwerksbrüstung Mörtel Oberflächenmaterial</v>
      </c>
      <c r="V253" s="217" t="str">
        <f t="shared" si="55"/>
        <v>x</v>
      </c>
      <c r="W253" s="217" t="str">
        <f t="shared" si="55"/>
        <v/>
      </c>
      <c r="X253" s="217" t="str">
        <f t="shared" si="55"/>
        <v/>
      </c>
      <c r="Y253" s="217" t="str">
        <f t="shared" si="55"/>
        <v>gs_brick_sill_mort_mat</v>
      </c>
    </row>
    <row r="254" spans="1:25" x14ac:dyDescent="0.3">
      <c r="A254" s="216">
        <f t="shared" si="43"/>
        <v>252</v>
      </c>
      <c r="B254" s="217" t="str">
        <f t="shared" si="54"/>
        <v>x</v>
      </c>
      <c r="C254" s="217" t="str">
        <f t="shared" si="54"/>
        <v/>
      </c>
      <c r="D254" s="217" t="str">
        <f t="shared" si="54"/>
        <v/>
      </c>
      <c r="E254" s="217" t="str">
        <f t="shared" si="54"/>
        <v/>
      </c>
      <c r="F254" s="217" t="str">
        <f t="shared" si="54"/>
        <v/>
      </c>
      <c r="G254" s="217" t="str">
        <f t="shared" si="54"/>
        <v/>
      </c>
      <c r="H254" s="217" t="str">
        <f t="shared" si="54"/>
        <v/>
      </c>
      <c r="I254" s="217" t="str">
        <f t="shared" si="54"/>
        <v/>
      </c>
      <c r="J254" s="217" t="str">
        <f t="shared" si="54"/>
        <v/>
      </c>
      <c r="K254" s="217" t="str">
        <f t="shared" si="54"/>
        <v/>
      </c>
      <c r="L254" s="217" t="str">
        <f t="shared" si="55"/>
        <v>info</v>
      </c>
      <c r="M254" s="217" t="str">
        <f t="shared" si="55"/>
        <v/>
      </c>
      <c r="N254" s="217" t="str">
        <f t="shared" si="55"/>
        <v/>
      </c>
      <c r="O254" s="217" t="str">
        <f t="shared" si="55"/>
        <v>model</v>
      </c>
      <c r="P254" s="218" t="str">
        <f t="shared" si="55"/>
        <v>Boolean</v>
      </c>
      <c r="Q254" s="218" t="str">
        <f t="shared" si="55"/>
        <v>x</v>
      </c>
      <c r="R254" s="218" t="str">
        <f t="shared" si="55"/>
        <v>BS</v>
      </c>
      <c r="S254" s="218" t="str">
        <f t="shared" si="55"/>
        <v>all</v>
      </c>
      <c r="T254" s="217" t="str">
        <f t="shared" si="55"/>
        <v/>
      </c>
      <c r="U254" s="217" t="str">
        <f t="shared" si="55"/>
        <v>Rollschicht</v>
      </c>
      <c r="V254" s="217" t="str">
        <f t="shared" si="55"/>
        <v/>
      </c>
      <c r="W254" s="217" t="str">
        <f t="shared" si="55"/>
        <v/>
      </c>
      <c r="X254" s="217" t="str">
        <f t="shared" si="55"/>
        <v/>
      </c>
      <c r="Y254" s="217" t="str">
        <f t="shared" si="55"/>
        <v>bMasonryArch</v>
      </c>
    </row>
    <row r="255" spans="1:25" x14ac:dyDescent="0.3">
      <c r="A255" s="216">
        <f t="shared" si="43"/>
        <v>253</v>
      </c>
      <c r="B255" s="217" t="str">
        <f t="shared" si="54"/>
        <v>x</v>
      </c>
      <c r="C255" s="217" t="str">
        <f t="shared" si="54"/>
        <v/>
      </c>
      <c r="D255" s="217" t="str">
        <f t="shared" si="54"/>
        <v/>
      </c>
      <c r="E255" s="217" t="str">
        <f t="shared" si="54"/>
        <v/>
      </c>
      <c r="F255" s="217" t="str">
        <f t="shared" si="54"/>
        <v/>
      </c>
      <c r="G255" s="217" t="str">
        <f t="shared" si="54"/>
        <v/>
      </c>
      <c r="H255" s="217" t="str">
        <f t="shared" si="54"/>
        <v/>
      </c>
      <c r="I255" s="217" t="str">
        <f t="shared" si="54"/>
        <v/>
      </c>
      <c r="J255" s="217" t="str">
        <f t="shared" si="54"/>
        <v/>
      </c>
      <c r="K255" s="217" t="str">
        <f t="shared" si="54"/>
        <v/>
      </c>
      <c r="L255" s="217" t="str">
        <f t="shared" si="55"/>
        <v>info</v>
      </c>
      <c r="M255" s="217" t="str">
        <f t="shared" si="55"/>
        <v>x</v>
      </c>
      <c r="N255" s="217" t="str">
        <f t="shared" si="55"/>
        <v/>
      </c>
      <c r="O255" s="217" t="str">
        <f t="shared" si="55"/>
        <v>model</v>
      </c>
      <c r="P255" s="218" t="str">
        <f t="shared" si="55"/>
        <v>Integer</v>
      </c>
      <c r="Q255" s="218" t="str">
        <f t="shared" si="55"/>
        <v>x</v>
      </c>
      <c r="R255" s="218" t="str">
        <f t="shared" si="55"/>
        <v>BS</v>
      </c>
      <c r="S255" s="218" t="str">
        <f t="shared" si="55"/>
        <v>all</v>
      </c>
      <c r="T255" s="217">
        <f t="shared" si="55"/>
        <v>2</v>
      </c>
      <c r="U255" s="217" t="str">
        <f t="shared" si="55"/>
        <v>Rollschicht</v>
      </c>
      <c r="V255" s="217" t="str">
        <f t="shared" si="55"/>
        <v>x</v>
      </c>
      <c r="W255" s="217" t="str">
        <f t="shared" si="55"/>
        <v/>
      </c>
      <c r="X255" s="217" t="str">
        <f t="shared" si="55"/>
        <v/>
      </c>
      <c r="Y255" s="217" t="str">
        <f t="shared" si="55"/>
        <v>gs_masonry_arch_int</v>
      </c>
    </row>
    <row r="256" spans="1:25" x14ac:dyDescent="0.3">
      <c r="A256" s="216">
        <f t="shared" si="43"/>
        <v>254</v>
      </c>
      <c r="B256" s="217" t="str">
        <f t="shared" si="54"/>
        <v>x</v>
      </c>
      <c r="C256" s="217" t="str">
        <f t="shared" si="54"/>
        <v/>
      </c>
      <c r="D256" s="217" t="str">
        <f t="shared" si="54"/>
        <v/>
      </c>
      <c r="E256" s="217" t="str">
        <f t="shared" si="54"/>
        <v/>
      </c>
      <c r="F256" s="217" t="str">
        <f t="shared" si="54"/>
        <v/>
      </c>
      <c r="G256" s="217" t="str">
        <f t="shared" si="54"/>
        <v/>
      </c>
      <c r="H256" s="217" t="str">
        <f t="shared" si="54"/>
        <v/>
      </c>
      <c r="I256" s="217" t="str">
        <f t="shared" si="54"/>
        <v/>
      </c>
      <c r="J256" s="217" t="str">
        <f t="shared" si="54"/>
        <v/>
      </c>
      <c r="K256" s="217" t="str">
        <f t="shared" si="54"/>
        <v/>
      </c>
      <c r="L256" s="217" t="str">
        <f t="shared" si="55"/>
        <v>info</v>
      </c>
      <c r="M256" s="217" t="str">
        <f t="shared" si="55"/>
        <v>x</v>
      </c>
      <c r="N256" s="217" t="str">
        <f t="shared" si="55"/>
        <v/>
      </c>
      <c r="O256" s="217" t="str">
        <f t="shared" si="55"/>
        <v>model</v>
      </c>
      <c r="P256" s="218" t="str">
        <f t="shared" si="55"/>
        <v>String</v>
      </c>
      <c r="Q256" s="218" t="str">
        <f t="shared" si="55"/>
        <v>x</v>
      </c>
      <c r="R256" s="218" t="str">
        <f t="shared" si="55"/>
        <v>BS</v>
      </c>
      <c r="S256" s="218" t="str">
        <f t="shared" si="55"/>
        <v>all</v>
      </c>
      <c r="T256" s="217" t="str">
        <f t="shared" si="55"/>
        <v>Verputzt</v>
      </c>
      <c r="U256" s="217" t="str">
        <f t="shared" si="55"/>
        <v>Typ Sturz</v>
      </c>
      <c r="V256" s="217" t="str">
        <f t="shared" si="55"/>
        <v>x</v>
      </c>
      <c r="W256" s="217" t="str">
        <f t="shared" si="55"/>
        <v/>
      </c>
      <c r="X256" s="217" t="str">
        <f t="shared" si="55"/>
        <v/>
      </c>
      <c r="Y256" s="217" t="str">
        <f t="shared" si="55"/>
        <v>gs_masonry_arch_structure</v>
      </c>
    </row>
    <row r="257" spans="1:25" x14ac:dyDescent="0.3">
      <c r="A257" s="216">
        <f t="shared" si="43"/>
        <v>255</v>
      </c>
      <c r="B257" s="217" t="str">
        <f t="shared" si="54"/>
        <v>x</v>
      </c>
      <c r="C257" s="217" t="str">
        <f t="shared" si="54"/>
        <v>x</v>
      </c>
      <c r="D257" s="217" t="str">
        <f t="shared" si="54"/>
        <v/>
      </c>
      <c r="E257" s="217" t="str">
        <f t="shared" si="54"/>
        <v/>
      </c>
      <c r="F257" s="217" t="str">
        <f t="shared" si="54"/>
        <v/>
      </c>
      <c r="G257" s="217" t="str">
        <f t="shared" si="54"/>
        <v/>
      </c>
      <c r="H257" s="217" t="str">
        <f t="shared" si="54"/>
        <v/>
      </c>
      <c r="I257" s="217" t="str">
        <f t="shared" si="54"/>
        <v/>
      </c>
      <c r="J257" s="217" t="str">
        <f t="shared" si="54"/>
        <v/>
      </c>
      <c r="K257" s="217" t="str">
        <f t="shared" si="54"/>
        <v/>
      </c>
      <c r="L257" s="217" t="str">
        <f t="shared" si="55"/>
        <v>info</v>
      </c>
      <c r="M257" s="217" t="str">
        <f t="shared" si="55"/>
        <v>x</v>
      </c>
      <c r="N257" s="217" t="str">
        <f t="shared" si="55"/>
        <v/>
      </c>
      <c r="O257" s="217" t="str">
        <f t="shared" si="55"/>
        <v>model</v>
      </c>
      <c r="P257" s="218" t="str">
        <f t="shared" si="55"/>
        <v>Integer</v>
      </c>
      <c r="Q257" s="218" t="str">
        <f t="shared" si="55"/>
        <v>x</v>
      </c>
      <c r="R257" s="218" t="str">
        <f t="shared" si="55"/>
        <v>BS</v>
      </c>
      <c r="S257" s="218" t="str">
        <f t="shared" si="55"/>
        <v>all</v>
      </c>
      <c r="T257" s="217">
        <f t="shared" si="55"/>
        <v>1</v>
      </c>
      <c r="U257" s="217" t="str">
        <f t="shared" si="55"/>
        <v>Typ Sturz</v>
      </c>
      <c r="V257" s="217" t="str">
        <f t="shared" si="55"/>
        <v>x</v>
      </c>
      <c r="W257" s="217" t="str">
        <f t="shared" si="55"/>
        <v/>
      </c>
      <c r="X257" s="217" t="str">
        <f t="shared" si="55"/>
        <v/>
      </c>
      <c r="Y257" s="217" t="str">
        <f t="shared" si="55"/>
        <v>gs_masonry_arch_structure_int</v>
      </c>
    </row>
    <row r="258" spans="1:25" x14ac:dyDescent="0.3">
      <c r="A258" s="216">
        <f t="shared" si="43"/>
        <v>256</v>
      </c>
      <c r="B258" s="217" t="str">
        <f t="shared" si="54"/>
        <v>x</v>
      </c>
      <c r="C258" s="217" t="str">
        <f t="shared" si="54"/>
        <v/>
      </c>
      <c r="D258" s="217" t="str">
        <f t="shared" si="54"/>
        <v/>
      </c>
      <c r="E258" s="217" t="str">
        <f t="shared" si="54"/>
        <v/>
      </c>
      <c r="F258" s="217" t="str">
        <f t="shared" si="54"/>
        <v/>
      </c>
      <c r="G258" s="217" t="str">
        <f t="shared" si="54"/>
        <v/>
      </c>
      <c r="H258" s="217" t="str">
        <f t="shared" si="54"/>
        <v/>
      </c>
      <c r="I258" s="217" t="str">
        <f t="shared" si="54"/>
        <v/>
      </c>
      <c r="J258" s="217" t="str">
        <f t="shared" si="54"/>
        <v/>
      </c>
      <c r="K258" s="217" t="str">
        <f t="shared" si="54"/>
        <v/>
      </c>
      <c r="L258" s="217" t="str">
        <f t="shared" si="55"/>
        <v>info</v>
      </c>
      <c r="M258" s="217" t="str">
        <f t="shared" si="55"/>
        <v>x</v>
      </c>
      <c r="N258" s="217" t="str">
        <f t="shared" si="55"/>
        <v/>
      </c>
      <c r="O258" s="217" t="str">
        <f t="shared" si="55"/>
        <v>model</v>
      </c>
      <c r="P258" s="218" t="str">
        <f t="shared" si="55"/>
        <v>Boolean</v>
      </c>
      <c r="Q258" s="218" t="str">
        <f t="shared" si="55"/>
        <v>x</v>
      </c>
      <c r="R258" s="218" t="str">
        <f t="shared" si="55"/>
        <v>BS</v>
      </c>
      <c r="S258" s="218" t="str">
        <f t="shared" si="55"/>
        <v>all</v>
      </c>
      <c r="T258" s="217">
        <f t="shared" si="55"/>
        <v>1</v>
      </c>
      <c r="U258" s="217" t="str">
        <f t="shared" si="55"/>
        <v>Sturz direkt über der Tür</v>
      </c>
      <c r="V258" s="217" t="str">
        <f t="shared" si="55"/>
        <v>x</v>
      </c>
      <c r="W258" s="217" t="str">
        <f t="shared" si="55"/>
        <v/>
      </c>
      <c r="X258" s="217" t="str">
        <f t="shared" si="55"/>
        <v/>
      </c>
      <c r="Y258" s="217" t="str">
        <f t="shared" si="55"/>
        <v>gs_AutomaticArchHeight</v>
      </c>
    </row>
    <row r="259" spans="1:25" x14ac:dyDescent="0.3">
      <c r="A259" s="216">
        <f t="shared" ref="A259:A322" si="56">ROW()-ROW($A$2)</f>
        <v>257</v>
      </c>
      <c r="B259" s="217" t="str">
        <f t="shared" si="54"/>
        <v>x</v>
      </c>
      <c r="C259" s="217" t="str">
        <f t="shared" si="54"/>
        <v/>
      </c>
      <c r="D259" s="217" t="str">
        <f t="shared" si="54"/>
        <v/>
      </c>
      <c r="E259" s="217" t="str">
        <f t="shared" si="54"/>
        <v/>
      </c>
      <c r="F259" s="217" t="str">
        <f t="shared" si="54"/>
        <v/>
      </c>
      <c r="G259" s="217" t="str">
        <f t="shared" si="54"/>
        <v/>
      </c>
      <c r="H259" s="217" t="str">
        <f t="shared" si="54"/>
        <v/>
      </c>
      <c r="I259" s="217" t="str">
        <f t="shared" si="54"/>
        <v/>
      </c>
      <c r="J259" s="217" t="str">
        <f t="shared" si="54"/>
        <v/>
      </c>
      <c r="K259" s="217" t="str">
        <f t="shared" si="54"/>
        <v/>
      </c>
      <c r="L259" s="217" t="str">
        <f t="shared" si="55"/>
        <v>info</v>
      </c>
      <c r="M259" s="217" t="str">
        <f t="shared" si="55"/>
        <v>x</v>
      </c>
      <c r="N259" s="217" t="str">
        <f t="shared" si="55"/>
        <v/>
      </c>
      <c r="O259" s="217" t="str">
        <f t="shared" si="55"/>
        <v>model</v>
      </c>
      <c r="P259" s="218" t="str">
        <f t="shared" si="55"/>
        <v>Length</v>
      </c>
      <c r="Q259" s="218" t="str">
        <f t="shared" si="55"/>
        <v>x</v>
      </c>
      <c r="R259" s="218" t="str">
        <f t="shared" si="55"/>
        <v>BS</v>
      </c>
      <c r="S259" s="218" t="str">
        <f t="shared" si="55"/>
        <v>all</v>
      </c>
      <c r="T259" s="217" t="str">
        <f t="shared" si="55"/>
        <v/>
      </c>
      <c r="U259" s="217" t="str">
        <f t="shared" si="55"/>
        <v>Distanz zwischen Bogen und Tür</v>
      </c>
      <c r="V259" s="217" t="str">
        <f t="shared" si="55"/>
        <v>x</v>
      </c>
      <c r="W259" s="217" t="str">
        <f t="shared" si="55"/>
        <v/>
      </c>
      <c r="X259" s="217" t="str">
        <f t="shared" si="55"/>
        <v/>
      </c>
      <c r="Y259" s="217" t="str">
        <f t="shared" si="55"/>
        <v>gs_MasonryArch_height</v>
      </c>
    </row>
    <row r="260" spans="1:25" x14ac:dyDescent="0.3">
      <c r="A260" s="216">
        <f t="shared" si="56"/>
        <v>258</v>
      </c>
      <c r="B260" s="217" t="str">
        <f t="shared" si="54"/>
        <v>x</v>
      </c>
      <c r="C260" s="217" t="str">
        <f t="shared" si="54"/>
        <v/>
      </c>
      <c r="D260" s="217" t="str">
        <f t="shared" si="54"/>
        <v/>
      </c>
      <c r="E260" s="217" t="str">
        <f t="shared" si="54"/>
        <v/>
      </c>
      <c r="F260" s="217" t="str">
        <f t="shared" si="54"/>
        <v/>
      </c>
      <c r="G260" s="217" t="str">
        <f t="shared" si="54"/>
        <v/>
      </c>
      <c r="H260" s="217" t="str">
        <f t="shared" si="54"/>
        <v/>
      </c>
      <c r="I260" s="217" t="str">
        <f t="shared" si="54"/>
        <v/>
      </c>
      <c r="J260" s="217" t="str">
        <f t="shared" si="54"/>
        <v/>
      </c>
      <c r="K260" s="217" t="str">
        <f t="shared" si="54"/>
        <v/>
      </c>
      <c r="L260" s="217" t="str">
        <f t="shared" si="55"/>
        <v>info</v>
      </c>
      <c r="M260" s="217" t="str">
        <f t="shared" si="55"/>
        <v>x</v>
      </c>
      <c r="N260" s="217" t="str">
        <f t="shared" si="55"/>
        <v/>
      </c>
      <c r="O260" s="217" t="str">
        <f t="shared" si="55"/>
        <v>model</v>
      </c>
      <c r="P260" s="218" t="str">
        <f t="shared" si="55"/>
        <v>Boolean</v>
      </c>
      <c r="Q260" s="218" t="str">
        <f t="shared" si="55"/>
        <v>x</v>
      </c>
      <c r="R260" s="218" t="str">
        <f t="shared" si="55"/>
        <v>BS</v>
      </c>
      <c r="S260" s="218" t="str">
        <f t="shared" si="55"/>
        <v>all</v>
      </c>
      <c r="T260" s="217">
        <f t="shared" si="55"/>
        <v>1</v>
      </c>
      <c r="U260" s="217" t="str">
        <f t="shared" si="55"/>
        <v>Nische unterm Bogen</v>
      </c>
      <c r="V260" s="217" t="str">
        <f t="shared" si="55"/>
        <v>x</v>
      </c>
      <c r="W260" s="217" t="str">
        <f t="shared" si="55"/>
        <v/>
      </c>
      <c r="X260" s="217" t="str">
        <f t="shared" si="55"/>
        <v/>
      </c>
      <c r="Y260" s="217" t="str">
        <f t="shared" si="55"/>
        <v>gs_NicheBelowArch</v>
      </c>
    </row>
    <row r="261" spans="1:25" x14ac:dyDescent="0.3">
      <c r="A261" s="216">
        <f t="shared" si="56"/>
        <v>259</v>
      </c>
      <c r="B261" s="217" t="str">
        <f t="shared" si="54"/>
        <v>x</v>
      </c>
      <c r="C261" s="217" t="str">
        <f t="shared" si="54"/>
        <v/>
      </c>
      <c r="D261" s="217" t="str">
        <f t="shared" si="54"/>
        <v/>
      </c>
      <c r="E261" s="217" t="str">
        <f t="shared" si="54"/>
        <v/>
      </c>
      <c r="F261" s="217" t="str">
        <f t="shared" si="54"/>
        <v/>
      </c>
      <c r="G261" s="217" t="str">
        <f t="shared" si="54"/>
        <v/>
      </c>
      <c r="H261" s="217" t="str">
        <f t="shared" si="54"/>
        <v/>
      </c>
      <c r="I261" s="217" t="str">
        <f t="shared" si="54"/>
        <v/>
      </c>
      <c r="J261" s="217" t="str">
        <f t="shared" si="54"/>
        <v/>
      </c>
      <c r="K261" s="217" t="str">
        <f t="shared" si="54"/>
        <v/>
      </c>
      <c r="L261" s="217" t="str">
        <f t="shared" si="55"/>
        <v>info</v>
      </c>
      <c r="M261" s="217" t="str">
        <f t="shared" si="55"/>
        <v>x</v>
      </c>
      <c r="N261" s="217" t="str">
        <f t="shared" si="55"/>
        <v/>
      </c>
      <c r="O261" s="217" t="str">
        <f t="shared" si="55"/>
        <v>model</v>
      </c>
      <c r="P261" s="218" t="str">
        <f t="shared" si="55"/>
        <v>Length</v>
      </c>
      <c r="Q261" s="218" t="str">
        <f t="shared" si="55"/>
        <v>x</v>
      </c>
      <c r="R261" s="218" t="str">
        <f t="shared" si="55"/>
        <v>BS</v>
      </c>
      <c r="S261" s="218" t="str">
        <f t="shared" si="55"/>
        <v>all</v>
      </c>
      <c r="T261" s="217" t="str">
        <f t="shared" si="55"/>
        <v/>
      </c>
      <c r="U261" s="217" t="str">
        <f t="shared" si="55"/>
        <v>Sturz Überhang links</v>
      </c>
      <c r="V261" s="217" t="str">
        <f t="shared" si="55"/>
        <v>x</v>
      </c>
      <c r="W261" s="217" t="str">
        <f t="shared" si="55"/>
        <v/>
      </c>
      <c r="X261" s="217" t="str">
        <f t="shared" si="55"/>
        <v/>
      </c>
      <c r="Y261" s="217" t="str">
        <f t="shared" si="55"/>
        <v>gs_masonry_arch_ovhg_left</v>
      </c>
    </row>
    <row r="262" spans="1:25" x14ac:dyDescent="0.3">
      <c r="A262" s="216">
        <f t="shared" si="56"/>
        <v>260</v>
      </c>
      <c r="B262" s="217" t="str">
        <f t="shared" si="54"/>
        <v>x</v>
      </c>
      <c r="C262" s="217" t="str">
        <f t="shared" si="54"/>
        <v/>
      </c>
      <c r="D262" s="217" t="str">
        <f t="shared" si="54"/>
        <v/>
      </c>
      <c r="E262" s="217" t="str">
        <f t="shared" si="54"/>
        <v/>
      </c>
      <c r="F262" s="217" t="str">
        <f t="shared" si="54"/>
        <v/>
      </c>
      <c r="G262" s="217" t="str">
        <f t="shared" si="54"/>
        <v/>
      </c>
      <c r="H262" s="217" t="str">
        <f t="shared" si="54"/>
        <v/>
      </c>
      <c r="I262" s="217" t="str">
        <f t="shared" si="54"/>
        <v/>
      </c>
      <c r="J262" s="217" t="str">
        <f t="shared" si="54"/>
        <v/>
      </c>
      <c r="K262" s="217" t="str">
        <f t="shared" si="54"/>
        <v/>
      </c>
      <c r="L262" s="217" t="str">
        <f t="shared" si="55"/>
        <v>info</v>
      </c>
      <c r="M262" s="217" t="str">
        <f t="shared" si="55"/>
        <v>x</v>
      </c>
      <c r="N262" s="217" t="str">
        <f t="shared" si="55"/>
        <v/>
      </c>
      <c r="O262" s="217" t="str">
        <f t="shared" si="55"/>
        <v>model</v>
      </c>
      <c r="P262" s="218" t="str">
        <f t="shared" si="55"/>
        <v>Length</v>
      </c>
      <c r="Q262" s="218" t="str">
        <f t="shared" si="55"/>
        <v>x</v>
      </c>
      <c r="R262" s="218" t="str">
        <f t="shared" si="55"/>
        <v>BS</v>
      </c>
      <c r="S262" s="218" t="str">
        <f t="shared" si="55"/>
        <v>all</v>
      </c>
      <c r="T262" s="217" t="str">
        <f t="shared" si="55"/>
        <v/>
      </c>
      <c r="U262" s="217" t="str">
        <f t="shared" si="55"/>
        <v>Sturz Überhang rechts</v>
      </c>
      <c r="V262" s="217" t="str">
        <f t="shared" si="55"/>
        <v>x</v>
      </c>
      <c r="W262" s="217" t="str">
        <f t="shared" si="55"/>
        <v/>
      </c>
      <c r="X262" s="217" t="str">
        <f t="shared" si="55"/>
        <v/>
      </c>
      <c r="Y262" s="217" t="str">
        <f t="shared" si="55"/>
        <v>gs_masonry_arch_ovhg_right</v>
      </c>
    </row>
    <row r="263" spans="1:25" x14ac:dyDescent="0.3">
      <c r="A263" s="216">
        <f t="shared" si="56"/>
        <v>261</v>
      </c>
      <c r="B263" s="217" t="str">
        <f t="shared" ref="B263:K272" si="57">IF(ISNONTEXT(B$2),IF(B$2="","",IF(INDEX(IMPORT,$A263,B$2)=0,"",IFERROR(VLOOKUP(INDEX(IMPORT,$A263,B$2),ImportTranslation,2,0),INDEX(IMPORT,$A263,B$2)))),B$2)</f>
        <v>x</v>
      </c>
      <c r="C263" s="217" t="str">
        <f t="shared" si="57"/>
        <v/>
      </c>
      <c r="D263" s="217" t="str">
        <f t="shared" si="57"/>
        <v/>
      </c>
      <c r="E263" s="217" t="str">
        <f t="shared" si="57"/>
        <v/>
      </c>
      <c r="F263" s="217" t="str">
        <f t="shared" si="57"/>
        <v/>
      </c>
      <c r="G263" s="217" t="str">
        <f t="shared" si="57"/>
        <v/>
      </c>
      <c r="H263" s="217" t="str">
        <f t="shared" si="57"/>
        <v/>
      </c>
      <c r="I263" s="217" t="str">
        <f t="shared" si="57"/>
        <v/>
      </c>
      <c r="J263" s="217" t="str">
        <f t="shared" si="57"/>
        <v/>
      </c>
      <c r="K263" s="217" t="str">
        <f t="shared" si="57"/>
        <v/>
      </c>
      <c r="L263" s="217" t="str">
        <f t="shared" ref="L263:Y272" si="58">IF(ISNONTEXT(L$2),IF(L$2="","",IF(INDEX(IMPORT,$A263,L$2)=0,"",IFERROR(VLOOKUP(INDEX(IMPORT,$A263,L$2),ImportTranslation,2,0),INDEX(IMPORT,$A263,L$2)))),L$2)</f>
        <v>info</v>
      </c>
      <c r="M263" s="217" t="str">
        <f t="shared" si="58"/>
        <v>x</v>
      </c>
      <c r="N263" s="217" t="str">
        <f t="shared" si="58"/>
        <v/>
      </c>
      <c r="O263" s="217" t="str">
        <f t="shared" si="58"/>
        <v>model</v>
      </c>
      <c r="P263" s="218" t="str">
        <f t="shared" si="58"/>
        <v>Length</v>
      </c>
      <c r="Q263" s="218" t="str">
        <f t="shared" si="58"/>
        <v>x</v>
      </c>
      <c r="R263" s="218" t="str">
        <f t="shared" si="58"/>
        <v>BS</v>
      </c>
      <c r="S263" s="218" t="str">
        <f t="shared" si="58"/>
        <v>all</v>
      </c>
      <c r="T263" s="217">
        <f t="shared" si="58"/>
        <v>0.03</v>
      </c>
      <c r="U263" s="217" t="str">
        <f t="shared" si="58"/>
        <v>Sturz Bogenhöhe</v>
      </c>
      <c r="V263" s="217" t="str">
        <f t="shared" si="58"/>
        <v>x</v>
      </c>
      <c r="W263" s="217" t="str">
        <f t="shared" si="58"/>
        <v/>
      </c>
      <c r="X263" s="217" t="str">
        <f t="shared" si="58"/>
        <v/>
      </c>
      <c r="Y263" s="217" t="str">
        <f t="shared" si="58"/>
        <v>gs_masonry_arch_rise</v>
      </c>
    </row>
    <row r="264" spans="1:25" x14ac:dyDescent="0.3">
      <c r="A264" s="216">
        <f t="shared" si="56"/>
        <v>262</v>
      </c>
      <c r="B264" s="217" t="str">
        <f t="shared" si="57"/>
        <v>x</v>
      </c>
      <c r="C264" s="217" t="str">
        <f t="shared" si="57"/>
        <v/>
      </c>
      <c r="D264" s="217" t="str">
        <f t="shared" si="57"/>
        <v/>
      </c>
      <c r="E264" s="217" t="str">
        <f t="shared" si="57"/>
        <v/>
      </c>
      <c r="F264" s="217" t="str">
        <f t="shared" si="57"/>
        <v/>
      </c>
      <c r="G264" s="217" t="str">
        <f t="shared" si="57"/>
        <v/>
      </c>
      <c r="H264" s="217" t="str">
        <f t="shared" si="57"/>
        <v/>
      </c>
      <c r="I264" s="217" t="str">
        <f t="shared" si="57"/>
        <v/>
      </c>
      <c r="J264" s="217" t="str">
        <f t="shared" si="57"/>
        <v/>
      </c>
      <c r="K264" s="217" t="str">
        <f t="shared" si="57"/>
        <v/>
      </c>
      <c r="L264" s="217" t="str">
        <f t="shared" si="58"/>
        <v>info</v>
      </c>
      <c r="M264" s="217" t="str">
        <f t="shared" si="58"/>
        <v>x</v>
      </c>
      <c r="N264" s="217" t="str">
        <f t="shared" si="58"/>
        <v/>
      </c>
      <c r="O264" s="217" t="str">
        <f t="shared" si="58"/>
        <v>model</v>
      </c>
      <c r="P264" s="218" t="str">
        <f t="shared" si="58"/>
        <v>Angle</v>
      </c>
      <c r="Q264" s="218" t="str">
        <f t="shared" si="58"/>
        <v>x</v>
      </c>
      <c r="R264" s="218" t="str">
        <f t="shared" si="58"/>
        <v>BS</v>
      </c>
      <c r="S264" s="218" t="str">
        <f t="shared" si="58"/>
        <v>all</v>
      </c>
      <c r="T264" s="217">
        <f t="shared" si="58"/>
        <v>75</v>
      </c>
      <c r="U264" s="217" t="str">
        <f t="shared" si="58"/>
        <v>Neigungswinkel</v>
      </c>
      <c r="V264" s="217" t="str">
        <f t="shared" si="58"/>
        <v>x</v>
      </c>
      <c r="W264" s="217" t="str">
        <f t="shared" si="58"/>
        <v/>
      </c>
      <c r="X264" s="217" t="str">
        <f t="shared" si="58"/>
        <v/>
      </c>
      <c r="Y264" s="217" t="str">
        <f t="shared" si="58"/>
        <v>gs_masonry_arch_skewback_angle</v>
      </c>
    </row>
    <row r="265" spans="1:25" x14ac:dyDescent="0.3">
      <c r="A265" s="216">
        <f t="shared" si="56"/>
        <v>263</v>
      </c>
      <c r="B265" s="217" t="str">
        <f t="shared" si="57"/>
        <v>x</v>
      </c>
      <c r="C265" s="217" t="str">
        <f t="shared" si="57"/>
        <v/>
      </c>
      <c r="D265" s="217" t="str">
        <f t="shared" si="57"/>
        <v/>
      </c>
      <c r="E265" s="217" t="str">
        <f t="shared" si="57"/>
        <v/>
      </c>
      <c r="F265" s="217" t="str">
        <f t="shared" si="57"/>
        <v/>
      </c>
      <c r="G265" s="217" t="str">
        <f t="shared" si="57"/>
        <v/>
      </c>
      <c r="H265" s="217" t="str">
        <f t="shared" si="57"/>
        <v/>
      </c>
      <c r="I265" s="217" t="str">
        <f t="shared" si="57"/>
        <v/>
      </c>
      <c r="J265" s="217" t="str">
        <f t="shared" si="57"/>
        <v/>
      </c>
      <c r="K265" s="217" t="str">
        <f t="shared" si="57"/>
        <v/>
      </c>
      <c r="L265" s="217" t="str">
        <f t="shared" si="58"/>
        <v>info</v>
      </c>
      <c r="M265" s="217" t="str">
        <f t="shared" si="58"/>
        <v>x</v>
      </c>
      <c r="N265" s="217" t="str">
        <f t="shared" si="58"/>
        <v/>
      </c>
      <c r="O265" s="217" t="str">
        <f t="shared" si="58"/>
        <v>model</v>
      </c>
      <c r="P265" s="218" t="str">
        <f t="shared" si="58"/>
        <v>Length</v>
      </c>
      <c r="Q265" s="218" t="str">
        <f t="shared" si="58"/>
        <v>x</v>
      </c>
      <c r="R265" s="218" t="str">
        <f t="shared" si="58"/>
        <v>BS</v>
      </c>
      <c r="S265" s="218" t="str">
        <f t="shared" si="58"/>
        <v>all</v>
      </c>
      <c r="T265" s="217" t="str">
        <f t="shared" si="58"/>
        <v/>
      </c>
      <c r="U265" s="217" t="str">
        <f t="shared" si="58"/>
        <v>Projektion Sturz</v>
      </c>
      <c r="V265" s="217" t="str">
        <f t="shared" si="58"/>
        <v>x</v>
      </c>
      <c r="W265" s="217" t="str">
        <f t="shared" si="58"/>
        <v/>
      </c>
      <c r="X265" s="217" t="str">
        <f t="shared" si="58"/>
        <v/>
      </c>
      <c r="Y265" s="217" t="str">
        <f t="shared" si="58"/>
        <v>gs_masonry_arch_proj</v>
      </c>
    </row>
    <row r="266" spans="1:25" x14ac:dyDescent="0.3">
      <c r="A266" s="216">
        <f t="shared" si="56"/>
        <v>264</v>
      </c>
      <c r="B266" s="217" t="str">
        <f t="shared" si="57"/>
        <v>x</v>
      </c>
      <c r="C266" s="217" t="str">
        <f t="shared" si="57"/>
        <v/>
      </c>
      <c r="D266" s="217" t="str">
        <f t="shared" si="57"/>
        <v/>
      </c>
      <c r="E266" s="217" t="str">
        <f t="shared" si="57"/>
        <v/>
      </c>
      <c r="F266" s="217" t="str">
        <f t="shared" si="57"/>
        <v/>
      </c>
      <c r="G266" s="217" t="str">
        <f t="shared" si="57"/>
        <v/>
      </c>
      <c r="H266" s="217" t="str">
        <f t="shared" si="57"/>
        <v/>
      </c>
      <c r="I266" s="217" t="str">
        <f t="shared" si="57"/>
        <v/>
      </c>
      <c r="J266" s="217" t="str">
        <f t="shared" si="57"/>
        <v/>
      </c>
      <c r="K266" s="217" t="str">
        <f t="shared" si="57"/>
        <v/>
      </c>
      <c r="L266" s="217" t="str">
        <f t="shared" si="58"/>
        <v>info</v>
      </c>
      <c r="M266" s="217" t="str">
        <f t="shared" si="58"/>
        <v>x</v>
      </c>
      <c r="N266" s="217" t="str">
        <f t="shared" si="58"/>
        <v/>
      </c>
      <c r="O266" s="217" t="str">
        <f t="shared" si="58"/>
        <v>model</v>
      </c>
      <c r="P266" s="218" t="str">
        <f t="shared" si="58"/>
        <v>Length</v>
      </c>
      <c r="Q266" s="218" t="str">
        <f t="shared" si="58"/>
        <v>x</v>
      </c>
      <c r="R266" s="218" t="str">
        <f t="shared" si="58"/>
        <v>BS</v>
      </c>
      <c r="S266" s="218" t="str">
        <f t="shared" si="58"/>
        <v>all</v>
      </c>
      <c r="T266" s="217">
        <f t="shared" si="58"/>
        <v>0.24</v>
      </c>
      <c r="U266" s="217" t="str">
        <f t="shared" si="58"/>
        <v>Höhe Sichtmauerwerk</v>
      </c>
      <c r="V266" s="217" t="str">
        <f t="shared" si="58"/>
        <v>x</v>
      </c>
      <c r="W266" s="217" t="str">
        <f t="shared" si="58"/>
        <v/>
      </c>
      <c r="X266" s="217" t="str">
        <f t="shared" si="58"/>
        <v/>
      </c>
      <c r="Y266" s="217" t="str">
        <f t="shared" si="58"/>
        <v>gs_masonry_arch_height</v>
      </c>
    </row>
    <row r="267" spans="1:25" x14ac:dyDescent="0.3">
      <c r="A267" s="216">
        <f t="shared" si="56"/>
        <v>265</v>
      </c>
      <c r="B267" s="217" t="str">
        <f t="shared" si="57"/>
        <v>x</v>
      </c>
      <c r="C267" s="217" t="str">
        <f t="shared" si="57"/>
        <v/>
      </c>
      <c r="D267" s="217" t="str">
        <f t="shared" si="57"/>
        <v/>
      </c>
      <c r="E267" s="217" t="str">
        <f t="shared" si="57"/>
        <v/>
      </c>
      <c r="F267" s="217" t="str">
        <f t="shared" si="57"/>
        <v/>
      </c>
      <c r="G267" s="217" t="str">
        <f t="shared" si="57"/>
        <v/>
      </c>
      <c r="H267" s="217" t="str">
        <f t="shared" si="57"/>
        <v/>
      </c>
      <c r="I267" s="217" t="str">
        <f t="shared" si="57"/>
        <v/>
      </c>
      <c r="J267" s="217" t="str">
        <f t="shared" si="57"/>
        <v/>
      </c>
      <c r="K267" s="217" t="str">
        <f t="shared" si="57"/>
        <v/>
      </c>
      <c r="L267" s="217" t="str">
        <f t="shared" si="58"/>
        <v>info</v>
      </c>
      <c r="M267" s="217" t="str">
        <f t="shared" si="58"/>
        <v>x</v>
      </c>
      <c r="N267" s="217" t="str">
        <f t="shared" si="58"/>
        <v/>
      </c>
      <c r="O267" s="217" t="str">
        <f t="shared" si="58"/>
        <v>model</v>
      </c>
      <c r="P267" s="218" t="str">
        <f t="shared" si="58"/>
        <v>Length</v>
      </c>
      <c r="Q267" s="218" t="str">
        <f t="shared" si="58"/>
        <v>x</v>
      </c>
      <c r="R267" s="218" t="str">
        <f t="shared" si="58"/>
        <v>BS</v>
      </c>
      <c r="S267" s="218" t="str">
        <f t="shared" si="58"/>
        <v>all</v>
      </c>
      <c r="T267" s="217">
        <f t="shared" si="58"/>
        <v>0.115</v>
      </c>
      <c r="U267" s="217" t="str">
        <f t="shared" si="58"/>
        <v>Tiefe Sichtmauerwerk</v>
      </c>
      <c r="V267" s="217" t="str">
        <f t="shared" si="58"/>
        <v>x</v>
      </c>
      <c r="W267" s="217" t="str">
        <f t="shared" si="58"/>
        <v/>
      </c>
      <c r="X267" s="217" t="str">
        <f t="shared" si="58"/>
        <v/>
      </c>
      <c r="Y267" s="217" t="str">
        <f t="shared" si="58"/>
        <v>gs_masonry_arch_depth</v>
      </c>
    </row>
    <row r="268" spans="1:25" x14ac:dyDescent="0.3">
      <c r="A268" s="216">
        <f t="shared" si="56"/>
        <v>266</v>
      </c>
      <c r="B268" s="217" t="str">
        <f t="shared" si="57"/>
        <v>x</v>
      </c>
      <c r="C268" s="217" t="str">
        <f t="shared" si="57"/>
        <v/>
      </c>
      <c r="D268" s="217" t="str">
        <f t="shared" si="57"/>
        <v/>
      </c>
      <c r="E268" s="217" t="str">
        <f t="shared" si="57"/>
        <v/>
      </c>
      <c r="F268" s="217" t="str">
        <f t="shared" si="57"/>
        <v/>
      </c>
      <c r="G268" s="217" t="str">
        <f t="shared" si="57"/>
        <v/>
      </c>
      <c r="H268" s="217" t="str">
        <f t="shared" si="57"/>
        <v/>
      </c>
      <c r="I268" s="217" t="str">
        <f t="shared" si="57"/>
        <v/>
      </c>
      <c r="J268" s="217" t="str">
        <f t="shared" si="57"/>
        <v/>
      </c>
      <c r="K268" s="217" t="str">
        <f t="shared" si="57"/>
        <v/>
      </c>
      <c r="L268" s="217" t="str">
        <f t="shared" si="58"/>
        <v>info</v>
      </c>
      <c r="M268" s="217" t="str">
        <f t="shared" si="58"/>
        <v>x</v>
      </c>
      <c r="N268" s="217" t="str">
        <f t="shared" si="58"/>
        <v/>
      </c>
      <c r="O268" s="217" t="str">
        <f t="shared" si="58"/>
        <v>model</v>
      </c>
      <c r="P268" s="218" t="str">
        <f t="shared" si="58"/>
        <v>Length</v>
      </c>
      <c r="Q268" s="218" t="str">
        <f t="shared" si="58"/>
        <v>x</v>
      </c>
      <c r="R268" s="218" t="str">
        <f t="shared" si="58"/>
        <v>BS</v>
      </c>
      <c r="S268" s="218" t="str">
        <f t="shared" si="58"/>
        <v>all</v>
      </c>
      <c r="T268" s="217" t="str">
        <f t="shared" si="58"/>
        <v/>
      </c>
      <c r="U268" s="217" t="str">
        <f t="shared" si="58"/>
        <v>Hintere Lochtiefe</v>
      </c>
      <c r="V268" s="217" t="str">
        <f t="shared" si="58"/>
        <v>x</v>
      </c>
      <c r="W268" s="217" t="str">
        <f t="shared" si="58"/>
        <v/>
      </c>
      <c r="X268" s="217" t="str">
        <f t="shared" si="58"/>
        <v/>
      </c>
      <c r="Y268" s="217" t="str">
        <f t="shared" si="58"/>
        <v>gs_masonry_arch_rearHoleDepth</v>
      </c>
    </row>
    <row r="269" spans="1:25" x14ac:dyDescent="0.3">
      <c r="A269" s="216">
        <f t="shared" si="56"/>
        <v>267</v>
      </c>
      <c r="B269" s="217" t="str">
        <f t="shared" si="57"/>
        <v>x</v>
      </c>
      <c r="C269" s="217" t="str">
        <f t="shared" si="57"/>
        <v/>
      </c>
      <c r="D269" s="217" t="str">
        <f t="shared" si="57"/>
        <v/>
      </c>
      <c r="E269" s="217" t="str">
        <f t="shared" si="57"/>
        <v/>
      </c>
      <c r="F269" s="217" t="str">
        <f t="shared" si="57"/>
        <v/>
      </c>
      <c r="G269" s="217" t="str">
        <f t="shared" si="57"/>
        <v/>
      </c>
      <c r="H269" s="217" t="str">
        <f t="shared" si="57"/>
        <v/>
      </c>
      <c r="I269" s="217" t="str">
        <f t="shared" si="57"/>
        <v/>
      </c>
      <c r="J269" s="217" t="str">
        <f t="shared" si="57"/>
        <v/>
      </c>
      <c r="K269" s="217" t="str">
        <f t="shared" si="57"/>
        <v/>
      </c>
      <c r="L269" s="217" t="str">
        <f t="shared" si="58"/>
        <v>info</v>
      </c>
      <c r="M269" s="217" t="str">
        <f t="shared" si="58"/>
        <v>x</v>
      </c>
      <c r="N269" s="217" t="str">
        <f t="shared" si="58"/>
        <v/>
      </c>
      <c r="O269" s="217" t="str">
        <f t="shared" si="58"/>
        <v>model</v>
      </c>
      <c r="P269" s="218" t="str">
        <f t="shared" si="58"/>
        <v>Length</v>
      </c>
      <c r="Q269" s="218" t="str">
        <f t="shared" si="58"/>
        <v>x</v>
      </c>
      <c r="R269" s="218" t="str">
        <f t="shared" si="58"/>
        <v>BS</v>
      </c>
      <c r="S269" s="218" t="str">
        <f t="shared" si="58"/>
        <v>all</v>
      </c>
      <c r="T269" s="217">
        <f t="shared" si="58"/>
        <v>5.2000000000000005E-2</v>
      </c>
      <c r="U269" s="217" t="str">
        <f t="shared" si="58"/>
        <v>Steinbreite</v>
      </c>
      <c r="V269" s="217" t="str">
        <f t="shared" si="58"/>
        <v>x</v>
      </c>
      <c r="W269" s="217" t="str">
        <f t="shared" si="58"/>
        <v/>
      </c>
      <c r="X269" s="217" t="str">
        <f t="shared" si="58"/>
        <v/>
      </c>
      <c r="Y269" s="217" t="str">
        <f t="shared" si="58"/>
        <v>gs_masonry_arch_brick_thk</v>
      </c>
    </row>
    <row r="270" spans="1:25" x14ac:dyDescent="0.3">
      <c r="A270" s="216">
        <f t="shared" si="56"/>
        <v>268</v>
      </c>
      <c r="B270" s="217" t="str">
        <f t="shared" si="57"/>
        <v>x</v>
      </c>
      <c r="C270" s="217" t="str">
        <f t="shared" si="57"/>
        <v/>
      </c>
      <c r="D270" s="217" t="str">
        <f t="shared" si="57"/>
        <v/>
      </c>
      <c r="E270" s="217" t="str">
        <f t="shared" si="57"/>
        <v/>
      </c>
      <c r="F270" s="217" t="str">
        <f t="shared" si="57"/>
        <v/>
      </c>
      <c r="G270" s="217" t="str">
        <f t="shared" si="57"/>
        <v/>
      </c>
      <c r="H270" s="217" t="str">
        <f t="shared" si="57"/>
        <v/>
      </c>
      <c r="I270" s="217" t="str">
        <f t="shared" si="57"/>
        <v/>
      </c>
      <c r="J270" s="217" t="str">
        <f t="shared" si="57"/>
        <v/>
      </c>
      <c r="K270" s="217" t="str">
        <f t="shared" si="57"/>
        <v/>
      </c>
      <c r="L270" s="217" t="str">
        <f t="shared" si="58"/>
        <v>info</v>
      </c>
      <c r="M270" s="217" t="str">
        <f t="shared" si="58"/>
        <v>x</v>
      </c>
      <c r="N270" s="217" t="str">
        <f t="shared" si="58"/>
        <v/>
      </c>
      <c r="O270" s="217" t="str">
        <f t="shared" si="58"/>
        <v>model</v>
      </c>
      <c r="P270" s="218" t="str">
        <f t="shared" si="58"/>
        <v>Length</v>
      </c>
      <c r="Q270" s="218" t="str">
        <f t="shared" si="58"/>
        <v>x</v>
      </c>
      <c r="R270" s="218" t="str">
        <f t="shared" si="58"/>
        <v>BS</v>
      </c>
      <c r="S270" s="218" t="str">
        <f t="shared" si="58"/>
        <v>all</v>
      </c>
      <c r="T270" s="217">
        <f t="shared" si="58"/>
        <v>0.01</v>
      </c>
      <c r="U270" s="217" t="str">
        <f t="shared" si="58"/>
        <v>Fugenbreite</v>
      </c>
      <c r="V270" s="217" t="str">
        <f t="shared" si="58"/>
        <v>x</v>
      </c>
      <c r="W270" s="217" t="str">
        <f t="shared" si="58"/>
        <v/>
      </c>
      <c r="X270" s="217" t="str">
        <f t="shared" si="58"/>
        <v/>
      </c>
      <c r="Y270" s="217" t="str">
        <f t="shared" si="58"/>
        <v>gs_masonry_arch_mort_thk</v>
      </c>
    </row>
    <row r="271" spans="1:25" x14ac:dyDescent="0.3">
      <c r="A271" s="216">
        <f t="shared" si="56"/>
        <v>269</v>
      </c>
      <c r="B271" s="217" t="str">
        <f t="shared" si="57"/>
        <v>x</v>
      </c>
      <c r="C271" s="217" t="str">
        <f t="shared" si="57"/>
        <v/>
      </c>
      <c r="D271" s="217" t="str">
        <f t="shared" si="57"/>
        <v/>
      </c>
      <c r="E271" s="217" t="str">
        <f t="shared" si="57"/>
        <v/>
      </c>
      <c r="F271" s="217" t="str">
        <f t="shared" si="57"/>
        <v/>
      </c>
      <c r="G271" s="217" t="str">
        <f t="shared" si="57"/>
        <v/>
      </c>
      <c r="H271" s="217" t="str">
        <f t="shared" si="57"/>
        <v/>
      </c>
      <c r="I271" s="217" t="str">
        <f t="shared" si="57"/>
        <v/>
      </c>
      <c r="J271" s="217" t="str">
        <f t="shared" si="57"/>
        <v/>
      </c>
      <c r="K271" s="217" t="str">
        <f t="shared" si="57"/>
        <v/>
      </c>
      <c r="L271" s="217" t="str">
        <f t="shared" si="58"/>
        <v>info</v>
      </c>
      <c r="M271" s="217" t="str">
        <f t="shared" si="58"/>
        <v>x</v>
      </c>
      <c r="N271" s="217" t="str">
        <f t="shared" si="58"/>
        <v/>
      </c>
      <c r="O271" s="217" t="str">
        <f t="shared" si="58"/>
        <v>model</v>
      </c>
      <c r="P271" s="218" t="str">
        <f t="shared" si="58"/>
        <v>Length</v>
      </c>
      <c r="Q271" s="218" t="str">
        <f t="shared" si="58"/>
        <v>x</v>
      </c>
      <c r="R271" s="218" t="str">
        <f t="shared" si="58"/>
        <v>BS</v>
      </c>
      <c r="S271" s="218" t="str">
        <f t="shared" si="58"/>
        <v>all</v>
      </c>
      <c r="T271" s="217">
        <f t="shared" si="58"/>
        <v>0.1</v>
      </c>
      <c r="U271" s="217" t="str">
        <f t="shared" si="58"/>
        <v>Keilsteinbreite</v>
      </c>
      <c r="V271" s="217" t="str">
        <f t="shared" si="58"/>
        <v>x</v>
      </c>
      <c r="W271" s="217" t="str">
        <f t="shared" si="58"/>
        <v/>
      </c>
      <c r="X271" s="217" t="str">
        <f t="shared" si="58"/>
        <v/>
      </c>
      <c r="Y271" s="217" t="str">
        <f t="shared" si="58"/>
        <v>gs_masonry_arch_keystone_width</v>
      </c>
    </row>
    <row r="272" spans="1:25" x14ac:dyDescent="0.3">
      <c r="A272" s="216">
        <f t="shared" si="56"/>
        <v>270</v>
      </c>
      <c r="B272" s="217" t="str">
        <f t="shared" si="57"/>
        <v>x</v>
      </c>
      <c r="C272" s="217" t="str">
        <f t="shared" si="57"/>
        <v/>
      </c>
      <c r="D272" s="217" t="str">
        <f t="shared" si="57"/>
        <v/>
      </c>
      <c r="E272" s="217" t="str">
        <f t="shared" si="57"/>
        <v/>
      </c>
      <c r="F272" s="217" t="str">
        <f t="shared" si="57"/>
        <v/>
      </c>
      <c r="G272" s="217" t="str">
        <f t="shared" si="57"/>
        <v/>
      </c>
      <c r="H272" s="217" t="str">
        <f t="shared" si="57"/>
        <v/>
      </c>
      <c r="I272" s="217" t="str">
        <f t="shared" si="57"/>
        <v/>
      </c>
      <c r="J272" s="217" t="str">
        <f t="shared" si="57"/>
        <v/>
      </c>
      <c r="K272" s="217" t="str">
        <f t="shared" si="57"/>
        <v/>
      </c>
      <c r="L272" s="217" t="str">
        <f t="shared" si="58"/>
        <v>info</v>
      </c>
      <c r="M272" s="217" t="str">
        <f t="shared" si="58"/>
        <v>x</v>
      </c>
      <c r="N272" s="217" t="str">
        <f t="shared" si="58"/>
        <v/>
      </c>
      <c r="O272" s="217" t="str">
        <f t="shared" si="58"/>
        <v>model</v>
      </c>
      <c r="P272" s="218" t="str">
        <f t="shared" si="58"/>
        <v>Length</v>
      </c>
      <c r="Q272" s="218" t="str">
        <f t="shared" si="58"/>
        <v>x</v>
      </c>
      <c r="R272" s="218" t="str">
        <f t="shared" si="58"/>
        <v>BS</v>
      </c>
      <c r="S272" s="218" t="str">
        <f t="shared" si="58"/>
        <v>all</v>
      </c>
      <c r="T272" s="217" t="str">
        <f t="shared" si="58"/>
        <v/>
      </c>
      <c r="U272" s="217" t="str">
        <f t="shared" si="58"/>
        <v>Überhang Keilstein</v>
      </c>
      <c r="V272" s="217" t="str">
        <f t="shared" si="58"/>
        <v>x</v>
      </c>
      <c r="W272" s="217" t="str">
        <f t="shared" si="58"/>
        <v/>
      </c>
      <c r="X272" s="217" t="str">
        <f t="shared" si="58"/>
        <v/>
      </c>
      <c r="Y272" s="217" t="str">
        <f t="shared" si="58"/>
        <v>gs_masonry_arch_keystone_osize</v>
      </c>
    </row>
    <row r="273" spans="1:25" x14ac:dyDescent="0.3">
      <c r="A273" s="216">
        <f t="shared" si="56"/>
        <v>271</v>
      </c>
      <c r="B273" s="217" t="str">
        <f t="shared" ref="B273:K282" si="59">IF(ISNONTEXT(B$2),IF(B$2="","",IF(INDEX(IMPORT,$A273,B$2)=0,"",IFERROR(VLOOKUP(INDEX(IMPORT,$A273,B$2),ImportTranslation,2,0),INDEX(IMPORT,$A273,B$2)))),B$2)</f>
        <v>x</v>
      </c>
      <c r="C273" s="217" t="str">
        <f t="shared" si="59"/>
        <v/>
      </c>
      <c r="D273" s="217" t="str">
        <f t="shared" si="59"/>
        <v/>
      </c>
      <c r="E273" s="217" t="str">
        <f t="shared" si="59"/>
        <v/>
      </c>
      <c r="F273" s="217" t="str">
        <f t="shared" si="59"/>
        <v/>
      </c>
      <c r="G273" s="217" t="str">
        <f t="shared" si="59"/>
        <v/>
      </c>
      <c r="H273" s="217" t="str">
        <f t="shared" si="59"/>
        <v/>
      </c>
      <c r="I273" s="217" t="str">
        <f t="shared" si="59"/>
        <v/>
      </c>
      <c r="J273" s="217" t="str">
        <f t="shared" si="59"/>
        <v/>
      </c>
      <c r="K273" s="217" t="str">
        <f t="shared" si="59"/>
        <v/>
      </c>
      <c r="L273" s="217" t="str">
        <f t="shared" ref="L273:Y282" si="60">IF(ISNONTEXT(L$2),IF(L$2="","",IF(INDEX(IMPORT,$A273,L$2)=0,"",IFERROR(VLOOKUP(INDEX(IMPORT,$A273,L$2),ImportTranslation,2,0),INDEX(IMPORT,$A273,L$2)))),L$2)</f>
        <v>info</v>
      </c>
      <c r="M273" s="217" t="str">
        <f t="shared" si="60"/>
        <v>x</v>
      </c>
      <c r="N273" s="217" t="str">
        <f t="shared" si="60"/>
        <v/>
      </c>
      <c r="O273" s="217" t="str">
        <f t="shared" si="60"/>
        <v>model</v>
      </c>
      <c r="P273" s="218" t="str">
        <f t="shared" si="60"/>
        <v>Length</v>
      </c>
      <c r="Q273" s="218" t="str">
        <f t="shared" si="60"/>
        <v>x</v>
      </c>
      <c r="R273" s="218" t="str">
        <f t="shared" si="60"/>
        <v>BS</v>
      </c>
      <c r="S273" s="218" t="str">
        <f t="shared" si="60"/>
        <v>all</v>
      </c>
      <c r="T273" s="217">
        <f t="shared" si="60"/>
        <v>0.01</v>
      </c>
      <c r="U273" s="217" t="str">
        <f t="shared" si="60"/>
        <v>Projektion Keilstein</v>
      </c>
      <c r="V273" s="217" t="str">
        <f t="shared" si="60"/>
        <v>x</v>
      </c>
      <c r="W273" s="217" t="str">
        <f t="shared" si="60"/>
        <v/>
      </c>
      <c r="X273" s="217" t="str">
        <f t="shared" si="60"/>
        <v/>
      </c>
      <c r="Y273" s="217" t="str">
        <f t="shared" si="60"/>
        <v>gs_masonry_arch_keystone_proj</v>
      </c>
    </row>
    <row r="274" spans="1:25" x14ac:dyDescent="0.3">
      <c r="A274" s="216">
        <f t="shared" si="56"/>
        <v>272</v>
      </c>
      <c r="B274" s="217" t="str">
        <f t="shared" si="59"/>
        <v>x</v>
      </c>
      <c r="C274" s="217" t="str">
        <f t="shared" si="59"/>
        <v/>
      </c>
      <c r="D274" s="217" t="str">
        <f t="shared" si="59"/>
        <v/>
      </c>
      <c r="E274" s="217" t="str">
        <f t="shared" si="59"/>
        <v/>
      </c>
      <c r="F274" s="217" t="str">
        <f t="shared" si="59"/>
        <v/>
      </c>
      <c r="G274" s="217" t="str">
        <f t="shared" si="59"/>
        <v/>
      </c>
      <c r="H274" s="217" t="str">
        <f t="shared" si="59"/>
        <v/>
      </c>
      <c r="I274" s="217" t="str">
        <f t="shared" si="59"/>
        <v/>
      </c>
      <c r="J274" s="217" t="str">
        <f t="shared" si="59"/>
        <v/>
      </c>
      <c r="K274" s="217" t="str">
        <f t="shared" si="59"/>
        <v/>
      </c>
      <c r="L274" s="217" t="str">
        <f t="shared" si="60"/>
        <v>info</v>
      </c>
      <c r="M274" s="217" t="str">
        <f t="shared" si="60"/>
        <v>x</v>
      </c>
      <c r="N274" s="217" t="str">
        <f t="shared" si="60"/>
        <v/>
      </c>
      <c r="O274" s="217" t="str">
        <f t="shared" si="60"/>
        <v>model</v>
      </c>
      <c r="P274" s="218" t="str">
        <f t="shared" si="60"/>
        <v>Boolean</v>
      </c>
      <c r="Q274" s="218" t="str">
        <f t="shared" si="60"/>
        <v>x</v>
      </c>
      <c r="R274" s="218" t="str">
        <f t="shared" si="60"/>
        <v>BS</v>
      </c>
      <c r="S274" s="218" t="str">
        <f t="shared" si="60"/>
        <v>all</v>
      </c>
      <c r="T274" s="217" t="str">
        <f t="shared" si="60"/>
        <v/>
      </c>
      <c r="U274" s="217" t="str">
        <f t="shared" si="60"/>
        <v>Eigenes Nischen-Oberflächenmaterial</v>
      </c>
      <c r="V274" s="217" t="str">
        <f t="shared" si="60"/>
        <v>x</v>
      </c>
      <c r="W274" s="217" t="str">
        <f t="shared" si="60"/>
        <v/>
      </c>
      <c r="X274" s="217" t="str">
        <f t="shared" si="60"/>
        <v/>
      </c>
      <c r="Y274" s="217" t="str">
        <f t="shared" si="60"/>
        <v>bCustomMatNicheTop</v>
      </c>
    </row>
    <row r="275" spans="1:25" x14ac:dyDescent="0.3">
      <c r="A275" s="216">
        <f t="shared" si="56"/>
        <v>273</v>
      </c>
      <c r="B275" s="217" t="str">
        <f t="shared" si="59"/>
        <v>x</v>
      </c>
      <c r="C275" s="217" t="str">
        <f t="shared" si="59"/>
        <v/>
      </c>
      <c r="D275" s="217" t="str">
        <f t="shared" si="59"/>
        <v/>
      </c>
      <c r="E275" s="217" t="str">
        <f t="shared" si="59"/>
        <v/>
      </c>
      <c r="F275" s="217" t="str">
        <f t="shared" si="59"/>
        <v/>
      </c>
      <c r="G275" s="217" t="str">
        <f t="shared" si="59"/>
        <v/>
      </c>
      <c r="H275" s="217" t="str">
        <f t="shared" si="59"/>
        <v/>
      </c>
      <c r="I275" s="217" t="str">
        <f t="shared" si="59"/>
        <v/>
      </c>
      <c r="J275" s="217" t="str">
        <f t="shared" si="59"/>
        <v/>
      </c>
      <c r="K275" s="217" t="str">
        <f t="shared" si="59"/>
        <v/>
      </c>
      <c r="L275" s="217" t="str">
        <f t="shared" si="60"/>
        <v>info</v>
      </c>
      <c r="M275" s="217" t="str">
        <f t="shared" si="60"/>
        <v>x</v>
      </c>
      <c r="N275" s="217" t="str">
        <f t="shared" si="60"/>
        <v/>
      </c>
      <c r="O275" s="217" t="str">
        <f t="shared" si="60"/>
        <v>model</v>
      </c>
      <c r="P275" s="218" t="str">
        <f t="shared" si="60"/>
        <v>FillPattern</v>
      </c>
      <c r="Q275" s="218" t="str">
        <f t="shared" si="60"/>
        <v>x</v>
      </c>
      <c r="R275" s="218" t="str">
        <f t="shared" si="60"/>
        <v>BS</v>
      </c>
      <c r="S275" s="218" t="str">
        <f t="shared" si="60"/>
        <v>all</v>
      </c>
      <c r="T275" s="217">
        <f t="shared" si="60"/>
        <v>7</v>
      </c>
      <c r="U275" s="217" t="str">
        <f t="shared" si="60"/>
        <v>Schnittschraffur Bogen</v>
      </c>
      <c r="V275" s="217" t="str">
        <f t="shared" si="60"/>
        <v>x</v>
      </c>
      <c r="W275" s="217" t="str">
        <f t="shared" si="60"/>
        <v/>
      </c>
      <c r="X275" s="217" t="str">
        <f t="shared" si="60"/>
        <v/>
      </c>
      <c r="Y275" s="217" t="str">
        <f t="shared" si="60"/>
        <v>gs_masonry_arch_fill</v>
      </c>
    </row>
    <row r="276" spans="1:25" x14ac:dyDescent="0.3">
      <c r="A276" s="216">
        <f t="shared" si="56"/>
        <v>274</v>
      </c>
      <c r="B276" s="217" t="str">
        <f t="shared" si="59"/>
        <v>x</v>
      </c>
      <c r="C276" s="217" t="str">
        <f t="shared" si="59"/>
        <v/>
      </c>
      <c r="D276" s="217" t="str">
        <f t="shared" si="59"/>
        <v/>
      </c>
      <c r="E276" s="217" t="str">
        <f t="shared" si="59"/>
        <v/>
      </c>
      <c r="F276" s="217" t="str">
        <f t="shared" si="59"/>
        <v/>
      </c>
      <c r="G276" s="217" t="str">
        <f t="shared" si="59"/>
        <v/>
      </c>
      <c r="H276" s="217" t="str">
        <f t="shared" si="59"/>
        <v/>
      </c>
      <c r="I276" s="217" t="str">
        <f t="shared" si="59"/>
        <v/>
      </c>
      <c r="J276" s="217" t="str">
        <f t="shared" si="59"/>
        <v/>
      </c>
      <c r="K276" s="217" t="str">
        <f t="shared" si="59"/>
        <v/>
      </c>
      <c r="L276" s="217" t="str">
        <f t="shared" si="60"/>
        <v>info</v>
      </c>
      <c r="M276" s="217" t="str">
        <f t="shared" si="60"/>
        <v>x</v>
      </c>
      <c r="N276" s="217" t="str">
        <f t="shared" si="60"/>
        <v/>
      </c>
      <c r="O276" s="217" t="str">
        <f t="shared" si="60"/>
        <v>model</v>
      </c>
      <c r="P276" s="218" t="str">
        <f t="shared" si="60"/>
        <v>PenColor</v>
      </c>
      <c r="Q276" s="218" t="str">
        <f t="shared" si="60"/>
        <v>x</v>
      </c>
      <c r="R276" s="218" t="str">
        <f t="shared" si="60"/>
        <v>BS</v>
      </c>
      <c r="S276" s="218" t="str">
        <f t="shared" si="60"/>
        <v>all</v>
      </c>
      <c r="T276" s="217">
        <f t="shared" si="60"/>
        <v>3</v>
      </c>
      <c r="U276" s="217" t="str">
        <f t="shared" si="60"/>
        <v>Bogen Schnitt Schraffurstift</v>
      </c>
      <c r="V276" s="217" t="str">
        <f t="shared" si="60"/>
        <v>x</v>
      </c>
      <c r="W276" s="217" t="str">
        <f t="shared" si="60"/>
        <v/>
      </c>
      <c r="X276" s="217" t="str">
        <f t="shared" si="60"/>
        <v/>
      </c>
      <c r="Y276" s="217" t="str">
        <f t="shared" si="60"/>
        <v>gs_masonry_arch_pen_fg</v>
      </c>
    </row>
    <row r="277" spans="1:25" x14ac:dyDescent="0.3">
      <c r="A277" s="216">
        <f t="shared" si="56"/>
        <v>275</v>
      </c>
      <c r="B277" s="217" t="str">
        <f t="shared" si="59"/>
        <v>x</v>
      </c>
      <c r="C277" s="217" t="str">
        <f t="shared" si="59"/>
        <v/>
      </c>
      <c r="D277" s="217" t="str">
        <f t="shared" si="59"/>
        <v/>
      </c>
      <c r="E277" s="217" t="str">
        <f t="shared" si="59"/>
        <v/>
      </c>
      <c r="F277" s="217" t="str">
        <f t="shared" si="59"/>
        <v/>
      </c>
      <c r="G277" s="217" t="str">
        <f t="shared" si="59"/>
        <v/>
      </c>
      <c r="H277" s="217" t="str">
        <f t="shared" si="59"/>
        <v/>
      </c>
      <c r="I277" s="217" t="str">
        <f t="shared" si="59"/>
        <v/>
      </c>
      <c r="J277" s="217" t="str">
        <f t="shared" si="59"/>
        <v/>
      </c>
      <c r="K277" s="217" t="str">
        <f t="shared" si="59"/>
        <v/>
      </c>
      <c r="L277" s="217" t="str">
        <f t="shared" si="60"/>
        <v>info</v>
      </c>
      <c r="M277" s="217" t="str">
        <f t="shared" si="60"/>
        <v>x</v>
      </c>
      <c r="N277" s="217" t="str">
        <f t="shared" si="60"/>
        <v/>
      </c>
      <c r="O277" s="217" t="str">
        <f t="shared" si="60"/>
        <v>model</v>
      </c>
      <c r="P277" s="218" t="str">
        <f t="shared" si="60"/>
        <v>PenColor</v>
      </c>
      <c r="Q277" s="218" t="str">
        <f t="shared" si="60"/>
        <v>x</v>
      </c>
      <c r="R277" s="218" t="str">
        <f t="shared" si="60"/>
        <v>BS</v>
      </c>
      <c r="S277" s="218" t="str">
        <f t="shared" si="60"/>
        <v>all</v>
      </c>
      <c r="T277" s="217">
        <f t="shared" si="60"/>
        <v>91</v>
      </c>
      <c r="U277" s="217" t="str">
        <f t="shared" si="60"/>
        <v>Hintergrundstift Bogen Schwelle</v>
      </c>
      <c r="V277" s="217" t="str">
        <f t="shared" si="60"/>
        <v>x</v>
      </c>
      <c r="W277" s="217" t="str">
        <f t="shared" si="60"/>
        <v/>
      </c>
      <c r="X277" s="217" t="str">
        <f t="shared" si="60"/>
        <v/>
      </c>
      <c r="Y277" s="217" t="str">
        <f t="shared" si="60"/>
        <v>gs_masonry_arch_pen_bg</v>
      </c>
    </row>
    <row r="278" spans="1:25" x14ac:dyDescent="0.3">
      <c r="A278" s="216">
        <f t="shared" si="56"/>
        <v>276</v>
      </c>
      <c r="B278" s="217" t="str">
        <f t="shared" si="59"/>
        <v>x</v>
      </c>
      <c r="C278" s="217" t="str">
        <f t="shared" si="59"/>
        <v/>
      </c>
      <c r="D278" s="217" t="str">
        <f t="shared" si="59"/>
        <v/>
      </c>
      <c r="E278" s="217" t="str">
        <f t="shared" si="59"/>
        <v/>
      </c>
      <c r="F278" s="217" t="str">
        <f t="shared" si="59"/>
        <v/>
      </c>
      <c r="G278" s="217" t="str">
        <f t="shared" si="59"/>
        <v/>
      </c>
      <c r="H278" s="217" t="str">
        <f t="shared" si="59"/>
        <v/>
      </c>
      <c r="I278" s="217" t="str">
        <f t="shared" si="59"/>
        <v/>
      </c>
      <c r="J278" s="217" t="str">
        <f t="shared" si="59"/>
        <v/>
      </c>
      <c r="K278" s="217" t="str">
        <f t="shared" si="59"/>
        <v/>
      </c>
      <c r="L278" s="217" t="str">
        <f t="shared" si="60"/>
        <v>info</v>
      </c>
      <c r="M278" s="217" t="str">
        <f t="shared" si="60"/>
        <v>x</v>
      </c>
      <c r="N278" s="217" t="str">
        <f t="shared" si="60"/>
        <v/>
      </c>
      <c r="O278" s="217" t="str">
        <f t="shared" si="60"/>
        <v>model</v>
      </c>
      <c r="P278" s="218" t="str">
        <f t="shared" si="60"/>
        <v>PenColor</v>
      </c>
      <c r="Q278" s="218" t="str">
        <f t="shared" si="60"/>
        <v>x</v>
      </c>
      <c r="R278" s="218" t="str">
        <f t="shared" si="60"/>
        <v>BS</v>
      </c>
      <c r="S278" s="218" t="str">
        <f t="shared" si="60"/>
        <v>all</v>
      </c>
      <c r="T278" s="217">
        <f t="shared" si="60"/>
        <v>10</v>
      </c>
      <c r="U278" s="217" t="str">
        <f t="shared" si="60"/>
        <v>Stift Ziegelsturz</v>
      </c>
      <c r="V278" s="217" t="str">
        <f t="shared" si="60"/>
        <v>x</v>
      </c>
      <c r="W278" s="217" t="str">
        <f t="shared" si="60"/>
        <v/>
      </c>
      <c r="X278" s="217" t="str">
        <f t="shared" si="60"/>
        <v/>
      </c>
      <c r="Y278" s="217" t="str">
        <f t="shared" si="60"/>
        <v>gs_masonry_arch_pen</v>
      </c>
    </row>
    <row r="279" spans="1:25" x14ac:dyDescent="0.3">
      <c r="A279" s="216">
        <f t="shared" si="56"/>
        <v>277</v>
      </c>
      <c r="B279" s="217" t="str">
        <f t="shared" si="59"/>
        <v>x</v>
      </c>
      <c r="C279" s="217" t="str">
        <f t="shared" si="59"/>
        <v/>
      </c>
      <c r="D279" s="217" t="str">
        <f t="shared" si="59"/>
        <v/>
      </c>
      <c r="E279" s="217" t="str">
        <f t="shared" si="59"/>
        <v/>
      </c>
      <c r="F279" s="217" t="str">
        <f t="shared" si="59"/>
        <v/>
      </c>
      <c r="G279" s="217" t="str">
        <f t="shared" si="59"/>
        <v/>
      </c>
      <c r="H279" s="217" t="str">
        <f t="shared" si="59"/>
        <v/>
      </c>
      <c r="I279" s="217" t="str">
        <f t="shared" si="59"/>
        <v/>
      </c>
      <c r="J279" s="217" t="str">
        <f t="shared" si="59"/>
        <v/>
      </c>
      <c r="K279" s="217" t="str">
        <f t="shared" si="59"/>
        <v/>
      </c>
      <c r="L279" s="217" t="str">
        <f t="shared" si="60"/>
        <v>info</v>
      </c>
      <c r="M279" s="217" t="str">
        <f t="shared" si="60"/>
        <v>x</v>
      </c>
      <c r="N279" s="217" t="str">
        <f t="shared" si="60"/>
        <v/>
      </c>
      <c r="O279" s="217" t="str">
        <f t="shared" si="60"/>
        <v>model</v>
      </c>
      <c r="P279" s="218" t="str">
        <f t="shared" si="60"/>
        <v>Material</v>
      </c>
      <c r="Q279" s="218" t="str">
        <f t="shared" si="60"/>
        <v>x</v>
      </c>
      <c r="R279" s="218" t="str">
        <f t="shared" si="60"/>
        <v>BS</v>
      </c>
      <c r="S279" s="218" t="str">
        <f t="shared" si="60"/>
        <v>all</v>
      </c>
      <c r="T279" s="217">
        <f t="shared" si="60"/>
        <v>35</v>
      </c>
      <c r="U279" s="217" t="str">
        <f t="shared" si="60"/>
        <v>Mauerwerksbogen Stein Oberflächenmaterial</v>
      </c>
      <c r="V279" s="217" t="str">
        <f t="shared" si="60"/>
        <v>x</v>
      </c>
      <c r="W279" s="217" t="str">
        <f t="shared" si="60"/>
        <v/>
      </c>
      <c r="X279" s="217" t="str">
        <f t="shared" si="60"/>
        <v/>
      </c>
      <c r="Y279" s="217" t="str">
        <f t="shared" si="60"/>
        <v>gs_masonry_arch_brick_mat</v>
      </c>
    </row>
    <row r="280" spans="1:25" x14ac:dyDescent="0.3">
      <c r="A280" s="216">
        <f t="shared" si="56"/>
        <v>278</v>
      </c>
      <c r="B280" s="217" t="str">
        <f t="shared" si="59"/>
        <v>x</v>
      </c>
      <c r="C280" s="217" t="str">
        <f t="shared" si="59"/>
        <v/>
      </c>
      <c r="D280" s="217" t="str">
        <f t="shared" si="59"/>
        <v/>
      </c>
      <c r="E280" s="217" t="str">
        <f t="shared" si="59"/>
        <v/>
      </c>
      <c r="F280" s="217" t="str">
        <f t="shared" si="59"/>
        <v/>
      </c>
      <c r="G280" s="217" t="str">
        <f t="shared" si="59"/>
        <v/>
      </c>
      <c r="H280" s="217" t="str">
        <f t="shared" si="59"/>
        <v/>
      </c>
      <c r="I280" s="217" t="str">
        <f t="shared" si="59"/>
        <v/>
      </c>
      <c r="J280" s="217" t="str">
        <f t="shared" si="59"/>
        <v/>
      </c>
      <c r="K280" s="217" t="str">
        <f t="shared" si="59"/>
        <v/>
      </c>
      <c r="L280" s="217" t="str">
        <f t="shared" si="60"/>
        <v>info</v>
      </c>
      <c r="M280" s="217" t="str">
        <f t="shared" si="60"/>
        <v>x</v>
      </c>
      <c r="N280" s="217" t="str">
        <f t="shared" si="60"/>
        <v/>
      </c>
      <c r="O280" s="217" t="str">
        <f t="shared" si="60"/>
        <v>model</v>
      </c>
      <c r="P280" s="218" t="str">
        <f t="shared" si="60"/>
        <v>Material</v>
      </c>
      <c r="Q280" s="218" t="str">
        <f t="shared" si="60"/>
        <v>x</v>
      </c>
      <c r="R280" s="218" t="str">
        <f t="shared" si="60"/>
        <v>BS</v>
      </c>
      <c r="S280" s="218" t="str">
        <f t="shared" si="60"/>
        <v>all</v>
      </c>
      <c r="T280" s="217">
        <f t="shared" si="60"/>
        <v>48</v>
      </c>
      <c r="U280" s="217" t="str">
        <f t="shared" si="60"/>
        <v>Mauerwerksbogen Mörtel Oberflächenmaterial</v>
      </c>
      <c r="V280" s="217" t="str">
        <f t="shared" si="60"/>
        <v>x</v>
      </c>
      <c r="W280" s="217" t="str">
        <f t="shared" si="60"/>
        <v/>
      </c>
      <c r="X280" s="217" t="str">
        <f t="shared" si="60"/>
        <v/>
      </c>
      <c r="Y280" s="217" t="str">
        <f t="shared" si="60"/>
        <v>gs_masonry_arch_mort_mat</v>
      </c>
    </row>
    <row r="281" spans="1:25" x14ac:dyDescent="0.3">
      <c r="A281" s="216">
        <f t="shared" si="56"/>
        <v>279</v>
      </c>
      <c r="B281" s="217" t="str">
        <f t="shared" si="59"/>
        <v>x</v>
      </c>
      <c r="C281" s="217" t="str">
        <f t="shared" si="59"/>
        <v/>
      </c>
      <c r="D281" s="217" t="str">
        <f t="shared" si="59"/>
        <v/>
      </c>
      <c r="E281" s="217" t="str">
        <f t="shared" si="59"/>
        <v/>
      </c>
      <c r="F281" s="217" t="str">
        <f t="shared" si="59"/>
        <v/>
      </c>
      <c r="G281" s="217" t="str">
        <f t="shared" si="59"/>
        <v/>
      </c>
      <c r="H281" s="217" t="str">
        <f t="shared" si="59"/>
        <v/>
      </c>
      <c r="I281" s="217" t="str">
        <f t="shared" si="59"/>
        <v/>
      </c>
      <c r="J281" s="217" t="str">
        <f t="shared" si="59"/>
        <v/>
      </c>
      <c r="K281" s="217" t="str">
        <f t="shared" si="59"/>
        <v/>
      </c>
      <c r="L281" s="217" t="str">
        <f t="shared" si="60"/>
        <v>info</v>
      </c>
      <c r="M281" s="217" t="str">
        <f t="shared" si="60"/>
        <v>x</v>
      </c>
      <c r="N281" s="217" t="str">
        <f t="shared" si="60"/>
        <v/>
      </c>
      <c r="O281" s="217" t="str">
        <f t="shared" si="60"/>
        <v>model</v>
      </c>
      <c r="P281" s="218" t="str">
        <f t="shared" si="60"/>
        <v>Material</v>
      </c>
      <c r="Q281" s="218" t="str">
        <f t="shared" si="60"/>
        <v>x</v>
      </c>
      <c r="R281" s="218" t="str">
        <f t="shared" si="60"/>
        <v>BS</v>
      </c>
      <c r="S281" s="218" t="str">
        <f t="shared" si="60"/>
        <v>all</v>
      </c>
      <c r="T281" s="217">
        <f t="shared" si="60"/>
        <v>5</v>
      </c>
      <c r="U281" s="217" t="str">
        <f t="shared" si="60"/>
        <v>Mauerwerksbogen Schlusstein Oberflächenmaterial</v>
      </c>
      <c r="V281" s="217" t="str">
        <f t="shared" si="60"/>
        <v>x</v>
      </c>
      <c r="W281" s="217" t="str">
        <f t="shared" si="60"/>
        <v/>
      </c>
      <c r="X281" s="217" t="str">
        <f t="shared" si="60"/>
        <v/>
      </c>
      <c r="Y281" s="217" t="str">
        <f t="shared" si="60"/>
        <v>gs_masonry_arch_keystone_mat</v>
      </c>
    </row>
    <row r="282" spans="1:25" x14ac:dyDescent="0.3">
      <c r="A282" s="216">
        <f t="shared" si="56"/>
        <v>280</v>
      </c>
      <c r="B282" s="217" t="str">
        <f t="shared" si="59"/>
        <v>x</v>
      </c>
      <c r="C282" s="217" t="str">
        <f t="shared" si="59"/>
        <v/>
      </c>
      <c r="D282" s="217" t="str">
        <f t="shared" si="59"/>
        <v/>
      </c>
      <c r="E282" s="217" t="str">
        <f t="shared" si="59"/>
        <v/>
      </c>
      <c r="F282" s="217" t="str">
        <f t="shared" si="59"/>
        <v/>
      </c>
      <c r="G282" s="217" t="str">
        <f t="shared" si="59"/>
        <v/>
      </c>
      <c r="H282" s="217" t="str">
        <f t="shared" si="59"/>
        <v/>
      </c>
      <c r="I282" s="217" t="str">
        <f t="shared" si="59"/>
        <v/>
      </c>
      <c r="J282" s="217" t="str">
        <f t="shared" si="59"/>
        <v/>
      </c>
      <c r="K282" s="217" t="str">
        <f t="shared" si="59"/>
        <v/>
      </c>
      <c r="L282" s="217" t="str">
        <f t="shared" si="60"/>
        <v>info</v>
      </c>
      <c r="M282" s="217" t="str">
        <f t="shared" si="60"/>
        <v>x</v>
      </c>
      <c r="N282" s="217" t="str">
        <f t="shared" si="60"/>
        <v/>
      </c>
      <c r="O282" s="217" t="str">
        <f t="shared" si="60"/>
        <v>model</v>
      </c>
      <c r="P282" s="218" t="str">
        <f t="shared" si="60"/>
        <v>Material</v>
      </c>
      <c r="Q282" s="218" t="str">
        <f t="shared" si="60"/>
        <v>x</v>
      </c>
      <c r="R282" s="218" t="str">
        <f t="shared" si="60"/>
        <v>BS</v>
      </c>
      <c r="S282" s="218" t="str">
        <f t="shared" si="60"/>
        <v>all</v>
      </c>
      <c r="T282" s="217">
        <f t="shared" si="60"/>
        <v>122</v>
      </c>
      <c r="U282" s="217" t="str">
        <f t="shared" si="60"/>
        <v>Nischen-Oberflächenmaterial</v>
      </c>
      <c r="V282" s="217" t="str">
        <f t="shared" si="60"/>
        <v>x</v>
      </c>
      <c r="W282" s="217" t="str">
        <f t="shared" si="60"/>
        <v/>
      </c>
      <c r="X282" s="217" t="str">
        <f t="shared" si="60"/>
        <v/>
      </c>
      <c r="Y282" s="217" t="str">
        <f t="shared" si="60"/>
        <v>matNicheTop</v>
      </c>
    </row>
    <row r="283" spans="1:25" x14ac:dyDescent="0.3">
      <c r="A283" s="216">
        <f t="shared" si="56"/>
        <v>281</v>
      </c>
      <c r="B283" s="217" t="str">
        <f t="shared" ref="B283:K292" si="61">IF(ISNONTEXT(B$2),IF(B$2="","",IF(INDEX(IMPORT,$A283,B$2)=0,"",IFERROR(VLOOKUP(INDEX(IMPORT,$A283,B$2),ImportTranslation,2,0),INDEX(IMPORT,$A283,B$2)))),B$2)</f>
        <v>x</v>
      </c>
      <c r="C283" s="217" t="str">
        <f t="shared" si="61"/>
        <v/>
      </c>
      <c r="D283" s="217" t="str">
        <f t="shared" si="61"/>
        <v/>
      </c>
      <c r="E283" s="217" t="str">
        <f t="shared" si="61"/>
        <v/>
      </c>
      <c r="F283" s="217" t="str">
        <f t="shared" si="61"/>
        <v/>
      </c>
      <c r="G283" s="217" t="str">
        <f t="shared" si="61"/>
        <v/>
      </c>
      <c r="H283" s="217" t="str">
        <f t="shared" si="61"/>
        <v/>
      </c>
      <c r="I283" s="217" t="str">
        <f t="shared" si="61"/>
        <v/>
      </c>
      <c r="J283" s="217" t="str">
        <f t="shared" si="61"/>
        <v/>
      </c>
      <c r="K283" s="217" t="str">
        <f t="shared" si="61"/>
        <v/>
      </c>
      <c r="L283" s="217" t="str">
        <f t="shared" ref="L283:Y292" si="62">IF(ISNONTEXT(L$2),IF(L$2="","",IF(INDEX(IMPORT,$A283,L$2)=0,"",IFERROR(VLOOKUP(INDEX(IMPORT,$A283,L$2),ImportTranslation,2,0),INDEX(IMPORT,$A283,L$2)))),L$2)</f>
        <v>info</v>
      </c>
      <c r="M283" s="217" t="str">
        <f t="shared" si="62"/>
        <v/>
      </c>
      <c r="N283" s="217" t="str">
        <f t="shared" si="62"/>
        <v/>
      </c>
      <c r="O283" s="217" t="str">
        <f t="shared" si="62"/>
        <v>model</v>
      </c>
      <c r="P283" s="218" t="str">
        <f t="shared" si="62"/>
        <v>String</v>
      </c>
      <c r="Q283" s="218" t="str">
        <f t="shared" si="62"/>
        <v>x</v>
      </c>
      <c r="R283" s="218" t="str">
        <f t="shared" si="62"/>
        <v>BS</v>
      </c>
      <c r="S283" s="218" t="str">
        <f t="shared" si="62"/>
        <v>all</v>
      </c>
      <c r="T283" s="217" t="str">
        <f t="shared" si="62"/>
        <v>Keine Laibung - Ecke</v>
      </c>
      <c r="U283" s="217" t="str">
        <f t="shared" si="62"/>
        <v>Typ Anschlag</v>
      </c>
      <c r="V283" s="217" t="str">
        <f t="shared" si="62"/>
        <v/>
      </c>
      <c r="W283" s="217" t="str">
        <f t="shared" si="62"/>
        <v/>
      </c>
      <c r="X283" s="217" t="str">
        <f t="shared" si="62"/>
        <v/>
      </c>
      <c r="Y283" s="217" t="str">
        <f t="shared" si="62"/>
        <v>gs_reveal_type_new</v>
      </c>
    </row>
    <row r="284" spans="1:25" x14ac:dyDescent="0.3">
      <c r="A284" s="216">
        <f t="shared" si="56"/>
        <v>282</v>
      </c>
      <c r="B284" s="217" t="str">
        <f t="shared" si="61"/>
        <v>x</v>
      </c>
      <c r="C284" s="217" t="str">
        <f t="shared" si="61"/>
        <v>x</v>
      </c>
      <c r="D284" s="217" t="str">
        <f t="shared" si="61"/>
        <v/>
      </c>
      <c r="E284" s="217" t="str">
        <f t="shared" si="61"/>
        <v/>
      </c>
      <c r="F284" s="217" t="str">
        <f t="shared" si="61"/>
        <v/>
      </c>
      <c r="G284" s="217" t="str">
        <f t="shared" si="61"/>
        <v/>
      </c>
      <c r="H284" s="217" t="str">
        <f t="shared" si="61"/>
        <v/>
      </c>
      <c r="I284" s="217" t="str">
        <f t="shared" si="61"/>
        <v/>
      </c>
      <c r="J284" s="217" t="str">
        <f t="shared" si="61"/>
        <v/>
      </c>
      <c r="K284" s="217" t="str">
        <f t="shared" si="61"/>
        <v/>
      </c>
      <c r="L284" s="217" t="str">
        <f t="shared" si="62"/>
        <v>info</v>
      </c>
      <c r="M284" s="217" t="str">
        <f t="shared" si="62"/>
        <v>x</v>
      </c>
      <c r="N284" s="217" t="str">
        <f t="shared" si="62"/>
        <v/>
      </c>
      <c r="O284" s="217" t="str">
        <f t="shared" si="62"/>
        <v>model</v>
      </c>
      <c r="P284" s="218" t="str">
        <f t="shared" si="62"/>
        <v>Integer</v>
      </c>
      <c r="Q284" s="218" t="str">
        <f t="shared" si="62"/>
        <v>x</v>
      </c>
      <c r="R284" s="218" t="str">
        <f t="shared" si="62"/>
        <v>BS</v>
      </c>
      <c r="S284" s="218" t="str">
        <f t="shared" si="62"/>
        <v>all</v>
      </c>
      <c r="T284" s="217">
        <f t="shared" si="62"/>
        <v>1</v>
      </c>
      <c r="U284" s="217" t="str">
        <f t="shared" si="62"/>
        <v>Typ Anschlag</v>
      </c>
      <c r="V284" s="217" t="str">
        <f t="shared" si="62"/>
        <v>x</v>
      </c>
      <c r="W284" s="217" t="str">
        <f t="shared" si="62"/>
        <v/>
      </c>
      <c r="X284" s="217" t="str">
        <f t="shared" si="62"/>
        <v/>
      </c>
      <c r="Y284" s="217" t="str">
        <f t="shared" si="62"/>
        <v>gs_reveal_type_int</v>
      </c>
    </row>
    <row r="285" spans="1:25" x14ac:dyDescent="0.3">
      <c r="A285" s="216">
        <f t="shared" si="56"/>
        <v>283</v>
      </c>
      <c r="B285" s="217" t="str">
        <f t="shared" si="61"/>
        <v>x</v>
      </c>
      <c r="C285" s="217" t="str">
        <f t="shared" si="61"/>
        <v/>
      </c>
      <c r="D285" s="217" t="str">
        <f t="shared" si="61"/>
        <v/>
      </c>
      <c r="E285" s="217" t="str">
        <f t="shared" si="61"/>
        <v/>
      </c>
      <c r="F285" s="217" t="str">
        <f t="shared" si="61"/>
        <v/>
      </c>
      <c r="G285" s="217" t="str">
        <f t="shared" si="61"/>
        <v/>
      </c>
      <c r="H285" s="217" t="str">
        <f t="shared" si="61"/>
        <v/>
      </c>
      <c r="I285" s="217" t="str">
        <f t="shared" si="61"/>
        <v/>
      </c>
      <c r="J285" s="217" t="str">
        <f t="shared" si="61"/>
        <v/>
      </c>
      <c r="K285" s="217" t="str">
        <f t="shared" si="61"/>
        <v/>
      </c>
      <c r="L285" s="217" t="str">
        <f t="shared" si="62"/>
        <v>info</v>
      </c>
      <c r="M285" s="217" t="str">
        <f t="shared" si="62"/>
        <v>x</v>
      </c>
      <c r="N285" s="217" t="str">
        <f t="shared" si="62"/>
        <v/>
      </c>
      <c r="O285" s="217" t="str">
        <f t="shared" si="62"/>
        <v>model</v>
      </c>
      <c r="P285" s="218" t="str">
        <f t="shared" si="62"/>
        <v>String</v>
      </c>
      <c r="Q285" s="218" t="str">
        <f t="shared" si="62"/>
        <v>x</v>
      </c>
      <c r="R285" s="218" t="str">
        <f t="shared" si="62"/>
        <v>BS</v>
      </c>
      <c r="S285" s="218" t="str">
        <f t="shared" si="62"/>
        <v>all</v>
      </c>
      <c r="T285" s="217" t="str">
        <f t="shared" si="62"/>
        <v>ohne Anschlag</v>
      </c>
      <c r="U285" s="217" t="str">
        <f t="shared" si="62"/>
        <v>Untere Laibung Typ</v>
      </c>
      <c r="V285" s="217" t="str">
        <f t="shared" si="62"/>
        <v>x</v>
      </c>
      <c r="W285" s="217" t="str">
        <f t="shared" si="62"/>
        <v/>
      </c>
      <c r="X285" s="217" t="str">
        <f t="shared" si="62"/>
        <v/>
      </c>
      <c r="Y285" s="217" t="str">
        <f t="shared" si="62"/>
        <v>gs_reveal_type_bottom</v>
      </c>
    </row>
    <row r="286" spans="1:25" x14ac:dyDescent="0.3">
      <c r="A286" s="216">
        <f t="shared" si="56"/>
        <v>284</v>
      </c>
      <c r="B286" s="217" t="str">
        <f t="shared" si="61"/>
        <v>x</v>
      </c>
      <c r="C286" s="217" t="str">
        <f t="shared" si="61"/>
        <v>x</v>
      </c>
      <c r="D286" s="217" t="str">
        <f t="shared" si="61"/>
        <v/>
      </c>
      <c r="E286" s="217" t="str">
        <f t="shared" si="61"/>
        <v/>
      </c>
      <c r="F286" s="217" t="str">
        <f t="shared" si="61"/>
        <v/>
      </c>
      <c r="G286" s="217" t="str">
        <f t="shared" si="61"/>
        <v/>
      </c>
      <c r="H286" s="217" t="str">
        <f t="shared" si="61"/>
        <v/>
      </c>
      <c r="I286" s="217" t="str">
        <f t="shared" si="61"/>
        <v/>
      </c>
      <c r="J286" s="217" t="str">
        <f t="shared" si="61"/>
        <v/>
      </c>
      <c r="K286" s="217" t="str">
        <f t="shared" si="61"/>
        <v/>
      </c>
      <c r="L286" s="217" t="str">
        <f t="shared" si="62"/>
        <v>info</v>
      </c>
      <c r="M286" s="217" t="str">
        <f t="shared" si="62"/>
        <v>x</v>
      </c>
      <c r="N286" s="217" t="str">
        <f t="shared" si="62"/>
        <v/>
      </c>
      <c r="O286" s="217" t="str">
        <f t="shared" si="62"/>
        <v>model</v>
      </c>
      <c r="P286" s="218" t="str">
        <f t="shared" si="62"/>
        <v>Integer</v>
      </c>
      <c r="Q286" s="218" t="str">
        <f t="shared" si="62"/>
        <v>x</v>
      </c>
      <c r="R286" s="218" t="str">
        <f t="shared" si="62"/>
        <v>BS</v>
      </c>
      <c r="S286" s="218" t="str">
        <f t="shared" si="62"/>
        <v>all</v>
      </c>
      <c r="T286" s="217">
        <f t="shared" si="62"/>
        <v>2</v>
      </c>
      <c r="U286" s="217" t="str">
        <f t="shared" si="62"/>
        <v>Untere Laibung Typ</v>
      </c>
      <c r="V286" s="217" t="str">
        <f t="shared" si="62"/>
        <v>x</v>
      </c>
      <c r="W286" s="217" t="str">
        <f t="shared" si="62"/>
        <v/>
      </c>
      <c r="X286" s="217" t="str">
        <f t="shared" si="62"/>
        <v/>
      </c>
      <c r="Y286" s="217" t="str">
        <f t="shared" si="62"/>
        <v>gs_reveal_type_bottom_int</v>
      </c>
    </row>
    <row r="287" spans="1:25" x14ac:dyDescent="0.3">
      <c r="A287" s="216">
        <f t="shared" si="56"/>
        <v>285</v>
      </c>
      <c r="B287" s="217" t="str">
        <f t="shared" si="61"/>
        <v>x</v>
      </c>
      <c r="C287" s="217" t="str">
        <f t="shared" si="61"/>
        <v/>
      </c>
      <c r="D287" s="217" t="str">
        <f t="shared" si="61"/>
        <v/>
      </c>
      <c r="E287" s="217" t="str">
        <f t="shared" si="61"/>
        <v/>
      </c>
      <c r="F287" s="217" t="str">
        <f t="shared" si="61"/>
        <v/>
      </c>
      <c r="G287" s="217" t="str">
        <f t="shared" si="61"/>
        <v/>
      </c>
      <c r="H287" s="217" t="str">
        <f t="shared" si="61"/>
        <v/>
      </c>
      <c r="I287" s="217" t="str">
        <f t="shared" si="61"/>
        <v/>
      </c>
      <c r="J287" s="217" t="str">
        <f t="shared" si="61"/>
        <v/>
      </c>
      <c r="K287" s="217" t="str">
        <f t="shared" si="61"/>
        <v/>
      </c>
      <c r="L287" s="217" t="str">
        <f t="shared" si="62"/>
        <v>info</v>
      </c>
      <c r="M287" s="217" t="str">
        <f t="shared" si="62"/>
        <v>x</v>
      </c>
      <c r="N287" s="217" t="str">
        <f t="shared" si="62"/>
        <v/>
      </c>
      <c r="O287" s="217" t="str">
        <f t="shared" si="62"/>
        <v>model</v>
      </c>
      <c r="P287" s="218" t="str">
        <f t="shared" si="62"/>
        <v>Length</v>
      </c>
      <c r="Q287" s="218" t="str">
        <f t="shared" si="62"/>
        <v>x</v>
      </c>
      <c r="R287" s="218" t="str">
        <f t="shared" si="62"/>
        <v>BS</v>
      </c>
      <c r="S287" s="218" t="str">
        <f t="shared" si="62"/>
        <v>all</v>
      </c>
      <c r="T287" s="217" t="str">
        <f t="shared" si="62"/>
        <v/>
      </c>
      <c r="U287" s="217" t="str">
        <f t="shared" si="62"/>
        <v>Anschlagtiefe</v>
      </c>
      <c r="V287" s="217" t="str">
        <f t="shared" si="62"/>
        <v>x</v>
      </c>
      <c r="W287" s="217" t="str">
        <f t="shared" si="62"/>
        <v/>
      </c>
      <c r="X287" s="217" t="str">
        <f t="shared" si="62"/>
        <v/>
      </c>
      <c r="Y287" s="217" t="str">
        <f t="shared" si="62"/>
        <v>gs_wido_sill</v>
      </c>
    </row>
    <row r="288" spans="1:25" x14ac:dyDescent="0.3">
      <c r="A288" s="216">
        <f t="shared" si="56"/>
        <v>286</v>
      </c>
      <c r="B288" s="217" t="str">
        <f t="shared" si="61"/>
        <v>x</v>
      </c>
      <c r="C288" s="217" t="str">
        <f t="shared" si="61"/>
        <v>x</v>
      </c>
      <c r="D288" s="217" t="str">
        <f t="shared" si="61"/>
        <v/>
      </c>
      <c r="E288" s="217" t="str">
        <f t="shared" si="61"/>
        <v/>
      </c>
      <c r="F288" s="217" t="str">
        <f t="shared" si="61"/>
        <v/>
      </c>
      <c r="G288" s="217" t="str">
        <f t="shared" si="61"/>
        <v/>
      </c>
      <c r="H288" s="217" t="str">
        <f t="shared" si="61"/>
        <v/>
      </c>
      <c r="I288" s="217" t="str">
        <f t="shared" si="61"/>
        <v/>
      </c>
      <c r="J288" s="217" t="str">
        <f t="shared" si="61"/>
        <v/>
      </c>
      <c r="K288" s="217" t="str">
        <f t="shared" si="61"/>
        <v/>
      </c>
      <c r="L288" s="217" t="str">
        <f t="shared" si="62"/>
        <v>info</v>
      </c>
      <c r="M288" s="217" t="str">
        <f t="shared" si="62"/>
        <v>x</v>
      </c>
      <c r="N288" s="217" t="str">
        <f t="shared" si="62"/>
        <v/>
      </c>
      <c r="O288" s="217" t="str">
        <f t="shared" si="62"/>
        <v>model</v>
      </c>
      <c r="P288" s="218" t="str">
        <f t="shared" si="62"/>
        <v>Length</v>
      </c>
      <c r="Q288" s="218" t="str">
        <f t="shared" si="62"/>
        <v>x</v>
      </c>
      <c r="R288" s="218" t="str">
        <f t="shared" si="62"/>
        <v>BS</v>
      </c>
      <c r="S288" s="218" t="str">
        <f t="shared" si="62"/>
        <v>all</v>
      </c>
      <c r="T288" s="217" t="str">
        <f t="shared" si="62"/>
        <v/>
      </c>
      <c r="U288" s="217" t="str">
        <f t="shared" si="62"/>
        <v>Anschlagtiefe</v>
      </c>
      <c r="V288" s="217" t="str">
        <f t="shared" si="62"/>
        <v>x</v>
      </c>
      <c r="W288" s="217" t="str">
        <f t="shared" si="62"/>
        <v/>
      </c>
      <c r="X288" s="217" t="str">
        <f t="shared" si="62"/>
        <v/>
      </c>
      <c r="Y288" s="217" t="str">
        <f t="shared" si="62"/>
        <v>AC_wido_sill</v>
      </c>
    </row>
    <row r="289" spans="1:25" x14ac:dyDescent="0.3">
      <c r="A289" s="216">
        <f t="shared" si="56"/>
        <v>287</v>
      </c>
      <c r="B289" s="217" t="str">
        <f t="shared" si="61"/>
        <v>x</v>
      </c>
      <c r="C289" s="217" t="str">
        <f t="shared" si="61"/>
        <v/>
      </c>
      <c r="D289" s="217" t="str">
        <f t="shared" si="61"/>
        <v/>
      </c>
      <c r="E289" s="217" t="str">
        <f t="shared" si="61"/>
        <v/>
      </c>
      <c r="F289" s="217" t="str">
        <f t="shared" si="61"/>
        <v/>
      </c>
      <c r="G289" s="217" t="str">
        <f t="shared" si="61"/>
        <v/>
      </c>
      <c r="H289" s="217" t="str">
        <f t="shared" si="61"/>
        <v/>
      </c>
      <c r="I289" s="217" t="str">
        <f t="shared" si="61"/>
        <v/>
      </c>
      <c r="J289" s="217" t="str">
        <f t="shared" si="61"/>
        <v/>
      </c>
      <c r="K289" s="217" t="str">
        <f t="shared" si="61"/>
        <v/>
      </c>
      <c r="L289" s="217" t="str">
        <f t="shared" si="62"/>
        <v>info</v>
      </c>
      <c r="M289" s="217" t="str">
        <f t="shared" si="62"/>
        <v>x</v>
      </c>
      <c r="N289" s="217" t="str">
        <f t="shared" si="62"/>
        <v/>
      </c>
      <c r="O289" s="217" t="str">
        <f t="shared" si="62"/>
        <v>model</v>
      </c>
      <c r="P289" s="218" t="str">
        <f t="shared" si="62"/>
        <v>String</v>
      </c>
      <c r="Q289" s="218" t="str">
        <f t="shared" si="62"/>
        <v>x</v>
      </c>
      <c r="R289" s="218" t="str">
        <f t="shared" si="62"/>
        <v>BS</v>
      </c>
      <c r="S289" s="218" t="str">
        <f t="shared" si="62"/>
        <v>all</v>
      </c>
      <c r="T289" s="217" t="str">
        <f t="shared" si="62"/>
        <v>ohne Anschlag</v>
      </c>
      <c r="U289" s="217" t="str">
        <f t="shared" si="62"/>
        <v>Äußerer Laibungstyp</v>
      </c>
      <c r="V289" s="217" t="str">
        <f t="shared" si="62"/>
        <v>x</v>
      </c>
      <c r="W289" s="217" t="str">
        <f t="shared" si="62"/>
        <v/>
      </c>
      <c r="X289" s="217" t="str">
        <f t="shared" si="62"/>
        <v/>
      </c>
      <c r="Y289" s="217" t="str">
        <f t="shared" si="62"/>
        <v>gs_reveal_type</v>
      </c>
    </row>
    <row r="290" spans="1:25" x14ac:dyDescent="0.3">
      <c r="A290" s="216">
        <f t="shared" si="56"/>
        <v>288</v>
      </c>
      <c r="B290" s="217" t="str">
        <f t="shared" si="61"/>
        <v>x</v>
      </c>
      <c r="C290" s="217" t="str">
        <f t="shared" si="61"/>
        <v>x</v>
      </c>
      <c r="D290" s="217" t="str">
        <f t="shared" si="61"/>
        <v/>
      </c>
      <c r="E290" s="217" t="str">
        <f t="shared" si="61"/>
        <v/>
      </c>
      <c r="F290" s="217" t="str">
        <f t="shared" si="61"/>
        <v/>
      </c>
      <c r="G290" s="217" t="str">
        <f t="shared" si="61"/>
        <v/>
      </c>
      <c r="H290" s="217" t="str">
        <f t="shared" si="61"/>
        <v/>
      </c>
      <c r="I290" s="217" t="str">
        <f t="shared" si="61"/>
        <v/>
      </c>
      <c r="J290" s="217" t="str">
        <f t="shared" si="61"/>
        <v/>
      </c>
      <c r="K290" s="217" t="str">
        <f t="shared" si="61"/>
        <v/>
      </c>
      <c r="L290" s="217" t="str">
        <f t="shared" si="62"/>
        <v>info</v>
      </c>
      <c r="M290" s="217" t="str">
        <f t="shared" si="62"/>
        <v>x</v>
      </c>
      <c r="N290" s="217" t="str">
        <f t="shared" si="62"/>
        <v/>
      </c>
      <c r="O290" s="217" t="str">
        <f t="shared" si="62"/>
        <v>model</v>
      </c>
      <c r="P290" s="218" t="str">
        <f t="shared" si="62"/>
        <v>Integer</v>
      </c>
      <c r="Q290" s="218" t="str">
        <f t="shared" si="62"/>
        <v>x</v>
      </c>
      <c r="R290" s="218" t="str">
        <f t="shared" si="62"/>
        <v>BS</v>
      </c>
      <c r="S290" s="218" t="str">
        <f t="shared" si="62"/>
        <v>all</v>
      </c>
      <c r="T290" s="217" t="str">
        <f t="shared" si="62"/>
        <v/>
      </c>
      <c r="U290" s="217" t="str">
        <f t="shared" si="62"/>
        <v>Typ Anschlag</v>
      </c>
      <c r="V290" s="217" t="str">
        <f t="shared" si="62"/>
        <v>x</v>
      </c>
      <c r="W290" s="217" t="str">
        <f t="shared" si="62"/>
        <v/>
      </c>
      <c r="X290" s="217" t="str">
        <f t="shared" si="62"/>
        <v/>
      </c>
      <c r="Y290" s="217" t="str">
        <f t="shared" si="62"/>
        <v>gs_reveal_doubleOuterTypeInt</v>
      </c>
    </row>
    <row r="291" spans="1:25" x14ac:dyDescent="0.3">
      <c r="A291" s="216">
        <f t="shared" si="56"/>
        <v>289</v>
      </c>
      <c r="B291" s="217" t="str">
        <f t="shared" si="61"/>
        <v>x</v>
      </c>
      <c r="C291" s="217" t="str">
        <f t="shared" si="61"/>
        <v/>
      </c>
      <c r="D291" s="217" t="str">
        <f t="shared" si="61"/>
        <v/>
      </c>
      <c r="E291" s="217" t="str">
        <f t="shared" si="61"/>
        <v/>
      </c>
      <c r="F291" s="217" t="str">
        <f t="shared" si="61"/>
        <v/>
      </c>
      <c r="G291" s="217" t="str">
        <f t="shared" si="61"/>
        <v/>
      </c>
      <c r="H291" s="217" t="str">
        <f t="shared" si="61"/>
        <v/>
      </c>
      <c r="I291" s="217" t="str">
        <f t="shared" si="61"/>
        <v/>
      </c>
      <c r="J291" s="217" t="str">
        <f t="shared" si="61"/>
        <v/>
      </c>
      <c r="K291" s="217" t="str">
        <f t="shared" si="61"/>
        <v/>
      </c>
      <c r="L291" s="217" t="str">
        <f t="shared" si="62"/>
        <v>info</v>
      </c>
      <c r="M291" s="217" t="str">
        <f t="shared" si="62"/>
        <v>x</v>
      </c>
      <c r="N291" s="217" t="str">
        <f t="shared" si="62"/>
        <v/>
      </c>
      <c r="O291" s="217" t="str">
        <f t="shared" si="62"/>
        <v>model</v>
      </c>
      <c r="P291" s="218" t="str">
        <f t="shared" si="62"/>
        <v>String</v>
      </c>
      <c r="Q291" s="218" t="str">
        <f t="shared" si="62"/>
        <v>x</v>
      </c>
      <c r="R291" s="218" t="str">
        <f t="shared" si="62"/>
        <v>BS</v>
      </c>
      <c r="S291" s="218" t="str">
        <f t="shared" si="62"/>
        <v>all</v>
      </c>
      <c r="T291" s="217" t="str">
        <f t="shared" si="62"/>
        <v>ohne Anschlag</v>
      </c>
      <c r="U291" s="217" t="str">
        <f t="shared" si="62"/>
        <v>Laibungstyp Innen</v>
      </c>
      <c r="V291" s="217" t="str">
        <f t="shared" si="62"/>
        <v>x</v>
      </c>
      <c r="W291" s="217" t="str">
        <f t="shared" si="62"/>
        <v/>
      </c>
      <c r="X291" s="217" t="str">
        <f t="shared" si="62"/>
        <v/>
      </c>
      <c r="Y291" s="217" t="str">
        <f t="shared" si="62"/>
        <v>gs_reveal_double_innerType</v>
      </c>
    </row>
    <row r="292" spans="1:25" x14ac:dyDescent="0.3">
      <c r="A292" s="216">
        <f t="shared" si="56"/>
        <v>290</v>
      </c>
      <c r="B292" s="217" t="str">
        <f t="shared" si="61"/>
        <v>x</v>
      </c>
      <c r="C292" s="217" t="str">
        <f t="shared" si="61"/>
        <v>x</v>
      </c>
      <c r="D292" s="217" t="str">
        <f t="shared" si="61"/>
        <v/>
      </c>
      <c r="E292" s="217" t="str">
        <f t="shared" si="61"/>
        <v/>
      </c>
      <c r="F292" s="217" t="str">
        <f t="shared" si="61"/>
        <v/>
      </c>
      <c r="G292" s="217" t="str">
        <f t="shared" si="61"/>
        <v/>
      </c>
      <c r="H292" s="217" t="str">
        <f t="shared" si="61"/>
        <v/>
      </c>
      <c r="I292" s="217" t="str">
        <f t="shared" si="61"/>
        <v/>
      </c>
      <c r="J292" s="217" t="str">
        <f t="shared" si="61"/>
        <v/>
      </c>
      <c r="K292" s="217" t="str">
        <f t="shared" si="61"/>
        <v/>
      </c>
      <c r="L292" s="217" t="str">
        <f t="shared" si="62"/>
        <v>info</v>
      </c>
      <c r="M292" s="217" t="str">
        <f t="shared" si="62"/>
        <v>x</v>
      </c>
      <c r="N292" s="217" t="str">
        <f t="shared" si="62"/>
        <v/>
      </c>
      <c r="O292" s="217" t="str">
        <f t="shared" si="62"/>
        <v>model</v>
      </c>
      <c r="P292" s="218" t="str">
        <f t="shared" si="62"/>
        <v>Integer</v>
      </c>
      <c r="Q292" s="218" t="str">
        <f t="shared" si="62"/>
        <v>x</v>
      </c>
      <c r="R292" s="218" t="str">
        <f t="shared" si="62"/>
        <v>BS</v>
      </c>
      <c r="S292" s="218" t="str">
        <f t="shared" si="62"/>
        <v>all</v>
      </c>
      <c r="T292" s="217" t="str">
        <f t="shared" si="62"/>
        <v/>
      </c>
      <c r="U292" s="217" t="str">
        <f t="shared" si="62"/>
        <v>Typ Anschlag</v>
      </c>
      <c r="V292" s="217" t="str">
        <f t="shared" si="62"/>
        <v>x</v>
      </c>
      <c r="W292" s="217" t="str">
        <f t="shared" si="62"/>
        <v/>
      </c>
      <c r="X292" s="217" t="str">
        <f t="shared" si="62"/>
        <v/>
      </c>
      <c r="Y292" s="217" t="str">
        <f t="shared" si="62"/>
        <v>gs_reveal_doubleInnerTypeInt</v>
      </c>
    </row>
    <row r="293" spans="1:25" x14ac:dyDescent="0.3">
      <c r="A293" s="216">
        <f t="shared" si="56"/>
        <v>291</v>
      </c>
      <c r="B293" s="217" t="str">
        <f t="shared" ref="B293:K302" si="63">IF(ISNONTEXT(B$2),IF(B$2="","",IF(INDEX(IMPORT,$A293,B$2)=0,"",IFERROR(VLOOKUP(INDEX(IMPORT,$A293,B$2),ImportTranslation,2,0),INDEX(IMPORT,$A293,B$2)))),B$2)</f>
        <v>x</v>
      </c>
      <c r="C293" s="217" t="str">
        <f t="shared" si="63"/>
        <v/>
      </c>
      <c r="D293" s="217" t="str">
        <f t="shared" si="63"/>
        <v/>
      </c>
      <c r="E293" s="217" t="str">
        <f t="shared" si="63"/>
        <v/>
      </c>
      <c r="F293" s="217" t="str">
        <f t="shared" si="63"/>
        <v/>
      </c>
      <c r="G293" s="217" t="str">
        <f t="shared" si="63"/>
        <v/>
      </c>
      <c r="H293" s="217" t="str">
        <f t="shared" si="63"/>
        <v/>
      </c>
      <c r="I293" s="217" t="str">
        <f t="shared" si="63"/>
        <v/>
      </c>
      <c r="J293" s="217" t="str">
        <f t="shared" si="63"/>
        <v/>
      </c>
      <c r="K293" s="217" t="str">
        <f t="shared" si="63"/>
        <v/>
      </c>
      <c r="L293" s="217" t="str">
        <f t="shared" ref="L293:Y302" si="64">IF(ISNONTEXT(L$2),IF(L$2="","",IF(INDEX(IMPORT,$A293,L$2)=0,"",IFERROR(VLOOKUP(INDEX(IMPORT,$A293,L$2),ImportTranslation,2,0),INDEX(IMPORT,$A293,L$2)))),L$2)</f>
        <v>info</v>
      </c>
      <c r="M293" s="217" t="str">
        <f t="shared" si="64"/>
        <v>x</v>
      </c>
      <c r="N293" s="217" t="str">
        <f t="shared" si="64"/>
        <v/>
      </c>
      <c r="O293" s="217" t="str">
        <f t="shared" si="64"/>
        <v>model</v>
      </c>
      <c r="P293" s="218" t="str">
        <f t="shared" si="64"/>
        <v>Boolean</v>
      </c>
      <c r="Q293" s="218" t="str">
        <f t="shared" si="64"/>
        <v>x</v>
      </c>
      <c r="R293" s="218" t="str">
        <f t="shared" si="64"/>
        <v>BS</v>
      </c>
      <c r="S293" s="218" t="str">
        <f t="shared" si="64"/>
        <v>all</v>
      </c>
      <c r="T293" s="217">
        <f t="shared" si="64"/>
        <v>1</v>
      </c>
      <c r="U293" s="217" t="str">
        <f t="shared" si="64"/>
        <v>Anschlagtiefe und Laibungswinkel gleich</v>
      </c>
      <c r="V293" s="217" t="str">
        <f t="shared" si="64"/>
        <v>x</v>
      </c>
      <c r="W293" s="217" t="str">
        <f t="shared" si="64"/>
        <v/>
      </c>
      <c r="X293" s="217" t="str">
        <f t="shared" si="64"/>
        <v/>
      </c>
      <c r="Y293" s="217" t="str">
        <f t="shared" si="64"/>
        <v>gs_reveal_uniform</v>
      </c>
    </row>
    <row r="294" spans="1:25" x14ac:dyDescent="0.3">
      <c r="A294" s="216">
        <f t="shared" si="56"/>
        <v>292</v>
      </c>
      <c r="B294" s="217" t="str">
        <f t="shared" si="63"/>
        <v>x</v>
      </c>
      <c r="C294" s="217" t="str">
        <f t="shared" si="63"/>
        <v/>
      </c>
      <c r="D294" s="217" t="str">
        <f t="shared" si="63"/>
        <v/>
      </c>
      <c r="E294" s="217" t="str">
        <f t="shared" si="63"/>
        <v/>
      </c>
      <c r="F294" s="217" t="str">
        <f t="shared" si="63"/>
        <v/>
      </c>
      <c r="G294" s="217" t="str">
        <f t="shared" si="63"/>
        <v/>
      </c>
      <c r="H294" s="217" t="str">
        <f t="shared" si="63"/>
        <v/>
      </c>
      <c r="I294" s="217" t="str">
        <f t="shared" si="63"/>
        <v/>
      </c>
      <c r="J294" s="217" t="str">
        <f t="shared" si="63"/>
        <v/>
      </c>
      <c r="K294" s="217" t="str">
        <f t="shared" si="63"/>
        <v/>
      </c>
      <c r="L294" s="217" t="str">
        <f t="shared" si="64"/>
        <v>info</v>
      </c>
      <c r="M294" s="217" t="str">
        <f t="shared" si="64"/>
        <v>x</v>
      </c>
      <c r="N294" s="217" t="str">
        <f t="shared" si="64"/>
        <v/>
      </c>
      <c r="O294" s="217" t="str">
        <f t="shared" si="64"/>
        <v>model</v>
      </c>
      <c r="P294" s="218" t="str">
        <f t="shared" si="64"/>
        <v>Length</v>
      </c>
      <c r="Q294" s="218" t="str">
        <f t="shared" si="64"/>
        <v>x</v>
      </c>
      <c r="R294" s="218" t="str">
        <f t="shared" si="64"/>
        <v>BS</v>
      </c>
      <c r="S294" s="218" t="str">
        <f t="shared" si="64"/>
        <v>all</v>
      </c>
      <c r="T294" s="217">
        <f t="shared" si="64"/>
        <v>0.05</v>
      </c>
      <c r="U294" s="217" t="str">
        <f t="shared" si="64"/>
        <v>Anschlagstiefe Seite 2</v>
      </c>
      <c r="V294" s="217" t="str">
        <f t="shared" si="64"/>
        <v>x</v>
      </c>
      <c r="W294" s="217" t="str">
        <f t="shared" si="64"/>
        <v/>
      </c>
      <c r="X294" s="217" t="str">
        <f t="shared" si="64"/>
        <v/>
      </c>
      <c r="Y294" s="217" t="str">
        <f t="shared" si="64"/>
        <v>gs_reveal_left</v>
      </c>
    </row>
    <row r="295" spans="1:25" x14ac:dyDescent="0.3">
      <c r="A295" s="216">
        <f t="shared" si="56"/>
        <v>293</v>
      </c>
      <c r="B295" s="217" t="str">
        <f t="shared" si="63"/>
        <v>x</v>
      </c>
      <c r="C295" s="217" t="str">
        <f t="shared" si="63"/>
        <v/>
      </c>
      <c r="D295" s="217" t="str">
        <f t="shared" si="63"/>
        <v/>
      </c>
      <c r="E295" s="217" t="str">
        <f t="shared" si="63"/>
        <v/>
      </c>
      <c r="F295" s="217" t="str">
        <f t="shared" si="63"/>
        <v/>
      </c>
      <c r="G295" s="217" t="str">
        <f t="shared" si="63"/>
        <v/>
      </c>
      <c r="H295" s="217" t="str">
        <f t="shared" si="63"/>
        <v/>
      </c>
      <c r="I295" s="217" t="str">
        <f t="shared" si="63"/>
        <v/>
      </c>
      <c r="J295" s="217" t="str">
        <f t="shared" si="63"/>
        <v/>
      </c>
      <c r="K295" s="217" t="str">
        <f t="shared" si="63"/>
        <v/>
      </c>
      <c r="L295" s="217" t="str">
        <f t="shared" si="64"/>
        <v>info</v>
      </c>
      <c r="M295" s="217" t="str">
        <f t="shared" si="64"/>
        <v>x</v>
      </c>
      <c r="N295" s="217" t="str">
        <f t="shared" si="64"/>
        <v/>
      </c>
      <c r="O295" s="217" t="str">
        <f t="shared" si="64"/>
        <v>model</v>
      </c>
      <c r="P295" s="218" t="str">
        <f t="shared" si="64"/>
        <v>Length</v>
      </c>
      <c r="Q295" s="218" t="str">
        <f t="shared" si="64"/>
        <v>x</v>
      </c>
      <c r="R295" s="218" t="str">
        <f t="shared" si="64"/>
        <v>BS</v>
      </c>
      <c r="S295" s="218" t="str">
        <f t="shared" si="64"/>
        <v>all</v>
      </c>
      <c r="T295" s="217">
        <f t="shared" si="64"/>
        <v>0.05</v>
      </c>
      <c r="U295" s="217" t="str">
        <f t="shared" si="64"/>
        <v>Anschlagstiefe</v>
      </c>
      <c r="V295" s="217" t="str">
        <f t="shared" si="64"/>
        <v>x</v>
      </c>
      <c r="W295" s="217" t="str">
        <f t="shared" si="64"/>
        <v/>
      </c>
      <c r="X295" s="217" t="str">
        <f t="shared" si="64"/>
        <v/>
      </c>
      <c r="Y295" s="217" t="str">
        <f t="shared" si="64"/>
        <v>gs_reveal_right</v>
      </c>
    </row>
    <row r="296" spans="1:25" x14ac:dyDescent="0.3">
      <c r="A296" s="216">
        <f t="shared" si="56"/>
        <v>294</v>
      </c>
      <c r="B296" s="217" t="str">
        <f t="shared" si="63"/>
        <v>x</v>
      </c>
      <c r="C296" s="217" t="str">
        <f t="shared" si="63"/>
        <v/>
      </c>
      <c r="D296" s="217" t="str">
        <f t="shared" si="63"/>
        <v/>
      </c>
      <c r="E296" s="217" t="str">
        <f t="shared" si="63"/>
        <v/>
      </c>
      <c r="F296" s="217" t="str">
        <f t="shared" si="63"/>
        <v/>
      </c>
      <c r="G296" s="217" t="str">
        <f t="shared" si="63"/>
        <v/>
      </c>
      <c r="H296" s="217" t="str">
        <f t="shared" si="63"/>
        <v/>
      </c>
      <c r="I296" s="217" t="str">
        <f t="shared" si="63"/>
        <v/>
      </c>
      <c r="J296" s="217" t="str">
        <f t="shared" si="63"/>
        <v/>
      </c>
      <c r="K296" s="217" t="str">
        <f t="shared" si="63"/>
        <v/>
      </c>
      <c r="L296" s="217" t="str">
        <f t="shared" si="64"/>
        <v>info</v>
      </c>
      <c r="M296" s="217" t="str">
        <f t="shared" si="64"/>
        <v>x</v>
      </c>
      <c r="N296" s="217" t="str">
        <f t="shared" si="64"/>
        <v/>
      </c>
      <c r="O296" s="217" t="str">
        <f t="shared" si="64"/>
        <v>model</v>
      </c>
      <c r="P296" s="218" t="str">
        <f t="shared" si="64"/>
        <v>Length</v>
      </c>
      <c r="Q296" s="218" t="str">
        <f t="shared" si="64"/>
        <v>x</v>
      </c>
      <c r="R296" s="218" t="str">
        <f t="shared" si="64"/>
        <v>BS</v>
      </c>
      <c r="S296" s="218" t="str">
        <f t="shared" si="64"/>
        <v>all</v>
      </c>
      <c r="T296" s="217">
        <f t="shared" si="64"/>
        <v>0.06</v>
      </c>
      <c r="U296" s="217" t="str">
        <f t="shared" si="64"/>
        <v>Innerer Anschlagstiefe Seite 2</v>
      </c>
      <c r="V296" s="217" t="str">
        <f t="shared" si="64"/>
        <v>x</v>
      </c>
      <c r="W296" s="217" t="str">
        <f t="shared" si="64"/>
        <v/>
      </c>
      <c r="X296" s="217" t="str">
        <f t="shared" si="64"/>
        <v/>
      </c>
      <c r="Y296" s="217" t="str">
        <f t="shared" si="64"/>
        <v>gs_reveal_splayed_innerLeft</v>
      </c>
    </row>
    <row r="297" spans="1:25" x14ac:dyDescent="0.3">
      <c r="A297" s="216">
        <f t="shared" si="56"/>
        <v>295</v>
      </c>
      <c r="B297" s="217" t="str">
        <f t="shared" si="63"/>
        <v>x</v>
      </c>
      <c r="C297" s="217" t="str">
        <f t="shared" si="63"/>
        <v/>
      </c>
      <c r="D297" s="217" t="str">
        <f t="shared" si="63"/>
        <v/>
      </c>
      <c r="E297" s="217" t="str">
        <f t="shared" si="63"/>
        <v/>
      </c>
      <c r="F297" s="217" t="str">
        <f t="shared" si="63"/>
        <v/>
      </c>
      <c r="G297" s="217" t="str">
        <f t="shared" si="63"/>
        <v/>
      </c>
      <c r="H297" s="217" t="str">
        <f t="shared" si="63"/>
        <v/>
      </c>
      <c r="I297" s="217" t="str">
        <f t="shared" si="63"/>
        <v/>
      </c>
      <c r="J297" s="217" t="str">
        <f t="shared" si="63"/>
        <v/>
      </c>
      <c r="K297" s="217" t="str">
        <f t="shared" si="63"/>
        <v/>
      </c>
      <c r="L297" s="217" t="str">
        <f t="shared" si="64"/>
        <v>info</v>
      </c>
      <c r="M297" s="217" t="str">
        <f t="shared" si="64"/>
        <v>x</v>
      </c>
      <c r="N297" s="217" t="str">
        <f t="shared" si="64"/>
        <v/>
      </c>
      <c r="O297" s="217" t="str">
        <f t="shared" si="64"/>
        <v>model</v>
      </c>
      <c r="P297" s="218" t="str">
        <f t="shared" si="64"/>
        <v>Length</v>
      </c>
      <c r="Q297" s="218" t="str">
        <f t="shared" si="64"/>
        <v>x</v>
      </c>
      <c r="R297" s="218" t="str">
        <f t="shared" si="64"/>
        <v>BS</v>
      </c>
      <c r="S297" s="218" t="str">
        <f t="shared" si="64"/>
        <v>all</v>
      </c>
      <c r="T297" s="217">
        <f t="shared" si="64"/>
        <v>0.06</v>
      </c>
      <c r="U297" s="217" t="str">
        <f t="shared" si="64"/>
        <v>Innerer Anschlagstiefe</v>
      </c>
      <c r="V297" s="217" t="str">
        <f t="shared" si="64"/>
        <v>x</v>
      </c>
      <c r="W297" s="217" t="str">
        <f t="shared" si="64"/>
        <v/>
      </c>
      <c r="X297" s="217" t="str">
        <f t="shared" si="64"/>
        <v/>
      </c>
      <c r="Y297" s="217" t="str">
        <f t="shared" si="64"/>
        <v>gs_reveal_splayed_innerRight</v>
      </c>
    </row>
    <row r="298" spans="1:25" x14ac:dyDescent="0.3">
      <c r="A298" s="216">
        <f t="shared" si="56"/>
        <v>296</v>
      </c>
      <c r="B298" s="217" t="str">
        <f t="shared" si="63"/>
        <v>x</v>
      </c>
      <c r="C298" s="217" t="str">
        <f t="shared" si="63"/>
        <v/>
      </c>
      <c r="D298" s="217" t="str">
        <f t="shared" si="63"/>
        <v/>
      </c>
      <c r="E298" s="217" t="str">
        <f t="shared" si="63"/>
        <v/>
      </c>
      <c r="F298" s="217" t="str">
        <f t="shared" si="63"/>
        <v/>
      </c>
      <c r="G298" s="217" t="str">
        <f t="shared" si="63"/>
        <v/>
      </c>
      <c r="H298" s="217" t="str">
        <f t="shared" si="63"/>
        <v/>
      </c>
      <c r="I298" s="217" t="str">
        <f t="shared" si="63"/>
        <v/>
      </c>
      <c r="J298" s="217" t="str">
        <f t="shared" si="63"/>
        <v/>
      </c>
      <c r="K298" s="217" t="str">
        <f t="shared" si="63"/>
        <v/>
      </c>
      <c r="L298" s="217" t="str">
        <f t="shared" si="64"/>
        <v>info</v>
      </c>
      <c r="M298" s="217" t="str">
        <f t="shared" si="64"/>
        <v>x</v>
      </c>
      <c r="N298" s="217" t="str">
        <f t="shared" si="64"/>
        <v/>
      </c>
      <c r="O298" s="217" t="str">
        <f t="shared" si="64"/>
        <v>model</v>
      </c>
      <c r="P298" s="218" t="str">
        <f t="shared" si="64"/>
        <v>Length</v>
      </c>
      <c r="Q298" s="218" t="str">
        <f t="shared" si="64"/>
        <v>x</v>
      </c>
      <c r="R298" s="218" t="str">
        <f t="shared" si="64"/>
        <v>BS</v>
      </c>
      <c r="S298" s="218" t="str">
        <f t="shared" si="64"/>
        <v>all</v>
      </c>
      <c r="T298" s="217">
        <f t="shared" si="64"/>
        <v>0.06</v>
      </c>
      <c r="U298" s="217" t="str">
        <f t="shared" si="64"/>
        <v>Innerer Anschlagstiefe Seite 2</v>
      </c>
      <c r="V298" s="217" t="str">
        <f t="shared" si="64"/>
        <v>x</v>
      </c>
      <c r="W298" s="217" t="str">
        <f t="shared" si="64"/>
        <v/>
      </c>
      <c r="X298" s="217" t="str">
        <f t="shared" si="64"/>
        <v/>
      </c>
      <c r="Y298" s="217" t="str">
        <f t="shared" si="64"/>
        <v>gs_reveal_double_innerLeft</v>
      </c>
    </row>
    <row r="299" spans="1:25" x14ac:dyDescent="0.3">
      <c r="A299" s="216">
        <f t="shared" si="56"/>
        <v>297</v>
      </c>
      <c r="B299" s="217" t="str">
        <f t="shared" si="63"/>
        <v>x</v>
      </c>
      <c r="C299" s="217" t="str">
        <f t="shared" si="63"/>
        <v/>
      </c>
      <c r="D299" s="217" t="str">
        <f t="shared" si="63"/>
        <v/>
      </c>
      <c r="E299" s="217" t="str">
        <f t="shared" si="63"/>
        <v/>
      </c>
      <c r="F299" s="217" t="str">
        <f t="shared" si="63"/>
        <v/>
      </c>
      <c r="G299" s="217" t="str">
        <f t="shared" si="63"/>
        <v/>
      </c>
      <c r="H299" s="217" t="str">
        <f t="shared" si="63"/>
        <v/>
      </c>
      <c r="I299" s="217" t="str">
        <f t="shared" si="63"/>
        <v/>
      </c>
      <c r="J299" s="217" t="str">
        <f t="shared" si="63"/>
        <v/>
      </c>
      <c r="K299" s="217" t="str">
        <f t="shared" si="63"/>
        <v/>
      </c>
      <c r="L299" s="217" t="str">
        <f t="shared" si="64"/>
        <v>info</v>
      </c>
      <c r="M299" s="217" t="str">
        <f t="shared" si="64"/>
        <v>x</v>
      </c>
      <c r="N299" s="217" t="str">
        <f t="shared" si="64"/>
        <v/>
      </c>
      <c r="O299" s="217" t="str">
        <f t="shared" si="64"/>
        <v>model</v>
      </c>
      <c r="P299" s="218" t="str">
        <f t="shared" si="64"/>
        <v>Length</v>
      </c>
      <c r="Q299" s="218" t="str">
        <f t="shared" si="64"/>
        <v>x</v>
      </c>
      <c r="R299" s="218" t="str">
        <f t="shared" si="64"/>
        <v>BS</v>
      </c>
      <c r="S299" s="218" t="str">
        <f t="shared" si="64"/>
        <v>all</v>
      </c>
      <c r="T299" s="217">
        <f t="shared" si="64"/>
        <v>0.06</v>
      </c>
      <c r="U299" s="217" t="str">
        <f t="shared" si="64"/>
        <v>Innerer Anschlagstiefe</v>
      </c>
      <c r="V299" s="217" t="str">
        <f t="shared" si="64"/>
        <v>x</v>
      </c>
      <c r="W299" s="217" t="str">
        <f t="shared" si="64"/>
        <v/>
      </c>
      <c r="X299" s="217" t="str">
        <f t="shared" si="64"/>
        <v/>
      </c>
      <c r="Y299" s="217" t="str">
        <f t="shared" si="64"/>
        <v>gs_reveal_double_innerRight</v>
      </c>
    </row>
    <row r="300" spans="1:25" x14ac:dyDescent="0.3">
      <c r="A300" s="216">
        <f t="shared" si="56"/>
        <v>298</v>
      </c>
      <c r="B300" s="217" t="str">
        <f t="shared" si="63"/>
        <v>x</v>
      </c>
      <c r="C300" s="217" t="str">
        <f t="shared" si="63"/>
        <v/>
      </c>
      <c r="D300" s="217" t="str">
        <f t="shared" si="63"/>
        <v/>
      </c>
      <c r="E300" s="217" t="str">
        <f t="shared" si="63"/>
        <v/>
      </c>
      <c r="F300" s="217" t="str">
        <f t="shared" si="63"/>
        <v/>
      </c>
      <c r="G300" s="217" t="str">
        <f t="shared" si="63"/>
        <v/>
      </c>
      <c r="H300" s="217" t="str">
        <f t="shared" si="63"/>
        <v/>
      </c>
      <c r="I300" s="217" t="str">
        <f t="shared" si="63"/>
        <v/>
      </c>
      <c r="J300" s="217" t="str">
        <f t="shared" si="63"/>
        <v/>
      </c>
      <c r="K300" s="217" t="str">
        <f t="shared" si="63"/>
        <v/>
      </c>
      <c r="L300" s="217" t="str">
        <f t="shared" si="64"/>
        <v>info</v>
      </c>
      <c r="M300" s="217" t="str">
        <f t="shared" si="64"/>
        <v>x</v>
      </c>
      <c r="N300" s="217" t="str">
        <f t="shared" si="64"/>
        <v/>
      </c>
      <c r="O300" s="217" t="str">
        <f t="shared" si="64"/>
        <v>model</v>
      </c>
      <c r="P300" s="218" t="str">
        <f t="shared" si="64"/>
        <v>Length</v>
      </c>
      <c r="Q300" s="218" t="str">
        <f t="shared" si="64"/>
        <v>x</v>
      </c>
      <c r="R300" s="218" t="str">
        <f t="shared" si="64"/>
        <v>BS</v>
      </c>
      <c r="S300" s="218" t="str">
        <f t="shared" si="64"/>
        <v>all</v>
      </c>
      <c r="T300" s="217">
        <f t="shared" si="64"/>
        <v>0.05</v>
      </c>
      <c r="U300" s="217" t="str">
        <f t="shared" si="64"/>
        <v>Tiefe des oberen Anschlags</v>
      </c>
      <c r="V300" s="217" t="str">
        <f t="shared" si="64"/>
        <v>x</v>
      </c>
      <c r="W300" s="217" t="str">
        <f t="shared" si="64"/>
        <v/>
      </c>
      <c r="X300" s="217" t="str">
        <f t="shared" si="64"/>
        <v/>
      </c>
      <c r="Y300" s="217" t="str">
        <f t="shared" si="64"/>
        <v>gs_reveal_top</v>
      </c>
    </row>
    <row r="301" spans="1:25" x14ac:dyDescent="0.3">
      <c r="A301" s="216">
        <f t="shared" si="56"/>
        <v>299</v>
      </c>
      <c r="B301" s="217" t="str">
        <f t="shared" si="63"/>
        <v>x</v>
      </c>
      <c r="C301" s="217" t="str">
        <f t="shared" si="63"/>
        <v/>
      </c>
      <c r="D301" s="217" t="str">
        <f t="shared" si="63"/>
        <v/>
      </c>
      <c r="E301" s="217" t="str">
        <f t="shared" si="63"/>
        <v/>
      </c>
      <c r="F301" s="217" t="str">
        <f t="shared" si="63"/>
        <v/>
      </c>
      <c r="G301" s="217" t="str">
        <f t="shared" si="63"/>
        <v/>
      </c>
      <c r="H301" s="217" t="str">
        <f t="shared" si="63"/>
        <v/>
      </c>
      <c r="I301" s="217" t="str">
        <f t="shared" si="63"/>
        <v/>
      </c>
      <c r="J301" s="217" t="str">
        <f t="shared" si="63"/>
        <v/>
      </c>
      <c r="K301" s="217" t="str">
        <f t="shared" si="63"/>
        <v/>
      </c>
      <c r="L301" s="217" t="str">
        <f t="shared" si="64"/>
        <v>info</v>
      </c>
      <c r="M301" s="217" t="str">
        <f t="shared" si="64"/>
        <v>x</v>
      </c>
      <c r="N301" s="217" t="str">
        <f t="shared" si="64"/>
        <v/>
      </c>
      <c r="O301" s="217" t="str">
        <f t="shared" si="64"/>
        <v>model</v>
      </c>
      <c r="P301" s="218" t="str">
        <f t="shared" si="64"/>
        <v>Length</v>
      </c>
      <c r="Q301" s="218" t="str">
        <f t="shared" si="64"/>
        <v>x</v>
      </c>
      <c r="R301" s="218" t="str">
        <f t="shared" si="64"/>
        <v>BS</v>
      </c>
      <c r="S301" s="218" t="str">
        <f t="shared" si="64"/>
        <v>all</v>
      </c>
      <c r="T301" s="217">
        <f t="shared" si="64"/>
        <v>0.06</v>
      </c>
      <c r="U301" s="217" t="str">
        <f t="shared" si="64"/>
        <v>Tiefe des unteren Anschlags</v>
      </c>
      <c r="V301" s="217" t="str">
        <f t="shared" si="64"/>
        <v>x</v>
      </c>
      <c r="W301" s="217" t="str">
        <f t="shared" si="64"/>
        <v/>
      </c>
      <c r="X301" s="217" t="str">
        <f t="shared" si="64"/>
        <v/>
      </c>
      <c r="Y301" s="217" t="str">
        <f t="shared" si="64"/>
        <v>gs_reveal_bottom</v>
      </c>
    </row>
    <row r="302" spans="1:25" x14ac:dyDescent="0.3">
      <c r="A302" s="216">
        <f t="shared" si="56"/>
        <v>300</v>
      </c>
      <c r="B302" s="217" t="str">
        <f t="shared" si="63"/>
        <v>x</v>
      </c>
      <c r="C302" s="217" t="str">
        <f t="shared" si="63"/>
        <v/>
      </c>
      <c r="D302" s="217" t="str">
        <f t="shared" si="63"/>
        <v/>
      </c>
      <c r="E302" s="217" t="str">
        <f t="shared" si="63"/>
        <v/>
      </c>
      <c r="F302" s="217" t="str">
        <f t="shared" si="63"/>
        <v/>
      </c>
      <c r="G302" s="217" t="str">
        <f t="shared" si="63"/>
        <v/>
      </c>
      <c r="H302" s="217" t="str">
        <f t="shared" si="63"/>
        <v/>
      </c>
      <c r="I302" s="217" t="str">
        <f t="shared" si="63"/>
        <v/>
      </c>
      <c r="J302" s="217" t="str">
        <f t="shared" si="63"/>
        <v/>
      </c>
      <c r="K302" s="217" t="str">
        <f t="shared" si="63"/>
        <v/>
      </c>
      <c r="L302" s="217" t="str">
        <f t="shared" si="64"/>
        <v>info</v>
      </c>
      <c r="M302" s="217" t="str">
        <f t="shared" si="64"/>
        <v>x</v>
      </c>
      <c r="N302" s="217" t="str">
        <f t="shared" si="64"/>
        <v/>
      </c>
      <c r="O302" s="217" t="str">
        <f t="shared" si="64"/>
        <v>model</v>
      </c>
      <c r="P302" s="218" t="str">
        <f t="shared" si="64"/>
        <v>Length</v>
      </c>
      <c r="Q302" s="218" t="str">
        <f t="shared" si="64"/>
        <v>x</v>
      </c>
      <c r="R302" s="218" t="str">
        <f t="shared" si="64"/>
        <v>BS</v>
      </c>
      <c r="S302" s="218" t="str">
        <f t="shared" si="64"/>
        <v>all</v>
      </c>
      <c r="T302" s="217">
        <f t="shared" si="64"/>
        <v>0.06</v>
      </c>
      <c r="U302" s="217" t="str">
        <f t="shared" si="64"/>
        <v>Tiefe Sturz Innen</v>
      </c>
      <c r="V302" s="217" t="str">
        <f t="shared" si="64"/>
        <v>x</v>
      </c>
      <c r="W302" s="217" t="str">
        <f t="shared" si="64"/>
        <v/>
      </c>
      <c r="X302" s="217" t="str">
        <f t="shared" si="64"/>
        <v/>
      </c>
      <c r="Y302" s="217" t="str">
        <f t="shared" si="64"/>
        <v>gs_reveal_splayed_innerTop</v>
      </c>
    </row>
    <row r="303" spans="1:25" x14ac:dyDescent="0.3">
      <c r="A303" s="216">
        <f t="shared" si="56"/>
        <v>301</v>
      </c>
      <c r="B303" s="217" t="str">
        <f t="shared" ref="B303:K312" si="65">IF(ISNONTEXT(B$2),IF(B$2="","",IF(INDEX(IMPORT,$A303,B$2)=0,"",IFERROR(VLOOKUP(INDEX(IMPORT,$A303,B$2),ImportTranslation,2,0),INDEX(IMPORT,$A303,B$2)))),B$2)</f>
        <v>x</v>
      </c>
      <c r="C303" s="217" t="str">
        <f t="shared" si="65"/>
        <v/>
      </c>
      <c r="D303" s="217" t="str">
        <f t="shared" si="65"/>
        <v/>
      </c>
      <c r="E303" s="217" t="str">
        <f t="shared" si="65"/>
        <v/>
      </c>
      <c r="F303" s="217" t="str">
        <f t="shared" si="65"/>
        <v/>
      </c>
      <c r="G303" s="217" t="str">
        <f t="shared" si="65"/>
        <v/>
      </c>
      <c r="H303" s="217" t="str">
        <f t="shared" si="65"/>
        <v/>
      </c>
      <c r="I303" s="217" t="str">
        <f t="shared" si="65"/>
        <v/>
      </c>
      <c r="J303" s="217" t="str">
        <f t="shared" si="65"/>
        <v/>
      </c>
      <c r="K303" s="217" t="str">
        <f t="shared" si="65"/>
        <v/>
      </c>
      <c r="L303" s="217" t="str">
        <f t="shared" ref="L303:Y312" si="66">IF(ISNONTEXT(L$2),IF(L$2="","",IF(INDEX(IMPORT,$A303,L$2)=0,"",IFERROR(VLOOKUP(INDEX(IMPORT,$A303,L$2),ImportTranslation,2,0),INDEX(IMPORT,$A303,L$2)))),L$2)</f>
        <v>info</v>
      </c>
      <c r="M303" s="217" t="str">
        <f t="shared" si="66"/>
        <v>x</v>
      </c>
      <c r="N303" s="217" t="str">
        <f t="shared" si="66"/>
        <v/>
      </c>
      <c r="O303" s="217" t="str">
        <f t="shared" si="66"/>
        <v>model</v>
      </c>
      <c r="P303" s="218" t="str">
        <f t="shared" si="66"/>
        <v>Length</v>
      </c>
      <c r="Q303" s="218" t="str">
        <f t="shared" si="66"/>
        <v>x</v>
      </c>
      <c r="R303" s="218" t="str">
        <f t="shared" si="66"/>
        <v>BS</v>
      </c>
      <c r="S303" s="218" t="str">
        <f t="shared" si="66"/>
        <v>all</v>
      </c>
      <c r="T303" s="217" t="str">
        <f t="shared" si="66"/>
        <v/>
      </c>
      <c r="U303" s="217" t="str">
        <f t="shared" si="66"/>
        <v>Tiefe Laibung Innen</v>
      </c>
      <c r="V303" s="217" t="str">
        <f t="shared" si="66"/>
        <v>x</v>
      </c>
      <c r="W303" s="217" t="str">
        <f t="shared" si="66"/>
        <v/>
      </c>
      <c r="X303" s="217" t="str">
        <f t="shared" si="66"/>
        <v/>
      </c>
      <c r="Y303" s="217" t="str">
        <f t="shared" si="66"/>
        <v>gs_reveal_splayed_innerBottom</v>
      </c>
    </row>
    <row r="304" spans="1:25" x14ac:dyDescent="0.3">
      <c r="A304" s="216">
        <f t="shared" si="56"/>
        <v>302</v>
      </c>
      <c r="B304" s="217" t="str">
        <f t="shared" si="65"/>
        <v>x</v>
      </c>
      <c r="C304" s="217" t="str">
        <f t="shared" si="65"/>
        <v/>
      </c>
      <c r="D304" s="217" t="str">
        <f t="shared" si="65"/>
        <v/>
      </c>
      <c r="E304" s="217" t="str">
        <f t="shared" si="65"/>
        <v/>
      </c>
      <c r="F304" s="217" t="str">
        <f t="shared" si="65"/>
        <v/>
      </c>
      <c r="G304" s="217" t="str">
        <f t="shared" si="65"/>
        <v/>
      </c>
      <c r="H304" s="217" t="str">
        <f t="shared" si="65"/>
        <v/>
      </c>
      <c r="I304" s="217" t="str">
        <f t="shared" si="65"/>
        <v/>
      </c>
      <c r="J304" s="217" t="str">
        <f t="shared" si="65"/>
        <v/>
      </c>
      <c r="K304" s="217" t="str">
        <f t="shared" si="65"/>
        <v/>
      </c>
      <c r="L304" s="217" t="str">
        <f t="shared" si="66"/>
        <v>info</v>
      </c>
      <c r="M304" s="217" t="str">
        <f t="shared" si="66"/>
        <v>x</v>
      </c>
      <c r="N304" s="217" t="str">
        <f t="shared" si="66"/>
        <v/>
      </c>
      <c r="O304" s="217" t="str">
        <f t="shared" si="66"/>
        <v>model</v>
      </c>
      <c r="P304" s="218" t="str">
        <f t="shared" si="66"/>
        <v>Length</v>
      </c>
      <c r="Q304" s="218" t="str">
        <f t="shared" si="66"/>
        <v>x</v>
      </c>
      <c r="R304" s="218" t="str">
        <f t="shared" si="66"/>
        <v>BS</v>
      </c>
      <c r="S304" s="218" t="str">
        <f t="shared" si="66"/>
        <v>all</v>
      </c>
      <c r="T304" s="217">
        <f t="shared" si="66"/>
        <v>0.06</v>
      </c>
      <c r="U304" s="217" t="str">
        <f t="shared" si="66"/>
        <v>Tiefe Sturz Innen</v>
      </c>
      <c r="V304" s="217" t="str">
        <f t="shared" si="66"/>
        <v>x</v>
      </c>
      <c r="W304" s="217" t="str">
        <f t="shared" si="66"/>
        <v/>
      </c>
      <c r="X304" s="217" t="str">
        <f t="shared" si="66"/>
        <v/>
      </c>
      <c r="Y304" s="217" t="str">
        <f t="shared" si="66"/>
        <v>gs_reveal_double_innerTop</v>
      </c>
    </row>
    <row r="305" spans="1:25" x14ac:dyDescent="0.3">
      <c r="A305" s="216">
        <f t="shared" si="56"/>
        <v>303</v>
      </c>
      <c r="B305" s="217" t="str">
        <f t="shared" si="65"/>
        <v>x</v>
      </c>
      <c r="C305" s="217" t="str">
        <f t="shared" si="65"/>
        <v/>
      </c>
      <c r="D305" s="217" t="str">
        <f t="shared" si="65"/>
        <v/>
      </c>
      <c r="E305" s="217" t="str">
        <f t="shared" si="65"/>
        <v/>
      </c>
      <c r="F305" s="217" t="str">
        <f t="shared" si="65"/>
        <v/>
      </c>
      <c r="G305" s="217" t="str">
        <f t="shared" si="65"/>
        <v/>
      </c>
      <c r="H305" s="217" t="str">
        <f t="shared" si="65"/>
        <v/>
      </c>
      <c r="I305" s="217" t="str">
        <f t="shared" si="65"/>
        <v/>
      </c>
      <c r="J305" s="217" t="str">
        <f t="shared" si="65"/>
        <v/>
      </c>
      <c r="K305" s="217" t="str">
        <f t="shared" si="65"/>
        <v/>
      </c>
      <c r="L305" s="217" t="str">
        <f t="shared" si="66"/>
        <v>info</v>
      </c>
      <c r="M305" s="217" t="str">
        <f t="shared" si="66"/>
        <v>x</v>
      </c>
      <c r="N305" s="217" t="str">
        <f t="shared" si="66"/>
        <v/>
      </c>
      <c r="O305" s="217" t="str">
        <f t="shared" si="66"/>
        <v>model</v>
      </c>
      <c r="P305" s="218" t="str">
        <f t="shared" si="66"/>
        <v>Length</v>
      </c>
      <c r="Q305" s="218" t="str">
        <f t="shared" si="66"/>
        <v>x</v>
      </c>
      <c r="R305" s="218" t="str">
        <f t="shared" si="66"/>
        <v>BS</v>
      </c>
      <c r="S305" s="218" t="str">
        <f t="shared" si="66"/>
        <v>all</v>
      </c>
      <c r="T305" s="217" t="str">
        <f t="shared" si="66"/>
        <v/>
      </c>
      <c r="U305" s="217" t="str">
        <f t="shared" si="66"/>
        <v>Tiefe Laibung Innen</v>
      </c>
      <c r="V305" s="217" t="str">
        <f t="shared" si="66"/>
        <v>x</v>
      </c>
      <c r="W305" s="217" t="str">
        <f t="shared" si="66"/>
        <v/>
      </c>
      <c r="X305" s="217" t="str">
        <f t="shared" si="66"/>
        <v/>
      </c>
      <c r="Y305" s="217" t="str">
        <f t="shared" si="66"/>
        <v>gs_reveal_double_innerBottom</v>
      </c>
    </row>
    <row r="306" spans="1:25" x14ac:dyDescent="0.3">
      <c r="A306" s="216">
        <f t="shared" si="56"/>
        <v>304</v>
      </c>
      <c r="B306" s="217" t="str">
        <f t="shared" si="65"/>
        <v>x</v>
      </c>
      <c r="C306" s="217" t="str">
        <f t="shared" si="65"/>
        <v/>
      </c>
      <c r="D306" s="217" t="str">
        <f t="shared" si="65"/>
        <v/>
      </c>
      <c r="E306" s="217" t="str">
        <f t="shared" si="65"/>
        <v/>
      </c>
      <c r="F306" s="217" t="str">
        <f t="shared" si="65"/>
        <v/>
      </c>
      <c r="G306" s="217" t="str">
        <f t="shared" si="65"/>
        <v/>
      </c>
      <c r="H306" s="217" t="str">
        <f t="shared" si="65"/>
        <v/>
      </c>
      <c r="I306" s="217" t="str">
        <f t="shared" si="65"/>
        <v/>
      </c>
      <c r="J306" s="217" t="str">
        <f t="shared" si="65"/>
        <v/>
      </c>
      <c r="K306" s="217" t="str">
        <f t="shared" si="65"/>
        <v/>
      </c>
      <c r="L306" s="217" t="str">
        <f t="shared" si="66"/>
        <v>info</v>
      </c>
      <c r="M306" s="217" t="str">
        <f t="shared" si="66"/>
        <v>x</v>
      </c>
      <c r="N306" s="217" t="str">
        <f t="shared" si="66"/>
        <v/>
      </c>
      <c r="O306" s="217" t="str">
        <f t="shared" si="66"/>
        <v>model</v>
      </c>
      <c r="P306" s="218" t="str">
        <f t="shared" si="66"/>
        <v>Length</v>
      </c>
      <c r="Q306" s="218" t="str">
        <f t="shared" si="66"/>
        <v>x</v>
      </c>
      <c r="R306" s="218" t="str">
        <f t="shared" si="66"/>
        <v>BS</v>
      </c>
      <c r="S306" s="218" t="str">
        <f t="shared" si="66"/>
        <v>all</v>
      </c>
      <c r="T306" s="217">
        <f t="shared" si="66"/>
        <v>0.05</v>
      </c>
      <c r="U306" s="217" t="str">
        <f t="shared" si="66"/>
        <v>Tiefe äußerer Anschlag</v>
      </c>
      <c r="V306" s="217" t="str">
        <f t="shared" si="66"/>
        <v>x</v>
      </c>
      <c r="W306" s="217" t="str">
        <f t="shared" si="66"/>
        <v/>
      </c>
      <c r="X306" s="217" t="str">
        <f t="shared" si="66"/>
        <v/>
      </c>
      <c r="Y306" s="217" t="str">
        <f t="shared" si="66"/>
        <v>gs_reveal_outer_jamb_depth</v>
      </c>
    </row>
    <row r="307" spans="1:25" x14ac:dyDescent="0.3">
      <c r="A307" s="216">
        <f t="shared" si="56"/>
        <v>305</v>
      </c>
      <c r="B307" s="217" t="str">
        <f t="shared" si="65"/>
        <v>x</v>
      </c>
      <c r="C307" s="217" t="str">
        <f t="shared" si="65"/>
        <v/>
      </c>
      <c r="D307" s="217" t="str">
        <f t="shared" si="65"/>
        <v/>
      </c>
      <c r="E307" s="217" t="str">
        <f t="shared" si="65"/>
        <v/>
      </c>
      <c r="F307" s="217" t="str">
        <f t="shared" si="65"/>
        <v/>
      </c>
      <c r="G307" s="217" t="str">
        <f t="shared" si="65"/>
        <v/>
      </c>
      <c r="H307" s="217" t="str">
        <f t="shared" si="65"/>
        <v/>
      </c>
      <c r="I307" s="217" t="str">
        <f t="shared" si="65"/>
        <v/>
      </c>
      <c r="J307" s="217" t="str">
        <f t="shared" si="65"/>
        <v/>
      </c>
      <c r="K307" s="217" t="str">
        <f t="shared" si="65"/>
        <v/>
      </c>
      <c r="L307" s="217" t="str">
        <f t="shared" si="66"/>
        <v>info</v>
      </c>
      <c r="M307" s="217" t="str">
        <f t="shared" si="66"/>
        <v>x</v>
      </c>
      <c r="N307" s="217" t="str">
        <f t="shared" si="66"/>
        <v/>
      </c>
      <c r="O307" s="217" t="str">
        <f t="shared" si="66"/>
        <v>model</v>
      </c>
      <c r="P307" s="218" t="str">
        <f t="shared" si="66"/>
        <v>String</v>
      </c>
      <c r="Q307" s="218" t="str">
        <f t="shared" si="66"/>
        <v>x</v>
      </c>
      <c r="R307" s="218" t="str">
        <f t="shared" si="66"/>
        <v>BS</v>
      </c>
      <c r="S307" s="218" t="str">
        <f t="shared" si="66"/>
        <v>all</v>
      </c>
      <c r="T307" s="217" t="str">
        <f t="shared" si="66"/>
        <v>Winkel und Tiefe</v>
      </c>
      <c r="U307" s="217" t="str">
        <f t="shared" si="66"/>
        <v>Laibung bearbeiten von</v>
      </c>
      <c r="V307" s="217" t="str">
        <f t="shared" si="66"/>
        <v>x</v>
      </c>
      <c r="W307" s="217" t="str">
        <f t="shared" si="66"/>
        <v/>
      </c>
      <c r="X307" s="217" t="str">
        <f t="shared" si="66"/>
        <v/>
      </c>
      <c r="Y307" s="217" t="str">
        <f t="shared" si="66"/>
        <v>gs_reveal_angle_edit_by</v>
      </c>
    </row>
    <row r="308" spans="1:25" x14ac:dyDescent="0.3">
      <c r="A308" s="216">
        <f t="shared" si="56"/>
        <v>306</v>
      </c>
      <c r="B308" s="217" t="str">
        <f t="shared" si="65"/>
        <v>x</v>
      </c>
      <c r="C308" s="217" t="str">
        <f t="shared" si="65"/>
        <v>x</v>
      </c>
      <c r="D308" s="217" t="str">
        <f t="shared" si="65"/>
        <v/>
      </c>
      <c r="E308" s="217" t="str">
        <f t="shared" si="65"/>
        <v/>
      </c>
      <c r="F308" s="217" t="str">
        <f t="shared" si="65"/>
        <v/>
      </c>
      <c r="G308" s="217" t="str">
        <f t="shared" si="65"/>
        <v/>
      </c>
      <c r="H308" s="217" t="str">
        <f t="shared" si="65"/>
        <v/>
      </c>
      <c r="I308" s="217" t="str">
        <f t="shared" si="65"/>
        <v/>
      </c>
      <c r="J308" s="217" t="str">
        <f t="shared" si="65"/>
        <v/>
      </c>
      <c r="K308" s="217" t="str">
        <f t="shared" si="65"/>
        <v/>
      </c>
      <c r="L308" s="217" t="str">
        <f t="shared" si="66"/>
        <v>info</v>
      </c>
      <c r="M308" s="217" t="str">
        <f t="shared" si="66"/>
        <v>x</v>
      </c>
      <c r="N308" s="217" t="str">
        <f t="shared" si="66"/>
        <v/>
      </c>
      <c r="O308" s="217" t="str">
        <f t="shared" si="66"/>
        <v>model</v>
      </c>
      <c r="P308" s="218" t="str">
        <f t="shared" si="66"/>
        <v>Integer</v>
      </c>
      <c r="Q308" s="218" t="str">
        <f t="shared" si="66"/>
        <v>x</v>
      </c>
      <c r="R308" s="218" t="str">
        <f t="shared" si="66"/>
        <v>BS</v>
      </c>
      <c r="S308" s="218" t="str">
        <f t="shared" si="66"/>
        <v>all</v>
      </c>
      <c r="T308" s="217">
        <f t="shared" si="66"/>
        <v>1</v>
      </c>
      <c r="U308" s="217" t="str">
        <f t="shared" si="66"/>
        <v>Laibung bearbeiten von</v>
      </c>
      <c r="V308" s="217" t="str">
        <f t="shared" si="66"/>
        <v>x</v>
      </c>
      <c r="W308" s="217" t="str">
        <f t="shared" si="66"/>
        <v/>
      </c>
      <c r="X308" s="217" t="str">
        <f t="shared" si="66"/>
        <v/>
      </c>
      <c r="Y308" s="217" t="str">
        <f t="shared" si="66"/>
        <v>gs_reveal_angle_edit_by_int</v>
      </c>
    </row>
    <row r="309" spans="1:25" x14ac:dyDescent="0.3">
      <c r="A309" s="216">
        <f t="shared" si="56"/>
        <v>307</v>
      </c>
      <c r="B309" s="217" t="str">
        <f t="shared" si="65"/>
        <v>x</v>
      </c>
      <c r="C309" s="217" t="str">
        <f t="shared" si="65"/>
        <v/>
      </c>
      <c r="D309" s="217" t="str">
        <f t="shared" si="65"/>
        <v/>
      </c>
      <c r="E309" s="217" t="str">
        <f t="shared" si="65"/>
        <v/>
      </c>
      <c r="F309" s="217" t="str">
        <f t="shared" si="65"/>
        <v/>
      </c>
      <c r="G309" s="217" t="str">
        <f t="shared" si="65"/>
        <v/>
      </c>
      <c r="H309" s="217" t="str">
        <f t="shared" si="65"/>
        <v/>
      </c>
      <c r="I309" s="217" t="str">
        <f t="shared" si="65"/>
        <v/>
      </c>
      <c r="J309" s="217" t="str">
        <f t="shared" si="65"/>
        <v/>
      </c>
      <c r="K309" s="217" t="str">
        <f t="shared" si="65"/>
        <v/>
      </c>
      <c r="L309" s="217" t="str">
        <f t="shared" si="66"/>
        <v>info</v>
      </c>
      <c r="M309" s="217" t="str">
        <f t="shared" si="66"/>
        <v>x</v>
      </c>
      <c r="N309" s="217" t="str">
        <f t="shared" si="66"/>
        <v/>
      </c>
      <c r="O309" s="217" t="str">
        <f t="shared" si="66"/>
        <v>model</v>
      </c>
      <c r="P309" s="218" t="str">
        <f t="shared" si="66"/>
        <v>Angle</v>
      </c>
      <c r="Q309" s="218" t="str">
        <f t="shared" si="66"/>
        <v>x</v>
      </c>
      <c r="R309" s="218" t="str">
        <f t="shared" si="66"/>
        <v>BS</v>
      </c>
      <c r="S309" s="218" t="str">
        <f t="shared" si="66"/>
        <v>all</v>
      </c>
      <c r="T309" s="217">
        <f t="shared" si="66"/>
        <v>20</v>
      </c>
      <c r="U309" s="217" t="str">
        <f t="shared" si="66"/>
        <v>Winkel Seite 2</v>
      </c>
      <c r="V309" s="217" t="str">
        <f t="shared" si="66"/>
        <v>x</v>
      </c>
      <c r="W309" s="217" t="str">
        <f t="shared" si="66"/>
        <v/>
      </c>
      <c r="X309" s="217" t="str">
        <f t="shared" si="66"/>
        <v/>
      </c>
      <c r="Y309" s="217" t="str">
        <f t="shared" si="66"/>
        <v>gs_reveal_left_angle</v>
      </c>
    </row>
    <row r="310" spans="1:25" x14ac:dyDescent="0.3">
      <c r="A310" s="216">
        <f t="shared" si="56"/>
        <v>308</v>
      </c>
      <c r="B310" s="217" t="str">
        <f t="shared" si="65"/>
        <v>x</v>
      </c>
      <c r="C310" s="217" t="str">
        <f t="shared" si="65"/>
        <v/>
      </c>
      <c r="D310" s="217" t="str">
        <f t="shared" si="65"/>
        <v/>
      </c>
      <c r="E310" s="217" t="str">
        <f t="shared" si="65"/>
        <v/>
      </c>
      <c r="F310" s="217" t="str">
        <f t="shared" si="65"/>
        <v/>
      </c>
      <c r="G310" s="217" t="str">
        <f t="shared" si="65"/>
        <v/>
      </c>
      <c r="H310" s="217" t="str">
        <f t="shared" si="65"/>
        <v/>
      </c>
      <c r="I310" s="217" t="str">
        <f t="shared" si="65"/>
        <v/>
      </c>
      <c r="J310" s="217" t="str">
        <f t="shared" si="65"/>
        <v/>
      </c>
      <c r="K310" s="217" t="str">
        <f t="shared" si="65"/>
        <v/>
      </c>
      <c r="L310" s="217" t="str">
        <f t="shared" si="66"/>
        <v>info</v>
      </c>
      <c r="M310" s="217" t="str">
        <f t="shared" si="66"/>
        <v>x</v>
      </c>
      <c r="N310" s="217" t="str">
        <f t="shared" si="66"/>
        <v/>
      </c>
      <c r="O310" s="217" t="str">
        <f t="shared" si="66"/>
        <v>model</v>
      </c>
      <c r="P310" s="218" t="str">
        <f t="shared" si="66"/>
        <v>Angle</v>
      </c>
      <c r="Q310" s="218" t="str">
        <f t="shared" si="66"/>
        <v>x</v>
      </c>
      <c r="R310" s="218" t="str">
        <f t="shared" si="66"/>
        <v>BS</v>
      </c>
      <c r="S310" s="218" t="str">
        <f t="shared" si="66"/>
        <v>all</v>
      </c>
      <c r="T310" s="217">
        <f t="shared" si="66"/>
        <v>20</v>
      </c>
      <c r="U310" s="217" t="str">
        <f t="shared" si="66"/>
        <v>Winkel Seite</v>
      </c>
      <c r="V310" s="217" t="str">
        <f t="shared" si="66"/>
        <v>x</v>
      </c>
      <c r="W310" s="217" t="str">
        <f t="shared" si="66"/>
        <v/>
      </c>
      <c r="X310" s="217" t="str">
        <f t="shared" si="66"/>
        <v/>
      </c>
      <c r="Y310" s="217" t="str">
        <f t="shared" si="66"/>
        <v>gs_reveal_right_angle</v>
      </c>
    </row>
    <row r="311" spans="1:25" x14ac:dyDescent="0.3">
      <c r="A311" s="216">
        <f t="shared" si="56"/>
        <v>309</v>
      </c>
      <c r="B311" s="217" t="str">
        <f t="shared" si="65"/>
        <v>x</v>
      </c>
      <c r="C311" s="217" t="str">
        <f t="shared" si="65"/>
        <v/>
      </c>
      <c r="D311" s="217" t="str">
        <f t="shared" si="65"/>
        <v/>
      </c>
      <c r="E311" s="217" t="str">
        <f t="shared" si="65"/>
        <v/>
      </c>
      <c r="F311" s="217" t="str">
        <f t="shared" si="65"/>
        <v/>
      </c>
      <c r="G311" s="217" t="str">
        <f t="shared" si="65"/>
        <v/>
      </c>
      <c r="H311" s="217" t="str">
        <f t="shared" si="65"/>
        <v/>
      </c>
      <c r="I311" s="217" t="str">
        <f t="shared" si="65"/>
        <v/>
      </c>
      <c r="J311" s="217" t="str">
        <f t="shared" si="65"/>
        <v/>
      </c>
      <c r="K311" s="217" t="str">
        <f t="shared" si="65"/>
        <v/>
      </c>
      <c r="L311" s="217" t="str">
        <f t="shared" si="66"/>
        <v>info</v>
      </c>
      <c r="M311" s="217" t="str">
        <f t="shared" si="66"/>
        <v>x</v>
      </c>
      <c r="N311" s="217" t="str">
        <f t="shared" si="66"/>
        <v/>
      </c>
      <c r="O311" s="217" t="str">
        <f t="shared" si="66"/>
        <v>model</v>
      </c>
      <c r="P311" s="218" t="str">
        <f t="shared" si="66"/>
        <v>Angle</v>
      </c>
      <c r="Q311" s="218" t="str">
        <f t="shared" si="66"/>
        <v>x</v>
      </c>
      <c r="R311" s="218" t="str">
        <f t="shared" si="66"/>
        <v>BS</v>
      </c>
      <c r="S311" s="218" t="str">
        <f t="shared" si="66"/>
        <v>all</v>
      </c>
      <c r="T311" s="217">
        <f t="shared" si="66"/>
        <v>20</v>
      </c>
      <c r="U311" s="217" t="str">
        <f t="shared" si="66"/>
        <v>Winkel oben</v>
      </c>
      <c r="V311" s="217" t="str">
        <f t="shared" si="66"/>
        <v>x</v>
      </c>
      <c r="W311" s="217" t="str">
        <f t="shared" si="66"/>
        <v/>
      </c>
      <c r="X311" s="217" t="str">
        <f t="shared" si="66"/>
        <v/>
      </c>
      <c r="Y311" s="217" t="str">
        <f t="shared" si="66"/>
        <v>gs_reveal_top_angle</v>
      </c>
    </row>
    <row r="312" spans="1:25" x14ac:dyDescent="0.3">
      <c r="A312" s="216">
        <f t="shared" si="56"/>
        <v>310</v>
      </c>
      <c r="B312" s="217" t="str">
        <f t="shared" si="65"/>
        <v>x</v>
      </c>
      <c r="C312" s="217" t="str">
        <f t="shared" si="65"/>
        <v/>
      </c>
      <c r="D312" s="217" t="str">
        <f t="shared" si="65"/>
        <v/>
      </c>
      <c r="E312" s="217" t="str">
        <f t="shared" si="65"/>
        <v/>
      </c>
      <c r="F312" s="217" t="str">
        <f t="shared" si="65"/>
        <v/>
      </c>
      <c r="G312" s="217" t="str">
        <f t="shared" si="65"/>
        <v/>
      </c>
      <c r="H312" s="217" t="str">
        <f t="shared" si="65"/>
        <v/>
      </c>
      <c r="I312" s="217" t="str">
        <f t="shared" si="65"/>
        <v/>
      </c>
      <c r="J312" s="217" t="str">
        <f t="shared" si="65"/>
        <v/>
      </c>
      <c r="K312" s="217" t="str">
        <f t="shared" si="65"/>
        <v/>
      </c>
      <c r="L312" s="217" t="str">
        <f t="shared" si="66"/>
        <v>info</v>
      </c>
      <c r="M312" s="217" t="str">
        <f t="shared" si="66"/>
        <v>x</v>
      </c>
      <c r="N312" s="217" t="str">
        <f t="shared" si="66"/>
        <v/>
      </c>
      <c r="O312" s="217" t="str">
        <f t="shared" si="66"/>
        <v>model</v>
      </c>
      <c r="P312" s="218" t="str">
        <f t="shared" si="66"/>
        <v>Angle</v>
      </c>
      <c r="Q312" s="218" t="str">
        <f t="shared" si="66"/>
        <v>x</v>
      </c>
      <c r="R312" s="218" t="str">
        <f t="shared" si="66"/>
        <v>BS</v>
      </c>
      <c r="S312" s="218" t="str">
        <f t="shared" si="66"/>
        <v>all</v>
      </c>
      <c r="T312" s="217" t="str">
        <f t="shared" si="66"/>
        <v/>
      </c>
      <c r="U312" s="217" t="str">
        <f t="shared" si="66"/>
        <v>Winkel unten</v>
      </c>
      <c r="V312" s="217" t="str">
        <f t="shared" si="66"/>
        <v>x</v>
      </c>
      <c r="W312" s="217" t="str">
        <f t="shared" si="66"/>
        <v/>
      </c>
      <c r="X312" s="217" t="str">
        <f t="shared" si="66"/>
        <v/>
      </c>
      <c r="Y312" s="217" t="str">
        <f t="shared" si="66"/>
        <v>gs_reveal_bottom_angle</v>
      </c>
    </row>
    <row r="313" spans="1:25" x14ac:dyDescent="0.3">
      <c r="A313" s="216">
        <f t="shared" si="56"/>
        <v>311</v>
      </c>
      <c r="B313" s="217" t="str">
        <f t="shared" ref="B313:K322" si="67">IF(ISNONTEXT(B$2),IF(B$2="","",IF(INDEX(IMPORT,$A313,B$2)=0,"",IFERROR(VLOOKUP(INDEX(IMPORT,$A313,B$2),ImportTranslation,2,0),INDEX(IMPORT,$A313,B$2)))),B$2)</f>
        <v>x</v>
      </c>
      <c r="C313" s="217" t="str">
        <f t="shared" si="67"/>
        <v/>
      </c>
      <c r="D313" s="217" t="str">
        <f t="shared" si="67"/>
        <v/>
      </c>
      <c r="E313" s="217" t="str">
        <f t="shared" si="67"/>
        <v/>
      </c>
      <c r="F313" s="217" t="str">
        <f t="shared" si="67"/>
        <v/>
      </c>
      <c r="G313" s="217" t="str">
        <f t="shared" si="67"/>
        <v/>
      </c>
      <c r="H313" s="217" t="str">
        <f t="shared" si="67"/>
        <v/>
      </c>
      <c r="I313" s="217" t="str">
        <f t="shared" si="67"/>
        <v/>
      </c>
      <c r="J313" s="217" t="str">
        <f t="shared" si="67"/>
        <v/>
      </c>
      <c r="K313" s="217" t="str">
        <f t="shared" si="67"/>
        <v/>
      </c>
      <c r="L313" s="217" t="str">
        <f t="shared" ref="L313:Y322" si="68">IF(ISNONTEXT(L$2),IF(L$2="","",IF(INDEX(IMPORT,$A313,L$2)=0,"",IFERROR(VLOOKUP(INDEX(IMPORT,$A313,L$2),ImportTranslation,2,0),INDEX(IMPORT,$A313,L$2)))),L$2)</f>
        <v>info</v>
      </c>
      <c r="M313" s="217" t="str">
        <f t="shared" si="68"/>
        <v>x</v>
      </c>
      <c r="N313" s="217" t="str">
        <f t="shared" si="68"/>
        <v/>
      </c>
      <c r="O313" s="217" t="str">
        <f t="shared" si="68"/>
        <v>model</v>
      </c>
      <c r="P313" s="218" t="str">
        <f t="shared" si="68"/>
        <v>Length</v>
      </c>
      <c r="Q313" s="218" t="str">
        <f t="shared" si="68"/>
        <v>x</v>
      </c>
      <c r="R313" s="218" t="str">
        <f t="shared" si="68"/>
        <v>BS</v>
      </c>
      <c r="S313" s="218" t="str">
        <f t="shared" si="68"/>
        <v>all</v>
      </c>
      <c r="T313" s="217">
        <f t="shared" si="68"/>
        <v>-1</v>
      </c>
      <c r="U313" s="217" t="str">
        <f t="shared" si="68"/>
        <v>Seitenabschrägung Breite Seite 2</v>
      </c>
      <c r="V313" s="217" t="str">
        <f t="shared" si="68"/>
        <v>x</v>
      </c>
      <c r="W313" s="217" t="str">
        <f t="shared" si="68"/>
        <v/>
      </c>
      <c r="X313" s="217" t="str">
        <f t="shared" si="68"/>
        <v/>
      </c>
      <c r="Y313" s="217" t="str">
        <f t="shared" si="68"/>
        <v>gs_reveal_innerLeft_width</v>
      </c>
    </row>
    <row r="314" spans="1:25" x14ac:dyDescent="0.3">
      <c r="A314" s="216">
        <f t="shared" si="56"/>
        <v>312</v>
      </c>
      <c r="B314" s="217" t="str">
        <f t="shared" si="67"/>
        <v>x</v>
      </c>
      <c r="C314" s="217" t="str">
        <f t="shared" si="67"/>
        <v/>
      </c>
      <c r="D314" s="217" t="str">
        <f t="shared" si="67"/>
        <v/>
      </c>
      <c r="E314" s="217" t="str">
        <f t="shared" si="67"/>
        <v/>
      </c>
      <c r="F314" s="217" t="str">
        <f t="shared" si="67"/>
        <v/>
      </c>
      <c r="G314" s="217" t="str">
        <f t="shared" si="67"/>
        <v/>
      </c>
      <c r="H314" s="217" t="str">
        <f t="shared" si="67"/>
        <v/>
      </c>
      <c r="I314" s="217" t="str">
        <f t="shared" si="67"/>
        <v/>
      </c>
      <c r="J314" s="217" t="str">
        <f t="shared" si="67"/>
        <v/>
      </c>
      <c r="K314" s="217" t="str">
        <f t="shared" si="67"/>
        <v/>
      </c>
      <c r="L314" s="217" t="str">
        <f t="shared" si="68"/>
        <v>info</v>
      </c>
      <c r="M314" s="217" t="str">
        <f t="shared" si="68"/>
        <v>x</v>
      </c>
      <c r="N314" s="217" t="str">
        <f t="shared" si="68"/>
        <v/>
      </c>
      <c r="O314" s="217" t="str">
        <f t="shared" si="68"/>
        <v>model</v>
      </c>
      <c r="P314" s="218" t="str">
        <f t="shared" si="68"/>
        <v>Length</v>
      </c>
      <c r="Q314" s="218" t="str">
        <f t="shared" si="68"/>
        <v>x</v>
      </c>
      <c r="R314" s="218" t="str">
        <f t="shared" si="68"/>
        <v>BS</v>
      </c>
      <c r="S314" s="218" t="str">
        <f t="shared" si="68"/>
        <v>all</v>
      </c>
      <c r="T314" s="217">
        <f t="shared" si="68"/>
        <v>-1</v>
      </c>
      <c r="U314" s="217" t="str">
        <f t="shared" si="68"/>
        <v>Seitenabschrägung Breite Seite</v>
      </c>
      <c r="V314" s="217" t="str">
        <f t="shared" si="68"/>
        <v>x</v>
      </c>
      <c r="W314" s="217" t="str">
        <f t="shared" si="68"/>
        <v/>
      </c>
      <c r="X314" s="217" t="str">
        <f t="shared" si="68"/>
        <v/>
      </c>
      <c r="Y314" s="217" t="str">
        <f t="shared" si="68"/>
        <v>gs_reveal_innerRight_width</v>
      </c>
    </row>
    <row r="315" spans="1:25" x14ac:dyDescent="0.3">
      <c r="A315" s="216">
        <f t="shared" si="56"/>
        <v>313</v>
      </c>
      <c r="B315" s="217" t="str">
        <f t="shared" si="67"/>
        <v>x</v>
      </c>
      <c r="C315" s="217" t="str">
        <f t="shared" si="67"/>
        <v/>
      </c>
      <c r="D315" s="217" t="str">
        <f t="shared" si="67"/>
        <v/>
      </c>
      <c r="E315" s="217" t="str">
        <f t="shared" si="67"/>
        <v/>
      </c>
      <c r="F315" s="217" t="str">
        <f t="shared" si="67"/>
        <v/>
      </c>
      <c r="G315" s="217" t="str">
        <f t="shared" si="67"/>
        <v/>
      </c>
      <c r="H315" s="217" t="str">
        <f t="shared" si="67"/>
        <v/>
      </c>
      <c r="I315" s="217" t="str">
        <f t="shared" si="67"/>
        <v/>
      </c>
      <c r="J315" s="217" t="str">
        <f t="shared" si="67"/>
        <v/>
      </c>
      <c r="K315" s="217" t="str">
        <f t="shared" si="67"/>
        <v/>
      </c>
      <c r="L315" s="217" t="str">
        <f t="shared" si="68"/>
        <v>info</v>
      </c>
      <c r="M315" s="217" t="str">
        <f t="shared" si="68"/>
        <v>x</v>
      </c>
      <c r="N315" s="217" t="str">
        <f t="shared" si="68"/>
        <v/>
      </c>
      <c r="O315" s="217" t="str">
        <f t="shared" si="68"/>
        <v>model</v>
      </c>
      <c r="P315" s="218" t="str">
        <f t="shared" si="68"/>
        <v>Length</v>
      </c>
      <c r="Q315" s="218" t="str">
        <f t="shared" si="68"/>
        <v>x</v>
      </c>
      <c r="R315" s="218" t="str">
        <f t="shared" si="68"/>
        <v>BS</v>
      </c>
      <c r="S315" s="218" t="str">
        <f t="shared" si="68"/>
        <v>all</v>
      </c>
      <c r="T315" s="217">
        <f t="shared" si="68"/>
        <v>-1</v>
      </c>
      <c r="U315" s="217" t="str">
        <f t="shared" si="68"/>
        <v>Obere Seitenabschrägung Breite</v>
      </c>
      <c r="V315" s="217" t="str">
        <f t="shared" si="68"/>
        <v>x</v>
      </c>
      <c r="W315" s="217" t="str">
        <f t="shared" si="68"/>
        <v/>
      </c>
      <c r="X315" s="217" t="str">
        <f t="shared" si="68"/>
        <v/>
      </c>
      <c r="Y315" s="217" t="str">
        <f t="shared" si="68"/>
        <v>gs_reveal_innerTop_width</v>
      </c>
    </row>
    <row r="316" spans="1:25" x14ac:dyDescent="0.3">
      <c r="A316" s="216">
        <f t="shared" si="56"/>
        <v>314</v>
      </c>
      <c r="B316" s="217" t="str">
        <f t="shared" si="67"/>
        <v>x</v>
      </c>
      <c r="C316" s="217" t="str">
        <f t="shared" si="67"/>
        <v/>
      </c>
      <c r="D316" s="217" t="str">
        <f t="shared" si="67"/>
        <v/>
      </c>
      <c r="E316" s="217" t="str">
        <f t="shared" si="67"/>
        <v/>
      </c>
      <c r="F316" s="217" t="str">
        <f t="shared" si="67"/>
        <v/>
      </c>
      <c r="G316" s="217" t="str">
        <f t="shared" si="67"/>
        <v/>
      </c>
      <c r="H316" s="217" t="str">
        <f t="shared" si="67"/>
        <v/>
      </c>
      <c r="I316" s="217" t="str">
        <f t="shared" si="67"/>
        <v/>
      </c>
      <c r="J316" s="217" t="str">
        <f t="shared" si="67"/>
        <v/>
      </c>
      <c r="K316" s="217" t="str">
        <f t="shared" si="67"/>
        <v/>
      </c>
      <c r="L316" s="217" t="str">
        <f t="shared" si="68"/>
        <v>info</v>
      </c>
      <c r="M316" s="217" t="str">
        <f t="shared" si="68"/>
        <v>x</v>
      </c>
      <c r="N316" s="217" t="str">
        <f t="shared" si="68"/>
        <v/>
      </c>
      <c r="O316" s="217" t="str">
        <f t="shared" si="68"/>
        <v>model</v>
      </c>
      <c r="P316" s="218" t="str">
        <f t="shared" si="68"/>
        <v>Length</v>
      </c>
      <c r="Q316" s="218" t="str">
        <f t="shared" si="68"/>
        <v>x</v>
      </c>
      <c r="R316" s="218" t="str">
        <f t="shared" si="68"/>
        <v>BS</v>
      </c>
      <c r="S316" s="218" t="str">
        <f t="shared" si="68"/>
        <v>all</v>
      </c>
      <c r="T316" s="217">
        <f t="shared" si="68"/>
        <v>-1</v>
      </c>
      <c r="U316" s="217" t="str">
        <f t="shared" si="68"/>
        <v>Untere Seitenabschrägung Breite</v>
      </c>
      <c r="V316" s="217" t="str">
        <f t="shared" si="68"/>
        <v>x</v>
      </c>
      <c r="W316" s="217" t="str">
        <f t="shared" si="68"/>
        <v/>
      </c>
      <c r="X316" s="217" t="str">
        <f t="shared" si="68"/>
        <v/>
      </c>
      <c r="Y316" s="217" t="str">
        <f t="shared" si="68"/>
        <v>gs_reveal_innerBottom_width</v>
      </c>
    </row>
    <row r="317" spans="1:25" x14ac:dyDescent="0.3">
      <c r="A317" s="216">
        <f t="shared" si="56"/>
        <v>315</v>
      </c>
      <c r="B317" s="217" t="str">
        <f t="shared" si="67"/>
        <v>x</v>
      </c>
      <c r="C317" s="217" t="str">
        <f t="shared" si="67"/>
        <v/>
      </c>
      <c r="D317" s="217" t="str">
        <f t="shared" si="67"/>
        <v/>
      </c>
      <c r="E317" s="217" t="str">
        <f t="shared" si="67"/>
        <v/>
      </c>
      <c r="F317" s="217" t="str">
        <f t="shared" si="67"/>
        <v/>
      </c>
      <c r="G317" s="217" t="str">
        <f t="shared" si="67"/>
        <v/>
      </c>
      <c r="H317" s="217" t="str">
        <f t="shared" si="67"/>
        <v/>
      </c>
      <c r="I317" s="217" t="str">
        <f t="shared" si="67"/>
        <v/>
      </c>
      <c r="J317" s="217" t="str">
        <f t="shared" si="67"/>
        <v/>
      </c>
      <c r="K317" s="217" t="str">
        <f t="shared" si="67"/>
        <v/>
      </c>
      <c r="L317" s="217" t="str">
        <f t="shared" si="68"/>
        <v>info</v>
      </c>
      <c r="M317" s="217" t="str">
        <f t="shared" si="68"/>
        <v>x</v>
      </c>
      <c r="N317" s="217" t="str">
        <f t="shared" si="68"/>
        <v/>
      </c>
      <c r="O317" s="217" t="str">
        <f t="shared" si="68"/>
        <v>model</v>
      </c>
      <c r="P317" s="218" t="str">
        <f t="shared" si="68"/>
        <v>Angle</v>
      </c>
      <c r="Q317" s="218" t="str">
        <f t="shared" si="68"/>
        <v>x</v>
      </c>
      <c r="R317" s="218" t="str">
        <f t="shared" si="68"/>
        <v>BS</v>
      </c>
      <c r="S317" s="218" t="str">
        <f t="shared" si="68"/>
        <v>all</v>
      </c>
      <c r="T317" s="217">
        <f t="shared" si="68"/>
        <v>20</v>
      </c>
      <c r="U317" s="217" t="str">
        <f t="shared" si="68"/>
        <v>Außenwinkel Seite 2</v>
      </c>
      <c r="V317" s="217" t="str">
        <f t="shared" si="68"/>
        <v>x</v>
      </c>
      <c r="W317" s="217" t="str">
        <f t="shared" si="68"/>
        <v/>
      </c>
      <c r="X317" s="217" t="str">
        <f t="shared" si="68"/>
        <v/>
      </c>
      <c r="Y317" s="217" t="str">
        <f t="shared" si="68"/>
        <v>gs_reveal_outerLeft_angle</v>
      </c>
    </row>
    <row r="318" spans="1:25" x14ac:dyDescent="0.3">
      <c r="A318" s="216">
        <f t="shared" si="56"/>
        <v>316</v>
      </c>
      <c r="B318" s="217" t="str">
        <f t="shared" si="67"/>
        <v>x</v>
      </c>
      <c r="C318" s="217" t="str">
        <f t="shared" si="67"/>
        <v/>
      </c>
      <c r="D318" s="217" t="str">
        <f t="shared" si="67"/>
        <v/>
      </c>
      <c r="E318" s="217" t="str">
        <f t="shared" si="67"/>
        <v/>
      </c>
      <c r="F318" s="217" t="str">
        <f t="shared" si="67"/>
        <v/>
      </c>
      <c r="G318" s="217" t="str">
        <f t="shared" si="67"/>
        <v/>
      </c>
      <c r="H318" s="217" t="str">
        <f t="shared" si="67"/>
        <v/>
      </c>
      <c r="I318" s="217" t="str">
        <f t="shared" si="67"/>
        <v/>
      </c>
      <c r="J318" s="217" t="str">
        <f t="shared" si="67"/>
        <v/>
      </c>
      <c r="K318" s="217" t="str">
        <f t="shared" si="67"/>
        <v/>
      </c>
      <c r="L318" s="217" t="str">
        <f t="shared" si="68"/>
        <v>info</v>
      </c>
      <c r="M318" s="217" t="str">
        <f t="shared" si="68"/>
        <v>x</v>
      </c>
      <c r="N318" s="217" t="str">
        <f t="shared" si="68"/>
        <v/>
      </c>
      <c r="O318" s="217" t="str">
        <f t="shared" si="68"/>
        <v>model</v>
      </c>
      <c r="P318" s="218" t="str">
        <f t="shared" si="68"/>
        <v>Angle</v>
      </c>
      <c r="Q318" s="218" t="str">
        <f t="shared" si="68"/>
        <v>x</v>
      </c>
      <c r="R318" s="218" t="str">
        <f t="shared" si="68"/>
        <v>BS</v>
      </c>
      <c r="S318" s="218" t="str">
        <f t="shared" si="68"/>
        <v>all</v>
      </c>
      <c r="T318" s="217">
        <f t="shared" si="68"/>
        <v>20</v>
      </c>
      <c r="U318" s="217" t="str">
        <f t="shared" si="68"/>
        <v>Außenwinkel Seite</v>
      </c>
      <c r="V318" s="217" t="str">
        <f t="shared" si="68"/>
        <v>x</v>
      </c>
      <c r="W318" s="217" t="str">
        <f t="shared" si="68"/>
        <v/>
      </c>
      <c r="X318" s="217" t="str">
        <f t="shared" si="68"/>
        <v/>
      </c>
      <c r="Y318" s="217" t="str">
        <f t="shared" si="68"/>
        <v>gs_reveal_outerRight_angle</v>
      </c>
    </row>
    <row r="319" spans="1:25" x14ac:dyDescent="0.3">
      <c r="A319" s="216">
        <f t="shared" si="56"/>
        <v>317</v>
      </c>
      <c r="B319" s="217" t="str">
        <f t="shared" si="67"/>
        <v>x</v>
      </c>
      <c r="C319" s="217" t="str">
        <f t="shared" si="67"/>
        <v/>
      </c>
      <c r="D319" s="217" t="str">
        <f t="shared" si="67"/>
        <v/>
      </c>
      <c r="E319" s="217" t="str">
        <f t="shared" si="67"/>
        <v/>
      </c>
      <c r="F319" s="217" t="str">
        <f t="shared" si="67"/>
        <v/>
      </c>
      <c r="G319" s="217" t="str">
        <f t="shared" si="67"/>
        <v/>
      </c>
      <c r="H319" s="217" t="str">
        <f t="shared" si="67"/>
        <v/>
      </c>
      <c r="I319" s="217" t="str">
        <f t="shared" si="67"/>
        <v/>
      </c>
      <c r="J319" s="217" t="str">
        <f t="shared" si="67"/>
        <v/>
      </c>
      <c r="K319" s="217" t="str">
        <f t="shared" si="67"/>
        <v/>
      </c>
      <c r="L319" s="217" t="str">
        <f t="shared" si="68"/>
        <v>info</v>
      </c>
      <c r="M319" s="217" t="str">
        <f t="shared" si="68"/>
        <v>x</v>
      </c>
      <c r="N319" s="217" t="str">
        <f t="shared" si="68"/>
        <v/>
      </c>
      <c r="O319" s="217" t="str">
        <f t="shared" si="68"/>
        <v>model</v>
      </c>
      <c r="P319" s="218" t="str">
        <f t="shared" si="68"/>
        <v>Angle</v>
      </c>
      <c r="Q319" s="218" t="str">
        <f t="shared" si="68"/>
        <v>x</v>
      </c>
      <c r="R319" s="218" t="str">
        <f t="shared" si="68"/>
        <v>BS</v>
      </c>
      <c r="S319" s="218" t="str">
        <f t="shared" si="68"/>
        <v>all</v>
      </c>
      <c r="T319" s="217">
        <f t="shared" si="68"/>
        <v>20</v>
      </c>
      <c r="U319" s="217" t="str">
        <f t="shared" si="68"/>
        <v>Außenwinkel obere Seite</v>
      </c>
      <c r="V319" s="217" t="str">
        <f t="shared" si="68"/>
        <v>x</v>
      </c>
      <c r="W319" s="217" t="str">
        <f t="shared" si="68"/>
        <v/>
      </c>
      <c r="X319" s="217" t="str">
        <f t="shared" si="68"/>
        <v/>
      </c>
      <c r="Y319" s="217" t="str">
        <f t="shared" si="68"/>
        <v>gs_reveal_outerTop_angle</v>
      </c>
    </row>
    <row r="320" spans="1:25" x14ac:dyDescent="0.3">
      <c r="A320" s="216">
        <f t="shared" si="56"/>
        <v>318</v>
      </c>
      <c r="B320" s="217" t="str">
        <f t="shared" si="67"/>
        <v>x</v>
      </c>
      <c r="C320" s="217" t="str">
        <f t="shared" si="67"/>
        <v/>
      </c>
      <c r="D320" s="217" t="str">
        <f t="shared" si="67"/>
        <v/>
      </c>
      <c r="E320" s="217" t="str">
        <f t="shared" si="67"/>
        <v/>
      </c>
      <c r="F320" s="217" t="str">
        <f t="shared" si="67"/>
        <v/>
      </c>
      <c r="G320" s="217" t="str">
        <f t="shared" si="67"/>
        <v/>
      </c>
      <c r="H320" s="217" t="str">
        <f t="shared" si="67"/>
        <v/>
      </c>
      <c r="I320" s="217" t="str">
        <f t="shared" si="67"/>
        <v/>
      </c>
      <c r="J320" s="217" t="str">
        <f t="shared" si="67"/>
        <v/>
      </c>
      <c r="K320" s="217" t="str">
        <f t="shared" si="67"/>
        <v/>
      </c>
      <c r="L320" s="217" t="str">
        <f t="shared" si="68"/>
        <v>info</v>
      </c>
      <c r="M320" s="217" t="str">
        <f t="shared" si="68"/>
        <v>x</v>
      </c>
      <c r="N320" s="217" t="str">
        <f t="shared" si="68"/>
        <v/>
      </c>
      <c r="O320" s="217" t="str">
        <f t="shared" si="68"/>
        <v>model</v>
      </c>
      <c r="P320" s="218" t="str">
        <f t="shared" si="68"/>
        <v>Angle</v>
      </c>
      <c r="Q320" s="218" t="str">
        <f t="shared" si="68"/>
        <v>x</v>
      </c>
      <c r="R320" s="218" t="str">
        <f t="shared" si="68"/>
        <v>BS</v>
      </c>
      <c r="S320" s="218" t="str">
        <f t="shared" si="68"/>
        <v>all</v>
      </c>
      <c r="T320" s="217" t="str">
        <f t="shared" si="68"/>
        <v/>
      </c>
      <c r="U320" s="217" t="str">
        <f t="shared" si="68"/>
        <v>Außenwinkel untere Seite</v>
      </c>
      <c r="V320" s="217" t="str">
        <f t="shared" si="68"/>
        <v>x</v>
      </c>
      <c r="W320" s="217" t="str">
        <f t="shared" si="68"/>
        <v/>
      </c>
      <c r="X320" s="217" t="str">
        <f t="shared" si="68"/>
        <v/>
      </c>
      <c r="Y320" s="217" t="str">
        <f t="shared" si="68"/>
        <v>gs_reveal_outerBottom_angle</v>
      </c>
    </row>
    <row r="321" spans="1:25" x14ac:dyDescent="0.3">
      <c r="A321" s="216">
        <f t="shared" si="56"/>
        <v>319</v>
      </c>
      <c r="B321" s="217" t="str">
        <f t="shared" si="67"/>
        <v>x</v>
      </c>
      <c r="C321" s="217" t="str">
        <f t="shared" si="67"/>
        <v>x</v>
      </c>
      <c r="D321" s="217" t="str">
        <f t="shared" si="67"/>
        <v/>
      </c>
      <c r="E321" s="217" t="str">
        <f t="shared" si="67"/>
        <v/>
      </c>
      <c r="F321" s="217" t="str">
        <f t="shared" si="67"/>
        <v/>
      </c>
      <c r="G321" s="217" t="str">
        <f t="shared" si="67"/>
        <v/>
      </c>
      <c r="H321" s="217" t="str">
        <f t="shared" si="67"/>
        <v/>
      </c>
      <c r="I321" s="217" t="str">
        <f t="shared" si="67"/>
        <v/>
      </c>
      <c r="J321" s="217" t="str">
        <f t="shared" si="67"/>
        <v/>
      </c>
      <c r="K321" s="217" t="str">
        <f t="shared" si="67"/>
        <v>x</v>
      </c>
      <c r="L321" s="217" t="str">
        <f t="shared" si="68"/>
        <v>info</v>
      </c>
      <c r="M321" s="217" t="str">
        <f t="shared" si="68"/>
        <v>x</v>
      </c>
      <c r="N321" s="217" t="str">
        <f t="shared" si="68"/>
        <v/>
      </c>
      <c r="O321" s="217" t="str">
        <f t="shared" si="68"/>
        <v>model</v>
      </c>
      <c r="P321" s="218" t="str">
        <f t="shared" si="68"/>
        <v>Boolean</v>
      </c>
      <c r="Q321" s="218" t="str">
        <f t="shared" si="68"/>
        <v>x</v>
      </c>
      <c r="R321" s="218" t="str">
        <f t="shared" si="68"/>
        <v>BS</v>
      </c>
      <c r="S321" s="218" t="str">
        <f t="shared" si="68"/>
        <v>all</v>
      </c>
      <c r="T321" s="217" t="str">
        <f t="shared" si="68"/>
        <v/>
      </c>
      <c r="U321" s="217" t="str">
        <f t="shared" si="68"/>
        <v/>
      </c>
      <c r="V321" s="217" t="str">
        <f t="shared" si="68"/>
        <v>x</v>
      </c>
      <c r="W321" s="217" t="str">
        <f t="shared" si="68"/>
        <v/>
      </c>
      <c r="X321" s="217" t="str">
        <f t="shared" si="68"/>
        <v/>
      </c>
      <c r="Y321" s="217" t="str">
        <f t="shared" si="68"/>
        <v>gs_reveal_auto_changed_by_cc</v>
      </c>
    </row>
    <row r="322" spans="1:25" x14ac:dyDescent="0.3">
      <c r="A322" s="216">
        <f t="shared" si="56"/>
        <v>320</v>
      </c>
      <c r="B322" s="217" t="str">
        <f t="shared" si="67"/>
        <v>x</v>
      </c>
      <c r="C322" s="217" t="str">
        <f t="shared" si="67"/>
        <v/>
      </c>
      <c r="D322" s="217" t="str">
        <f t="shared" si="67"/>
        <v/>
      </c>
      <c r="E322" s="217" t="str">
        <f t="shared" si="67"/>
        <v/>
      </c>
      <c r="F322" s="217" t="str">
        <f t="shared" si="67"/>
        <v/>
      </c>
      <c r="G322" s="217" t="str">
        <f t="shared" si="67"/>
        <v/>
      </c>
      <c r="H322" s="217" t="str">
        <f t="shared" si="67"/>
        <v/>
      </c>
      <c r="I322" s="217" t="str">
        <f t="shared" si="67"/>
        <v/>
      </c>
      <c r="J322" s="217" t="str">
        <f t="shared" si="67"/>
        <v/>
      </c>
      <c r="K322" s="217" t="str">
        <f t="shared" si="67"/>
        <v/>
      </c>
      <c r="L322" s="217" t="str">
        <f t="shared" si="68"/>
        <v>info</v>
      </c>
      <c r="M322" s="217" t="str">
        <f t="shared" si="68"/>
        <v>x</v>
      </c>
      <c r="N322" s="217" t="str">
        <f t="shared" si="68"/>
        <v/>
      </c>
      <c r="O322" s="217" t="str">
        <f t="shared" si="68"/>
        <v>model</v>
      </c>
      <c r="P322" s="218" t="str">
        <f t="shared" si="68"/>
        <v>Length</v>
      </c>
      <c r="Q322" s="218" t="str">
        <f t="shared" si="68"/>
        <v>x</v>
      </c>
      <c r="R322" s="218" t="str">
        <f t="shared" si="68"/>
        <v>BS</v>
      </c>
      <c r="S322" s="218" t="str">
        <f t="shared" si="68"/>
        <v>all</v>
      </c>
      <c r="T322" s="217">
        <f t="shared" si="68"/>
        <v>-1</v>
      </c>
      <c r="U322" s="217" t="str">
        <f t="shared" si="68"/>
        <v>Außenabschrägung Breite Seite 2</v>
      </c>
      <c r="V322" s="217" t="str">
        <f t="shared" si="68"/>
        <v>x</v>
      </c>
      <c r="W322" s="217" t="str">
        <f t="shared" si="68"/>
        <v/>
      </c>
      <c r="X322" s="217" t="str">
        <f t="shared" si="68"/>
        <v/>
      </c>
      <c r="Y322" s="217" t="str">
        <f t="shared" si="68"/>
        <v>gs_reveal_outerLeft_width</v>
      </c>
    </row>
    <row r="323" spans="1:25" x14ac:dyDescent="0.3">
      <c r="A323" s="216">
        <f t="shared" ref="A323:A386" si="69">ROW()-ROW($A$2)</f>
        <v>321</v>
      </c>
      <c r="B323" s="217" t="str">
        <f t="shared" ref="B323:K332" si="70">IF(ISNONTEXT(B$2),IF(B$2="","",IF(INDEX(IMPORT,$A323,B$2)=0,"",IFERROR(VLOOKUP(INDEX(IMPORT,$A323,B$2),ImportTranslation,2,0),INDEX(IMPORT,$A323,B$2)))),B$2)</f>
        <v>x</v>
      </c>
      <c r="C323" s="217" t="str">
        <f t="shared" si="70"/>
        <v/>
      </c>
      <c r="D323" s="217" t="str">
        <f t="shared" si="70"/>
        <v/>
      </c>
      <c r="E323" s="217" t="str">
        <f t="shared" si="70"/>
        <v/>
      </c>
      <c r="F323" s="217" t="str">
        <f t="shared" si="70"/>
        <v/>
      </c>
      <c r="G323" s="217" t="str">
        <f t="shared" si="70"/>
        <v/>
      </c>
      <c r="H323" s="217" t="str">
        <f t="shared" si="70"/>
        <v/>
      </c>
      <c r="I323" s="217" t="str">
        <f t="shared" si="70"/>
        <v/>
      </c>
      <c r="J323" s="217" t="str">
        <f t="shared" si="70"/>
        <v/>
      </c>
      <c r="K323" s="217" t="str">
        <f t="shared" si="70"/>
        <v/>
      </c>
      <c r="L323" s="217" t="str">
        <f t="shared" ref="L323:Y332" si="71">IF(ISNONTEXT(L$2),IF(L$2="","",IF(INDEX(IMPORT,$A323,L$2)=0,"",IFERROR(VLOOKUP(INDEX(IMPORT,$A323,L$2),ImportTranslation,2,0),INDEX(IMPORT,$A323,L$2)))),L$2)</f>
        <v>info</v>
      </c>
      <c r="M323" s="217" t="str">
        <f t="shared" si="71"/>
        <v>x</v>
      </c>
      <c r="N323" s="217" t="str">
        <f t="shared" si="71"/>
        <v/>
      </c>
      <c r="O323" s="217" t="str">
        <f t="shared" si="71"/>
        <v>model</v>
      </c>
      <c r="P323" s="218" t="str">
        <f t="shared" si="71"/>
        <v>Length</v>
      </c>
      <c r="Q323" s="218" t="str">
        <f t="shared" si="71"/>
        <v>x</v>
      </c>
      <c r="R323" s="218" t="str">
        <f t="shared" si="71"/>
        <v>BS</v>
      </c>
      <c r="S323" s="218" t="str">
        <f t="shared" si="71"/>
        <v>all</v>
      </c>
      <c r="T323" s="217">
        <f t="shared" si="71"/>
        <v>-1</v>
      </c>
      <c r="U323" s="217" t="str">
        <f t="shared" si="71"/>
        <v>Außenabschrägung Breite Seite</v>
      </c>
      <c r="V323" s="217" t="str">
        <f t="shared" si="71"/>
        <v>x</v>
      </c>
      <c r="W323" s="217" t="str">
        <f t="shared" si="71"/>
        <v/>
      </c>
      <c r="X323" s="217" t="str">
        <f t="shared" si="71"/>
        <v/>
      </c>
      <c r="Y323" s="217" t="str">
        <f t="shared" si="71"/>
        <v>gs_reveal_outerRight_width</v>
      </c>
    </row>
    <row r="324" spans="1:25" x14ac:dyDescent="0.3">
      <c r="A324" s="216">
        <f t="shared" si="69"/>
        <v>322</v>
      </c>
      <c r="B324" s="217" t="str">
        <f t="shared" si="70"/>
        <v>x</v>
      </c>
      <c r="C324" s="217" t="str">
        <f t="shared" si="70"/>
        <v/>
      </c>
      <c r="D324" s="217" t="str">
        <f t="shared" si="70"/>
        <v/>
      </c>
      <c r="E324" s="217" t="str">
        <f t="shared" si="70"/>
        <v/>
      </c>
      <c r="F324" s="217" t="str">
        <f t="shared" si="70"/>
        <v/>
      </c>
      <c r="G324" s="217" t="str">
        <f t="shared" si="70"/>
        <v/>
      </c>
      <c r="H324" s="217" t="str">
        <f t="shared" si="70"/>
        <v/>
      </c>
      <c r="I324" s="217" t="str">
        <f t="shared" si="70"/>
        <v/>
      </c>
      <c r="J324" s="217" t="str">
        <f t="shared" si="70"/>
        <v/>
      </c>
      <c r="K324" s="217" t="str">
        <f t="shared" si="70"/>
        <v/>
      </c>
      <c r="L324" s="217" t="str">
        <f t="shared" si="71"/>
        <v>info</v>
      </c>
      <c r="M324" s="217" t="str">
        <f t="shared" si="71"/>
        <v>x</v>
      </c>
      <c r="N324" s="217" t="str">
        <f t="shared" si="71"/>
        <v/>
      </c>
      <c r="O324" s="217" t="str">
        <f t="shared" si="71"/>
        <v>model</v>
      </c>
      <c r="P324" s="218" t="str">
        <f t="shared" si="71"/>
        <v>Length</v>
      </c>
      <c r="Q324" s="218" t="str">
        <f t="shared" si="71"/>
        <v>x</v>
      </c>
      <c r="R324" s="218" t="str">
        <f t="shared" si="71"/>
        <v>BS</v>
      </c>
      <c r="S324" s="218" t="str">
        <f t="shared" si="71"/>
        <v>all</v>
      </c>
      <c r="T324" s="217">
        <f t="shared" si="71"/>
        <v>-1</v>
      </c>
      <c r="U324" s="217" t="str">
        <f t="shared" si="71"/>
        <v>Äußere Abschrägung Breite an oberer Seite</v>
      </c>
      <c r="V324" s="217" t="str">
        <f t="shared" si="71"/>
        <v>x</v>
      </c>
      <c r="W324" s="217" t="str">
        <f t="shared" si="71"/>
        <v/>
      </c>
      <c r="X324" s="217" t="str">
        <f t="shared" si="71"/>
        <v/>
      </c>
      <c r="Y324" s="217" t="str">
        <f t="shared" si="71"/>
        <v>gs_reveal_outerTop_width</v>
      </c>
    </row>
    <row r="325" spans="1:25" x14ac:dyDescent="0.3">
      <c r="A325" s="216">
        <f t="shared" si="69"/>
        <v>323</v>
      </c>
      <c r="B325" s="217" t="str">
        <f t="shared" si="70"/>
        <v>x</v>
      </c>
      <c r="C325" s="217" t="str">
        <f t="shared" si="70"/>
        <v/>
      </c>
      <c r="D325" s="217" t="str">
        <f t="shared" si="70"/>
        <v/>
      </c>
      <c r="E325" s="217" t="str">
        <f t="shared" si="70"/>
        <v/>
      </c>
      <c r="F325" s="217" t="str">
        <f t="shared" si="70"/>
        <v/>
      </c>
      <c r="G325" s="217" t="str">
        <f t="shared" si="70"/>
        <v/>
      </c>
      <c r="H325" s="217" t="str">
        <f t="shared" si="70"/>
        <v/>
      </c>
      <c r="I325" s="217" t="str">
        <f t="shared" si="70"/>
        <v/>
      </c>
      <c r="J325" s="217" t="str">
        <f t="shared" si="70"/>
        <v/>
      </c>
      <c r="K325" s="217" t="str">
        <f t="shared" si="70"/>
        <v/>
      </c>
      <c r="L325" s="217" t="str">
        <f t="shared" si="71"/>
        <v>info</v>
      </c>
      <c r="M325" s="217" t="str">
        <f t="shared" si="71"/>
        <v>x</v>
      </c>
      <c r="N325" s="217" t="str">
        <f t="shared" si="71"/>
        <v/>
      </c>
      <c r="O325" s="217" t="str">
        <f t="shared" si="71"/>
        <v>model</v>
      </c>
      <c r="P325" s="218" t="str">
        <f t="shared" si="71"/>
        <v>Length</v>
      </c>
      <c r="Q325" s="218" t="str">
        <f t="shared" si="71"/>
        <v>x</v>
      </c>
      <c r="R325" s="218" t="str">
        <f t="shared" si="71"/>
        <v>BS</v>
      </c>
      <c r="S325" s="218" t="str">
        <f t="shared" si="71"/>
        <v>all</v>
      </c>
      <c r="T325" s="217">
        <f t="shared" si="71"/>
        <v>-1</v>
      </c>
      <c r="U325" s="217" t="str">
        <f t="shared" si="71"/>
        <v>Breite äußere Abschrägung an Unterseite</v>
      </c>
      <c r="V325" s="217" t="str">
        <f t="shared" si="71"/>
        <v>x</v>
      </c>
      <c r="W325" s="217" t="str">
        <f t="shared" si="71"/>
        <v/>
      </c>
      <c r="X325" s="217" t="str">
        <f t="shared" si="71"/>
        <v/>
      </c>
      <c r="Y325" s="217" t="str">
        <f t="shared" si="71"/>
        <v>gs_reveal_outerBottom_width</v>
      </c>
    </row>
    <row r="326" spans="1:25" x14ac:dyDescent="0.3">
      <c r="A326" s="216">
        <f t="shared" si="69"/>
        <v>324</v>
      </c>
      <c r="B326" s="217" t="str">
        <f t="shared" si="70"/>
        <v>x</v>
      </c>
      <c r="C326" s="217" t="str">
        <f t="shared" si="70"/>
        <v/>
      </c>
      <c r="D326" s="217" t="str">
        <f t="shared" si="70"/>
        <v/>
      </c>
      <c r="E326" s="217" t="str">
        <f t="shared" si="70"/>
        <v/>
      </c>
      <c r="F326" s="217" t="str">
        <f t="shared" si="70"/>
        <v/>
      </c>
      <c r="G326" s="217" t="str">
        <f t="shared" si="70"/>
        <v/>
      </c>
      <c r="H326" s="217" t="str">
        <f t="shared" si="70"/>
        <v/>
      </c>
      <c r="I326" s="217" t="str">
        <f t="shared" si="70"/>
        <v/>
      </c>
      <c r="J326" s="217" t="str">
        <f t="shared" si="70"/>
        <v/>
      </c>
      <c r="K326" s="217" t="str">
        <f t="shared" si="70"/>
        <v/>
      </c>
      <c r="L326" s="217" t="str">
        <f t="shared" si="71"/>
        <v>info</v>
      </c>
      <c r="M326" s="217" t="str">
        <f t="shared" si="71"/>
        <v/>
      </c>
      <c r="N326" s="217" t="str">
        <f t="shared" si="71"/>
        <v/>
      </c>
      <c r="O326" s="217" t="str">
        <f t="shared" si="71"/>
        <v>model</v>
      </c>
      <c r="P326" s="218" t="str">
        <f t="shared" si="71"/>
        <v>Title</v>
      </c>
      <c r="Q326" s="218" t="str">
        <f t="shared" si="71"/>
        <v>x</v>
      </c>
      <c r="R326" s="218" t="str">
        <f t="shared" si="71"/>
        <v>BS</v>
      </c>
      <c r="S326" s="218" t="str">
        <f t="shared" si="71"/>
        <v>all</v>
      </c>
      <c r="T326" s="217" t="str">
        <f t="shared" si="71"/>
        <v/>
      </c>
      <c r="U326" s="217" t="str">
        <f t="shared" si="71"/>
        <v>Wandputz einziehen</v>
      </c>
      <c r="V326" s="217" t="str">
        <f t="shared" si="71"/>
        <v/>
      </c>
      <c r="W326" s="217" t="str">
        <f t="shared" si="71"/>
        <v/>
      </c>
      <c r="X326" s="217" t="str">
        <f t="shared" si="71"/>
        <v/>
      </c>
      <c r="Y326" s="217" t="str">
        <f t="shared" si="71"/>
        <v>gs_turn_plaster</v>
      </c>
    </row>
    <row r="327" spans="1:25" x14ac:dyDescent="0.3">
      <c r="A327" s="216">
        <f t="shared" si="69"/>
        <v>325</v>
      </c>
      <c r="B327" s="217" t="str">
        <f t="shared" si="70"/>
        <v>x</v>
      </c>
      <c r="C327" s="217" t="str">
        <f t="shared" si="70"/>
        <v/>
      </c>
      <c r="D327" s="217" t="str">
        <f t="shared" si="70"/>
        <v/>
      </c>
      <c r="E327" s="217" t="str">
        <f t="shared" si="70"/>
        <v/>
      </c>
      <c r="F327" s="217" t="str">
        <f t="shared" si="70"/>
        <v/>
      </c>
      <c r="G327" s="217" t="str">
        <f t="shared" si="70"/>
        <v/>
      </c>
      <c r="H327" s="217" t="str">
        <f t="shared" si="70"/>
        <v/>
      </c>
      <c r="I327" s="217" t="str">
        <f t="shared" si="70"/>
        <v/>
      </c>
      <c r="J327" s="217" t="str">
        <f t="shared" si="70"/>
        <v/>
      </c>
      <c r="K327" s="217" t="str">
        <f t="shared" si="70"/>
        <v/>
      </c>
      <c r="L327" s="217" t="str">
        <f t="shared" si="71"/>
        <v>info</v>
      </c>
      <c r="M327" s="217" t="str">
        <f t="shared" si="71"/>
        <v>x</v>
      </c>
      <c r="N327" s="217" t="str">
        <f t="shared" si="71"/>
        <v/>
      </c>
      <c r="O327" s="217" t="str">
        <f t="shared" si="71"/>
        <v>model</v>
      </c>
      <c r="P327" s="218" t="str">
        <f t="shared" si="71"/>
        <v>Boolean</v>
      </c>
      <c r="Q327" s="218" t="str">
        <f t="shared" si="71"/>
        <v>x</v>
      </c>
      <c r="R327" s="218" t="str">
        <f t="shared" si="71"/>
        <v>BS</v>
      </c>
      <c r="S327" s="218" t="str">
        <f t="shared" si="71"/>
        <v>all</v>
      </c>
      <c r="T327" s="217" t="str">
        <f t="shared" si="71"/>
        <v/>
      </c>
      <c r="U327" s="217" t="str">
        <f t="shared" si="71"/>
        <v>Wandbekleidung benutzen</v>
      </c>
      <c r="V327" s="217" t="str">
        <f t="shared" si="71"/>
        <v>x</v>
      </c>
      <c r="W327" s="217" t="str">
        <f t="shared" si="71"/>
        <v/>
      </c>
      <c r="X327" s="217" t="str">
        <f t="shared" si="71"/>
        <v/>
      </c>
      <c r="Y327" s="217" t="str">
        <f t="shared" si="71"/>
        <v>gs_useWallFinishSkin</v>
      </c>
    </row>
    <row r="328" spans="1:25" x14ac:dyDescent="0.3">
      <c r="A328" s="216">
        <f t="shared" si="69"/>
        <v>326</v>
      </c>
      <c r="B328" s="217" t="str">
        <f t="shared" si="70"/>
        <v>x</v>
      </c>
      <c r="C328" s="217" t="str">
        <f t="shared" si="70"/>
        <v/>
      </c>
      <c r="D328" s="217" t="str">
        <f t="shared" si="70"/>
        <v/>
      </c>
      <c r="E328" s="217" t="str">
        <f t="shared" si="70"/>
        <v/>
      </c>
      <c r="F328" s="217" t="str">
        <f t="shared" si="70"/>
        <v/>
      </c>
      <c r="G328" s="217" t="str">
        <f t="shared" si="70"/>
        <v/>
      </c>
      <c r="H328" s="217" t="str">
        <f t="shared" si="70"/>
        <v/>
      </c>
      <c r="I328" s="217" t="str">
        <f t="shared" si="70"/>
        <v/>
      </c>
      <c r="J328" s="217" t="str">
        <f t="shared" si="70"/>
        <v/>
      </c>
      <c r="K328" s="217" t="str">
        <f t="shared" si="70"/>
        <v/>
      </c>
      <c r="L328" s="217" t="str">
        <f t="shared" si="71"/>
        <v>info</v>
      </c>
      <c r="M328" s="217" t="str">
        <f t="shared" si="71"/>
        <v>x</v>
      </c>
      <c r="N328" s="217" t="str">
        <f t="shared" si="71"/>
        <v/>
      </c>
      <c r="O328" s="217" t="str">
        <f t="shared" si="71"/>
        <v>model</v>
      </c>
      <c r="P328" s="218" t="str">
        <f t="shared" si="71"/>
        <v>Length</v>
      </c>
      <c r="Q328" s="218" t="str">
        <f t="shared" si="71"/>
        <v>x</v>
      </c>
      <c r="R328" s="218" t="str">
        <f t="shared" si="71"/>
        <v>BS</v>
      </c>
      <c r="S328" s="218" t="str">
        <f t="shared" si="71"/>
        <v>all</v>
      </c>
      <c r="T328" s="217">
        <f t="shared" si="71"/>
        <v>0.04</v>
      </c>
      <c r="U328" s="217" t="str">
        <f t="shared" si="71"/>
        <v>Max. Putzdicke</v>
      </c>
      <c r="V328" s="217" t="str">
        <f t="shared" si="71"/>
        <v>x</v>
      </c>
      <c r="W328" s="217" t="str">
        <f t="shared" si="71"/>
        <v/>
      </c>
      <c r="X328" s="217" t="str">
        <f t="shared" si="71"/>
        <v/>
      </c>
      <c r="Y328" s="217" t="str">
        <f t="shared" si="71"/>
        <v>gs_maxPlasterThk</v>
      </c>
    </row>
    <row r="329" spans="1:25" x14ac:dyDescent="0.3">
      <c r="A329" s="216">
        <f t="shared" si="69"/>
        <v>327</v>
      </c>
      <c r="B329" s="217" t="str">
        <f t="shared" si="70"/>
        <v>x</v>
      </c>
      <c r="C329" s="217" t="str">
        <f t="shared" si="70"/>
        <v/>
      </c>
      <c r="D329" s="217" t="str">
        <f t="shared" si="70"/>
        <v/>
      </c>
      <c r="E329" s="217" t="str">
        <f t="shared" si="70"/>
        <v/>
      </c>
      <c r="F329" s="217" t="str">
        <f t="shared" si="70"/>
        <v/>
      </c>
      <c r="G329" s="217" t="str">
        <f t="shared" si="70"/>
        <v/>
      </c>
      <c r="H329" s="217" t="str">
        <f t="shared" si="70"/>
        <v/>
      </c>
      <c r="I329" s="217" t="str">
        <f t="shared" si="70"/>
        <v/>
      </c>
      <c r="J329" s="217" t="str">
        <f t="shared" si="70"/>
        <v/>
      </c>
      <c r="K329" s="217" t="str">
        <f t="shared" si="70"/>
        <v/>
      </c>
      <c r="L329" s="217" t="str">
        <f t="shared" si="71"/>
        <v>info</v>
      </c>
      <c r="M329" s="217" t="str">
        <f t="shared" si="71"/>
        <v>x</v>
      </c>
      <c r="N329" s="217" t="str">
        <f t="shared" si="71"/>
        <v/>
      </c>
      <c r="O329" s="217" t="str">
        <f t="shared" si="71"/>
        <v>model</v>
      </c>
      <c r="P329" s="218" t="str">
        <f t="shared" si="71"/>
        <v>Boolean</v>
      </c>
      <c r="Q329" s="218" t="str">
        <f t="shared" si="71"/>
        <v>x</v>
      </c>
      <c r="R329" s="218" t="str">
        <f t="shared" si="71"/>
        <v>BS</v>
      </c>
      <c r="S329" s="218" t="str">
        <f t="shared" si="71"/>
        <v>all</v>
      </c>
      <c r="T329" s="217">
        <f t="shared" si="71"/>
        <v>1</v>
      </c>
      <c r="U329" s="217" t="str">
        <f t="shared" si="71"/>
        <v>automatischer Schichteinzug Putz innen</v>
      </c>
      <c r="V329" s="217" t="str">
        <f t="shared" si="71"/>
        <v>x</v>
      </c>
      <c r="W329" s="217" t="str">
        <f t="shared" si="71"/>
        <v/>
      </c>
      <c r="X329" s="217" t="str">
        <f t="shared" si="71"/>
        <v/>
      </c>
      <c r="Y329" s="217" t="str">
        <f t="shared" si="71"/>
        <v>gs_bAutoTurnOut</v>
      </c>
    </row>
    <row r="330" spans="1:25" x14ac:dyDescent="0.3">
      <c r="A330" s="216">
        <f t="shared" si="69"/>
        <v>328</v>
      </c>
      <c r="B330" s="217" t="str">
        <f t="shared" si="70"/>
        <v>x</v>
      </c>
      <c r="C330" s="217" t="str">
        <f t="shared" si="70"/>
        <v/>
      </c>
      <c r="D330" s="217" t="str">
        <f t="shared" si="70"/>
        <v/>
      </c>
      <c r="E330" s="217" t="str">
        <f t="shared" si="70"/>
        <v/>
      </c>
      <c r="F330" s="217" t="str">
        <f t="shared" si="70"/>
        <v/>
      </c>
      <c r="G330" s="217" t="str">
        <f t="shared" si="70"/>
        <v/>
      </c>
      <c r="H330" s="217" t="str">
        <f t="shared" si="70"/>
        <v/>
      </c>
      <c r="I330" s="217" t="str">
        <f t="shared" si="70"/>
        <v/>
      </c>
      <c r="J330" s="217" t="str">
        <f t="shared" si="70"/>
        <v/>
      </c>
      <c r="K330" s="217" t="str">
        <f t="shared" si="70"/>
        <v/>
      </c>
      <c r="L330" s="217" t="str">
        <f t="shared" si="71"/>
        <v>info</v>
      </c>
      <c r="M330" s="217" t="str">
        <f t="shared" si="71"/>
        <v>x</v>
      </c>
      <c r="N330" s="217" t="str">
        <f t="shared" si="71"/>
        <v/>
      </c>
      <c r="O330" s="217" t="str">
        <f t="shared" si="71"/>
        <v>model</v>
      </c>
      <c r="P330" s="218" t="str">
        <f t="shared" si="71"/>
        <v>Integer</v>
      </c>
      <c r="Q330" s="218" t="str">
        <f t="shared" si="71"/>
        <v>x</v>
      </c>
      <c r="R330" s="218" t="str">
        <f t="shared" si="71"/>
        <v>BS</v>
      </c>
      <c r="S330" s="218" t="str">
        <f t="shared" si="71"/>
        <v>all</v>
      </c>
      <c r="T330" s="217" t="str">
        <f t="shared" si="71"/>
        <v/>
      </c>
      <c r="U330" s="217" t="str">
        <f t="shared" si="71"/>
        <v>Putzschicht innen einziehen</v>
      </c>
      <c r="V330" s="217" t="str">
        <f t="shared" si="71"/>
        <v>x</v>
      </c>
      <c r="W330" s="217" t="str">
        <f t="shared" si="71"/>
        <v/>
      </c>
      <c r="X330" s="217" t="str">
        <f t="shared" si="71"/>
        <v/>
      </c>
      <c r="Y330" s="217" t="str">
        <f t="shared" si="71"/>
        <v>gs_bOverOut</v>
      </c>
    </row>
    <row r="331" spans="1:25" x14ac:dyDescent="0.3">
      <c r="A331" s="216">
        <f t="shared" si="69"/>
        <v>329</v>
      </c>
      <c r="B331" s="217" t="str">
        <f t="shared" si="70"/>
        <v>x</v>
      </c>
      <c r="C331" s="217" t="str">
        <f t="shared" si="70"/>
        <v/>
      </c>
      <c r="D331" s="217" t="str">
        <f t="shared" si="70"/>
        <v/>
      </c>
      <c r="E331" s="217" t="str">
        <f t="shared" si="70"/>
        <v/>
      </c>
      <c r="F331" s="217" t="str">
        <f t="shared" si="70"/>
        <v/>
      </c>
      <c r="G331" s="217" t="str">
        <f t="shared" si="70"/>
        <v/>
      </c>
      <c r="H331" s="217" t="str">
        <f t="shared" si="70"/>
        <v/>
      </c>
      <c r="I331" s="217" t="str">
        <f t="shared" si="70"/>
        <v/>
      </c>
      <c r="J331" s="217" t="str">
        <f t="shared" si="70"/>
        <v/>
      </c>
      <c r="K331" s="217" t="str">
        <f t="shared" si="70"/>
        <v/>
      </c>
      <c r="L331" s="217" t="str">
        <f t="shared" si="71"/>
        <v>info</v>
      </c>
      <c r="M331" s="217" t="str">
        <f t="shared" si="71"/>
        <v>x</v>
      </c>
      <c r="N331" s="217" t="str">
        <f t="shared" si="71"/>
        <v/>
      </c>
      <c r="O331" s="217" t="str">
        <f t="shared" si="71"/>
        <v>model</v>
      </c>
      <c r="P331" s="218" t="str">
        <f t="shared" si="71"/>
        <v>Boolean</v>
      </c>
      <c r="Q331" s="218" t="str">
        <f t="shared" si="71"/>
        <v>x</v>
      </c>
      <c r="R331" s="218" t="str">
        <f t="shared" si="71"/>
        <v>BS</v>
      </c>
      <c r="S331" s="218" t="str">
        <f t="shared" si="71"/>
        <v>all</v>
      </c>
      <c r="T331" s="217">
        <f t="shared" si="71"/>
        <v>1</v>
      </c>
      <c r="U331" s="217" t="str">
        <f t="shared" si="71"/>
        <v>automatischer Schichteinzug Putz außen</v>
      </c>
      <c r="V331" s="217" t="str">
        <f t="shared" si="71"/>
        <v>x</v>
      </c>
      <c r="W331" s="217" t="str">
        <f t="shared" si="71"/>
        <v/>
      </c>
      <c r="X331" s="217" t="str">
        <f t="shared" si="71"/>
        <v/>
      </c>
      <c r="Y331" s="217" t="str">
        <f t="shared" si="71"/>
        <v>gs_bAutoTurnIn</v>
      </c>
    </row>
    <row r="332" spans="1:25" x14ac:dyDescent="0.3">
      <c r="A332" s="216">
        <f t="shared" si="69"/>
        <v>330</v>
      </c>
      <c r="B332" s="217" t="str">
        <f t="shared" si="70"/>
        <v>x</v>
      </c>
      <c r="C332" s="217" t="str">
        <f t="shared" si="70"/>
        <v/>
      </c>
      <c r="D332" s="217" t="str">
        <f t="shared" si="70"/>
        <v/>
      </c>
      <c r="E332" s="217" t="str">
        <f t="shared" si="70"/>
        <v/>
      </c>
      <c r="F332" s="217" t="str">
        <f t="shared" si="70"/>
        <v/>
      </c>
      <c r="G332" s="217" t="str">
        <f t="shared" si="70"/>
        <v/>
      </c>
      <c r="H332" s="217" t="str">
        <f t="shared" si="70"/>
        <v/>
      </c>
      <c r="I332" s="217" t="str">
        <f t="shared" si="70"/>
        <v/>
      </c>
      <c r="J332" s="217" t="str">
        <f t="shared" si="70"/>
        <v/>
      </c>
      <c r="K332" s="217" t="str">
        <f t="shared" si="70"/>
        <v/>
      </c>
      <c r="L332" s="217" t="str">
        <f t="shared" si="71"/>
        <v>info</v>
      </c>
      <c r="M332" s="217" t="str">
        <f t="shared" si="71"/>
        <v>x</v>
      </c>
      <c r="N332" s="217" t="str">
        <f t="shared" si="71"/>
        <v/>
      </c>
      <c r="O332" s="217" t="str">
        <f t="shared" si="71"/>
        <v>model</v>
      </c>
      <c r="P332" s="218" t="str">
        <f t="shared" si="71"/>
        <v>Integer</v>
      </c>
      <c r="Q332" s="218" t="str">
        <f t="shared" si="71"/>
        <v>x</v>
      </c>
      <c r="R332" s="218" t="str">
        <f t="shared" si="71"/>
        <v>BS</v>
      </c>
      <c r="S332" s="218" t="str">
        <f t="shared" si="71"/>
        <v>all</v>
      </c>
      <c r="T332" s="217" t="str">
        <f t="shared" si="71"/>
        <v/>
      </c>
      <c r="U332" s="217" t="str">
        <f t="shared" si="71"/>
        <v>Putzschicht außen einziehen</v>
      </c>
      <c r="V332" s="217" t="str">
        <f t="shared" si="71"/>
        <v>x</v>
      </c>
      <c r="W332" s="217" t="str">
        <f t="shared" si="71"/>
        <v/>
      </c>
      <c r="X332" s="217" t="str">
        <f t="shared" si="71"/>
        <v/>
      </c>
      <c r="Y332" s="217" t="str">
        <f t="shared" si="71"/>
        <v>gs_bOverIn</v>
      </c>
    </row>
    <row r="333" spans="1:25" x14ac:dyDescent="0.3">
      <c r="A333" s="216">
        <f t="shared" si="69"/>
        <v>331</v>
      </c>
      <c r="B333" s="217" t="str">
        <f t="shared" ref="B333:K342" si="72">IF(ISNONTEXT(B$2),IF(B$2="","",IF(INDEX(IMPORT,$A333,B$2)=0,"",IFERROR(VLOOKUP(INDEX(IMPORT,$A333,B$2),ImportTranslation,2,0),INDEX(IMPORT,$A333,B$2)))),B$2)</f>
        <v>x</v>
      </c>
      <c r="C333" s="217" t="str">
        <f t="shared" si="72"/>
        <v/>
      </c>
      <c r="D333" s="217" t="str">
        <f t="shared" si="72"/>
        <v/>
      </c>
      <c r="E333" s="217" t="str">
        <f t="shared" si="72"/>
        <v/>
      </c>
      <c r="F333" s="217" t="str">
        <f t="shared" si="72"/>
        <v/>
      </c>
      <c r="G333" s="217" t="str">
        <f t="shared" si="72"/>
        <v/>
      </c>
      <c r="H333" s="217" t="str">
        <f t="shared" si="72"/>
        <v/>
      </c>
      <c r="I333" s="217" t="str">
        <f t="shared" si="72"/>
        <v/>
      </c>
      <c r="J333" s="217" t="str">
        <f t="shared" si="72"/>
        <v/>
      </c>
      <c r="K333" s="217" t="str">
        <f t="shared" si="72"/>
        <v/>
      </c>
      <c r="L333" s="217" t="str">
        <f t="shared" ref="L333:Y342" si="73">IF(ISNONTEXT(L$2),IF(L$2="","",IF(INDEX(IMPORT,$A333,L$2)=0,"",IFERROR(VLOOKUP(INDEX(IMPORT,$A333,L$2),ImportTranslation,2,0),INDEX(IMPORT,$A333,L$2)))),L$2)</f>
        <v>info</v>
      </c>
      <c r="M333" s="217" t="str">
        <f t="shared" si="73"/>
        <v>x</v>
      </c>
      <c r="N333" s="217" t="str">
        <f t="shared" si="73"/>
        <v/>
      </c>
      <c r="O333" s="217" t="str">
        <f t="shared" si="73"/>
        <v>model</v>
      </c>
      <c r="P333" s="218" t="str">
        <f t="shared" si="73"/>
        <v>Boolean</v>
      </c>
      <c r="Q333" s="218" t="str">
        <f t="shared" si="73"/>
        <v>x</v>
      </c>
      <c r="R333" s="218" t="str">
        <f t="shared" si="73"/>
        <v>BS</v>
      </c>
      <c r="S333" s="218" t="str">
        <f t="shared" si="73"/>
        <v>all</v>
      </c>
      <c r="T333" s="217" t="str">
        <f t="shared" si="73"/>
        <v/>
      </c>
      <c r="U333" s="217" t="str">
        <f t="shared" si="73"/>
        <v>Bemaßungsfangpunkte in 2D</v>
      </c>
      <c r="V333" s="217" t="str">
        <f t="shared" si="73"/>
        <v>x</v>
      </c>
      <c r="W333" s="217" t="str">
        <f t="shared" si="73"/>
        <v/>
      </c>
      <c r="X333" s="217" t="str">
        <f t="shared" si="73"/>
        <v/>
      </c>
      <c r="Y333" s="217" t="str">
        <f t="shared" si="73"/>
        <v>gs_turn_plaster_dim_2D</v>
      </c>
    </row>
    <row r="334" spans="1:25" x14ac:dyDescent="0.3">
      <c r="A334" s="216">
        <f t="shared" si="69"/>
        <v>332</v>
      </c>
      <c r="B334" s="217" t="str">
        <f t="shared" si="72"/>
        <v>x</v>
      </c>
      <c r="C334" s="217" t="str">
        <f t="shared" si="72"/>
        <v/>
      </c>
      <c r="D334" s="217" t="str">
        <f t="shared" si="72"/>
        <v/>
      </c>
      <c r="E334" s="217" t="str">
        <f t="shared" si="72"/>
        <v/>
      </c>
      <c r="F334" s="217" t="str">
        <f t="shared" si="72"/>
        <v/>
      </c>
      <c r="G334" s="217" t="str">
        <f t="shared" si="72"/>
        <v/>
      </c>
      <c r="H334" s="217" t="str">
        <f t="shared" si="72"/>
        <v/>
      </c>
      <c r="I334" s="217" t="str">
        <f t="shared" si="72"/>
        <v/>
      </c>
      <c r="J334" s="217" t="str">
        <f t="shared" si="72"/>
        <v/>
      </c>
      <c r="K334" s="217" t="str">
        <f t="shared" si="72"/>
        <v/>
      </c>
      <c r="L334" s="217" t="str">
        <f t="shared" si="73"/>
        <v>info</v>
      </c>
      <c r="M334" s="217" t="str">
        <f t="shared" si="73"/>
        <v>x</v>
      </c>
      <c r="N334" s="217" t="str">
        <f t="shared" si="73"/>
        <v/>
      </c>
      <c r="O334" s="217" t="str">
        <f t="shared" si="73"/>
        <v>model</v>
      </c>
      <c r="P334" s="218" t="str">
        <f t="shared" si="73"/>
        <v>Boolean</v>
      </c>
      <c r="Q334" s="218" t="str">
        <f t="shared" si="73"/>
        <v>x</v>
      </c>
      <c r="R334" s="218" t="str">
        <f t="shared" si="73"/>
        <v>BS</v>
      </c>
      <c r="S334" s="218" t="str">
        <f t="shared" si="73"/>
        <v>all</v>
      </c>
      <c r="T334" s="217" t="str">
        <f t="shared" si="73"/>
        <v/>
      </c>
      <c r="U334" s="217" t="str">
        <f t="shared" si="73"/>
        <v>in 3D zeigen</v>
      </c>
      <c r="V334" s="217" t="str">
        <f t="shared" si="73"/>
        <v>x</v>
      </c>
      <c r="W334" s="217" t="str">
        <f t="shared" si="73"/>
        <v/>
      </c>
      <c r="X334" s="217" t="str">
        <f t="shared" si="73"/>
        <v/>
      </c>
      <c r="Y334" s="217" t="str">
        <f t="shared" si="73"/>
        <v>gs_turn_plaster_show_3D</v>
      </c>
    </row>
    <row r="335" spans="1:25" x14ac:dyDescent="0.3">
      <c r="A335" s="216">
        <f t="shared" si="69"/>
        <v>333</v>
      </c>
      <c r="B335" s="217" t="str">
        <f t="shared" si="72"/>
        <v>x</v>
      </c>
      <c r="C335" s="217" t="str">
        <f t="shared" si="72"/>
        <v/>
      </c>
      <c r="D335" s="217" t="str">
        <f t="shared" si="72"/>
        <v/>
      </c>
      <c r="E335" s="217" t="str">
        <f t="shared" si="72"/>
        <v/>
      </c>
      <c r="F335" s="217" t="str">
        <f t="shared" si="72"/>
        <v/>
      </c>
      <c r="G335" s="217" t="str">
        <f t="shared" si="72"/>
        <v/>
      </c>
      <c r="H335" s="217" t="str">
        <f t="shared" si="72"/>
        <v/>
      </c>
      <c r="I335" s="217" t="str">
        <f t="shared" si="72"/>
        <v/>
      </c>
      <c r="J335" s="217" t="str">
        <f t="shared" si="72"/>
        <v/>
      </c>
      <c r="K335" s="217" t="str">
        <f t="shared" si="72"/>
        <v/>
      </c>
      <c r="L335" s="217" t="str">
        <f t="shared" si="73"/>
        <v>info</v>
      </c>
      <c r="M335" s="217" t="str">
        <f t="shared" si="73"/>
        <v/>
      </c>
      <c r="N335" s="217" t="str">
        <f t="shared" si="73"/>
        <v/>
      </c>
      <c r="O335" s="217" t="str">
        <f t="shared" si="73"/>
        <v>model</v>
      </c>
      <c r="P335" s="218" t="str">
        <f t="shared" si="73"/>
        <v>String</v>
      </c>
      <c r="Q335" s="218" t="str">
        <f t="shared" si="73"/>
        <v>x</v>
      </c>
      <c r="R335" s="218" t="str">
        <f t="shared" si="73"/>
        <v>BS</v>
      </c>
      <c r="S335" s="218" t="str">
        <f t="shared" si="73"/>
        <v>all</v>
      </c>
      <c r="T335" s="217" t="str">
        <f t="shared" si="73"/>
        <v>Kein Schichteinzug</v>
      </c>
      <c r="U335" s="217" t="str">
        <f t="shared" si="73"/>
        <v>Schichteinzug</v>
      </c>
      <c r="V335" s="217" t="str">
        <f t="shared" si="73"/>
        <v/>
      </c>
      <c r="W335" s="217" t="str">
        <f t="shared" si="73"/>
        <v/>
      </c>
      <c r="X335" s="217" t="str">
        <f t="shared" si="73"/>
        <v/>
      </c>
      <c r="Y335" s="217" t="str">
        <f t="shared" si="73"/>
        <v>gs_closure_type</v>
      </c>
    </row>
    <row r="336" spans="1:25" x14ac:dyDescent="0.3">
      <c r="A336" s="216">
        <f t="shared" si="69"/>
        <v>334</v>
      </c>
      <c r="B336" s="217" t="str">
        <f t="shared" si="72"/>
        <v>x</v>
      </c>
      <c r="C336" s="217" t="str">
        <f t="shared" si="72"/>
        <v>x</v>
      </c>
      <c r="D336" s="217" t="str">
        <f t="shared" si="72"/>
        <v/>
      </c>
      <c r="E336" s="217" t="str">
        <f t="shared" si="72"/>
        <v/>
      </c>
      <c r="F336" s="217" t="str">
        <f t="shared" si="72"/>
        <v/>
      </c>
      <c r="G336" s="217" t="str">
        <f t="shared" si="72"/>
        <v/>
      </c>
      <c r="H336" s="217" t="str">
        <f t="shared" si="72"/>
        <v/>
      </c>
      <c r="I336" s="217" t="str">
        <f t="shared" si="72"/>
        <v/>
      </c>
      <c r="J336" s="217" t="str">
        <f t="shared" si="72"/>
        <v/>
      </c>
      <c r="K336" s="217" t="str">
        <f t="shared" si="72"/>
        <v/>
      </c>
      <c r="L336" s="217" t="str">
        <f t="shared" si="73"/>
        <v>info</v>
      </c>
      <c r="M336" s="217" t="str">
        <f t="shared" si="73"/>
        <v>x</v>
      </c>
      <c r="N336" s="217" t="str">
        <f t="shared" si="73"/>
        <v/>
      </c>
      <c r="O336" s="217" t="str">
        <f t="shared" si="73"/>
        <v>model</v>
      </c>
      <c r="P336" s="218" t="str">
        <f t="shared" si="73"/>
        <v>Integer</v>
      </c>
      <c r="Q336" s="218" t="str">
        <f t="shared" si="73"/>
        <v>x</v>
      </c>
      <c r="R336" s="218" t="str">
        <f t="shared" si="73"/>
        <v>BS</v>
      </c>
      <c r="S336" s="218" t="str">
        <f t="shared" si="73"/>
        <v>all</v>
      </c>
      <c r="T336" s="217">
        <f t="shared" si="73"/>
        <v>1</v>
      </c>
      <c r="U336" s="217" t="str">
        <f t="shared" si="73"/>
        <v>Schichteinzug</v>
      </c>
      <c r="V336" s="217" t="str">
        <f t="shared" si="73"/>
        <v>x</v>
      </c>
      <c r="W336" s="217" t="str">
        <f t="shared" si="73"/>
        <v/>
      </c>
      <c r="X336" s="217" t="str">
        <f t="shared" si="73"/>
        <v/>
      </c>
      <c r="Y336" s="217" t="str">
        <f t="shared" si="73"/>
        <v>gs_closure_type_int</v>
      </c>
    </row>
    <row r="337" spans="1:25" x14ac:dyDescent="0.3">
      <c r="A337" s="216">
        <f t="shared" si="69"/>
        <v>335</v>
      </c>
      <c r="B337" s="217" t="str">
        <f t="shared" si="72"/>
        <v>x</v>
      </c>
      <c r="C337" s="217" t="str">
        <f t="shared" si="72"/>
        <v/>
      </c>
      <c r="D337" s="217" t="str">
        <f t="shared" si="72"/>
        <v/>
      </c>
      <c r="E337" s="217" t="str">
        <f t="shared" si="72"/>
        <v/>
      </c>
      <c r="F337" s="217" t="str">
        <f t="shared" si="72"/>
        <v/>
      </c>
      <c r="G337" s="217" t="str">
        <f t="shared" si="72"/>
        <v/>
      </c>
      <c r="H337" s="217" t="str">
        <f t="shared" si="72"/>
        <v/>
      </c>
      <c r="I337" s="217" t="str">
        <f t="shared" si="72"/>
        <v/>
      </c>
      <c r="J337" s="217" t="str">
        <f t="shared" si="72"/>
        <v/>
      </c>
      <c r="K337" s="217" t="str">
        <f t="shared" si="72"/>
        <v/>
      </c>
      <c r="L337" s="217" t="str">
        <f t="shared" si="73"/>
        <v>info</v>
      </c>
      <c r="M337" s="217" t="str">
        <f t="shared" si="73"/>
        <v>x</v>
      </c>
      <c r="N337" s="217" t="str">
        <f t="shared" si="73"/>
        <v/>
      </c>
      <c r="O337" s="217" t="str">
        <f t="shared" si="73"/>
        <v>model</v>
      </c>
      <c r="P337" s="218" t="str">
        <f t="shared" si="73"/>
        <v>String</v>
      </c>
      <c r="Q337" s="218" t="str">
        <f t="shared" si="73"/>
        <v>x</v>
      </c>
      <c r="R337" s="218" t="str">
        <f t="shared" si="73"/>
        <v>BS</v>
      </c>
      <c r="S337" s="218" t="str">
        <f t="shared" si="73"/>
        <v>all</v>
      </c>
      <c r="T337" s="217" t="str">
        <f t="shared" si="73"/>
        <v>Beide</v>
      </c>
      <c r="U337" s="217" t="str">
        <f t="shared" si="73"/>
        <v>Schicht an Seite einziehen</v>
      </c>
      <c r="V337" s="217" t="str">
        <f t="shared" si="73"/>
        <v>x</v>
      </c>
      <c r="W337" s="217" t="str">
        <f t="shared" si="73"/>
        <v/>
      </c>
      <c r="X337" s="217" t="str">
        <f t="shared" si="73"/>
        <v/>
      </c>
      <c r="Y337" s="217" t="str">
        <f t="shared" si="73"/>
        <v>gs_cavity_side</v>
      </c>
    </row>
    <row r="338" spans="1:25" x14ac:dyDescent="0.3">
      <c r="A338" s="216">
        <f t="shared" si="69"/>
        <v>336</v>
      </c>
      <c r="B338" s="217" t="str">
        <f t="shared" si="72"/>
        <v>x</v>
      </c>
      <c r="C338" s="217" t="str">
        <f t="shared" si="72"/>
        <v>x</v>
      </c>
      <c r="D338" s="217" t="str">
        <f t="shared" si="72"/>
        <v/>
      </c>
      <c r="E338" s="217" t="str">
        <f t="shared" si="72"/>
        <v/>
      </c>
      <c r="F338" s="217" t="str">
        <f t="shared" si="72"/>
        <v/>
      </c>
      <c r="G338" s="217" t="str">
        <f t="shared" si="72"/>
        <v/>
      </c>
      <c r="H338" s="217" t="str">
        <f t="shared" si="72"/>
        <v/>
      </c>
      <c r="I338" s="217" t="str">
        <f t="shared" si="72"/>
        <v/>
      </c>
      <c r="J338" s="217" t="str">
        <f t="shared" si="72"/>
        <v/>
      </c>
      <c r="K338" s="217" t="str">
        <f t="shared" si="72"/>
        <v/>
      </c>
      <c r="L338" s="217" t="str">
        <f t="shared" si="73"/>
        <v>info</v>
      </c>
      <c r="M338" s="217" t="str">
        <f t="shared" si="73"/>
        <v>x</v>
      </c>
      <c r="N338" s="217" t="str">
        <f t="shared" si="73"/>
        <v/>
      </c>
      <c r="O338" s="217" t="str">
        <f t="shared" si="73"/>
        <v>model</v>
      </c>
      <c r="P338" s="218" t="str">
        <f t="shared" si="73"/>
        <v>Integer</v>
      </c>
      <c r="Q338" s="218" t="str">
        <f t="shared" si="73"/>
        <v>x</v>
      </c>
      <c r="R338" s="218" t="str">
        <f t="shared" si="73"/>
        <v>BS</v>
      </c>
      <c r="S338" s="218" t="str">
        <f t="shared" si="73"/>
        <v>all</v>
      </c>
      <c r="T338" s="217">
        <f t="shared" si="73"/>
        <v>1</v>
      </c>
      <c r="U338" s="217" t="str">
        <f t="shared" si="73"/>
        <v>Schicht an Seite einziehen</v>
      </c>
      <c r="V338" s="217" t="str">
        <f t="shared" si="73"/>
        <v>x</v>
      </c>
      <c r="W338" s="217" t="str">
        <f t="shared" si="73"/>
        <v/>
      </c>
      <c r="X338" s="217" t="str">
        <f t="shared" si="73"/>
        <v/>
      </c>
      <c r="Y338" s="217" t="str">
        <f t="shared" si="73"/>
        <v>iCavityClosureSide</v>
      </c>
    </row>
    <row r="339" spans="1:25" x14ac:dyDescent="0.3">
      <c r="A339" s="216">
        <f t="shared" si="69"/>
        <v>337</v>
      </c>
      <c r="B339" s="217" t="str">
        <f t="shared" si="72"/>
        <v>x</v>
      </c>
      <c r="C339" s="217" t="str">
        <f t="shared" si="72"/>
        <v/>
      </c>
      <c r="D339" s="217" t="str">
        <f t="shared" si="72"/>
        <v/>
      </c>
      <c r="E339" s="217" t="str">
        <f t="shared" si="72"/>
        <v/>
      </c>
      <c r="F339" s="217" t="str">
        <f t="shared" si="72"/>
        <v/>
      </c>
      <c r="G339" s="217" t="str">
        <f t="shared" si="72"/>
        <v/>
      </c>
      <c r="H339" s="217" t="str">
        <f t="shared" si="72"/>
        <v/>
      </c>
      <c r="I339" s="217" t="str">
        <f t="shared" si="72"/>
        <v/>
      </c>
      <c r="J339" s="217" t="str">
        <f t="shared" si="72"/>
        <v/>
      </c>
      <c r="K339" s="217" t="str">
        <f t="shared" si="72"/>
        <v/>
      </c>
      <c r="L339" s="217" t="str">
        <f t="shared" si="73"/>
        <v>info</v>
      </c>
      <c r="M339" s="217" t="str">
        <f t="shared" si="73"/>
        <v>x</v>
      </c>
      <c r="N339" s="217" t="str">
        <f t="shared" si="73"/>
        <v/>
      </c>
      <c r="O339" s="217" t="str">
        <f t="shared" si="73"/>
        <v>model</v>
      </c>
      <c r="P339" s="218" t="str">
        <f t="shared" si="73"/>
        <v>Integer</v>
      </c>
      <c r="Q339" s="218" t="str">
        <f t="shared" si="73"/>
        <v>x</v>
      </c>
      <c r="R339" s="218" t="str">
        <f t="shared" si="73"/>
        <v>BS</v>
      </c>
      <c r="S339" s="218" t="str">
        <f t="shared" si="73"/>
        <v>all</v>
      </c>
      <c r="T339" s="217">
        <f t="shared" si="73"/>
        <v>1</v>
      </c>
      <c r="U339" s="217" t="str">
        <f t="shared" si="73"/>
        <v>Einzuziehende Schichten</v>
      </c>
      <c r="V339" s="217" t="str">
        <f t="shared" si="73"/>
        <v>x</v>
      </c>
      <c r="W339" s="217" t="str">
        <f t="shared" si="73"/>
        <v/>
      </c>
      <c r="X339" s="217" t="str">
        <f t="shared" si="73"/>
        <v/>
      </c>
      <c r="Y339" s="217" t="str">
        <f t="shared" si="73"/>
        <v>gs_nTurn</v>
      </c>
    </row>
    <row r="340" spans="1:25" x14ac:dyDescent="0.3">
      <c r="A340" s="216">
        <f t="shared" si="69"/>
        <v>338</v>
      </c>
      <c r="B340" s="217" t="str">
        <f t="shared" si="72"/>
        <v>x</v>
      </c>
      <c r="C340" s="217" t="str">
        <f t="shared" si="72"/>
        <v/>
      </c>
      <c r="D340" s="217" t="str">
        <f t="shared" si="72"/>
        <v/>
      </c>
      <c r="E340" s="217" t="str">
        <f t="shared" si="72"/>
        <v/>
      </c>
      <c r="F340" s="217" t="str">
        <f t="shared" si="72"/>
        <v/>
      </c>
      <c r="G340" s="217" t="str">
        <f t="shared" si="72"/>
        <v/>
      </c>
      <c r="H340" s="217" t="str">
        <f t="shared" si="72"/>
        <v/>
      </c>
      <c r="I340" s="217" t="str">
        <f t="shared" si="72"/>
        <v/>
      </c>
      <c r="J340" s="217" t="str">
        <f t="shared" si="72"/>
        <v/>
      </c>
      <c r="K340" s="217" t="str">
        <f t="shared" si="72"/>
        <v/>
      </c>
      <c r="L340" s="217" t="str">
        <f t="shared" si="73"/>
        <v>info</v>
      </c>
      <c r="M340" s="217" t="str">
        <f t="shared" si="73"/>
        <v>x</v>
      </c>
      <c r="N340" s="217" t="str">
        <f t="shared" si="73"/>
        <v/>
      </c>
      <c r="O340" s="217" t="str">
        <f t="shared" si="73"/>
        <v>model</v>
      </c>
      <c r="P340" s="218" t="str">
        <f t="shared" si="73"/>
        <v>String</v>
      </c>
      <c r="Q340" s="218" t="str">
        <f t="shared" si="73"/>
        <v>x</v>
      </c>
      <c r="R340" s="218" t="str">
        <f t="shared" si="73"/>
        <v>BS</v>
      </c>
      <c r="S340" s="218" t="str">
        <f t="shared" si="73"/>
        <v>all</v>
      </c>
      <c r="T340" s="217" t="str">
        <f t="shared" si="73"/>
        <v>Außenseite</v>
      </c>
      <c r="U340" s="217" t="str">
        <f t="shared" si="73"/>
        <v>Schichten von</v>
      </c>
      <c r="V340" s="217" t="str">
        <f t="shared" si="73"/>
        <v>x</v>
      </c>
      <c r="W340" s="217" t="str">
        <f t="shared" si="73"/>
        <v/>
      </c>
      <c r="X340" s="217" t="str">
        <f t="shared" si="73"/>
        <v/>
      </c>
      <c r="Y340" s="217" t="str">
        <f t="shared" si="73"/>
        <v>gs_nTurnDir</v>
      </c>
    </row>
    <row r="341" spans="1:25" x14ac:dyDescent="0.3">
      <c r="A341" s="216">
        <f t="shared" si="69"/>
        <v>339</v>
      </c>
      <c r="B341" s="217" t="str">
        <f t="shared" si="72"/>
        <v>x</v>
      </c>
      <c r="C341" s="217" t="str">
        <f t="shared" si="72"/>
        <v>x</v>
      </c>
      <c r="D341" s="217" t="str">
        <f t="shared" si="72"/>
        <v/>
      </c>
      <c r="E341" s="217" t="str">
        <f t="shared" si="72"/>
        <v/>
      </c>
      <c r="F341" s="217" t="str">
        <f t="shared" si="72"/>
        <v/>
      </c>
      <c r="G341" s="217" t="str">
        <f t="shared" si="72"/>
        <v/>
      </c>
      <c r="H341" s="217" t="str">
        <f t="shared" si="72"/>
        <v/>
      </c>
      <c r="I341" s="217" t="str">
        <f t="shared" si="72"/>
        <v/>
      </c>
      <c r="J341" s="217" t="str">
        <f t="shared" si="72"/>
        <v/>
      </c>
      <c r="K341" s="217" t="str">
        <f t="shared" si="72"/>
        <v/>
      </c>
      <c r="L341" s="217" t="str">
        <f t="shared" si="73"/>
        <v>info</v>
      </c>
      <c r="M341" s="217" t="str">
        <f t="shared" si="73"/>
        <v>x</v>
      </c>
      <c r="N341" s="217" t="str">
        <f t="shared" si="73"/>
        <v/>
      </c>
      <c r="O341" s="217" t="str">
        <f t="shared" si="73"/>
        <v>model</v>
      </c>
      <c r="P341" s="218" t="str">
        <f t="shared" si="73"/>
        <v>Integer</v>
      </c>
      <c r="Q341" s="218" t="str">
        <f t="shared" si="73"/>
        <v>x</v>
      </c>
      <c r="R341" s="218" t="str">
        <f t="shared" si="73"/>
        <v>BS</v>
      </c>
      <c r="S341" s="218" t="str">
        <f t="shared" si="73"/>
        <v>all</v>
      </c>
      <c r="T341" s="217">
        <f t="shared" si="73"/>
        <v>1</v>
      </c>
      <c r="U341" s="217" t="str">
        <f t="shared" si="73"/>
        <v>Schichten von</v>
      </c>
      <c r="V341" s="217" t="str">
        <f t="shared" si="73"/>
        <v>x</v>
      </c>
      <c r="W341" s="217" t="str">
        <f t="shared" si="73"/>
        <v/>
      </c>
      <c r="X341" s="217" t="str">
        <f t="shared" si="73"/>
        <v/>
      </c>
      <c r="Y341" s="217" t="str">
        <f t="shared" si="73"/>
        <v>iCavityClosureTurnDir</v>
      </c>
    </row>
    <row r="342" spans="1:25" x14ac:dyDescent="0.3">
      <c r="A342" s="216">
        <f t="shared" si="69"/>
        <v>340</v>
      </c>
      <c r="B342" s="217" t="str">
        <f t="shared" si="72"/>
        <v>x</v>
      </c>
      <c r="C342" s="217" t="str">
        <f t="shared" si="72"/>
        <v/>
      </c>
      <c r="D342" s="217" t="str">
        <f t="shared" si="72"/>
        <v/>
      </c>
      <c r="E342" s="217" t="str">
        <f t="shared" si="72"/>
        <v/>
      </c>
      <c r="F342" s="217" t="str">
        <f t="shared" si="72"/>
        <v/>
      </c>
      <c r="G342" s="217" t="str">
        <f t="shared" si="72"/>
        <v/>
      </c>
      <c r="H342" s="217" t="str">
        <f t="shared" si="72"/>
        <v/>
      </c>
      <c r="I342" s="217" t="str">
        <f t="shared" si="72"/>
        <v/>
      </c>
      <c r="J342" s="217" t="str">
        <f t="shared" si="72"/>
        <v/>
      </c>
      <c r="K342" s="217" t="str">
        <f t="shared" si="72"/>
        <v/>
      </c>
      <c r="L342" s="217" t="str">
        <f t="shared" si="73"/>
        <v>info</v>
      </c>
      <c r="M342" s="217" t="str">
        <f t="shared" si="73"/>
        <v>x</v>
      </c>
      <c r="N342" s="217" t="str">
        <f t="shared" si="73"/>
        <v/>
      </c>
      <c r="O342" s="217" t="str">
        <f t="shared" si="73"/>
        <v>model</v>
      </c>
      <c r="P342" s="218" t="str">
        <f t="shared" si="73"/>
        <v>Boolean</v>
      </c>
      <c r="Q342" s="218" t="str">
        <f t="shared" si="73"/>
        <v>x</v>
      </c>
      <c r="R342" s="218" t="str">
        <f t="shared" si="73"/>
        <v>BS</v>
      </c>
      <c r="S342" s="218" t="str">
        <f t="shared" si="73"/>
        <v>all</v>
      </c>
      <c r="T342" s="217">
        <f t="shared" si="73"/>
        <v>1</v>
      </c>
      <c r="U342" s="217" t="str">
        <f t="shared" si="73"/>
        <v>Schichteinzug auf Seite 2</v>
      </c>
      <c r="V342" s="217" t="str">
        <f t="shared" si="73"/>
        <v>x</v>
      </c>
      <c r="W342" s="217" t="str">
        <f t="shared" si="73"/>
        <v/>
      </c>
      <c r="X342" s="217" t="str">
        <f t="shared" si="73"/>
        <v/>
      </c>
      <c r="Y342" s="217" t="str">
        <f t="shared" si="73"/>
        <v>gs_cc_dutch_ShowLeft</v>
      </c>
    </row>
    <row r="343" spans="1:25" x14ac:dyDescent="0.3">
      <c r="A343" s="216">
        <f t="shared" si="69"/>
        <v>341</v>
      </c>
      <c r="B343" s="217" t="str">
        <f t="shared" ref="B343:K352" si="74">IF(ISNONTEXT(B$2),IF(B$2="","",IF(INDEX(IMPORT,$A343,B$2)=0,"",IFERROR(VLOOKUP(INDEX(IMPORT,$A343,B$2),ImportTranslation,2,0),INDEX(IMPORT,$A343,B$2)))),B$2)</f>
        <v>x</v>
      </c>
      <c r="C343" s="217" t="str">
        <f t="shared" si="74"/>
        <v/>
      </c>
      <c r="D343" s="217" t="str">
        <f t="shared" si="74"/>
        <v/>
      </c>
      <c r="E343" s="217" t="str">
        <f t="shared" si="74"/>
        <v/>
      </c>
      <c r="F343" s="217" t="str">
        <f t="shared" si="74"/>
        <v/>
      </c>
      <c r="G343" s="217" t="str">
        <f t="shared" si="74"/>
        <v/>
      </c>
      <c r="H343" s="217" t="str">
        <f t="shared" si="74"/>
        <v/>
      </c>
      <c r="I343" s="217" t="str">
        <f t="shared" si="74"/>
        <v/>
      </c>
      <c r="J343" s="217" t="str">
        <f t="shared" si="74"/>
        <v/>
      </c>
      <c r="K343" s="217" t="str">
        <f t="shared" si="74"/>
        <v/>
      </c>
      <c r="L343" s="217" t="str">
        <f t="shared" ref="L343:Y352" si="75">IF(ISNONTEXT(L$2),IF(L$2="","",IF(INDEX(IMPORT,$A343,L$2)=0,"",IFERROR(VLOOKUP(INDEX(IMPORT,$A343,L$2),ImportTranslation,2,0),INDEX(IMPORT,$A343,L$2)))),L$2)</f>
        <v>info</v>
      </c>
      <c r="M343" s="217" t="str">
        <f t="shared" si="75"/>
        <v>x</v>
      </c>
      <c r="N343" s="217" t="str">
        <f t="shared" si="75"/>
        <v/>
      </c>
      <c r="O343" s="217" t="str">
        <f t="shared" si="75"/>
        <v>model</v>
      </c>
      <c r="P343" s="218" t="str">
        <f t="shared" si="75"/>
        <v>Boolean</v>
      </c>
      <c r="Q343" s="218" t="str">
        <f t="shared" si="75"/>
        <v>x</v>
      </c>
      <c r="R343" s="218" t="str">
        <f t="shared" si="75"/>
        <v>BS</v>
      </c>
      <c r="S343" s="218" t="str">
        <f t="shared" si="75"/>
        <v>all</v>
      </c>
      <c r="T343" s="217">
        <f t="shared" si="75"/>
        <v>1</v>
      </c>
      <c r="U343" s="217" t="str">
        <f t="shared" si="75"/>
        <v>Schichteinzug auf Seite 1</v>
      </c>
      <c r="V343" s="217" t="str">
        <f t="shared" si="75"/>
        <v>x</v>
      </c>
      <c r="W343" s="217" t="str">
        <f t="shared" si="75"/>
        <v/>
      </c>
      <c r="X343" s="217" t="str">
        <f t="shared" si="75"/>
        <v/>
      </c>
      <c r="Y343" s="217" t="str">
        <f t="shared" si="75"/>
        <v>gs_cc_dutch_ShowRight</v>
      </c>
    </row>
    <row r="344" spans="1:25" x14ac:dyDescent="0.3">
      <c r="A344" s="216">
        <f t="shared" si="69"/>
        <v>342</v>
      </c>
      <c r="B344" s="217" t="str">
        <f t="shared" si="74"/>
        <v>x</v>
      </c>
      <c r="C344" s="217" t="str">
        <f t="shared" si="74"/>
        <v/>
      </c>
      <c r="D344" s="217" t="str">
        <f t="shared" si="74"/>
        <v/>
      </c>
      <c r="E344" s="217" t="str">
        <f t="shared" si="74"/>
        <v/>
      </c>
      <c r="F344" s="217" t="str">
        <f t="shared" si="74"/>
        <v/>
      </c>
      <c r="G344" s="217" t="str">
        <f t="shared" si="74"/>
        <v/>
      </c>
      <c r="H344" s="217" t="str">
        <f t="shared" si="74"/>
        <v/>
      </c>
      <c r="I344" s="217" t="str">
        <f t="shared" si="74"/>
        <v/>
      </c>
      <c r="J344" s="217" t="str">
        <f t="shared" si="74"/>
        <v/>
      </c>
      <c r="K344" s="217" t="str">
        <f t="shared" si="74"/>
        <v/>
      </c>
      <c r="L344" s="217" t="str">
        <f t="shared" si="75"/>
        <v>info</v>
      </c>
      <c r="M344" s="217" t="str">
        <f t="shared" si="75"/>
        <v>x</v>
      </c>
      <c r="N344" s="217" t="str">
        <f t="shared" si="75"/>
        <v/>
      </c>
      <c r="O344" s="217" t="str">
        <f t="shared" si="75"/>
        <v>model</v>
      </c>
      <c r="P344" s="218" t="str">
        <f t="shared" si="75"/>
        <v>Boolean</v>
      </c>
      <c r="Q344" s="218" t="str">
        <f t="shared" si="75"/>
        <v>x</v>
      </c>
      <c r="R344" s="218" t="str">
        <f t="shared" si="75"/>
        <v>BS</v>
      </c>
      <c r="S344" s="218" t="str">
        <f t="shared" si="75"/>
        <v>all</v>
      </c>
      <c r="T344" s="217" t="str">
        <f t="shared" si="75"/>
        <v/>
      </c>
      <c r="U344" s="217" t="str">
        <f t="shared" si="75"/>
        <v>Schichteinzug oben</v>
      </c>
      <c r="V344" s="217" t="str">
        <f t="shared" si="75"/>
        <v>x</v>
      </c>
      <c r="W344" s="217" t="str">
        <f t="shared" si="75"/>
        <v/>
      </c>
      <c r="X344" s="217" t="str">
        <f t="shared" si="75"/>
        <v/>
      </c>
      <c r="Y344" s="217" t="str">
        <f t="shared" si="75"/>
        <v>gs_cc_dutch_ShowTop</v>
      </c>
    </row>
    <row r="345" spans="1:25" x14ac:dyDescent="0.3">
      <c r="A345" s="216">
        <f t="shared" si="69"/>
        <v>343</v>
      </c>
      <c r="B345" s="217" t="str">
        <f t="shared" si="74"/>
        <v>x</v>
      </c>
      <c r="C345" s="217" t="str">
        <f t="shared" si="74"/>
        <v/>
      </c>
      <c r="D345" s="217" t="str">
        <f t="shared" si="74"/>
        <v/>
      </c>
      <c r="E345" s="217" t="str">
        <f t="shared" si="74"/>
        <v/>
      </c>
      <c r="F345" s="217" t="str">
        <f t="shared" si="74"/>
        <v/>
      </c>
      <c r="G345" s="217" t="str">
        <f t="shared" si="74"/>
        <v/>
      </c>
      <c r="H345" s="217" t="str">
        <f t="shared" si="74"/>
        <v/>
      </c>
      <c r="I345" s="217" t="str">
        <f t="shared" si="74"/>
        <v/>
      </c>
      <c r="J345" s="217" t="str">
        <f t="shared" si="74"/>
        <v/>
      </c>
      <c r="K345" s="217" t="str">
        <f t="shared" si="74"/>
        <v/>
      </c>
      <c r="L345" s="217" t="str">
        <f t="shared" si="75"/>
        <v>info</v>
      </c>
      <c r="M345" s="217" t="str">
        <f t="shared" si="75"/>
        <v>x</v>
      </c>
      <c r="N345" s="217" t="str">
        <f t="shared" si="75"/>
        <v/>
      </c>
      <c r="O345" s="217" t="str">
        <f t="shared" si="75"/>
        <v>model</v>
      </c>
      <c r="P345" s="218" t="str">
        <f t="shared" si="75"/>
        <v>Boolean</v>
      </c>
      <c r="Q345" s="218" t="str">
        <f t="shared" si="75"/>
        <v>x</v>
      </c>
      <c r="R345" s="218" t="str">
        <f t="shared" si="75"/>
        <v>BS</v>
      </c>
      <c r="S345" s="218" t="str">
        <f t="shared" si="75"/>
        <v>all</v>
      </c>
      <c r="T345" s="217" t="str">
        <f t="shared" si="75"/>
        <v/>
      </c>
      <c r="U345" s="217" t="str">
        <f t="shared" si="75"/>
        <v>Schichteinzug unten</v>
      </c>
      <c r="V345" s="217" t="str">
        <f t="shared" si="75"/>
        <v>x</v>
      </c>
      <c r="W345" s="217" t="str">
        <f t="shared" si="75"/>
        <v/>
      </c>
      <c r="X345" s="217" t="str">
        <f t="shared" si="75"/>
        <v/>
      </c>
      <c r="Y345" s="217" t="str">
        <f t="shared" si="75"/>
        <v>gs_cc_dutch_ShowBottom</v>
      </c>
    </row>
    <row r="346" spans="1:25" x14ac:dyDescent="0.3">
      <c r="A346" s="216">
        <f t="shared" si="69"/>
        <v>344</v>
      </c>
      <c r="B346" s="217" t="str">
        <f t="shared" si="74"/>
        <v>x</v>
      </c>
      <c r="C346" s="217" t="str">
        <f t="shared" si="74"/>
        <v/>
      </c>
      <c r="D346" s="217" t="str">
        <f t="shared" si="74"/>
        <v/>
      </c>
      <c r="E346" s="217" t="str">
        <f t="shared" si="74"/>
        <v/>
      </c>
      <c r="F346" s="217" t="str">
        <f t="shared" si="74"/>
        <v/>
      </c>
      <c r="G346" s="217" t="str">
        <f t="shared" si="74"/>
        <v/>
      </c>
      <c r="H346" s="217" t="str">
        <f t="shared" si="74"/>
        <v/>
      </c>
      <c r="I346" s="217" t="str">
        <f t="shared" si="74"/>
        <v/>
      </c>
      <c r="J346" s="217" t="str">
        <f t="shared" si="74"/>
        <v/>
      </c>
      <c r="K346" s="217" t="str">
        <f t="shared" si="74"/>
        <v/>
      </c>
      <c r="L346" s="217" t="str">
        <f t="shared" si="75"/>
        <v>info</v>
      </c>
      <c r="M346" s="217" t="str">
        <f t="shared" si="75"/>
        <v>x</v>
      </c>
      <c r="N346" s="217" t="str">
        <f t="shared" si="75"/>
        <v/>
      </c>
      <c r="O346" s="217" t="str">
        <f t="shared" si="75"/>
        <v>model</v>
      </c>
      <c r="P346" s="218" t="str">
        <f t="shared" si="75"/>
        <v>Integer</v>
      </c>
      <c r="Q346" s="218" t="str">
        <f t="shared" si="75"/>
        <v>x</v>
      </c>
      <c r="R346" s="218" t="str">
        <f t="shared" si="75"/>
        <v>BS</v>
      </c>
      <c r="S346" s="218" t="str">
        <f t="shared" si="75"/>
        <v>all</v>
      </c>
      <c r="T346" s="217">
        <f t="shared" si="75"/>
        <v>1</v>
      </c>
      <c r="U346" s="217" t="str">
        <f t="shared" si="75"/>
        <v>Schichteinzug zu Schicht</v>
      </c>
      <c r="V346" s="217" t="str">
        <f t="shared" si="75"/>
        <v>x</v>
      </c>
      <c r="W346" s="217" t="str">
        <f t="shared" si="75"/>
        <v/>
      </c>
      <c r="X346" s="217" t="str">
        <f t="shared" si="75"/>
        <v/>
      </c>
      <c r="Y346" s="217" t="str">
        <f t="shared" si="75"/>
        <v>gs_cc_dutch_ClosureToSkin</v>
      </c>
    </row>
    <row r="347" spans="1:25" x14ac:dyDescent="0.3">
      <c r="A347" s="216">
        <f t="shared" si="69"/>
        <v>345</v>
      </c>
      <c r="B347" s="217" t="str">
        <f t="shared" si="74"/>
        <v>x</v>
      </c>
      <c r="C347" s="217" t="str">
        <f t="shared" si="74"/>
        <v/>
      </c>
      <c r="D347" s="217" t="str">
        <f t="shared" si="74"/>
        <v/>
      </c>
      <c r="E347" s="217" t="str">
        <f t="shared" si="74"/>
        <v/>
      </c>
      <c r="F347" s="217" t="str">
        <f t="shared" si="74"/>
        <v/>
      </c>
      <c r="G347" s="217" t="str">
        <f t="shared" si="74"/>
        <v/>
      </c>
      <c r="H347" s="217" t="str">
        <f t="shared" si="74"/>
        <v/>
      </c>
      <c r="I347" s="217" t="str">
        <f t="shared" si="74"/>
        <v/>
      </c>
      <c r="J347" s="217" t="str">
        <f t="shared" si="74"/>
        <v/>
      </c>
      <c r="K347" s="217" t="str">
        <f t="shared" si="74"/>
        <v/>
      </c>
      <c r="L347" s="217" t="str">
        <f t="shared" si="75"/>
        <v>info</v>
      </c>
      <c r="M347" s="217" t="str">
        <f t="shared" si="75"/>
        <v>x</v>
      </c>
      <c r="N347" s="217" t="str">
        <f t="shared" si="75"/>
        <v/>
      </c>
      <c r="O347" s="217" t="str">
        <f t="shared" si="75"/>
        <v>model</v>
      </c>
      <c r="P347" s="218" t="str">
        <f t="shared" si="75"/>
        <v>String</v>
      </c>
      <c r="Q347" s="218" t="str">
        <f t="shared" si="75"/>
        <v>x</v>
      </c>
      <c r="R347" s="218" t="str">
        <f t="shared" si="75"/>
        <v>BS</v>
      </c>
      <c r="S347" s="218" t="str">
        <f t="shared" si="75"/>
        <v>all</v>
      </c>
      <c r="T347" s="217" t="str">
        <f t="shared" si="75"/>
        <v/>
      </c>
      <c r="U347" s="217" t="str">
        <f t="shared" si="75"/>
        <v>Schichteinzug von Seite</v>
      </c>
      <c r="V347" s="217" t="str">
        <f t="shared" si="75"/>
        <v>x</v>
      </c>
      <c r="W347" s="217" t="str">
        <f t="shared" si="75"/>
        <v/>
      </c>
      <c r="X347" s="217" t="str">
        <f t="shared" si="75"/>
        <v/>
      </c>
      <c r="Y347" s="217" t="str">
        <f t="shared" si="75"/>
        <v>gs_cc_dutch_ClosureToSide_str</v>
      </c>
    </row>
    <row r="348" spans="1:25" x14ac:dyDescent="0.3">
      <c r="A348" s="216">
        <f t="shared" si="69"/>
        <v>346</v>
      </c>
      <c r="B348" s="217" t="str">
        <f t="shared" si="74"/>
        <v>x</v>
      </c>
      <c r="C348" s="217" t="str">
        <f t="shared" si="74"/>
        <v/>
      </c>
      <c r="D348" s="217" t="str">
        <f t="shared" si="74"/>
        <v/>
      </c>
      <c r="E348" s="217" t="str">
        <f t="shared" si="74"/>
        <v/>
      </c>
      <c r="F348" s="217" t="str">
        <f t="shared" si="74"/>
        <v/>
      </c>
      <c r="G348" s="217" t="str">
        <f t="shared" si="74"/>
        <v/>
      </c>
      <c r="H348" s="217" t="str">
        <f t="shared" si="74"/>
        <v/>
      </c>
      <c r="I348" s="217" t="str">
        <f t="shared" si="74"/>
        <v/>
      </c>
      <c r="J348" s="217" t="str">
        <f t="shared" si="74"/>
        <v/>
      </c>
      <c r="K348" s="217" t="str">
        <f t="shared" si="74"/>
        <v/>
      </c>
      <c r="L348" s="217" t="str">
        <f t="shared" si="75"/>
        <v>info</v>
      </c>
      <c r="M348" s="217" t="str">
        <f t="shared" si="75"/>
        <v>x</v>
      </c>
      <c r="N348" s="217" t="str">
        <f t="shared" si="75"/>
        <v/>
      </c>
      <c r="O348" s="217" t="str">
        <f t="shared" si="75"/>
        <v>model</v>
      </c>
      <c r="P348" s="218" t="str">
        <f t="shared" si="75"/>
        <v>Integer</v>
      </c>
      <c r="Q348" s="218" t="str">
        <f t="shared" si="75"/>
        <v>x</v>
      </c>
      <c r="R348" s="218" t="str">
        <f t="shared" si="75"/>
        <v>BS</v>
      </c>
      <c r="S348" s="218" t="str">
        <f t="shared" si="75"/>
        <v>all</v>
      </c>
      <c r="T348" s="217">
        <f t="shared" si="75"/>
        <v>1</v>
      </c>
      <c r="U348" s="217" t="str">
        <f t="shared" si="75"/>
        <v>Schichteinzug von Seite</v>
      </c>
      <c r="V348" s="217" t="str">
        <f t="shared" si="75"/>
        <v>x</v>
      </c>
      <c r="W348" s="217" t="str">
        <f t="shared" si="75"/>
        <v/>
      </c>
      <c r="X348" s="217" t="str">
        <f t="shared" si="75"/>
        <v/>
      </c>
      <c r="Y348" s="217" t="str">
        <f t="shared" si="75"/>
        <v>gs_cc_dutch_ClosureToSide</v>
      </c>
    </row>
    <row r="349" spans="1:25" x14ac:dyDescent="0.3">
      <c r="A349" s="216">
        <f t="shared" si="69"/>
        <v>347</v>
      </c>
      <c r="B349" s="217" t="str">
        <f t="shared" si="74"/>
        <v>x</v>
      </c>
      <c r="C349" s="217" t="str">
        <f t="shared" si="74"/>
        <v/>
      </c>
      <c r="D349" s="217" t="str">
        <f t="shared" si="74"/>
        <v/>
      </c>
      <c r="E349" s="217" t="str">
        <f t="shared" si="74"/>
        <v/>
      </c>
      <c r="F349" s="217" t="str">
        <f t="shared" si="74"/>
        <v/>
      </c>
      <c r="G349" s="217" t="str">
        <f t="shared" si="74"/>
        <v/>
      </c>
      <c r="H349" s="217" t="str">
        <f t="shared" si="74"/>
        <v/>
      </c>
      <c r="I349" s="217" t="str">
        <f t="shared" si="74"/>
        <v/>
      </c>
      <c r="J349" s="217" t="str">
        <f t="shared" si="74"/>
        <v/>
      </c>
      <c r="K349" s="217" t="str">
        <f t="shared" si="74"/>
        <v/>
      </c>
      <c r="L349" s="217" t="str">
        <f t="shared" si="75"/>
        <v>info</v>
      </c>
      <c r="M349" s="217" t="str">
        <f t="shared" si="75"/>
        <v>x</v>
      </c>
      <c r="N349" s="217" t="str">
        <f t="shared" si="75"/>
        <v/>
      </c>
      <c r="O349" s="217" t="str">
        <f t="shared" si="75"/>
        <v>model</v>
      </c>
      <c r="P349" s="218" t="str">
        <f t="shared" si="75"/>
        <v>Boolean</v>
      </c>
      <c r="Q349" s="218" t="str">
        <f t="shared" si="75"/>
        <v>x</v>
      </c>
      <c r="R349" s="218" t="str">
        <f t="shared" si="75"/>
        <v>BS</v>
      </c>
      <c r="S349" s="218" t="str">
        <f t="shared" si="75"/>
        <v>all</v>
      </c>
      <c r="T349" s="217" t="str">
        <f t="shared" si="75"/>
        <v/>
      </c>
      <c r="U349" s="217" t="str">
        <f t="shared" si="75"/>
        <v>Schicht einziehen zu Abschluss</v>
      </c>
      <c r="V349" s="217" t="str">
        <f t="shared" si="75"/>
        <v>x</v>
      </c>
      <c r="W349" s="217" t="str">
        <f t="shared" si="75"/>
        <v/>
      </c>
      <c r="X349" s="217" t="str">
        <f t="shared" si="75"/>
        <v/>
      </c>
      <c r="Y349" s="217" t="str">
        <f t="shared" si="75"/>
        <v>gs_cc_dutch_TurnToClosure</v>
      </c>
    </row>
    <row r="350" spans="1:25" x14ac:dyDescent="0.3">
      <c r="A350" s="216">
        <f t="shared" si="69"/>
        <v>348</v>
      </c>
      <c r="B350" s="217" t="str">
        <f t="shared" si="74"/>
        <v>x</v>
      </c>
      <c r="C350" s="217" t="str">
        <f t="shared" si="74"/>
        <v/>
      </c>
      <c r="D350" s="217" t="str">
        <f t="shared" si="74"/>
        <v/>
      </c>
      <c r="E350" s="217" t="str">
        <f t="shared" si="74"/>
        <v/>
      </c>
      <c r="F350" s="217" t="str">
        <f t="shared" si="74"/>
        <v/>
      </c>
      <c r="G350" s="217" t="str">
        <f t="shared" si="74"/>
        <v/>
      </c>
      <c r="H350" s="217" t="str">
        <f t="shared" si="74"/>
        <v/>
      </c>
      <c r="I350" s="217" t="str">
        <f t="shared" si="74"/>
        <v/>
      </c>
      <c r="J350" s="217" t="str">
        <f t="shared" si="74"/>
        <v/>
      </c>
      <c r="K350" s="217" t="str">
        <f t="shared" si="74"/>
        <v/>
      </c>
      <c r="L350" s="217" t="str">
        <f t="shared" si="75"/>
        <v>info</v>
      </c>
      <c r="M350" s="217" t="str">
        <f t="shared" si="75"/>
        <v>x</v>
      </c>
      <c r="N350" s="217" t="str">
        <f t="shared" si="75"/>
        <v/>
      </c>
      <c r="O350" s="217" t="str">
        <f t="shared" si="75"/>
        <v>model</v>
      </c>
      <c r="P350" s="218" t="str">
        <f t="shared" si="75"/>
        <v>Length</v>
      </c>
      <c r="Q350" s="218" t="str">
        <f t="shared" si="75"/>
        <v>x</v>
      </c>
      <c r="R350" s="218" t="str">
        <f t="shared" si="75"/>
        <v>BS</v>
      </c>
      <c r="S350" s="218" t="str">
        <f t="shared" si="75"/>
        <v>all</v>
      </c>
      <c r="T350" s="217" t="str">
        <f t="shared" si="75"/>
        <v/>
      </c>
      <c r="U350" s="217" t="str">
        <f t="shared" si="75"/>
        <v>Abstand Schicht zu Abschluss</v>
      </c>
      <c r="V350" s="217" t="str">
        <f t="shared" si="75"/>
        <v>x</v>
      </c>
      <c r="W350" s="217" t="str">
        <f t="shared" si="75"/>
        <v/>
      </c>
      <c r="X350" s="217" t="str">
        <f t="shared" si="75"/>
        <v/>
      </c>
      <c r="Y350" s="217" t="str">
        <f t="shared" si="75"/>
        <v>gs_cc_dutch_TurnToClosureOffs</v>
      </c>
    </row>
    <row r="351" spans="1:25" x14ac:dyDescent="0.3">
      <c r="A351" s="216">
        <f t="shared" si="69"/>
        <v>349</v>
      </c>
      <c r="B351" s="217" t="str">
        <f t="shared" si="74"/>
        <v>x</v>
      </c>
      <c r="C351" s="217" t="str">
        <f t="shared" si="74"/>
        <v/>
      </c>
      <c r="D351" s="217" t="str">
        <f t="shared" si="74"/>
        <v/>
      </c>
      <c r="E351" s="217" t="str">
        <f t="shared" si="74"/>
        <v/>
      </c>
      <c r="F351" s="217" t="str">
        <f t="shared" si="74"/>
        <v/>
      </c>
      <c r="G351" s="217" t="str">
        <f t="shared" si="74"/>
        <v/>
      </c>
      <c r="H351" s="217" t="str">
        <f t="shared" si="74"/>
        <v/>
      </c>
      <c r="I351" s="217" t="str">
        <f t="shared" si="74"/>
        <v/>
      </c>
      <c r="J351" s="217" t="str">
        <f t="shared" si="74"/>
        <v/>
      </c>
      <c r="K351" s="217" t="str">
        <f t="shared" si="74"/>
        <v/>
      </c>
      <c r="L351" s="217" t="str">
        <f t="shared" si="75"/>
        <v>info</v>
      </c>
      <c r="M351" s="217" t="str">
        <f t="shared" si="75"/>
        <v>x</v>
      </c>
      <c r="N351" s="217" t="str">
        <f t="shared" si="75"/>
        <v/>
      </c>
      <c r="O351" s="217" t="str">
        <f t="shared" si="75"/>
        <v>model</v>
      </c>
      <c r="P351" s="218" t="str">
        <f t="shared" si="75"/>
        <v>Length</v>
      </c>
      <c r="Q351" s="218" t="str">
        <f t="shared" si="75"/>
        <v>x</v>
      </c>
      <c r="R351" s="218" t="str">
        <f t="shared" si="75"/>
        <v>BS</v>
      </c>
      <c r="S351" s="218" t="str">
        <f t="shared" si="75"/>
        <v>all</v>
      </c>
      <c r="T351" s="217">
        <f t="shared" si="75"/>
        <v>3.7999999999999999E-2</v>
      </c>
      <c r="U351" s="217" t="str">
        <f t="shared" si="75"/>
        <v>Anschluss Breite</v>
      </c>
      <c r="V351" s="217" t="str">
        <f t="shared" si="75"/>
        <v>x</v>
      </c>
      <c r="W351" s="217" t="str">
        <f t="shared" si="75"/>
        <v/>
      </c>
      <c r="X351" s="217" t="str">
        <f t="shared" si="75"/>
        <v/>
      </c>
      <c r="Y351" s="217" t="str">
        <f t="shared" si="75"/>
        <v>gs_cc_dutch_widthJoint</v>
      </c>
    </row>
    <row r="352" spans="1:25" x14ac:dyDescent="0.3">
      <c r="A352" s="216">
        <f t="shared" si="69"/>
        <v>350</v>
      </c>
      <c r="B352" s="217" t="str">
        <f t="shared" si="74"/>
        <v>x</v>
      </c>
      <c r="C352" s="217" t="str">
        <f t="shared" si="74"/>
        <v/>
      </c>
      <c r="D352" s="217" t="str">
        <f t="shared" si="74"/>
        <v/>
      </c>
      <c r="E352" s="217" t="str">
        <f t="shared" si="74"/>
        <v/>
      </c>
      <c r="F352" s="217" t="str">
        <f t="shared" si="74"/>
        <v/>
      </c>
      <c r="G352" s="217" t="str">
        <f t="shared" si="74"/>
        <v/>
      </c>
      <c r="H352" s="217" t="str">
        <f t="shared" si="74"/>
        <v/>
      </c>
      <c r="I352" s="217" t="str">
        <f t="shared" si="74"/>
        <v/>
      </c>
      <c r="J352" s="217" t="str">
        <f t="shared" si="74"/>
        <v/>
      </c>
      <c r="K352" s="217" t="str">
        <f t="shared" si="74"/>
        <v/>
      </c>
      <c r="L352" s="217" t="str">
        <f t="shared" si="75"/>
        <v>info</v>
      </c>
      <c r="M352" s="217" t="str">
        <f t="shared" si="75"/>
        <v>x</v>
      </c>
      <c r="N352" s="217" t="str">
        <f t="shared" si="75"/>
        <v/>
      </c>
      <c r="O352" s="217" t="str">
        <f t="shared" si="75"/>
        <v>model</v>
      </c>
      <c r="P352" s="218" t="str">
        <f t="shared" si="75"/>
        <v>Length</v>
      </c>
      <c r="Q352" s="218" t="str">
        <f t="shared" si="75"/>
        <v>x</v>
      </c>
      <c r="R352" s="218" t="str">
        <f t="shared" si="75"/>
        <v>BS</v>
      </c>
      <c r="S352" s="218" t="str">
        <f t="shared" si="75"/>
        <v>all</v>
      </c>
      <c r="T352" s="217">
        <f t="shared" si="75"/>
        <v>0.1</v>
      </c>
      <c r="U352" s="217" t="str">
        <f t="shared" si="75"/>
        <v>Anschluss Dicke</v>
      </c>
      <c r="V352" s="217" t="str">
        <f t="shared" si="75"/>
        <v>x</v>
      </c>
      <c r="W352" s="217" t="str">
        <f t="shared" si="75"/>
        <v/>
      </c>
      <c r="X352" s="217" t="str">
        <f t="shared" si="75"/>
        <v/>
      </c>
      <c r="Y352" s="217" t="str">
        <f t="shared" si="75"/>
        <v>gs_cc_dutch_thkJoint</v>
      </c>
    </row>
    <row r="353" spans="1:25" x14ac:dyDescent="0.3">
      <c r="A353" s="216">
        <f t="shared" si="69"/>
        <v>351</v>
      </c>
      <c r="B353" s="217" t="str">
        <f t="shared" ref="B353:K362" si="76">IF(ISNONTEXT(B$2),IF(B$2="","",IF(INDEX(IMPORT,$A353,B$2)=0,"",IFERROR(VLOOKUP(INDEX(IMPORT,$A353,B$2),ImportTranslation,2,0),INDEX(IMPORT,$A353,B$2)))),B$2)</f>
        <v>x</v>
      </c>
      <c r="C353" s="217" t="str">
        <f t="shared" si="76"/>
        <v/>
      </c>
      <c r="D353" s="217" t="str">
        <f t="shared" si="76"/>
        <v/>
      </c>
      <c r="E353" s="217" t="str">
        <f t="shared" si="76"/>
        <v/>
      </c>
      <c r="F353" s="217" t="str">
        <f t="shared" si="76"/>
        <v/>
      </c>
      <c r="G353" s="217" t="str">
        <f t="shared" si="76"/>
        <v/>
      </c>
      <c r="H353" s="217" t="str">
        <f t="shared" si="76"/>
        <v/>
      </c>
      <c r="I353" s="217" t="str">
        <f t="shared" si="76"/>
        <v/>
      </c>
      <c r="J353" s="217" t="str">
        <f t="shared" si="76"/>
        <v/>
      </c>
      <c r="K353" s="217" t="str">
        <f t="shared" si="76"/>
        <v/>
      </c>
      <c r="L353" s="217" t="str">
        <f t="shared" ref="L353:Y362" si="77">IF(ISNONTEXT(L$2),IF(L$2="","",IF(INDEX(IMPORT,$A353,L$2)=0,"",IFERROR(VLOOKUP(INDEX(IMPORT,$A353,L$2),ImportTranslation,2,0),INDEX(IMPORT,$A353,L$2)))),L$2)</f>
        <v>info</v>
      </c>
      <c r="M353" s="217" t="str">
        <f t="shared" si="77"/>
        <v>x</v>
      </c>
      <c r="N353" s="217" t="str">
        <f t="shared" si="77"/>
        <v/>
      </c>
      <c r="O353" s="217" t="str">
        <f t="shared" si="77"/>
        <v>model</v>
      </c>
      <c r="P353" s="218" t="str">
        <f t="shared" si="77"/>
        <v>Boolean</v>
      </c>
      <c r="Q353" s="218" t="str">
        <f t="shared" si="77"/>
        <v>x</v>
      </c>
      <c r="R353" s="218" t="str">
        <f t="shared" si="77"/>
        <v>BS</v>
      </c>
      <c r="S353" s="218" t="str">
        <f t="shared" si="77"/>
        <v>all</v>
      </c>
      <c r="T353" s="217">
        <f t="shared" si="77"/>
        <v>1</v>
      </c>
      <c r="U353" s="217" t="str">
        <f t="shared" si="77"/>
        <v>Dichtungsband einfügen</v>
      </c>
      <c r="V353" s="217" t="str">
        <f t="shared" si="77"/>
        <v>x</v>
      </c>
      <c r="W353" s="217" t="str">
        <f t="shared" si="77"/>
        <v/>
      </c>
      <c r="X353" s="217" t="str">
        <f t="shared" si="77"/>
        <v/>
      </c>
      <c r="Y353" s="217" t="str">
        <f t="shared" si="77"/>
        <v>gs_bJoint</v>
      </c>
    </row>
    <row r="354" spans="1:25" x14ac:dyDescent="0.3">
      <c r="A354" s="216">
        <f t="shared" si="69"/>
        <v>352</v>
      </c>
      <c r="B354" s="217" t="str">
        <f t="shared" si="76"/>
        <v>x</v>
      </c>
      <c r="C354" s="217" t="str">
        <f t="shared" si="76"/>
        <v/>
      </c>
      <c r="D354" s="217" t="str">
        <f t="shared" si="76"/>
        <v/>
      </c>
      <c r="E354" s="217" t="str">
        <f t="shared" si="76"/>
        <v/>
      </c>
      <c r="F354" s="217" t="str">
        <f t="shared" si="76"/>
        <v/>
      </c>
      <c r="G354" s="217" t="str">
        <f t="shared" si="76"/>
        <v/>
      </c>
      <c r="H354" s="217" t="str">
        <f t="shared" si="76"/>
        <v/>
      </c>
      <c r="I354" s="217" t="str">
        <f t="shared" si="76"/>
        <v/>
      </c>
      <c r="J354" s="217" t="str">
        <f t="shared" si="76"/>
        <v/>
      </c>
      <c r="K354" s="217" t="str">
        <f t="shared" si="76"/>
        <v/>
      </c>
      <c r="L354" s="217" t="str">
        <f t="shared" si="77"/>
        <v>info</v>
      </c>
      <c r="M354" s="217" t="str">
        <f t="shared" si="77"/>
        <v>x</v>
      </c>
      <c r="N354" s="217" t="str">
        <f t="shared" si="77"/>
        <v/>
      </c>
      <c r="O354" s="217" t="str">
        <f t="shared" si="77"/>
        <v>model</v>
      </c>
      <c r="P354" s="218" t="str">
        <f t="shared" si="77"/>
        <v>Boolean</v>
      </c>
      <c r="Q354" s="218" t="str">
        <f t="shared" si="77"/>
        <v>x</v>
      </c>
      <c r="R354" s="218" t="str">
        <f t="shared" si="77"/>
        <v>BS</v>
      </c>
      <c r="S354" s="218" t="str">
        <f t="shared" si="77"/>
        <v>all</v>
      </c>
      <c r="T354" s="217">
        <f t="shared" si="77"/>
        <v>1</v>
      </c>
      <c r="U354" s="217" t="str">
        <f t="shared" si="77"/>
        <v>Dichtungsband zeigen</v>
      </c>
      <c r="V354" s="217" t="str">
        <f t="shared" si="77"/>
        <v>x</v>
      </c>
      <c r="W354" s="217" t="str">
        <f t="shared" si="77"/>
        <v/>
      </c>
      <c r="X354" s="217" t="str">
        <f t="shared" si="77"/>
        <v/>
      </c>
      <c r="Y354" s="217" t="str">
        <f t="shared" si="77"/>
        <v>gs_showJoint</v>
      </c>
    </row>
    <row r="355" spans="1:25" x14ac:dyDescent="0.3">
      <c r="A355" s="216">
        <f t="shared" si="69"/>
        <v>353</v>
      </c>
      <c r="B355" s="217" t="str">
        <f t="shared" si="76"/>
        <v>x</v>
      </c>
      <c r="C355" s="217" t="str">
        <f t="shared" si="76"/>
        <v/>
      </c>
      <c r="D355" s="217" t="str">
        <f t="shared" si="76"/>
        <v/>
      </c>
      <c r="E355" s="217" t="str">
        <f t="shared" si="76"/>
        <v/>
      </c>
      <c r="F355" s="217" t="str">
        <f t="shared" si="76"/>
        <v/>
      </c>
      <c r="G355" s="217" t="str">
        <f t="shared" si="76"/>
        <v/>
      </c>
      <c r="H355" s="217" t="str">
        <f t="shared" si="76"/>
        <v/>
      </c>
      <c r="I355" s="217" t="str">
        <f t="shared" si="76"/>
        <v/>
      </c>
      <c r="J355" s="217" t="str">
        <f t="shared" si="76"/>
        <v/>
      </c>
      <c r="K355" s="217" t="str">
        <f t="shared" si="76"/>
        <v/>
      </c>
      <c r="L355" s="217" t="str">
        <f t="shared" si="77"/>
        <v>info</v>
      </c>
      <c r="M355" s="217" t="str">
        <f t="shared" si="77"/>
        <v>x</v>
      </c>
      <c r="N355" s="217" t="str">
        <f t="shared" si="77"/>
        <v/>
      </c>
      <c r="O355" s="217" t="str">
        <f t="shared" si="77"/>
        <v>model</v>
      </c>
      <c r="P355" s="218" t="str">
        <f t="shared" si="77"/>
        <v>Length</v>
      </c>
      <c r="Q355" s="218" t="str">
        <f t="shared" si="77"/>
        <v>x</v>
      </c>
      <c r="R355" s="218" t="str">
        <f t="shared" si="77"/>
        <v>BS</v>
      </c>
      <c r="S355" s="218" t="str">
        <f t="shared" si="77"/>
        <v>all</v>
      </c>
      <c r="T355" s="217">
        <f t="shared" si="77"/>
        <v>2.5000000000000001E-2</v>
      </c>
      <c r="U355" s="217" t="str">
        <f t="shared" si="77"/>
        <v>Streifen-Dicke</v>
      </c>
      <c r="V355" s="217" t="str">
        <f t="shared" si="77"/>
        <v>x</v>
      </c>
      <c r="W355" s="217" t="str">
        <f t="shared" si="77"/>
        <v/>
      </c>
      <c r="X355" s="217" t="str">
        <f t="shared" si="77"/>
        <v/>
      </c>
      <c r="Y355" s="217" t="str">
        <f t="shared" si="77"/>
        <v>gs_thkJoint</v>
      </c>
    </row>
    <row r="356" spans="1:25" x14ac:dyDescent="0.3">
      <c r="A356" s="216">
        <f t="shared" si="69"/>
        <v>354</v>
      </c>
      <c r="B356" s="217" t="str">
        <f t="shared" si="76"/>
        <v>x</v>
      </c>
      <c r="C356" s="217" t="str">
        <f t="shared" si="76"/>
        <v/>
      </c>
      <c r="D356" s="217" t="str">
        <f t="shared" si="76"/>
        <v/>
      </c>
      <c r="E356" s="217" t="str">
        <f t="shared" si="76"/>
        <v/>
      </c>
      <c r="F356" s="217" t="str">
        <f t="shared" si="76"/>
        <v/>
      </c>
      <c r="G356" s="217" t="str">
        <f t="shared" si="76"/>
        <v/>
      </c>
      <c r="H356" s="217" t="str">
        <f t="shared" si="76"/>
        <v/>
      </c>
      <c r="I356" s="217" t="str">
        <f t="shared" si="76"/>
        <v/>
      </c>
      <c r="J356" s="217" t="str">
        <f t="shared" si="76"/>
        <v/>
      </c>
      <c r="K356" s="217" t="str">
        <f t="shared" si="76"/>
        <v/>
      </c>
      <c r="L356" s="217" t="str">
        <f t="shared" si="77"/>
        <v>info</v>
      </c>
      <c r="M356" s="217" t="str">
        <f t="shared" si="77"/>
        <v>x</v>
      </c>
      <c r="N356" s="217" t="str">
        <f t="shared" si="77"/>
        <v/>
      </c>
      <c r="O356" s="217" t="str">
        <f t="shared" si="77"/>
        <v>model</v>
      </c>
      <c r="P356" s="218" t="str">
        <f t="shared" si="77"/>
        <v>PenColor</v>
      </c>
      <c r="Q356" s="218" t="str">
        <f t="shared" si="77"/>
        <v>x</v>
      </c>
      <c r="R356" s="218" t="str">
        <f t="shared" si="77"/>
        <v>BS</v>
      </c>
      <c r="S356" s="218" t="str">
        <f t="shared" si="77"/>
        <v>all</v>
      </c>
      <c r="T356" s="217">
        <f t="shared" si="77"/>
        <v>100</v>
      </c>
      <c r="U356" s="217" t="str">
        <f t="shared" si="77"/>
        <v>Kontur-Stift</v>
      </c>
      <c r="V356" s="217" t="str">
        <f t="shared" si="77"/>
        <v>x</v>
      </c>
      <c r="W356" s="217" t="str">
        <f t="shared" si="77"/>
        <v/>
      </c>
      <c r="X356" s="217" t="str">
        <f t="shared" si="77"/>
        <v/>
      </c>
      <c r="Y356" s="217" t="str">
        <f t="shared" si="77"/>
        <v>gs_penJoint</v>
      </c>
    </row>
    <row r="357" spans="1:25" x14ac:dyDescent="0.3">
      <c r="A357" s="216">
        <f t="shared" si="69"/>
        <v>355</v>
      </c>
      <c r="B357" s="217" t="str">
        <f t="shared" si="76"/>
        <v>x</v>
      </c>
      <c r="C357" s="217" t="str">
        <f t="shared" si="76"/>
        <v/>
      </c>
      <c r="D357" s="217" t="str">
        <f t="shared" si="76"/>
        <v/>
      </c>
      <c r="E357" s="217" t="str">
        <f t="shared" si="76"/>
        <v/>
      </c>
      <c r="F357" s="217" t="str">
        <f t="shared" si="76"/>
        <v/>
      </c>
      <c r="G357" s="217" t="str">
        <f t="shared" si="76"/>
        <v/>
      </c>
      <c r="H357" s="217" t="str">
        <f t="shared" si="76"/>
        <v/>
      </c>
      <c r="I357" s="217" t="str">
        <f t="shared" si="76"/>
        <v/>
      </c>
      <c r="J357" s="217" t="str">
        <f t="shared" si="76"/>
        <v/>
      </c>
      <c r="K357" s="217" t="str">
        <f t="shared" si="76"/>
        <v/>
      </c>
      <c r="L357" s="217" t="str">
        <f t="shared" si="77"/>
        <v>info</v>
      </c>
      <c r="M357" s="217" t="str">
        <f t="shared" si="77"/>
        <v>x</v>
      </c>
      <c r="N357" s="217" t="str">
        <f t="shared" si="77"/>
        <v/>
      </c>
      <c r="O357" s="217" t="str">
        <f t="shared" si="77"/>
        <v>model</v>
      </c>
      <c r="P357" s="218" t="str">
        <f t="shared" si="77"/>
        <v>LineType</v>
      </c>
      <c r="Q357" s="218" t="str">
        <f t="shared" si="77"/>
        <v>x</v>
      </c>
      <c r="R357" s="218" t="str">
        <f t="shared" si="77"/>
        <v>BS</v>
      </c>
      <c r="S357" s="218" t="str">
        <f t="shared" si="77"/>
        <v>all</v>
      </c>
      <c r="T357" s="217">
        <f t="shared" si="77"/>
        <v>1</v>
      </c>
      <c r="U357" s="217" t="str">
        <f t="shared" si="77"/>
        <v>Kontur-Linientyp</v>
      </c>
      <c r="V357" s="217" t="str">
        <f t="shared" si="77"/>
        <v>x</v>
      </c>
      <c r="W357" s="217" t="str">
        <f t="shared" si="77"/>
        <v/>
      </c>
      <c r="X357" s="217" t="str">
        <f t="shared" si="77"/>
        <v/>
      </c>
      <c r="Y357" s="217" t="str">
        <f t="shared" si="77"/>
        <v>gs_ltJoint</v>
      </c>
    </row>
    <row r="358" spans="1:25" x14ac:dyDescent="0.3">
      <c r="A358" s="216">
        <f t="shared" si="69"/>
        <v>356</v>
      </c>
      <c r="B358" s="217" t="str">
        <f t="shared" si="76"/>
        <v>x</v>
      </c>
      <c r="C358" s="217" t="str">
        <f t="shared" si="76"/>
        <v/>
      </c>
      <c r="D358" s="217" t="str">
        <f t="shared" si="76"/>
        <v/>
      </c>
      <c r="E358" s="217" t="str">
        <f t="shared" si="76"/>
        <v/>
      </c>
      <c r="F358" s="217" t="str">
        <f t="shared" si="76"/>
        <v/>
      </c>
      <c r="G358" s="217" t="str">
        <f t="shared" si="76"/>
        <v/>
      </c>
      <c r="H358" s="217" t="str">
        <f t="shared" si="76"/>
        <v/>
      </c>
      <c r="I358" s="217" t="str">
        <f t="shared" si="76"/>
        <v/>
      </c>
      <c r="J358" s="217" t="str">
        <f t="shared" si="76"/>
        <v/>
      </c>
      <c r="K358" s="217" t="str">
        <f t="shared" si="76"/>
        <v/>
      </c>
      <c r="L358" s="217" t="str">
        <f t="shared" si="77"/>
        <v>info</v>
      </c>
      <c r="M358" s="217" t="str">
        <f t="shared" si="77"/>
        <v>x</v>
      </c>
      <c r="N358" s="217" t="str">
        <f t="shared" si="77"/>
        <v/>
      </c>
      <c r="O358" s="217" t="str">
        <f t="shared" si="77"/>
        <v>model</v>
      </c>
      <c r="P358" s="218" t="str">
        <f t="shared" si="77"/>
        <v>FillPattern</v>
      </c>
      <c r="Q358" s="218" t="str">
        <f t="shared" si="77"/>
        <v>x</v>
      </c>
      <c r="R358" s="218" t="str">
        <f t="shared" si="77"/>
        <v>BS</v>
      </c>
      <c r="S358" s="218" t="str">
        <f t="shared" si="77"/>
        <v>all</v>
      </c>
      <c r="T358" s="217">
        <f t="shared" si="77"/>
        <v>65</v>
      </c>
      <c r="U358" s="217" t="str">
        <f t="shared" si="77"/>
        <v>Schraffur-Typ</v>
      </c>
      <c r="V358" s="217" t="str">
        <f t="shared" si="77"/>
        <v>x</v>
      </c>
      <c r="W358" s="217" t="str">
        <f t="shared" si="77"/>
        <v/>
      </c>
      <c r="X358" s="217" t="str">
        <f t="shared" si="77"/>
        <v/>
      </c>
      <c r="Y358" s="217" t="str">
        <f t="shared" si="77"/>
        <v>gs_fillJoint</v>
      </c>
    </row>
    <row r="359" spans="1:25" x14ac:dyDescent="0.3">
      <c r="A359" s="216">
        <f t="shared" si="69"/>
        <v>357</v>
      </c>
      <c r="B359" s="217" t="str">
        <f t="shared" si="76"/>
        <v>x</v>
      </c>
      <c r="C359" s="217" t="str">
        <f t="shared" si="76"/>
        <v/>
      </c>
      <c r="D359" s="217" t="str">
        <f t="shared" si="76"/>
        <v/>
      </c>
      <c r="E359" s="217" t="str">
        <f t="shared" si="76"/>
        <v/>
      </c>
      <c r="F359" s="217" t="str">
        <f t="shared" si="76"/>
        <v/>
      </c>
      <c r="G359" s="217" t="str">
        <f t="shared" si="76"/>
        <v/>
      </c>
      <c r="H359" s="217" t="str">
        <f t="shared" si="76"/>
        <v/>
      </c>
      <c r="I359" s="217" t="str">
        <f t="shared" si="76"/>
        <v/>
      </c>
      <c r="J359" s="217" t="str">
        <f t="shared" si="76"/>
        <v/>
      </c>
      <c r="K359" s="217" t="str">
        <f t="shared" si="76"/>
        <v/>
      </c>
      <c r="L359" s="217" t="str">
        <f t="shared" si="77"/>
        <v>info</v>
      </c>
      <c r="M359" s="217" t="str">
        <f t="shared" si="77"/>
        <v>x</v>
      </c>
      <c r="N359" s="217" t="str">
        <f t="shared" si="77"/>
        <v/>
      </c>
      <c r="O359" s="217" t="str">
        <f t="shared" si="77"/>
        <v>model</v>
      </c>
      <c r="P359" s="218" t="str">
        <f t="shared" si="77"/>
        <v>PenColor</v>
      </c>
      <c r="Q359" s="218" t="str">
        <f t="shared" si="77"/>
        <v>x</v>
      </c>
      <c r="R359" s="218" t="str">
        <f t="shared" si="77"/>
        <v>BS</v>
      </c>
      <c r="S359" s="218" t="str">
        <f t="shared" si="77"/>
        <v>all</v>
      </c>
      <c r="T359" s="217">
        <f t="shared" si="77"/>
        <v>1</v>
      </c>
      <c r="U359" s="217" t="str">
        <f t="shared" si="77"/>
        <v>Schraffur-Stift</v>
      </c>
      <c r="V359" s="217" t="str">
        <f t="shared" si="77"/>
        <v>x</v>
      </c>
      <c r="W359" s="217" t="str">
        <f t="shared" si="77"/>
        <v/>
      </c>
      <c r="X359" s="217" t="str">
        <f t="shared" si="77"/>
        <v/>
      </c>
      <c r="Y359" s="217" t="str">
        <f t="shared" si="77"/>
        <v>gs_penJointFg</v>
      </c>
    </row>
    <row r="360" spans="1:25" x14ac:dyDescent="0.3">
      <c r="A360" s="216">
        <f t="shared" si="69"/>
        <v>358</v>
      </c>
      <c r="B360" s="217" t="str">
        <f t="shared" si="76"/>
        <v>x</v>
      </c>
      <c r="C360" s="217" t="str">
        <f t="shared" si="76"/>
        <v/>
      </c>
      <c r="D360" s="217" t="str">
        <f t="shared" si="76"/>
        <v/>
      </c>
      <c r="E360" s="217" t="str">
        <f t="shared" si="76"/>
        <v/>
      </c>
      <c r="F360" s="217" t="str">
        <f t="shared" si="76"/>
        <v/>
      </c>
      <c r="G360" s="217" t="str">
        <f t="shared" si="76"/>
        <v/>
      </c>
      <c r="H360" s="217" t="str">
        <f t="shared" si="76"/>
        <v/>
      </c>
      <c r="I360" s="217" t="str">
        <f t="shared" si="76"/>
        <v/>
      </c>
      <c r="J360" s="217" t="str">
        <f t="shared" si="76"/>
        <v/>
      </c>
      <c r="K360" s="217" t="str">
        <f t="shared" si="76"/>
        <v/>
      </c>
      <c r="L360" s="217" t="str">
        <f t="shared" si="77"/>
        <v>info</v>
      </c>
      <c r="M360" s="217" t="str">
        <f t="shared" si="77"/>
        <v>x</v>
      </c>
      <c r="N360" s="217" t="str">
        <f t="shared" si="77"/>
        <v/>
      </c>
      <c r="O360" s="217" t="str">
        <f t="shared" si="77"/>
        <v>model</v>
      </c>
      <c r="P360" s="218" t="str">
        <f t="shared" si="77"/>
        <v>PenColor</v>
      </c>
      <c r="Q360" s="218" t="str">
        <f t="shared" si="77"/>
        <v>x</v>
      </c>
      <c r="R360" s="218" t="str">
        <f t="shared" si="77"/>
        <v>BS</v>
      </c>
      <c r="S360" s="218" t="str">
        <f t="shared" si="77"/>
        <v>all</v>
      </c>
      <c r="T360" s="217">
        <f t="shared" si="77"/>
        <v>93</v>
      </c>
      <c r="U360" s="217" t="str">
        <f t="shared" si="77"/>
        <v>Schraffurhintergrund-Stift</v>
      </c>
      <c r="V360" s="217" t="str">
        <f t="shared" si="77"/>
        <v>x</v>
      </c>
      <c r="W360" s="217" t="str">
        <f t="shared" si="77"/>
        <v/>
      </c>
      <c r="X360" s="217" t="str">
        <f t="shared" si="77"/>
        <v/>
      </c>
      <c r="Y360" s="217" t="str">
        <f t="shared" si="77"/>
        <v>gs_penJointBg</v>
      </c>
    </row>
    <row r="361" spans="1:25" x14ac:dyDescent="0.3">
      <c r="A361" s="216">
        <f t="shared" si="69"/>
        <v>359</v>
      </c>
      <c r="B361" s="217" t="str">
        <f t="shared" si="76"/>
        <v>x</v>
      </c>
      <c r="C361" s="217" t="str">
        <f t="shared" si="76"/>
        <v/>
      </c>
      <c r="D361" s="217" t="str">
        <f t="shared" si="76"/>
        <v/>
      </c>
      <c r="E361" s="217" t="str">
        <f t="shared" si="76"/>
        <v/>
      </c>
      <c r="F361" s="217" t="str">
        <f t="shared" si="76"/>
        <v/>
      </c>
      <c r="G361" s="217" t="str">
        <f t="shared" si="76"/>
        <v/>
      </c>
      <c r="H361" s="217" t="str">
        <f t="shared" si="76"/>
        <v/>
      </c>
      <c r="I361" s="217" t="str">
        <f t="shared" si="76"/>
        <v/>
      </c>
      <c r="J361" s="217" t="str">
        <f t="shared" si="76"/>
        <v/>
      </c>
      <c r="K361" s="217" t="str">
        <f t="shared" si="76"/>
        <v/>
      </c>
      <c r="L361" s="217" t="str">
        <f t="shared" si="77"/>
        <v>info</v>
      </c>
      <c r="M361" s="217" t="str">
        <f t="shared" si="77"/>
        <v>x</v>
      </c>
      <c r="N361" s="217" t="str">
        <f t="shared" si="77"/>
        <v/>
      </c>
      <c r="O361" s="217" t="str">
        <f t="shared" si="77"/>
        <v>model</v>
      </c>
      <c r="P361" s="218" t="str">
        <f t="shared" si="77"/>
        <v>Boolean</v>
      </c>
      <c r="Q361" s="218" t="str">
        <f t="shared" si="77"/>
        <v>x</v>
      </c>
      <c r="R361" s="218" t="str">
        <f t="shared" si="77"/>
        <v>BS</v>
      </c>
      <c r="S361" s="218" t="str">
        <f t="shared" si="77"/>
        <v>all</v>
      </c>
      <c r="T361" s="217" t="str">
        <f t="shared" si="77"/>
        <v/>
      </c>
      <c r="U361" s="217" t="str">
        <f t="shared" si="77"/>
        <v>Eigenes Oberflächenmaterial</v>
      </c>
      <c r="V361" s="217" t="str">
        <f t="shared" si="77"/>
        <v>x</v>
      </c>
      <c r="W361" s="217" t="str">
        <f t="shared" si="77"/>
        <v/>
      </c>
      <c r="X361" s="217" t="str">
        <f t="shared" si="77"/>
        <v/>
      </c>
      <c r="Y361" s="217" t="str">
        <f t="shared" si="77"/>
        <v>gs_cc_dutch_matJointCustom</v>
      </c>
    </row>
    <row r="362" spans="1:25" x14ac:dyDescent="0.3">
      <c r="A362" s="216">
        <f t="shared" si="69"/>
        <v>360</v>
      </c>
      <c r="B362" s="217" t="str">
        <f t="shared" si="76"/>
        <v/>
      </c>
      <c r="C362" s="217" t="str">
        <f t="shared" si="76"/>
        <v/>
      </c>
      <c r="D362" s="217" t="str">
        <f t="shared" si="76"/>
        <v/>
      </c>
      <c r="E362" s="217" t="str">
        <f t="shared" si="76"/>
        <v/>
      </c>
      <c r="F362" s="217" t="str">
        <f t="shared" si="76"/>
        <v/>
      </c>
      <c r="G362" s="217" t="str">
        <f t="shared" si="76"/>
        <v/>
      </c>
      <c r="H362" s="217" t="str">
        <f t="shared" si="76"/>
        <v/>
      </c>
      <c r="I362" s="217" t="str">
        <f t="shared" si="76"/>
        <v/>
      </c>
      <c r="J362" s="217" t="str">
        <f t="shared" si="76"/>
        <v/>
      </c>
      <c r="K362" s="217" t="str">
        <f t="shared" si="76"/>
        <v/>
      </c>
      <c r="L362" s="217" t="str">
        <f t="shared" si="77"/>
        <v>info</v>
      </c>
      <c r="M362" s="217" t="str">
        <f t="shared" si="77"/>
        <v>x</v>
      </c>
      <c r="N362" s="217" t="str">
        <f t="shared" si="77"/>
        <v/>
      </c>
      <c r="O362" s="217" t="str">
        <f t="shared" si="77"/>
        <v>model</v>
      </c>
      <c r="P362" s="218" t="str">
        <f t="shared" si="77"/>
        <v>Material</v>
      </c>
      <c r="Q362" s="218" t="str">
        <f t="shared" si="77"/>
        <v>x</v>
      </c>
      <c r="R362" s="218" t="str">
        <f t="shared" si="77"/>
        <v>BS</v>
      </c>
      <c r="S362" s="218" t="str">
        <f t="shared" si="77"/>
        <v>all</v>
      </c>
      <c r="T362" s="217">
        <f t="shared" si="77"/>
        <v>15</v>
      </c>
      <c r="U362" s="217" t="str">
        <f t="shared" si="77"/>
        <v>Oberflächenmaterial</v>
      </c>
      <c r="V362" s="217" t="str">
        <f t="shared" si="77"/>
        <v>x</v>
      </c>
      <c r="W362" s="217" t="str">
        <f t="shared" si="77"/>
        <v/>
      </c>
      <c r="X362" s="217" t="str">
        <f t="shared" si="77"/>
        <v/>
      </c>
      <c r="Y362" s="217" t="str">
        <f t="shared" si="77"/>
        <v>gs_cc_dutch_matJoint</v>
      </c>
    </row>
    <row r="363" spans="1:25" x14ac:dyDescent="0.3">
      <c r="A363" s="216">
        <f t="shared" si="69"/>
        <v>361</v>
      </c>
      <c r="B363" s="217" t="str">
        <f t="shared" ref="B363:K372" si="78">IF(ISNONTEXT(B$2),IF(B$2="","",IF(INDEX(IMPORT,$A363,B$2)=0,"",IFERROR(VLOOKUP(INDEX(IMPORT,$A363,B$2),ImportTranslation,2,0),INDEX(IMPORT,$A363,B$2)))),B$2)</f>
        <v>x</v>
      </c>
      <c r="C363" s="217" t="str">
        <f t="shared" si="78"/>
        <v/>
      </c>
      <c r="D363" s="217" t="str">
        <f t="shared" si="78"/>
        <v/>
      </c>
      <c r="E363" s="217" t="str">
        <f t="shared" si="78"/>
        <v/>
      </c>
      <c r="F363" s="217" t="str">
        <f t="shared" si="78"/>
        <v/>
      </c>
      <c r="G363" s="217" t="str">
        <f t="shared" si="78"/>
        <v/>
      </c>
      <c r="H363" s="217" t="str">
        <f t="shared" si="78"/>
        <v/>
      </c>
      <c r="I363" s="217" t="str">
        <f t="shared" si="78"/>
        <v/>
      </c>
      <c r="J363" s="217" t="str">
        <f t="shared" si="78"/>
        <v/>
      </c>
      <c r="K363" s="217" t="str">
        <f t="shared" si="78"/>
        <v/>
      </c>
      <c r="L363" s="217" t="str">
        <f t="shared" ref="L363:Y372" si="79">IF(ISNONTEXT(L$2),IF(L$2="","",IF(INDEX(IMPORT,$A363,L$2)=0,"",IFERROR(VLOOKUP(INDEX(IMPORT,$A363,L$2),ImportTranslation,2,0),INDEX(IMPORT,$A363,L$2)))),L$2)</f>
        <v>info</v>
      </c>
      <c r="M363" s="217" t="str">
        <f t="shared" si="79"/>
        <v>x</v>
      </c>
      <c r="N363" s="217" t="str">
        <f t="shared" si="79"/>
        <v/>
      </c>
      <c r="O363" s="217" t="str">
        <f t="shared" si="79"/>
        <v>model</v>
      </c>
      <c r="P363" s="218" t="str">
        <f t="shared" si="79"/>
        <v>Length</v>
      </c>
      <c r="Q363" s="218" t="str">
        <f t="shared" si="79"/>
        <v>x</v>
      </c>
      <c r="R363" s="218" t="str">
        <f t="shared" si="79"/>
        <v>BS</v>
      </c>
      <c r="S363" s="218" t="str">
        <f t="shared" si="79"/>
        <v>all</v>
      </c>
      <c r="T363" s="217">
        <f t="shared" si="79"/>
        <v>7.4999999999999997E-2</v>
      </c>
      <c r="U363" s="217" t="str">
        <f t="shared" si="79"/>
        <v>Profil-Breite</v>
      </c>
      <c r="V363" s="217" t="str">
        <f t="shared" si="79"/>
        <v>x</v>
      </c>
      <c r="W363" s="217" t="str">
        <f t="shared" si="79"/>
        <v/>
      </c>
      <c r="X363" s="217" t="str">
        <f t="shared" si="79"/>
        <v/>
      </c>
      <c r="Y363" s="217" t="str">
        <f t="shared" si="79"/>
        <v>gs_widthPlug</v>
      </c>
    </row>
    <row r="364" spans="1:25" x14ac:dyDescent="0.3">
      <c r="A364" s="216">
        <f t="shared" si="69"/>
        <v>362</v>
      </c>
      <c r="B364" s="217" t="str">
        <f t="shared" si="78"/>
        <v>x</v>
      </c>
      <c r="C364" s="217" t="str">
        <f t="shared" si="78"/>
        <v/>
      </c>
      <c r="D364" s="217" t="str">
        <f t="shared" si="78"/>
        <v/>
      </c>
      <c r="E364" s="217" t="str">
        <f t="shared" si="78"/>
        <v/>
      </c>
      <c r="F364" s="217" t="str">
        <f t="shared" si="78"/>
        <v/>
      </c>
      <c r="G364" s="217" t="str">
        <f t="shared" si="78"/>
        <v/>
      </c>
      <c r="H364" s="217" t="str">
        <f t="shared" si="78"/>
        <v/>
      </c>
      <c r="I364" s="217" t="str">
        <f t="shared" si="78"/>
        <v/>
      </c>
      <c r="J364" s="217" t="str">
        <f t="shared" si="78"/>
        <v/>
      </c>
      <c r="K364" s="217" t="str">
        <f t="shared" si="78"/>
        <v/>
      </c>
      <c r="L364" s="217" t="str">
        <f t="shared" si="79"/>
        <v>info</v>
      </c>
      <c r="M364" s="217" t="str">
        <f t="shared" si="79"/>
        <v>x</v>
      </c>
      <c r="N364" s="217" t="str">
        <f t="shared" si="79"/>
        <v/>
      </c>
      <c r="O364" s="217" t="str">
        <f t="shared" si="79"/>
        <v>model</v>
      </c>
      <c r="P364" s="218" t="str">
        <f t="shared" si="79"/>
        <v>PenColor</v>
      </c>
      <c r="Q364" s="218" t="str">
        <f t="shared" si="79"/>
        <v>x</v>
      </c>
      <c r="R364" s="218" t="str">
        <f t="shared" si="79"/>
        <v>BS</v>
      </c>
      <c r="S364" s="218" t="str">
        <f t="shared" si="79"/>
        <v>all</v>
      </c>
      <c r="T364" s="217">
        <f t="shared" si="79"/>
        <v>100</v>
      </c>
      <c r="U364" s="217" t="str">
        <f t="shared" si="79"/>
        <v>Kontur-Stift</v>
      </c>
      <c r="V364" s="217" t="str">
        <f t="shared" si="79"/>
        <v>x</v>
      </c>
      <c r="W364" s="217" t="str">
        <f t="shared" si="79"/>
        <v/>
      </c>
      <c r="X364" s="217" t="str">
        <f t="shared" si="79"/>
        <v/>
      </c>
      <c r="Y364" s="217" t="str">
        <f t="shared" si="79"/>
        <v>gs_penPlug</v>
      </c>
    </row>
    <row r="365" spans="1:25" x14ac:dyDescent="0.3">
      <c r="A365" s="216">
        <f t="shared" si="69"/>
        <v>363</v>
      </c>
      <c r="B365" s="217" t="str">
        <f t="shared" si="78"/>
        <v>x</v>
      </c>
      <c r="C365" s="217" t="str">
        <f t="shared" si="78"/>
        <v/>
      </c>
      <c r="D365" s="217" t="str">
        <f t="shared" si="78"/>
        <v/>
      </c>
      <c r="E365" s="217" t="str">
        <f t="shared" si="78"/>
        <v/>
      </c>
      <c r="F365" s="217" t="str">
        <f t="shared" si="78"/>
        <v/>
      </c>
      <c r="G365" s="217" t="str">
        <f t="shared" si="78"/>
        <v/>
      </c>
      <c r="H365" s="217" t="str">
        <f t="shared" si="78"/>
        <v/>
      </c>
      <c r="I365" s="217" t="str">
        <f t="shared" si="78"/>
        <v/>
      </c>
      <c r="J365" s="217" t="str">
        <f t="shared" si="78"/>
        <v/>
      </c>
      <c r="K365" s="217" t="str">
        <f t="shared" si="78"/>
        <v/>
      </c>
      <c r="L365" s="217" t="str">
        <f t="shared" si="79"/>
        <v>info</v>
      </c>
      <c r="M365" s="217" t="str">
        <f t="shared" si="79"/>
        <v>x</v>
      </c>
      <c r="N365" s="217" t="str">
        <f t="shared" si="79"/>
        <v/>
      </c>
      <c r="O365" s="217" t="str">
        <f t="shared" si="79"/>
        <v>model</v>
      </c>
      <c r="P365" s="218" t="str">
        <f t="shared" si="79"/>
        <v>LineType</v>
      </c>
      <c r="Q365" s="218" t="str">
        <f t="shared" si="79"/>
        <v>x</v>
      </c>
      <c r="R365" s="218" t="str">
        <f t="shared" si="79"/>
        <v>BS</v>
      </c>
      <c r="S365" s="218" t="str">
        <f t="shared" si="79"/>
        <v>all</v>
      </c>
      <c r="T365" s="217">
        <f t="shared" si="79"/>
        <v>1</v>
      </c>
      <c r="U365" s="217" t="str">
        <f t="shared" si="79"/>
        <v>Kontur-Linientyp</v>
      </c>
      <c r="V365" s="217" t="str">
        <f t="shared" si="79"/>
        <v>x</v>
      </c>
      <c r="W365" s="217" t="str">
        <f t="shared" si="79"/>
        <v/>
      </c>
      <c r="X365" s="217" t="str">
        <f t="shared" si="79"/>
        <v/>
      </c>
      <c r="Y365" s="217" t="str">
        <f t="shared" si="79"/>
        <v>gs_ltPlug</v>
      </c>
    </row>
    <row r="366" spans="1:25" x14ac:dyDescent="0.3">
      <c r="A366" s="216">
        <f t="shared" si="69"/>
        <v>364</v>
      </c>
      <c r="B366" s="217" t="str">
        <f t="shared" si="78"/>
        <v>x</v>
      </c>
      <c r="C366" s="217" t="str">
        <f t="shared" si="78"/>
        <v/>
      </c>
      <c r="D366" s="217" t="str">
        <f t="shared" si="78"/>
        <v/>
      </c>
      <c r="E366" s="217" t="str">
        <f t="shared" si="78"/>
        <v/>
      </c>
      <c r="F366" s="217" t="str">
        <f t="shared" si="78"/>
        <v/>
      </c>
      <c r="G366" s="217" t="str">
        <f t="shared" si="78"/>
        <v/>
      </c>
      <c r="H366" s="217" t="str">
        <f t="shared" si="78"/>
        <v/>
      </c>
      <c r="I366" s="217" t="str">
        <f t="shared" si="78"/>
        <v/>
      </c>
      <c r="J366" s="217" t="str">
        <f t="shared" si="78"/>
        <v/>
      </c>
      <c r="K366" s="217" t="str">
        <f t="shared" si="78"/>
        <v/>
      </c>
      <c r="L366" s="217" t="str">
        <f t="shared" si="79"/>
        <v>info</v>
      </c>
      <c r="M366" s="217" t="str">
        <f t="shared" si="79"/>
        <v>x</v>
      </c>
      <c r="N366" s="217" t="str">
        <f t="shared" si="79"/>
        <v/>
      </c>
      <c r="O366" s="217" t="str">
        <f t="shared" si="79"/>
        <v>model</v>
      </c>
      <c r="P366" s="218" t="str">
        <f t="shared" si="79"/>
        <v>FillPattern</v>
      </c>
      <c r="Q366" s="218" t="str">
        <f t="shared" si="79"/>
        <v>x</v>
      </c>
      <c r="R366" s="218" t="str">
        <f t="shared" si="79"/>
        <v>BS</v>
      </c>
      <c r="S366" s="218" t="str">
        <f t="shared" si="79"/>
        <v>all</v>
      </c>
      <c r="T366" s="217">
        <f t="shared" si="79"/>
        <v>65</v>
      </c>
      <c r="U366" s="217" t="str">
        <f t="shared" si="79"/>
        <v>Schraffur-Typ</v>
      </c>
      <c r="V366" s="217" t="str">
        <f t="shared" si="79"/>
        <v>x</v>
      </c>
      <c r="W366" s="217" t="str">
        <f t="shared" si="79"/>
        <v/>
      </c>
      <c r="X366" s="217" t="str">
        <f t="shared" si="79"/>
        <v/>
      </c>
      <c r="Y366" s="217" t="str">
        <f t="shared" si="79"/>
        <v>gs_fillPlug</v>
      </c>
    </row>
    <row r="367" spans="1:25" x14ac:dyDescent="0.3">
      <c r="A367" s="216">
        <f t="shared" si="69"/>
        <v>365</v>
      </c>
      <c r="B367" s="217" t="str">
        <f t="shared" si="78"/>
        <v>x</v>
      </c>
      <c r="C367" s="217" t="str">
        <f t="shared" si="78"/>
        <v/>
      </c>
      <c r="D367" s="217" t="str">
        <f t="shared" si="78"/>
        <v/>
      </c>
      <c r="E367" s="217" t="str">
        <f t="shared" si="78"/>
        <v/>
      </c>
      <c r="F367" s="217" t="str">
        <f t="shared" si="78"/>
        <v/>
      </c>
      <c r="G367" s="217" t="str">
        <f t="shared" si="78"/>
        <v/>
      </c>
      <c r="H367" s="217" t="str">
        <f t="shared" si="78"/>
        <v/>
      </c>
      <c r="I367" s="217" t="str">
        <f t="shared" si="78"/>
        <v/>
      </c>
      <c r="J367" s="217" t="str">
        <f t="shared" si="78"/>
        <v/>
      </c>
      <c r="K367" s="217" t="str">
        <f t="shared" si="78"/>
        <v/>
      </c>
      <c r="L367" s="217" t="str">
        <f t="shared" si="79"/>
        <v>info</v>
      </c>
      <c r="M367" s="217" t="str">
        <f t="shared" si="79"/>
        <v>x</v>
      </c>
      <c r="N367" s="217" t="str">
        <f t="shared" si="79"/>
        <v/>
      </c>
      <c r="O367" s="217" t="str">
        <f t="shared" si="79"/>
        <v>model</v>
      </c>
      <c r="P367" s="218" t="str">
        <f t="shared" si="79"/>
        <v>PenColor</v>
      </c>
      <c r="Q367" s="218" t="str">
        <f t="shared" si="79"/>
        <v>x</v>
      </c>
      <c r="R367" s="218" t="str">
        <f t="shared" si="79"/>
        <v>BS</v>
      </c>
      <c r="S367" s="218" t="str">
        <f t="shared" si="79"/>
        <v>all</v>
      </c>
      <c r="T367" s="217">
        <f t="shared" si="79"/>
        <v>1</v>
      </c>
      <c r="U367" s="217" t="str">
        <f t="shared" si="79"/>
        <v>Schraffur-Stift</v>
      </c>
      <c r="V367" s="217" t="str">
        <f t="shared" si="79"/>
        <v>x</v>
      </c>
      <c r="W367" s="217" t="str">
        <f t="shared" si="79"/>
        <v/>
      </c>
      <c r="X367" s="217" t="str">
        <f t="shared" si="79"/>
        <v/>
      </c>
      <c r="Y367" s="217" t="str">
        <f t="shared" si="79"/>
        <v>gs_penPlugFg</v>
      </c>
    </row>
    <row r="368" spans="1:25" x14ac:dyDescent="0.3">
      <c r="A368" s="216">
        <f t="shared" si="69"/>
        <v>366</v>
      </c>
      <c r="B368" s="217" t="str">
        <f t="shared" si="78"/>
        <v>x</v>
      </c>
      <c r="C368" s="217" t="str">
        <f t="shared" si="78"/>
        <v/>
      </c>
      <c r="D368" s="217" t="str">
        <f t="shared" si="78"/>
        <v/>
      </c>
      <c r="E368" s="217" t="str">
        <f t="shared" si="78"/>
        <v/>
      </c>
      <c r="F368" s="217" t="str">
        <f t="shared" si="78"/>
        <v/>
      </c>
      <c r="G368" s="217" t="str">
        <f t="shared" si="78"/>
        <v/>
      </c>
      <c r="H368" s="217" t="str">
        <f t="shared" si="78"/>
        <v/>
      </c>
      <c r="I368" s="217" t="str">
        <f t="shared" si="78"/>
        <v/>
      </c>
      <c r="J368" s="217" t="str">
        <f t="shared" si="78"/>
        <v/>
      </c>
      <c r="K368" s="217" t="str">
        <f t="shared" si="78"/>
        <v/>
      </c>
      <c r="L368" s="217" t="str">
        <f t="shared" si="79"/>
        <v>info</v>
      </c>
      <c r="M368" s="217" t="str">
        <f t="shared" si="79"/>
        <v>x</v>
      </c>
      <c r="N368" s="217" t="str">
        <f t="shared" si="79"/>
        <v/>
      </c>
      <c r="O368" s="217" t="str">
        <f t="shared" si="79"/>
        <v>model</v>
      </c>
      <c r="P368" s="218" t="str">
        <f t="shared" si="79"/>
        <v>PenColor</v>
      </c>
      <c r="Q368" s="218" t="str">
        <f t="shared" si="79"/>
        <v>x</v>
      </c>
      <c r="R368" s="218" t="str">
        <f t="shared" si="79"/>
        <v>BS</v>
      </c>
      <c r="S368" s="218" t="str">
        <f t="shared" si="79"/>
        <v>all</v>
      </c>
      <c r="T368" s="217">
        <f t="shared" si="79"/>
        <v>93</v>
      </c>
      <c r="U368" s="217" t="str">
        <f t="shared" si="79"/>
        <v>Schraffurhintergrund-Stift</v>
      </c>
      <c r="V368" s="217" t="str">
        <f t="shared" si="79"/>
        <v>x</v>
      </c>
      <c r="W368" s="217" t="str">
        <f t="shared" si="79"/>
        <v/>
      </c>
      <c r="X368" s="217" t="str">
        <f t="shared" si="79"/>
        <v/>
      </c>
      <c r="Y368" s="217" t="str">
        <f t="shared" si="79"/>
        <v>gs_penPlugBg</v>
      </c>
    </row>
    <row r="369" spans="1:25" x14ac:dyDescent="0.3">
      <c r="A369" s="216">
        <f t="shared" si="69"/>
        <v>367</v>
      </c>
      <c r="B369" s="217" t="str">
        <f t="shared" si="78"/>
        <v>x</v>
      </c>
      <c r="C369" s="217" t="str">
        <f t="shared" si="78"/>
        <v>x</v>
      </c>
      <c r="D369" s="217" t="str">
        <f t="shared" si="78"/>
        <v/>
      </c>
      <c r="E369" s="217" t="str">
        <f t="shared" si="78"/>
        <v/>
      </c>
      <c r="F369" s="217" t="str">
        <f t="shared" si="78"/>
        <v/>
      </c>
      <c r="G369" s="217" t="str">
        <f t="shared" si="78"/>
        <v/>
      </c>
      <c r="H369" s="217" t="str">
        <f t="shared" si="78"/>
        <v/>
      </c>
      <c r="I369" s="217" t="str">
        <f t="shared" si="78"/>
        <v/>
      </c>
      <c r="J369" s="217" t="str">
        <f t="shared" si="78"/>
        <v/>
      </c>
      <c r="K369" s="217" t="str">
        <f t="shared" si="78"/>
        <v/>
      </c>
      <c r="L369" s="217" t="str">
        <f t="shared" si="79"/>
        <v>info</v>
      </c>
      <c r="M369" s="217" t="str">
        <f t="shared" si="79"/>
        <v>x</v>
      </c>
      <c r="N369" s="217" t="str">
        <f t="shared" si="79"/>
        <v/>
      </c>
      <c r="O369" s="217" t="str">
        <f t="shared" si="79"/>
        <v>model</v>
      </c>
      <c r="P369" s="218" t="str">
        <f t="shared" si="79"/>
        <v>Length</v>
      </c>
      <c r="Q369" s="218" t="str">
        <f t="shared" si="79"/>
        <v>x</v>
      </c>
      <c r="R369" s="218" t="str">
        <f t="shared" si="79"/>
        <v>BS</v>
      </c>
      <c r="S369" s="218" t="str">
        <f t="shared" si="79"/>
        <v>all</v>
      </c>
      <c r="T369" s="217" t="str">
        <f t="shared" si="79"/>
        <v>{array}</v>
      </c>
      <c r="U369" s="217" t="str">
        <f t="shared" si="79"/>
        <v>Schicht-Daten Links</v>
      </c>
      <c r="V369" s="217" t="str">
        <f t="shared" si="79"/>
        <v>x</v>
      </c>
      <c r="W369" s="217" t="str">
        <f t="shared" si="79"/>
        <v/>
      </c>
      <c r="X369" s="217" t="str">
        <f t="shared" si="79"/>
        <v/>
      </c>
      <c r="Y369" s="217" t="str">
        <f t="shared" si="79"/>
        <v>gs_custom_cc_array_left</v>
      </c>
    </row>
    <row r="370" spans="1:25" x14ac:dyDescent="0.3">
      <c r="A370" s="216">
        <f t="shared" si="69"/>
        <v>368</v>
      </c>
      <c r="B370" s="217" t="str">
        <f t="shared" si="78"/>
        <v>x</v>
      </c>
      <c r="C370" s="217" t="str">
        <f t="shared" si="78"/>
        <v>x</v>
      </c>
      <c r="D370" s="217" t="str">
        <f t="shared" si="78"/>
        <v/>
      </c>
      <c r="E370" s="217" t="str">
        <f t="shared" si="78"/>
        <v/>
      </c>
      <c r="F370" s="217" t="str">
        <f t="shared" si="78"/>
        <v/>
      </c>
      <c r="G370" s="217" t="str">
        <f t="shared" si="78"/>
        <v/>
      </c>
      <c r="H370" s="217" t="str">
        <f t="shared" si="78"/>
        <v/>
      </c>
      <c r="I370" s="217" t="str">
        <f t="shared" si="78"/>
        <v/>
      </c>
      <c r="J370" s="217" t="str">
        <f t="shared" si="78"/>
        <v/>
      </c>
      <c r="K370" s="217" t="str">
        <f t="shared" si="78"/>
        <v/>
      </c>
      <c r="L370" s="217" t="str">
        <f t="shared" si="79"/>
        <v>info</v>
      </c>
      <c r="M370" s="217" t="str">
        <f t="shared" si="79"/>
        <v>x</v>
      </c>
      <c r="N370" s="217" t="str">
        <f t="shared" si="79"/>
        <v/>
      </c>
      <c r="O370" s="217" t="str">
        <f t="shared" si="79"/>
        <v>model</v>
      </c>
      <c r="P370" s="218" t="str">
        <f t="shared" si="79"/>
        <v>Length</v>
      </c>
      <c r="Q370" s="218" t="str">
        <f t="shared" si="79"/>
        <v>x</v>
      </c>
      <c r="R370" s="218" t="str">
        <f t="shared" si="79"/>
        <v>BS</v>
      </c>
      <c r="S370" s="218" t="str">
        <f t="shared" si="79"/>
        <v>all</v>
      </c>
      <c r="T370" s="217" t="str">
        <f t="shared" si="79"/>
        <v>{array}</v>
      </c>
      <c r="U370" s="217" t="str">
        <f t="shared" si="79"/>
        <v>Schicht-Daten Rechts</v>
      </c>
      <c r="V370" s="217" t="str">
        <f t="shared" si="79"/>
        <v>x</v>
      </c>
      <c r="W370" s="217" t="str">
        <f t="shared" si="79"/>
        <v/>
      </c>
      <c r="X370" s="217" t="str">
        <f t="shared" si="79"/>
        <v/>
      </c>
      <c r="Y370" s="217" t="str">
        <f t="shared" si="79"/>
        <v>gs_custom_cc_array_right</v>
      </c>
    </row>
    <row r="371" spans="1:25" x14ac:dyDescent="0.3">
      <c r="A371" s="216">
        <f t="shared" si="69"/>
        <v>369</v>
      </c>
      <c r="B371" s="217" t="str">
        <f t="shared" si="78"/>
        <v>x</v>
      </c>
      <c r="C371" s="217" t="str">
        <f t="shared" si="78"/>
        <v/>
      </c>
      <c r="D371" s="217" t="str">
        <f t="shared" si="78"/>
        <v/>
      </c>
      <c r="E371" s="217" t="str">
        <f t="shared" si="78"/>
        <v/>
      </c>
      <c r="F371" s="217" t="str">
        <f t="shared" si="78"/>
        <v/>
      </c>
      <c r="G371" s="217" t="str">
        <f t="shared" si="78"/>
        <v/>
      </c>
      <c r="H371" s="217" t="str">
        <f t="shared" si="78"/>
        <v/>
      </c>
      <c r="I371" s="217" t="str">
        <f t="shared" si="78"/>
        <v/>
      </c>
      <c r="J371" s="217" t="str">
        <f t="shared" si="78"/>
        <v/>
      </c>
      <c r="K371" s="217" t="str">
        <f t="shared" si="78"/>
        <v/>
      </c>
      <c r="L371" s="217" t="str">
        <f t="shared" si="79"/>
        <v>info</v>
      </c>
      <c r="M371" s="217" t="str">
        <f t="shared" si="79"/>
        <v>x</v>
      </c>
      <c r="N371" s="217" t="str">
        <f t="shared" si="79"/>
        <v/>
      </c>
      <c r="O371" s="217" t="str">
        <f t="shared" si="79"/>
        <v>model</v>
      </c>
      <c r="P371" s="218" t="str">
        <f t="shared" si="79"/>
        <v>Integer</v>
      </c>
      <c r="Q371" s="218" t="str">
        <f t="shared" si="79"/>
        <v>x</v>
      </c>
      <c r="R371" s="218" t="str">
        <f t="shared" si="79"/>
        <v>BS</v>
      </c>
      <c r="S371" s="218" t="str">
        <f t="shared" si="79"/>
        <v>all</v>
      </c>
      <c r="T371" s="217">
        <f t="shared" si="79"/>
        <v>1</v>
      </c>
      <c r="U371" s="217" t="str">
        <f t="shared" si="79"/>
        <v>Editierte Anschlagseite</v>
      </c>
      <c r="V371" s="217" t="str">
        <f t="shared" si="79"/>
        <v>x</v>
      </c>
      <c r="W371" s="217" t="str">
        <f t="shared" si="79"/>
        <v/>
      </c>
      <c r="X371" s="217" t="str">
        <f t="shared" si="79"/>
        <v/>
      </c>
      <c r="Y371" s="217" t="str">
        <f t="shared" si="79"/>
        <v>iCustomCCEditJambSide</v>
      </c>
    </row>
    <row r="372" spans="1:25" x14ac:dyDescent="0.3">
      <c r="A372" s="216">
        <f t="shared" si="69"/>
        <v>370</v>
      </c>
      <c r="B372" s="217" t="str">
        <f t="shared" si="78"/>
        <v>x</v>
      </c>
      <c r="C372" s="217" t="str">
        <f t="shared" si="78"/>
        <v/>
      </c>
      <c r="D372" s="217" t="str">
        <f t="shared" si="78"/>
        <v/>
      </c>
      <c r="E372" s="217" t="str">
        <f t="shared" si="78"/>
        <v/>
      </c>
      <c r="F372" s="217" t="str">
        <f t="shared" si="78"/>
        <v/>
      </c>
      <c r="G372" s="217" t="str">
        <f t="shared" si="78"/>
        <v/>
      </c>
      <c r="H372" s="217" t="str">
        <f t="shared" si="78"/>
        <v/>
      </c>
      <c r="I372" s="217" t="str">
        <f t="shared" si="78"/>
        <v/>
      </c>
      <c r="J372" s="217" t="str">
        <f t="shared" si="78"/>
        <v/>
      </c>
      <c r="K372" s="217" t="str">
        <f t="shared" si="78"/>
        <v/>
      </c>
      <c r="L372" s="217" t="str">
        <f t="shared" si="79"/>
        <v>info</v>
      </c>
      <c r="M372" s="217" t="str">
        <f t="shared" si="79"/>
        <v>x</v>
      </c>
      <c r="N372" s="217" t="str">
        <f t="shared" si="79"/>
        <v/>
      </c>
      <c r="O372" s="217" t="str">
        <f t="shared" si="79"/>
        <v>model</v>
      </c>
      <c r="P372" s="218" t="str">
        <f t="shared" si="79"/>
        <v>Integer</v>
      </c>
      <c r="Q372" s="218" t="str">
        <f t="shared" si="79"/>
        <v>x</v>
      </c>
      <c r="R372" s="218" t="str">
        <f t="shared" si="79"/>
        <v>BS</v>
      </c>
      <c r="S372" s="218" t="str">
        <f t="shared" si="79"/>
        <v>all</v>
      </c>
      <c r="T372" s="217">
        <f t="shared" si="79"/>
        <v>1</v>
      </c>
      <c r="U372" s="217" t="str">
        <f t="shared" si="79"/>
        <v>Editierte Wandseite</v>
      </c>
      <c r="V372" s="217" t="str">
        <f t="shared" si="79"/>
        <v>x</v>
      </c>
      <c r="W372" s="217" t="str">
        <f t="shared" si="79"/>
        <v/>
      </c>
      <c r="X372" s="217" t="str">
        <f t="shared" si="79"/>
        <v/>
      </c>
      <c r="Y372" s="217" t="str">
        <f t="shared" si="79"/>
        <v>iCustomCCEditWallSide</v>
      </c>
    </row>
    <row r="373" spans="1:25" x14ac:dyDescent="0.3">
      <c r="A373" s="216">
        <f t="shared" si="69"/>
        <v>371</v>
      </c>
      <c r="B373" s="217" t="str">
        <f t="shared" ref="B373:K382" si="80">IF(ISNONTEXT(B$2),IF(B$2="","",IF(INDEX(IMPORT,$A373,B$2)=0,"",IFERROR(VLOOKUP(INDEX(IMPORT,$A373,B$2),ImportTranslation,2,0),INDEX(IMPORT,$A373,B$2)))),B$2)</f>
        <v>x</v>
      </c>
      <c r="C373" s="217" t="str">
        <f t="shared" si="80"/>
        <v/>
      </c>
      <c r="D373" s="217" t="str">
        <f t="shared" si="80"/>
        <v/>
      </c>
      <c r="E373" s="217" t="str">
        <f t="shared" si="80"/>
        <v/>
      </c>
      <c r="F373" s="217" t="str">
        <f t="shared" si="80"/>
        <v/>
      </c>
      <c r="G373" s="217" t="str">
        <f t="shared" si="80"/>
        <v/>
      </c>
      <c r="H373" s="217" t="str">
        <f t="shared" si="80"/>
        <v/>
      </c>
      <c r="I373" s="217" t="str">
        <f t="shared" si="80"/>
        <v/>
      </c>
      <c r="J373" s="217" t="str">
        <f t="shared" si="80"/>
        <v/>
      </c>
      <c r="K373" s="217" t="str">
        <f t="shared" si="80"/>
        <v/>
      </c>
      <c r="L373" s="217" t="str">
        <f t="shared" ref="L373:Y382" si="81">IF(ISNONTEXT(L$2),IF(L$2="","",IF(INDEX(IMPORT,$A373,L$2)=0,"",IFERROR(VLOOKUP(INDEX(IMPORT,$A373,L$2),ImportTranslation,2,0),INDEX(IMPORT,$A373,L$2)))),L$2)</f>
        <v>info</v>
      </c>
      <c r="M373" s="217" t="str">
        <f t="shared" si="81"/>
        <v>x</v>
      </c>
      <c r="N373" s="217" t="str">
        <f t="shared" si="81"/>
        <v/>
      </c>
      <c r="O373" s="217" t="str">
        <f t="shared" si="81"/>
        <v>model</v>
      </c>
      <c r="P373" s="218" t="str">
        <f t="shared" si="81"/>
        <v>Integer</v>
      </c>
      <c r="Q373" s="218" t="str">
        <f t="shared" si="81"/>
        <v>x</v>
      </c>
      <c r="R373" s="218" t="str">
        <f t="shared" si="81"/>
        <v>BS</v>
      </c>
      <c r="S373" s="218" t="str">
        <f t="shared" si="81"/>
        <v>all</v>
      </c>
      <c r="T373" s="217">
        <f t="shared" si="81"/>
        <v>1</v>
      </c>
      <c r="U373" s="217" t="str">
        <f t="shared" si="81"/>
        <v>Schicht Nummer</v>
      </c>
      <c r="V373" s="217" t="str">
        <f t="shared" si="81"/>
        <v>x</v>
      </c>
      <c r="W373" s="217" t="str">
        <f t="shared" si="81"/>
        <v/>
      </c>
      <c r="X373" s="217" t="str">
        <f t="shared" si="81"/>
        <v/>
      </c>
      <c r="Y373" s="217" t="str">
        <f t="shared" si="81"/>
        <v>iCustomCCEditSkin</v>
      </c>
    </row>
    <row r="374" spans="1:25" x14ac:dyDescent="0.3">
      <c r="A374" s="216">
        <f t="shared" si="69"/>
        <v>372</v>
      </c>
      <c r="B374" s="217" t="str">
        <f t="shared" si="80"/>
        <v>x</v>
      </c>
      <c r="C374" s="217" t="str">
        <f t="shared" si="80"/>
        <v/>
      </c>
      <c r="D374" s="217" t="str">
        <f t="shared" si="80"/>
        <v/>
      </c>
      <c r="E374" s="217" t="str">
        <f t="shared" si="80"/>
        <v/>
      </c>
      <c r="F374" s="217" t="str">
        <f t="shared" si="80"/>
        <v/>
      </c>
      <c r="G374" s="217" t="str">
        <f t="shared" si="80"/>
        <v/>
      </c>
      <c r="H374" s="217" t="str">
        <f t="shared" si="80"/>
        <v/>
      </c>
      <c r="I374" s="217" t="str">
        <f t="shared" si="80"/>
        <v/>
      </c>
      <c r="J374" s="217" t="str">
        <f t="shared" si="80"/>
        <v/>
      </c>
      <c r="K374" s="217" t="str">
        <f t="shared" si="80"/>
        <v/>
      </c>
      <c r="L374" s="217" t="str">
        <f t="shared" si="81"/>
        <v>info</v>
      </c>
      <c r="M374" s="217" t="str">
        <f t="shared" si="81"/>
        <v>x</v>
      </c>
      <c r="N374" s="217" t="str">
        <f t="shared" si="81"/>
        <v/>
      </c>
      <c r="O374" s="217" t="str">
        <f t="shared" si="81"/>
        <v>model</v>
      </c>
      <c r="P374" s="218" t="str">
        <f t="shared" si="81"/>
        <v>Boolean</v>
      </c>
      <c r="Q374" s="218" t="str">
        <f t="shared" si="81"/>
        <v>x</v>
      </c>
      <c r="R374" s="218" t="str">
        <f t="shared" si="81"/>
        <v>BS</v>
      </c>
      <c r="S374" s="218" t="str">
        <f t="shared" si="81"/>
        <v>all</v>
      </c>
      <c r="T374" s="217" t="str">
        <f t="shared" si="81"/>
        <v/>
      </c>
      <c r="U374" s="217" t="str">
        <f t="shared" si="81"/>
        <v>Schicht einziehen</v>
      </c>
      <c r="V374" s="217" t="str">
        <f t="shared" si="81"/>
        <v>x</v>
      </c>
      <c r="W374" s="217" t="str">
        <f t="shared" si="81"/>
        <v/>
      </c>
      <c r="X374" s="217" t="str">
        <f t="shared" si="81"/>
        <v/>
      </c>
      <c r="Y374" s="217" t="str">
        <f t="shared" si="81"/>
        <v>gs_custom_cc_turn_in</v>
      </c>
    </row>
    <row r="375" spans="1:25" x14ac:dyDescent="0.3">
      <c r="A375" s="216">
        <f t="shared" si="69"/>
        <v>373</v>
      </c>
      <c r="B375" s="217" t="str">
        <f t="shared" si="80"/>
        <v>x</v>
      </c>
      <c r="C375" s="217" t="str">
        <f t="shared" si="80"/>
        <v/>
      </c>
      <c r="D375" s="217" t="str">
        <f t="shared" si="80"/>
        <v/>
      </c>
      <c r="E375" s="217" t="str">
        <f t="shared" si="80"/>
        <v/>
      </c>
      <c r="F375" s="217" t="str">
        <f t="shared" si="80"/>
        <v/>
      </c>
      <c r="G375" s="217" t="str">
        <f t="shared" si="80"/>
        <v/>
      </c>
      <c r="H375" s="217" t="str">
        <f t="shared" si="80"/>
        <v/>
      </c>
      <c r="I375" s="217" t="str">
        <f t="shared" si="80"/>
        <v/>
      </c>
      <c r="J375" s="217" t="str">
        <f t="shared" si="80"/>
        <v/>
      </c>
      <c r="K375" s="217" t="str">
        <f t="shared" si="80"/>
        <v/>
      </c>
      <c r="L375" s="217" t="str">
        <f t="shared" si="81"/>
        <v>info</v>
      </c>
      <c r="M375" s="217" t="str">
        <f t="shared" si="81"/>
        <v>x</v>
      </c>
      <c r="N375" s="217" t="str">
        <f t="shared" si="81"/>
        <v/>
      </c>
      <c r="O375" s="217" t="str">
        <f t="shared" si="81"/>
        <v>model</v>
      </c>
      <c r="P375" s="218" t="str">
        <f t="shared" si="81"/>
        <v>Boolean</v>
      </c>
      <c r="Q375" s="218" t="str">
        <f t="shared" si="81"/>
        <v>x</v>
      </c>
      <c r="R375" s="218" t="str">
        <f t="shared" si="81"/>
        <v>BS</v>
      </c>
      <c r="S375" s="218" t="str">
        <f t="shared" si="81"/>
        <v>all</v>
      </c>
      <c r="T375" s="217" t="str">
        <f t="shared" si="81"/>
        <v/>
      </c>
      <c r="U375" s="217" t="str">
        <f t="shared" si="81"/>
        <v>Schicht als Putz ansehen</v>
      </c>
      <c r="V375" s="217" t="str">
        <f t="shared" si="81"/>
        <v>x</v>
      </c>
      <c r="W375" s="217" t="str">
        <f t="shared" si="81"/>
        <v/>
      </c>
      <c r="X375" s="217" t="str">
        <f t="shared" si="81"/>
        <v/>
      </c>
      <c r="Y375" s="217" t="str">
        <f t="shared" si="81"/>
        <v>gs_custom_cc_plaster</v>
      </c>
    </row>
    <row r="376" spans="1:25" x14ac:dyDescent="0.3">
      <c r="A376" s="216">
        <f t="shared" si="69"/>
        <v>374</v>
      </c>
      <c r="B376" s="217" t="str">
        <f t="shared" si="80"/>
        <v>x</v>
      </c>
      <c r="C376" s="217" t="str">
        <f t="shared" si="80"/>
        <v/>
      </c>
      <c r="D376" s="217" t="str">
        <f t="shared" si="80"/>
        <v/>
      </c>
      <c r="E376" s="217" t="str">
        <f t="shared" si="80"/>
        <v/>
      </c>
      <c r="F376" s="217" t="str">
        <f t="shared" si="80"/>
        <v/>
      </c>
      <c r="G376" s="217" t="str">
        <f t="shared" si="80"/>
        <v/>
      </c>
      <c r="H376" s="217" t="str">
        <f t="shared" si="80"/>
        <v/>
      </c>
      <c r="I376" s="217" t="str">
        <f t="shared" si="80"/>
        <v/>
      </c>
      <c r="J376" s="217" t="str">
        <f t="shared" si="80"/>
        <v/>
      </c>
      <c r="K376" s="217" t="str">
        <f t="shared" si="80"/>
        <v/>
      </c>
      <c r="L376" s="217" t="str">
        <f t="shared" si="81"/>
        <v>info</v>
      </c>
      <c r="M376" s="217" t="str">
        <f t="shared" si="81"/>
        <v>x</v>
      </c>
      <c r="N376" s="217" t="str">
        <f t="shared" si="81"/>
        <v/>
      </c>
      <c r="O376" s="217" t="str">
        <f t="shared" si="81"/>
        <v>model</v>
      </c>
      <c r="P376" s="218" t="str">
        <f t="shared" si="81"/>
        <v>Integer</v>
      </c>
      <c r="Q376" s="218" t="str">
        <f t="shared" si="81"/>
        <v>x</v>
      </c>
      <c r="R376" s="218" t="str">
        <f t="shared" si="81"/>
        <v>BS</v>
      </c>
      <c r="S376" s="218" t="str">
        <f t="shared" si="81"/>
        <v>all</v>
      </c>
      <c r="T376" s="217">
        <f t="shared" si="81"/>
        <v>1</v>
      </c>
      <c r="U376" s="217" t="str">
        <f t="shared" si="81"/>
        <v>Einzugsdicke</v>
      </c>
      <c r="V376" s="217" t="str">
        <f t="shared" si="81"/>
        <v>x</v>
      </c>
      <c r="W376" s="217" t="str">
        <f t="shared" si="81"/>
        <v/>
      </c>
      <c r="X376" s="217" t="str">
        <f t="shared" si="81"/>
        <v/>
      </c>
      <c r="Y376" s="217" t="str">
        <f t="shared" si="81"/>
        <v>iCustomCCThicknessType</v>
      </c>
    </row>
    <row r="377" spans="1:25" x14ac:dyDescent="0.3">
      <c r="A377" s="216">
        <f t="shared" si="69"/>
        <v>375</v>
      </c>
      <c r="B377" s="217" t="str">
        <f t="shared" si="80"/>
        <v>x</v>
      </c>
      <c r="C377" s="217" t="str">
        <f t="shared" si="80"/>
        <v/>
      </c>
      <c r="D377" s="217" t="str">
        <f t="shared" si="80"/>
        <v/>
      </c>
      <c r="E377" s="217" t="str">
        <f t="shared" si="80"/>
        <v/>
      </c>
      <c r="F377" s="217" t="str">
        <f t="shared" si="80"/>
        <v/>
      </c>
      <c r="G377" s="217" t="str">
        <f t="shared" si="80"/>
        <v/>
      </c>
      <c r="H377" s="217" t="str">
        <f t="shared" si="80"/>
        <v/>
      </c>
      <c r="I377" s="217" t="str">
        <f t="shared" si="80"/>
        <v/>
      </c>
      <c r="J377" s="217" t="str">
        <f t="shared" si="80"/>
        <v/>
      </c>
      <c r="K377" s="217" t="str">
        <f t="shared" si="80"/>
        <v/>
      </c>
      <c r="L377" s="217" t="str">
        <f t="shared" si="81"/>
        <v>info</v>
      </c>
      <c r="M377" s="217" t="str">
        <f t="shared" si="81"/>
        <v>x</v>
      </c>
      <c r="N377" s="217" t="str">
        <f t="shared" si="81"/>
        <v/>
      </c>
      <c r="O377" s="217" t="str">
        <f t="shared" si="81"/>
        <v>model</v>
      </c>
      <c r="P377" s="218" t="str">
        <f t="shared" si="81"/>
        <v>Length</v>
      </c>
      <c r="Q377" s="218" t="str">
        <f t="shared" si="81"/>
        <v>x</v>
      </c>
      <c r="R377" s="218" t="str">
        <f t="shared" si="81"/>
        <v>BS</v>
      </c>
      <c r="S377" s="218" t="str">
        <f t="shared" si="81"/>
        <v>all</v>
      </c>
      <c r="T377" s="217">
        <f t="shared" si="81"/>
        <v>1.4999999999999999E-2</v>
      </c>
      <c r="U377" s="217" t="str">
        <f t="shared" si="81"/>
        <v>Eigene Dicke</v>
      </c>
      <c r="V377" s="217" t="str">
        <f t="shared" si="81"/>
        <v>x</v>
      </c>
      <c r="W377" s="217" t="str">
        <f t="shared" si="81"/>
        <v/>
      </c>
      <c r="X377" s="217" t="str">
        <f t="shared" si="81"/>
        <v/>
      </c>
      <c r="Y377" s="217" t="str">
        <f t="shared" si="81"/>
        <v>gs_custom_cc_thickness</v>
      </c>
    </row>
    <row r="378" spans="1:25" x14ac:dyDescent="0.3">
      <c r="A378" s="216">
        <f t="shared" si="69"/>
        <v>376</v>
      </c>
      <c r="B378" s="217" t="str">
        <f t="shared" si="80"/>
        <v>x</v>
      </c>
      <c r="C378" s="217" t="str">
        <f t="shared" si="80"/>
        <v/>
      </c>
      <c r="D378" s="217" t="str">
        <f t="shared" si="80"/>
        <v/>
      </c>
      <c r="E378" s="217" t="str">
        <f t="shared" si="80"/>
        <v/>
      </c>
      <c r="F378" s="217" t="str">
        <f t="shared" si="80"/>
        <v/>
      </c>
      <c r="G378" s="217" t="str">
        <f t="shared" si="80"/>
        <v/>
      </c>
      <c r="H378" s="217" t="str">
        <f t="shared" si="80"/>
        <v/>
      </c>
      <c r="I378" s="217" t="str">
        <f t="shared" si="80"/>
        <v/>
      </c>
      <c r="J378" s="217" t="str">
        <f t="shared" si="80"/>
        <v/>
      </c>
      <c r="K378" s="217" t="str">
        <f t="shared" si="80"/>
        <v/>
      </c>
      <c r="L378" s="217" t="str">
        <f t="shared" si="81"/>
        <v>info</v>
      </c>
      <c r="M378" s="217" t="str">
        <f t="shared" si="81"/>
        <v>x</v>
      </c>
      <c r="N378" s="217" t="str">
        <f t="shared" si="81"/>
        <v/>
      </c>
      <c r="O378" s="217" t="str">
        <f t="shared" si="81"/>
        <v>model</v>
      </c>
      <c r="P378" s="218" t="str">
        <f t="shared" si="81"/>
        <v>Integer</v>
      </c>
      <c r="Q378" s="218" t="str">
        <f t="shared" si="81"/>
        <v>x</v>
      </c>
      <c r="R378" s="218" t="str">
        <f t="shared" si="81"/>
        <v>BS</v>
      </c>
      <c r="S378" s="218" t="str">
        <f t="shared" si="81"/>
        <v>all</v>
      </c>
      <c r="T378" s="217">
        <f t="shared" si="81"/>
        <v>1</v>
      </c>
      <c r="U378" s="217" t="str">
        <f t="shared" si="81"/>
        <v>Ausrichtung Schraffur</v>
      </c>
      <c r="V378" s="217" t="str">
        <f t="shared" si="81"/>
        <v>x</v>
      </c>
      <c r="W378" s="217" t="str">
        <f t="shared" si="81"/>
        <v/>
      </c>
      <c r="X378" s="217" t="str">
        <f t="shared" si="81"/>
        <v/>
      </c>
      <c r="Y378" s="217" t="str">
        <f t="shared" si="81"/>
        <v>iCustomCCOrientation</v>
      </c>
    </row>
    <row r="379" spans="1:25" x14ac:dyDescent="0.3">
      <c r="A379" s="216">
        <f t="shared" si="69"/>
        <v>377</v>
      </c>
      <c r="B379" s="217" t="str">
        <f t="shared" si="80"/>
        <v>x</v>
      </c>
      <c r="C379" s="217" t="str">
        <f t="shared" si="80"/>
        <v/>
      </c>
      <c r="D379" s="217" t="str">
        <f t="shared" si="80"/>
        <v/>
      </c>
      <c r="E379" s="217" t="str">
        <f t="shared" si="80"/>
        <v/>
      </c>
      <c r="F379" s="217" t="str">
        <f t="shared" si="80"/>
        <v/>
      </c>
      <c r="G379" s="217" t="str">
        <f t="shared" si="80"/>
        <v/>
      </c>
      <c r="H379" s="217" t="str">
        <f t="shared" si="80"/>
        <v/>
      </c>
      <c r="I379" s="217" t="str">
        <f t="shared" si="80"/>
        <v/>
      </c>
      <c r="J379" s="217" t="str">
        <f t="shared" si="80"/>
        <v/>
      </c>
      <c r="K379" s="217" t="str">
        <f t="shared" si="80"/>
        <v/>
      </c>
      <c r="L379" s="217" t="str">
        <f t="shared" si="81"/>
        <v>info</v>
      </c>
      <c r="M379" s="217" t="str">
        <f t="shared" si="81"/>
        <v>x</v>
      </c>
      <c r="N379" s="217" t="str">
        <f t="shared" si="81"/>
        <v/>
      </c>
      <c r="O379" s="217" t="str">
        <f t="shared" si="81"/>
        <v>model</v>
      </c>
      <c r="P379" s="218" t="str">
        <f t="shared" si="81"/>
        <v>Boolean</v>
      </c>
      <c r="Q379" s="218" t="str">
        <f t="shared" si="81"/>
        <v>x</v>
      </c>
      <c r="R379" s="218" t="str">
        <f t="shared" si="81"/>
        <v>BS</v>
      </c>
      <c r="S379" s="218" t="str">
        <f t="shared" si="81"/>
        <v>all</v>
      </c>
      <c r="T379" s="217" t="str">
        <f t="shared" si="81"/>
        <v/>
      </c>
      <c r="U379" s="217" t="str">
        <f t="shared" si="81"/>
        <v>Trennlinie am Einzug</v>
      </c>
      <c r="V379" s="217" t="str">
        <f t="shared" si="81"/>
        <v>x</v>
      </c>
      <c r="W379" s="217" t="str">
        <f t="shared" si="81"/>
        <v/>
      </c>
      <c r="X379" s="217" t="str">
        <f t="shared" si="81"/>
        <v/>
      </c>
      <c r="Y379" s="217" t="str">
        <f t="shared" si="81"/>
        <v>gs_custom_cc_separator</v>
      </c>
    </row>
    <row r="380" spans="1:25" x14ac:dyDescent="0.3">
      <c r="A380" s="216">
        <f t="shared" si="69"/>
        <v>378</v>
      </c>
      <c r="B380" s="217" t="str">
        <f t="shared" si="80"/>
        <v>x</v>
      </c>
      <c r="C380" s="217" t="str">
        <f t="shared" si="80"/>
        <v/>
      </c>
      <c r="D380" s="217" t="str">
        <f t="shared" si="80"/>
        <v/>
      </c>
      <c r="E380" s="217" t="str">
        <f t="shared" si="80"/>
        <v/>
      </c>
      <c r="F380" s="217" t="str">
        <f t="shared" si="80"/>
        <v/>
      </c>
      <c r="G380" s="217" t="str">
        <f t="shared" si="80"/>
        <v/>
      </c>
      <c r="H380" s="217" t="str">
        <f t="shared" si="80"/>
        <v/>
      </c>
      <c r="I380" s="217" t="str">
        <f t="shared" si="80"/>
        <v/>
      </c>
      <c r="J380" s="217" t="str">
        <f t="shared" si="80"/>
        <v/>
      </c>
      <c r="K380" s="217" t="str">
        <f t="shared" si="80"/>
        <v/>
      </c>
      <c r="L380" s="217" t="str">
        <f t="shared" si="81"/>
        <v>info</v>
      </c>
      <c r="M380" s="217" t="str">
        <f t="shared" si="81"/>
        <v>x</v>
      </c>
      <c r="N380" s="217" t="str">
        <f t="shared" si="81"/>
        <v/>
      </c>
      <c r="O380" s="217" t="str">
        <f t="shared" si="81"/>
        <v>model</v>
      </c>
      <c r="P380" s="218" t="str">
        <f t="shared" si="81"/>
        <v>PenColor</v>
      </c>
      <c r="Q380" s="218" t="str">
        <f t="shared" si="81"/>
        <v>x</v>
      </c>
      <c r="R380" s="218" t="str">
        <f t="shared" si="81"/>
        <v>BS</v>
      </c>
      <c r="S380" s="218" t="str">
        <f t="shared" si="81"/>
        <v>all</v>
      </c>
      <c r="T380" s="217">
        <f t="shared" si="81"/>
        <v>1</v>
      </c>
      <c r="U380" s="217" t="str">
        <f t="shared" si="81"/>
        <v>Stift Trennlinie</v>
      </c>
      <c r="V380" s="217" t="str">
        <f t="shared" si="81"/>
        <v>x</v>
      </c>
      <c r="W380" s="217" t="str">
        <f t="shared" si="81"/>
        <v/>
      </c>
      <c r="X380" s="217" t="str">
        <f t="shared" si="81"/>
        <v/>
      </c>
      <c r="Y380" s="217" t="str">
        <f t="shared" si="81"/>
        <v>gs_custom_cc_separator_pen</v>
      </c>
    </row>
    <row r="381" spans="1:25" x14ac:dyDescent="0.3">
      <c r="A381" s="216">
        <f t="shared" si="69"/>
        <v>379</v>
      </c>
      <c r="B381" s="217" t="str">
        <f t="shared" si="80"/>
        <v>x</v>
      </c>
      <c r="C381" s="217" t="str">
        <f t="shared" si="80"/>
        <v/>
      </c>
      <c r="D381" s="217" t="str">
        <f t="shared" si="80"/>
        <v/>
      </c>
      <c r="E381" s="217" t="str">
        <f t="shared" si="80"/>
        <v/>
      </c>
      <c r="F381" s="217" t="str">
        <f t="shared" si="80"/>
        <v/>
      </c>
      <c r="G381" s="217" t="str">
        <f t="shared" si="80"/>
        <v/>
      </c>
      <c r="H381" s="217" t="str">
        <f t="shared" si="80"/>
        <v/>
      </c>
      <c r="I381" s="217" t="str">
        <f t="shared" si="80"/>
        <v/>
      </c>
      <c r="J381" s="217" t="str">
        <f t="shared" si="80"/>
        <v/>
      </c>
      <c r="K381" s="217" t="str">
        <f t="shared" si="80"/>
        <v/>
      </c>
      <c r="L381" s="217" t="str">
        <f t="shared" si="81"/>
        <v>info</v>
      </c>
      <c r="M381" s="217" t="str">
        <f t="shared" si="81"/>
        <v>x</v>
      </c>
      <c r="N381" s="217" t="str">
        <f t="shared" si="81"/>
        <v/>
      </c>
      <c r="O381" s="217" t="str">
        <f t="shared" si="81"/>
        <v>model</v>
      </c>
      <c r="P381" s="218" t="str">
        <f t="shared" si="81"/>
        <v>Length</v>
      </c>
      <c r="Q381" s="218" t="str">
        <f t="shared" si="81"/>
        <v>x</v>
      </c>
      <c r="R381" s="218" t="str">
        <f t="shared" si="81"/>
        <v>BS</v>
      </c>
      <c r="S381" s="218" t="str">
        <f t="shared" si="81"/>
        <v>all</v>
      </c>
      <c r="T381" s="217" t="str">
        <f t="shared" si="81"/>
        <v/>
      </c>
      <c r="U381" s="217" t="str">
        <f t="shared" si="81"/>
        <v>Tiefe Schicht-Rahmen Überlappung</v>
      </c>
      <c r="V381" s="217" t="str">
        <f t="shared" si="81"/>
        <v>x</v>
      </c>
      <c r="W381" s="217" t="str">
        <f t="shared" si="81"/>
        <v/>
      </c>
      <c r="X381" s="217" t="str">
        <f t="shared" si="81"/>
        <v/>
      </c>
      <c r="Y381" s="217" t="str">
        <f t="shared" si="81"/>
        <v>gs_custom_cc_overhang</v>
      </c>
    </row>
    <row r="382" spans="1:25" x14ac:dyDescent="0.3">
      <c r="A382" s="216">
        <f t="shared" si="69"/>
        <v>380</v>
      </c>
      <c r="B382" s="217" t="str">
        <f t="shared" si="80"/>
        <v>x</v>
      </c>
      <c r="C382" s="217" t="str">
        <f t="shared" si="80"/>
        <v>x</v>
      </c>
      <c r="D382" s="217" t="str">
        <f t="shared" si="80"/>
        <v/>
      </c>
      <c r="E382" s="217" t="str">
        <f t="shared" si="80"/>
        <v/>
      </c>
      <c r="F382" s="217" t="str">
        <f t="shared" si="80"/>
        <v/>
      </c>
      <c r="G382" s="217" t="str">
        <f t="shared" si="80"/>
        <v/>
      </c>
      <c r="H382" s="217" t="str">
        <f t="shared" si="80"/>
        <v/>
      </c>
      <c r="I382" s="217" t="str">
        <f t="shared" si="80"/>
        <v/>
      </c>
      <c r="J382" s="217" t="str">
        <f t="shared" si="80"/>
        <v/>
      </c>
      <c r="K382" s="217" t="str">
        <f t="shared" si="80"/>
        <v/>
      </c>
      <c r="L382" s="217" t="str">
        <f t="shared" si="81"/>
        <v>info</v>
      </c>
      <c r="M382" s="217" t="str">
        <f t="shared" si="81"/>
        <v>x</v>
      </c>
      <c r="N382" s="217" t="str">
        <f t="shared" si="81"/>
        <v/>
      </c>
      <c r="O382" s="217" t="str">
        <f t="shared" si="81"/>
        <v>model</v>
      </c>
      <c r="P382" s="218" t="str">
        <f t="shared" si="81"/>
        <v>Boolean</v>
      </c>
      <c r="Q382" s="218" t="str">
        <f t="shared" si="81"/>
        <v>x</v>
      </c>
      <c r="R382" s="218" t="str">
        <f t="shared" si="81"/>
        <v>BS</v>
      </c>
      <c r="S382" s="218" t="str">
        <f t="shared" si="81"/>
        <v>all</v>
      </c>
      <c r="T382" s="217" t="str">
        <f t="shared" si="81"/>
        <v/>
      </c>
      <c r="U382" s="217" t="str">
        <f t="shared" si="81"/>
        <v>Letzte ausgewählte Seite</v>
      </c>
      <c r="V382" s="217" t="str">
        <f t="shared" si="81"/>
        <v>x</v>
      </c>
      <c r="W382" s="217" t="str">
        <f t="shared" si="81"/>
        <v/>
      </c>
      <c r="X382" s="217" t="str">
        <f t="shared" si="81"/>
        <v/>
      </c>
      <c r="Y382" s="217" t="str">
        <f t="shared" si="81"/>
        <v>gs_custom_cc_last_sel_side</v>
      </c>
    </row>
    <row r="383" spans="1:25" x14ac:dyDescent="0.3">
      <c r="A383" s="216">
        <f t="shared" si="69"/>
        <v>381</v>
      </c>
      <c r="B383" s="217" t="str">
        <f t="shared" ref="B383:K392" si="82">IF(ISNONTEXT(B$2),IF(B$2="","",IF(INDEX(IMPORT,$A383,B$2)=0,"",IFERROR(VLOOKUP(INDEX(IMPORT,$A383,B$2),ImportTranslation,2,0),INDEX(IMPORT,$A383,B$2)))),B$2)</f>
        <v>x</v>
      </c>
      <c r="C383" s="217" t="str">
        <f t="shared" si="82"/>
        <v>x</v>
      </c>
      <c r="D383" s="217" t="str">
        <f t="shared" si="82"/>
        <v/>
      </c>
      <c r="E383" s="217" t="str">
        <f t="shared" si="82"/>
        <v/>
      </c>
      <c r="F383" s="217" t="str">
        <f t="shared" si="82"/>
        <v/>
      </c>
      <c r="G383" s="217" t="str">
        <f t="shared" si="82"/>
        <v/>
      </c>
      <c r="H383" s="217" t="str">
        <f t="shared" si="82"/>
        <v/>
      </c>
      <c r="I383" s="217" t="str">
        <f t="shared" si="82"/>
        <v/>
      </c>
      <c r="J383" s="217" t="str">
        <f t="shared" si="82"/>
        <v/>
      </c>
      <c r="K383" s="217" t="str">
        <f t="shared" si="82"/>
        <v/>
      </c>
      <c r="L383" s="217" t="str">
        <f t="shared" ref="L383:Y392" si="83">IF(ISNONTEXT(L$2),IF(L$2="","",IF(INDEX(IMPORT,$A383,L$2)=0,"",IFERROR(VLOOKUP(INDEX(IMPORT,$A383,L$2),ImportTranslation,2,0),INDEX(IMPORT,$A383,L$2)))),L$2)</f>
        <v>info</v>
      </c>
      <c r="M383" s="217" t="str">
        <f t="shared" si="83"/>
        <v>x</v>
      </c>
      <c r="N383" s="217" t="str">
        <f t="shared" si="83"/>
        <v/>
      </c>
      <c r="O383" s="217" t="str">
        <f t="shared" si="83"/>
        <v>model</v>
      </c>
      <c r="P383" s="218" t="str">
        <f t="shared" si="83"/>
        <v>Boolean</v>
      </c>
      <c r="Q383" s="218" t="str">
        <f t="shared" si="83"/>
        <v>x</v>
      </c>
      <c r="R383" s="218" t="str">
        <f t="shared" si="83"/>
        <v>BS</v>
      </c>
      <c r="S383" s="218" t="str">
        <f t="shared" si="83"/>
        <v>all</v>
      </c>
      <c r="T383" s="217" t="str">
        <f t="shared" si="83"/>
        <v/>
      </c>
      <c r="U383" s="217" t="str">
        <f t="shared" si="83"/>
        <v>Abschlussart automatisch verändert</v>
      </c>
      <c r="V383" s="217" t="str">
        <f t="shared" si="83"/>
        <v>x</v>
      </c>
      <c r="W383" s="217" t="str">
        <f t="shared" si="83"/>
        <v/>
      </c>
      <c r="X383" s="217" t="str">
        <f t="shared" si="83"/>
        <v/>
      </c>
      <c r="Y383" s="217" t="str">
        <f t="shared" si="83"/>
        <v>gs_closure_auto_changed</v>
      </c>
    </row>
    <row r="384" spans="1:25" x14ac:dyDescent="0.3">
      <c r="A384" s="216">
        <f t="shared" si="69"/>
        <v>382</v>
      </c>
      <c r="B384" s="217" t="str">
        <f t="shared" si="82"/>
        <v>x</v>
      </c>
      <c r="C384" s="217" t="str">
        <f t="shared" si="82"/>
        <v/>
      </c>
      <c r="D384" s="217" t="str">
        <f t="shared" si="82"/>
        <v/>
      </c>
      <c r="E384" s="217" t="str">
        <f t="shared" si="82"/>
        <v/>
      </c>
      <c r="F384" s="217" t="str">
        <f t="shared" si="82"/>
        <v/>
      </c>
      <c r="G384" s="217" t="str">
        <f t="shared" si="82"/>
        <v/>
      </c>
      <c r="H384" s="217" t="str">
        <f t="shared" si="82"/>
        <v/>
      </c>
      <c r="I384" s="217" t="str">
        <f t="shared" si="82"/>
        <v/>
      </c>
      <c r="J384" s="217" t="str">
        <f t="shared" si="82"/>
        <v/>
      </c>
      <c r="K384" s="217" t="str">
        <f t="shared" si="82"/>
        <v/>
      </c>
      <c r="L384" s="217" t="str">
        <f t="shared" si="83"/>
        <v>info</v>
      </c>
      <c r="M384" s="217" t="str">
        <f t="shared" si="83"/>
        <v/>
      </c>
      <c r="N384" s="217" t="str">
        <f t="shared" si="83"/>
        <v/>
      </c>
      <c r="O384" s="217" t="str">
        <f t="shared" si="83"/>
        <v>model</v>
      </c>
      <c r="P384" s="218" t="str">
        <f t="shared" si="83"/>
        <v>Title</v>
      </c>
      <c r="Q384" s="218" t="str">
        <f t="shared" si="83"/>
        <v>x</v>
      </c>
      <c r="R384" s="218" t="str">
        <f t="shared" si="83"/>
        <v>BS</v>
      </c>
      <c r="S384" s="218" t="str">
        <f t="shared" si="83"/>
        <v>all</v>
      </c>
      <c r="T384" s="217" t="str">
        <f t="shared" si="83"/>
        <v/>
      </c>
      <c r="U384" s="217" t="str">
        <f t="shared" si="83"/>
        <v>Reihung</v>
      </c>
      <c r="V384" s="217" t="str">
        <f t="shared" si="83"/>
        <v/>
      </c>
      <c r="W384" s="217" t="str">
        <f t="shared" si="83"/>
        <v/>
      </c>
      <c r="X384" s="217" t="str">
        <f t="shared" si="83"/>
        <v/>
      </c>
      <c r="Y384" s="217" t="str">
        <f t="shared" si="83"/>
        <v>gs_door_stack</v>
      </c>
    </row>
    <row r="385" spans="1:25" x14ac:dyDescent="0.3">
      <c r="A385" s="216">
        <f t="shared" si="69"/>
        <v>383</v>
      </c>
      <c r="B385" s="217" t="str">
        <f t="shared" si="82"/>
        <v>x</v>
      </c>
      <c r="C385" s="217" t="str">
        <f t="shared" si="82"/>
        <v/>
      </c>
      <c r="D385" s="217" t="str">
        <f t="shared" si="82"/>
        <v/>
      </c>
      <c r="E385" s="217" t="str">
        <f t="shared" si="82"/>
        <v/>
      </c>
      <c r="F385" s="217" t="str">
        <f t="shared" si="82"/>
        <v/>
      </c>
      <c r="G385" s="217" t="str">
        <f t="shared" si="82"/>
        <v/>
      </c>
      <c r="H385" s="217" t="str">
        <f t="shared" si="82"/>
        <v/>
      </c>
      <c r="I385" s="217" t="str">
        <f t="shared" si="82"/>
        <v/>
      </c>
      <c r="J385" s="217" t="str">
        <f t="shared" si="82"/>
        <v/>
      </c>
      <c r="K385" s="217" t="str">
        <f t="shared" si="82"/>
        <v/>
      </c>
      <c r="L385" s="217" t="str">
        <f t="shared" si="83"/>
        <v>info</v>
      </c>
      <c r="M385" s="217" t="str">
        <f t="shared" si="83"/>
        <v>x</v>
      </c>
      <c r="N385" s="217" t="str">
        <f t="shared" si="83"/>
        <v/>
      </c>
      <c r="O385" s="217" t="str">
        <f t="shared" si="83"/>
        <v>model</v>
      </c>
      <c r="P385" s="218" t="str">
        <f t="shared" si="83"/>
        <v>Boolean</v>
      </c>
      <c r="Q385" s="218" t="str">
        <f t="shared" si="83"/>
        <v>x</v>
      </c>
      <c r="R385" s="218" t="str">
        <f t="shared" si="83"/>
        <v>BS</v>
      </c>
      <c r="S385" s="218" t="str">
        <f t="shared" si="83"/>
        <v>all</v>
      </c>
      <c r="T385" s="217" t="str">
        <f t="shared" si="83"/>
        <v/>
      </c>
      <c r="U385" s="217" t="str">
        <f t="shared" si="83"/>
        <v>Anschluss Links</v>
      </c>
      <c r="V385" s="217" t="str">
        <f t="shared" si="83"/>
        <v>x</v>
      </c>
      <c r="W385" s="217" t="str">
        <f t="shared" si="83"/>
        <v/>
      </c>
      <c r="X385" s="217" t="str">
        <f t="shared" si="83"/>
        <v/>
      </c>
      <c r="Y385" s="217" t="str">
        <f t="shared" si="83"/>
        <v>gs_stack_left</v>
      </c>
    </row>
    <row r="386" spans="1:25" x14ac:dyDescent="0.3">
      <c r="A386" s="216">
        <f t="shared" si="69"/>
        <v>384</v>
      </c>
      <c r="B386" s="217" t="str">
        <f t="shared" si="82"/>
        <v>x</v>
      </c>
      <c r="C386" s="217" t="str">
        <f t="shared" si="82"/>
        <v/>
      </c>
      <c r="D386" s="217" t="str">
        <f t="shared" si="82"/>
        <v/>
      </c>
      <c r="E386" s="217" t="str">
        <f t="shared" si="82"/>
        <v/>
      </c>
      <c r="F386" s="217" t="str">
        <f t="shared" si="82"/>
        <v/>
      </c>
      <c r="G386" s="217" t="str">
        <f t="shared" si="82"/>
        <v/>
      </c>
      <c r="H386" s="217" t="str">
        <f t="shared" si="82"/>
        <v/>
      </c>
      <c r="I386" s="217" t="str">
        <f t="shared" si="82"/>
        <v/>
      </c>
      <c r="J386" s="217" t="str">
        <f t="shared" si="82"/>
        <v/>
      </c>
      <c r="K386" s="217" t="str">
        <f t="shared" si="82"/>
        <v/>
      </c>
      <c r="L386" s="217" t="str">
        <f t="shared" si="83"/>
        <v>info</v>
      </c>
      <c r="M386" s="217" t="str">
        <f t="shared" si="83"/>
        <v>x</v>
      </c>
      <c r="N386" s="217" t="str">
        <f t="shared" si="83"/>
        <v/>
      </c>
      <c r="O386" s="217" t="str">
        <f t="shared" si="83"/>
        <v>model</v>
      </c>
      <c r="P386" s="218" t="str">
        <f t="shared" si="83"/>
        <v>Boolean</v>
      </c>
      <c r="Q386" s="218" t="str">
        <f t="shared" si="83"/>
        <v>x</v>
      </c>
      <c r="R386" s="218" t="str">
        <f t="shared" si="83"/>
        <v>BS</v>
      </c>
      <c r="S386" s="218" t="str">
        <f t="shared" si="83"/>
        <v>all</v>
      </c>
      <c r="T386" s="217" t="str">
        <f t="shared" si="83"/>
        <v/>
      </c>
      <c r="U386" s="217" t="str">
        <f t="shared" si="83"/>
        <v>Anschluss Rechts</v>
      </c>
      <c r="V386" s="217" t="str">
        <f t="shared" si="83"/>
        <v>x</v>
      </c>
      <c r="W386" s="217" t="str">
        <f t="shared" si="83"/>
        <v/>
      </c>
      <c r="X386" s="217" t="str">
        <f t="shared" si="83"/>
        <v/>
      </c>
      <c r="Y386" s="217" t="str">
        <f t="shared" si="83"/>
        <v>gs_stack_right</v>
      </c>
    </row>
    <row r="387" spans="1:25" x14ac:dyDescent="0.3">
      <c r="A387" s="216">
        <f t="shared" ref="A387:A450" si="84">ROW()-ROW($A$2)</f>
        <v>385</v>
      </c>
      <c r="B387" s="217" t="str">
        <f t="shared" si="82"/>
        <v>x</v>
      </c>
      <c r="C387" s="217" t="str">
        <f t="shared" si="82"/>
        <v/>
      </c>
      <c r="D387" s="217" t="str">
        <f t="shared" si="82"/>
        <v/>
      </c>
      <c r="E387" s="217" t="str">
        <f t="shared" si="82"/>
        <v/>
      </c>
      <c r="F387" s="217" t="str">
        <f t="shared" si="82"/>
        <v/>
      </c>
      <c r="G387" s="217" t="str">
        <f t="shared" si="82"/>
        <v/>
      </c>
      <c r="H387" s="217" t="str">
        <f t="shared" si="82"/>
        <v/>
      </c>
      <c r="I387" s="217" t="str">
        <f t="shared" si="82"/>
        <v/>
      </c>
      <c r="J387" s="217" t="str">
        <f t="shared" si="82"/>
        <v/>
      </c>
      <c r="K387" s="217" t="str">
        <f t="shared" si="82"/>
        <v/>
      </c>
      <c r="L387" s="217" t="str">
        <f t="shared" si="83"/>
        <v>info</v>
      </c>
      <c r="M387" s="217" t="str">
        <f t="shared" si="83"/>
        <v>x</v>
      </c>
      <c r="N387" s="217" t="str">
        <f t="shared" si="83"/>
        <v/>
      </c>
      <c r="O387" s="217" t="str">
        <f t="shared" si="83"/>
        <v>model</v>
      </c>
      <c r="P387" s="218" t="str">
        <f t="shared" si="83"/>
        <v>Boolean</v>
      </c>
      <c r="Q387" s="218" t="str">
        <f t="shared" si="83"/>
        <v>x</v>
      </c>
      <c r="R387" s="218" t="str">
        <f t="shared" si="83"/>
        <v>BS</v>
      </c>
      <c r="S387" s="218" t="str">
        <f t="shared" si="83"/>
        <v>all</v>
      </c>
      <c r="T387" s="217" t="str">
        <f t="shared" si="83"/>
        <v/>
      </c>
      <c r="U387" s="217" t="str">
        <f t="shared" si="83"/>
        <v>Anschluss Oben</v>
      </c>
      <c r="V387" s="217" t="str">
        <f t="shared" si="83"/>
        <v>x</v>
      </c>
      <c r="W387" s="217" t="str">
        <f t="shared" si="83"/>
        <v/>
      </c>
      <c r="X387" s="217" t="str">
        <f t="shared" si="83"/>
        <v/>
      </c>
      <c r="Y387" s="217" t="str">
        <f t="shared" si="83"/>
        <v>gs_stack_top</v>
      </c>
    </row>
    <row r="388" spans="1:25" x14ac:dyDescent="0.3">
      <c r="A388" s="216">
        <f t="shared" si="84"/>
        <v>386</v>
      </c>
      <c r="B388" s="217" t="str">
        <f t="shared" si="82"/>
        <v>x</v>
      </c>
      <c r="C388" s="217" t="str">
        <f t="shared" si="82"/>
        <v/>
      </c>
      <c r="D388" s="217" t="str">
        <f t="shared" si="82"/>
        <v/>
      </c>
      <c r="E388" s="217" t="str">
        <f t="shared" si="82"/>
        <v/>
      </c>
      <c r="F388" s="217" t="str">
        <f t="shared" si="82"/>
        <v/>
      </c>
      <c r="G388" s="217" t="str">
        <f t="shared" si="82"/>
        <v/>
      </c>
      <c r="H388" s="217" t="str">
        <f t="shared" si="82"/>
        <v/>
      </c>
      <c r="I388" s="217" t="str">
        <f t="shared" si="82"/>
        <v/>
      </c>
      <c r="J388" s="217" t="str">
        <f t="shared" si="82"/>
        <v/>
      </c>
      <c r="K388" s="217" t="str">
        <f t="shared" si="82"/>
        <v/>
      </c>
      <c r="L388" s="217" t="str">
        <f t="shared" si="83"/>
        <v>info</v>
      </c>
      <c r="M388" s="217" t="str">
        <f t="shared" si="83"/>
        <v/>
      </c>
      <c r="N388" s="217" t="str">
        <f t="shared" si="83"/>
        <v/>
      </c>
      <c r="O388" s="217" t="str">
        <f t="shared" si="83"/>
        <v>model</v>
      </c>
      <c r="P388" s="218" t="str">
        <f t="shared" si="83"/>
        <v>Title</v>
      </c>
      <c r="Q388" s="218" t="str">
        <f t="shared" si="83"/>
        <v>x</v>
      </c>
      <c r="R388" s="218" t="str">
        <f t="shared" si="83"/>
        <v>BS</v>
      </c>
      <c r="S388" s="218" t="str">
        <f t="shared" si="83"/>
        <v>all</v>
      </c>
      <c r="T388" s="217" t="str">
        <f t="shared" si="83"/>
        <v/>
      </c>
      <c r="U388" s="217" t="str">
        <f t="shared" si="83"/>
        <v>Stifte</v>
      </c>
      <c r="V388" s="217" t="str">
        <f t="shared" si="83"/>
        <v/>
      </c>
      <c r="W388" s="217" t="str">
        <f t="shared" si="83"/>
        <v/>
      </c>
      <c r="X388" s="217" t="str">
        <f t="shared" si="83"/>
        <v/>
      </c>
      <c r="Y388" s="217" t="str">
        <f t="shared" si="83"/>
        <v>gs_pen_settings</v>
      </c>
    </row>
    <row r="389" spans="1:25" x14ac:dyDescent="0.3">
      <c r="A389" s="216">
        <f t="shared" si="84"/>
        <v>387</v>
      </c>
      <c r="B389" s="217" t="str">
        <f t="shared" si="82"/>
        <v>x</v>
      </c>
      <c r="C389" s="217" t="str">
        <f t="shared" si="82"/>
        <v/>
      </c>
      <c r="D389" s="217" t="str">
        <f t="shared" si="82"/>
        <v/>
      </c>
      <c r="E389" s="217" t="str">
        <f t="shared" si="82"/>
        <v/>
      </c>
      <c r="F389" s="217" t="str">
        <f t="shared" si="82"/>
        <v/>
      </c>
      <c r="G389" s="217" t="str">
        <f t="shared" si="82"/>
        <v/>
      </c>
      <c r="H389" s="217" t="str">
        <f t="shared" si="82"/>
        <v/>
      </c>
      <c r="I389" s="217" t="str">
        <f t="shared" si="82"/>
        <v/>
      </c>
      <c r="J389" s="217" t="str">
        <f t="shared" si="82"/>
        <v/>
      </c>
      <c r="K389" s="217" t="str">
        <f t="shared" si="82"/>
        <v/>
      </c>
      <c r="L389" s="217" t="str">
        <f t="shared" si="83"/>
        <v>info</v>
      </c>
      <c r="M389" s="217" t="str">
        <f t="shared" si="83"/>
        <v>x</v>
      </c>
      <c r="N389" s="217" t="str">
        <f t="shared" si="83"/>
        <v/>
      </c>
      <c r="O389" s="217" t="str">
        <f t="shared" si="83"/>
        <v>model</v>
      </c>
      <c r="P389" s="218" t="str">
        <f t="shared" si="83"/>
        <v>PenColor</v>
      </c>
      <c r="Q389" s="218" t="str">
        <f t="shared" si="83"/>
        <v>x</v>
      </c>
      <c r="R389" s="218" t="str">
        <f t="shared" si="83"/>
        <v>BS</v>
      </c>
      <c r="S389" s="218" t="str">
        <f t="shared" si="83"/>
        <v>all</v>
      </c>
      <c r="T389" s="217">
        <f t="shared" si="83"/>
        <v>2</v>
      </c>
      <c r="U389" s="217" t="str">
        <f t="shared" si="83"/>
        <v>Rahmen-Aufsicht-Stift</v>
      </c>
      <c r="V389" s="217" t="str">
        <f t="shared" si="83"/>
        <v>x</v>
      </c>
      <c r="W389" s="217" t="str">
        <f t="shared" si="83"/>
        <v/>
      </c>
      <c r="X389" s="217" t="str">
        <f t="shared" si="83"/>
        <v/>
      </c>
      <c r="Y389" s="217" t="str">
        <f t="shared" si="83"/>
        <v>gs_pen_2D</v>
      </c>
    </row>
    <row r="390" spans="1:25" x14ac:dyDescent="0.3">
      <c r="A390" s="216">
        <f t="shared" si="84"/>
        <v>388</v>
      </c>
      <c r="B390" s="217" t="str">
        <f t="shared" si="82"/>
        <v>x</v>
      </c>
      <c r="C390" s="217" t="str">
        <f t="shared" si="82"/>
        <v/>
      </c>
      <c r="D390" s="217" t="str">
        <f t="shared" si="82"/>
        <v/>
      </c>
      <c r="E390" s="217" t="str">
        <f t="shared" si="82"/>
        <v/>
      </c>
      <c r="F390" s="217" t="str">
        <f t="shared" si="82"/>
        <v/>
      </c>
      <c r="G390" s="217" t="str">
        <f t="shared" si="82"/>
        <v/>
      </c>
      <c r="H390" s="217" t="str">
        <f t="shared" si="82"/>
        <v/>
      </c>
      <c r="I390" s="217" t="str">
        <f t="shared" si="82"/>
        <v/>
      </c>
      <c r="J390" s="217" t="str">
        <f t="shared" si="82"/>
        <v/>
      </c>
      <c r="K390" s="217" t="str">
        <f t="shared" si="82"/>
        <v/>
      </c>
      <c r="L390" s="217" t="str">
        <f t="shared" si="83"/>
        <v>info</v>
      </c>
      <c r="M390" s="217" t="str">
        <f t="shared" si="83"/>
        <v>x</v>
      </c>
      <c r="N390" s="217" t="str">
        <f t="shared" si="83"/>
        <v/>
      </c>
      <c r="O390" s="217" t="str">
        <f t="shared" si="83"/>
        <v>model</v>
      </c>
      <c r="P390" s="218" t="str">
        <f t="shared" si="83"/>
        <v>PenColor</v>
      </c>
      <c r="Q390" s="218" t="str">
        <f t="shared" si="83"/>
        <v>x</v>
      </c>
      <c r="R390" s="218" t="str">
        <f t="shared" si="83"/>
        <v>BS</v>
      </c>
      <c r="S390" s="218" t="str">
        <f t="shared" si="83"/>
        <v>all</v>
      </c>
      <c r="T390" s="217">
        <f t="shared" si="83"/>
        <v>2</v>
      </c>
      <c r="U390" s="217" t="str">
        <f t="shared" si="83"/>
        <v>Rahmen-Stift</v>
      </c>
      <c r="V390" s="217" t="str">
        <f t="shared" si="83"/>
        <v>x</v>
      </c>
      <c r="W390" s="217" t="str">
        <f t="shared" si="83"/>
        <v/>
      </c>
      <c r="X390" s="217" t="str">
        <f t="shared" si="83"/>
        <v/>
      </c>
      <c r="Y390" s="217" t="str">
        <f t="shared" si="83"/>
        <v>gs_frame_pen</v>
      </c>
    </row>
    <row r="391" spans="1:25" x14ac:dyDescent="0.3">
      <c r="A391" s="216">
        <f t="shared" si="84"/>
        <v>389</v>
      </c>
      <c r="B391" s="217" t="str">
        <f t="shared" si="82"/>
        <v/>
      </c>
      <c r="C391" s="217" t="str">
        <f t="shared" si="82"/>
        <v/>
      </c>
      <c r="D391" s="217" t="str">
        <f t="shared" si="82"/>
        <v/>
      </c>
      <c r="E391" s="217" t="str">
        <f t="shared" si="82"/>
        <v/>
      </c>
      <c r="F391" s="217" t="str">
        <f t="shared" si="82"/>
        <v/>
      </c>
      <c r="G391" s="217" t="str">
        <f t="shared" si="82"/>
        <v/>
      </c>
      <c r="H391" s="217" t="str">
        <f t="shared" si="82"/>
        <v/>
      </c>
      <c r="I391" s="217" t="str">
        <f t="shared" si="82"/>
        <v/>
      </c>
      <c r="J391" s="217" t="str">
        <f t="shared" si="82"/>
        <v/>
      </c>
      <c r="K391" s="217" t="str">
        <f t="shared" si="82"/>
        <v/>
      </c>
      <c r="L391" s="217" t="str">
        <f t="shared" si="83"/>
        <v>info</v>
      </c>
      <c r="M391" s="217" t="str">
        <f t="shared" si="83"/>
        <v>x</v>
      </c>
      <c r="N391" s="217" t="str">
        <f t="shared" si="83"/>
        <v/>
      </c>
      <c r="O391" s="217" t="str">
        <f t="shared" si="83"/>
        <v>model</v>
      </c>
      <c r="P391" s="218" t="str">
        <f t="shared" si="83"/>
        <v>FillPattern</v>
      </c>
      <c r="Q391" s="218" t="str">
        <f t="shared" si="83"/>
        <v>x</v>
      </c>
      <c r="R391" s="218" t="str">
        <f t="shared" si="83"/>
        <v>BS</v>
      </c>
      <c r="S391" s="218" t="str">
        <f t="shared" si="83"/>
        <v>all</v>
      </c>
      <c r="T391" s="217">
        <f t="shared" si="83"/>
        <v>65</v>
      </c>
      <c r="U391" s="217" t="str">
        <f t="shared" si="83"/>
        <v>Rahmen-Schnittschraffur-Typ</v>
      </c>
      <c r="V391" s="217" t="str">
        <f t="shared" si="83"/>
        <v>x</v>
      </c>
      <c r="W391" s="217" t="str">
        <f t="shared" si="83"/>
        <v/>
      </c>
      <c r="X391" s="217" t="str">
        <f t="shared" si="83"/>
        <v/>
      </c>
      <c r="Y391" s="217" t="str">
        <f t="shared" si="83"/>
        <v>gs_fillFr</v>
      </c>
    </row>
    <row r="392" spans="1:25" x14ac:dyDescent="0.3">
      <c r="A392" s="216">
        <f t="shared" si="84"/>
        <v>390</v>
      </c>
      <c r="B392" s="217" t="str">
        <f t="shared" si="82"/>
        <v/>
      </c>
      <c r="C392" s="217" t="str">
        <f t="shared" si="82"/>
        <v/>
      </c>
      <c r="D392" s="217" t="str">
        <f t="shared" si="82"/>
        <v/>
      </c>
      <c r="E392" s="217" t="str">
        <f t="shared" si="82"/>
        <v/>
      </c>
      <c r="F392" s="217" t="str">
        <f t="shared" si="82"/>
        <v/>
      </c>
      <c r="G392" s="217" t="str">
        <f t="shared" si="82"/>
        <v/>
      </c>
      <c r="H392" s="217" t="str">
        <f t="shared" si="82"/>
        <v/>
      </c>
      <c r="I392" s="217" t="str">
        <f t="shared" si="82"/>
        <v/>
      </c>
      <c r="J392" s="217" t="str">
        <f t="shared" si="82"/>
        <v/>
      </c>
      <c r="K392" s="217" t="str">
        <f t="shared" si="82"/>
        <v/>
      </c>
      <c r="L392" s="217" t="str">
        <f t="shared" si="83"/>
        <v>info</v>
      </c>
      <c r="M392" s="217" t="str">
        <f t="shared" si="83"/>
        <v>x</v>
      </c>
      <c r="N392" s="217" t="str">
        <f t="shared" si="83"/>
        <v/>
      </c>
      <c r="O392" s="217" t="str">
        <f t="shared" si="83"/>
        <v>model</v>
      </c>
      <c r="P392" s="218" t="str">
        <f t="shared" si="83"/>
        <v>PenColor</v>
      </c>
      <c r="Q392" s="218" t="str">
        <f t="shared" si="83"/>
        <v>x</v>
      </c>
      <c r="R392" s="218" t="str">
        <f t="shared" si="83"/>
        <v>BS</v>
      </c>
      <c r="S392" s="218" t="str">
        <f t="shared" si="83"/>
        <v>all</v>
      </c>
      <c r="T392" s="217">
        <f t="shared" si="83"/>
        <v>19</v>
      </c>
      <c r="U392" s="217" t="str">
        <f t="shared" si="83"/>
        <v>Rahmen-Schnittschraffur-Stift</v>
      </c>
      <c r="V392" s="217" t="str">
        <f t="shared" si="83"/>
        <v>x</v>
      </c>
      <c r="W392" s="217" t="str">
        <f t="shared" si="83"/>
        <v/>
      </c>
      <c r="X392" s="217" t="str">
        <f t="shared" si="83"/>
        <v/>
      </c>
      <c r="Y392" s="217" t="str">
        <f t="shared" si="83"/>
        <v>gs_penFr_fg</v>
      </c>
    </row>
    <row r="393" spans="1:25" x14ac:dyDescent="0.3">
      <c r="A393" s="216">
        <f t="shared" si="84"/>
        <v>391</v>
      </c>
      <c r="B393" s="217" t="str">
        <f t="shared" ref="B393:K402" si="85">IF(ISNONTEXT(B$2),IF(B$2="","",IF(INDEX(IMPORT,$A393,B$2)=0,"",IFERROR(VLOOKUP(INDEX(IMPORT,$A393,B$2),ImportTranslation,2,0),INDEX(IMPORT,$A393,B$2)))),B$2)</f>
        <v/>
      </c>
      <c r="C393" s="217" t="str">
        <f t="shared" si="85"/>
        <v/>
      </c>
      <c r="D393" s="217" t="str">
        <f t="shared" si="85"/>
        <v/>
      </c>
      <c r="E393" s="217" t="str">
        <f t="shared" si="85"/>
        <v/>
      </c>
      <c r="F393" s="217" t="str">
        <f t="shared" si="85"/>
        <v/>
      </c>
      <c r="G393" s="217" t="str">
        <f t="shared" si="85"/>
        <v/>
      </c>
      <c r="H393" s="217" t="str">
        <f t="shared" si="85"/>
        <v/>
      </c>
      <c r="I393" s="217" t="str">
        <f t="shared" si="85"/>
        <v/>
      </c>
      <c r="J393" s="217" t="str">
        <f t="shared" si="85"/>
        <v/>
      </c>
      <c r="K393" s="217" t="str">
        <f t="shared" si="85"/>
        <v/>
      </c>
      <c r="L393" s="217" t="str">
        <f t="shared" ref="L393:Y402" si="86">IF(ISNONTEXT(L$2),IF(L$2="","",IF(INDEX(IMPORT,$A393,L$2)=0,"",IFERROR(VLOOKUP(INDEX(IMPORT,$A393,L$2),ImportTranslation,2,0),INDEX(IMPORT,$A393,L$2)))),L$2)</f>
        <v>info</v>
      </c>
      <c r="M393" s="217" t="str">
        <f t="shared" si="86"/>
        <v>x</v>
      </c>
      <c r="N393" s="217" t="str">
        <f t="shared" si="86"/>
        <v/>
      </c>
      <c r="O393" s="217" t="str">
        <f t="shared" si="86"/>
        <v>model</v>
      </c>
      <c r="P393" s="218" t="str">
        <f t="shared" si="86"/>
        <v>PenColor</v>
      </c>
      <c r="Q393" s="218" t="str">
        <f t="shared" si="86"/>
        <v>x</v>
      </c>
      <c r="R393" s="218" t="str">
        <f t="shared" si="86"/>
        <v>BS</v>
      </c>
      <c r="S393" s="218" t="str">
        <f t="shared" si="86"/>
        <v>all</v>
      </c>
      <c r="T393" s="217">
        <f t="shared" si="86"/>
        <v>19</v>
      </c>
      <c r="U393" s="217" t="str">
        <f t="shared" si="86"/>
        <v>Rahmen-Schnittschraffurhintergrund-Stift</v>
      </c>
      <c r="V393" s="217" t="str">
        <f t="shared" si="86"/>
        <v>x</v>
      </c>
      <c r="W393" s="217" t="str">
        <f t="shared" si="86"/>
        <v/>
      </c>
      <c r="X393" s="217" t="str">
        <f t="shared" si="86"/>
        <v/>
      </c>
      <c r="Y393" s="217" t="str">
        <f t="shared" si="86"/>
        <v>gs_penFr_bg</v>
      </c>
    </row>
    <row r="394" spans="1:25" x14ac:dyDescent="0.3">
      <c r="A394" s="216">
        <f t="shared" si="84"/>
        <v>392</v>
      </c>
      <c r="B394" s="217" t="str">
        <f t="shared" si="85"/>
        <v>x</v>
      </c>
      <c r="C394" s="217" t="str">
        <f t="shared" si="85"/>
        <v/>
      </c>
      <c r="D394" s="217" t="str">
        <f t="shared" si="85"/>
        <v/>
      </c>
      <c r="E394" s="217" t="str">
        <f t="shared" si="85"/>
        <v/>
      </c>
      <c r="F394" s="217" t="str">
        <f t="shared" si="85"/>
        <v/>
      </c>
      <c r="G394" s="217" t="str">
        <f t="shared" si="85"/>
        <v/>
      </c>
      <c r="H394" s="217" t="str">
        <f t="shared" si="85"/>
        <v/>
      </c>
      <c r="I394" s="217" t="str">
        <f t="shared" si="85"/>
        <v/>
      </c>
      <c r="J394" s="217" t="str">
        <f t="shared" si="85"/>
        <v/>
      </c>
      <c r="K394" s="217" t="str">
        <f t="shared" si="85"/>
        <v/>
      </c>
      <c r="L394" s="217" t="str">
        <f t="shared" si="86"/>
        <v>info</v>
      </c>
      <c r="M394" s="217" t="str">
        <f t="shared" si="86"/>
        <v>x</v>
      </c>
      <c r="N394" s="217" t="str">
        <f t="shared" si="86"/>
        <v/>
      </c>
      <c r="O394" s="217" t="str">
        <f t="shared" si="86"/>
        <v>model</v>
      </c>
      <c r="P394" s="218" t="str">
        <f t="shared" si="86"/>
        <v>PenColor</v>
      </c>
      <c r="Q394" s="218" t="str">
        <f t="shared" si="86"/>
        <v>x</v>
      </c>
      <c r="R394" s="218" t="str">
        <f t="shared" si="86"/>
        <v>BS</v>
      </c>
      <c r="S394" s="218" t="str">
        <f t="shared" si="86"/>
        <v>all</v>
      </c>
      <c r="T394" s="217">
        <f t="shared" si="86"/>
        <v>2</v>
      </c>
      <c r="U394" s="217" t="str">
        <f t="shared" si="86"/>
        <v>Türblatt-Stift</v>
      </c>
      <c r="V394" s="217" t="str">
        <f t="shared" si="86"/>
        <v>x</v>
      </c>
      <c r="W394" s="217" t="str">
        <f t="shared" si="86"/>
        <v/>
      </c>
      <c r="X394" s="217" t="str">
        <f t="shared" si="86"/>
        <v/>
      </c>
      <c r="Y394" s="217" t="str">
        <f t="shared" si="86"/>
        <v>gs_leaf_pen</v>
      </c>
    </row>
    <row r="395" spans="1:25" x14ac:dyDescent="0.3">
      <c r="A395" s="216">
        <f t="shared" si="84"/>
        <v>393</v>
      </c>
      <c r="B395" s="217" t="str">
        <f t="shared" si="85"/>
        <v/>
      </c>
      <c r="C395" s="217" t="str">
        <f t="shared" si="85"/>
        <v/>
      </c>
      <c r="D395" s="217" t="str">
        <f t="shared" si="85"/>
        <v/>
      </c>
      <c r="E395" s="217" t="str">
        <f t="shared" si="85"/>
        <v/>
      </c>
      <c r="F395" s="217" t="str">
        <f t="shared" si="85"/>
        <v/>
      </c>
      <c r="G395" s="217" t="str">
        <f t="shared" si="85"/>
        <v/>
      </c>
      <c r="H395" s="217" t="str">
        <f t="shared" si="85"/>
        <v/>
      </c>
      <c r="I395" s="217" t="str">
        <f t="shared" si="85"/>
        <v/>
      </c>
      <c r="J395" s="217" t="str">
        <f t="shared" si="85"/>
        <v/>
      </c>
      <c r="K395" s="217" t="str">
        <f t="shared" si="85"/>
        <v/>
      </c>
      <c r="L395" s="217" t="str">
        <f t="shared" si="86"/>
        <v>info</v>
      </c>
      <c r="M395" s="217" t="str">
        <f t="shared" si="86"/>
        <v>x</v>
      </c>
      <c r="N395" s="217" t="str">
        <f t="shared" si="86"/>
        <v/>
      </c>
      <c r="O395" s="217" t="str">
        <f t="shared" si="86"/>
        <v>model</v>
      </c>
      <c r="P395" s="218" t="str">
        <f t="shared" si="86"/>
        <v>FillPattern</v>
      </c>
      <c r="Q395" s="218" t="str">
        <f t="shared" si="86"/>
        <v>x</v>
      </c>
      <c r="R395" s="218" t="str">
        <f t="shared" si="86"/>
        <v>BS</v>
      </c>
      <c r="S395" s="218" t="str">
        <f t="shared" si="86"/>
        <v>all</v>
      </c>
      <c r="T395" s="217">
        <f t="shared" si="86"/>
        <v>16</v>
      </c>
      <c r="U395" s="217" t="str">
        <f t="shared" si="86"/>
        <v>Schraffurtyp geschnitten Türblatt</v>
      </c>
      <c r="V395" s="217" t="str">
        <f t="shared" si="86"/>
        <v>x</v>
      </c>
      <c r="W395" s="217" t="str">
        <f t="shared" si="86"/>
        <v/>
      </c>
      <c r="X395" s="217" t="str">
        <f t="shared" si="86"/>
        <v/>
      </c>
      <c r="Y395" s="217" t="str">
        <f t="shared" si="86"/>
        <v>gs_fillLeaf</v>
      </c>
    </row>
    <row r="396" spans="1:25" x14ac:dyDescent="0.3">
      <c r="A396" s="216">
        <f t="shared" si="84"/>
        <v>394</v>
      </c>
      <c r="B396" s="217" t="str">
        <f t="shared" si="85"/>
        <v/>
      </c>
      <c r="C396" s="217" t="str">
        <f t="shared" si="85"/>
        <v/>
      </c>
      <c r="D396" s="217" t="str">
        <f t="shared" si="85"/>
        <v/>
      </c>
      <c r="E396" s="217" t="str">
        <f t="shared" si="85"/>
        <v/>
      </c>
      <c r="F396" s="217" t="str">
        <f t="shared" si="85"/>
        <v/>
      </c>
      <c r="G396" s="217" t="str">
        <f t="shared" si="85"/>
        <v/>
      </c>
      <c r="H396" s="217" t="str">
        <f t="shared" si="85"/>
        <v/>
      </c>
      <c r="I396" s="217" t="str">
        <f t="shared" si="85"/>
        <v/>
      </c>
      <c r="J396" s="217" t="str">
        <f t="shared" si="85"/>
        <v/>
      </c>
      <c r="K396" s="217" t="str">
        <f t="shared" si="85"/>
        <v/>
      </c>
      <c r="L396" s="217" t="str">
        <f t="shared" si="86"/>
        <v>info</v>
      </c>
      <c r="M396" s="217" t="str">
        <f t="shared" si="86"/>
        <v>x</v>
      </c>
      <c r="N396" s="217" t="str">
        <f t="shared" si="86"/>
        <v/>
      </c>
      <c r="O396" s="217" t="str">
        <f t="shared" si="86"/>
        <v>model</v>
      </c>
      <c r="P396" s="218" t="str">
        <f t="shared" si="86"/>
        <v>PenColor</v>
      </c>
      <c r="Q396" s="218" t="str">
        <f t="shared" si="86"/>
        <v>x</v>
      </c>
      <c r="R396" s="218" t="str">
        <f t="shared" si="86"/>
        <v>BS</v>
      </c>
      <c r="S396" s="218" t="str">
        <f t="shared" si="86"/>
        <v>all</v>
      </c>
      <c r="T396" s="217">
        <f t="shared" si="86"/>
        <v>19</v>
      </c>
      <c r="U396" s="217" t="str">
        <f t="shared" si="86"/>
        <v>Schraffur-Stift geschnitten Türblatt</v>
      </c>
      <c r="V396" s="217" t="str">
        <f t="shared" si="86"/>
        <v>x</v>
      </c>
      <c r="W396" s="217" t="str">
        <f t="shared" si="86"/>
        <v/>
      </c>
      <c r="X396" s="217" t="str">
        <f t="shared" si="86"/>
        <v/>
      </c>
      <c r="Y396" s="217" t="str">
        <f t="shared" si="86"/>
        <v>gs_penLeaf_fg</v>
      </c>
    </row>
    <row r="397" spans="1:25" x14ac:dyDescent="0.3">
      <c r="A397" s="216">
        <f t="shared" si="84"/>
        <v>395</v>
      </c>
      <c r="B397" s="217" t="str">
        <f t="shared" si="85"/>
        <v/>
      </c>
      <c r="C397" s="217" t="str">
        <f t="shared" si="85"/>
        <v/>
      </c>
      <c r="D397" s="217" t="str">
        <f t="shared" si="85"/>
        <v/>
      </c>
      <c r="E397" s="217" t="str">
        <f t="shared" si="85"/>
        <v/>
      </c>
      <c r="F397" s="217" t="str">
        <f t="shared" si="85"/>
        <v/>
      </c>
      <c r="G397" s="217" t="str">
        <f t="shared" si="85"/>
        <v/>
      </c>
      <c r="H397" s="217" t="str">
        <f t="shared" si="85"/>
        <v/>
      </c>
      <c r="I397" s="217" t="str">
        <f t="shared" si="85"/>
        <v/>
      </c>
      <c r="J397" s="217" t="str">
        <f t="shared" si="85"/>
        <v/>
      </c>
      <c r="K397" s="217" t="str">
        <f t="shared" si="85"/>
        <v/>
      </c>
      <c r="L397" s="217" t="str">
        <f t="shared" si="86"/>
        <v>info</v>
      </c>
      <c r="M397" s="217" t="str">
        <f t="shared" si="86"/>
        <v>x</v>
      </c>
      <c r="N397" s="217" t="str">
        <f t="shared" si="86"/>
        <v/>
      </c>
      <c r="O397" s="217" t="str">
        <f t="shared" si="86"/>
        <v>model</v>
      </c>
      <c r="P397" s="218" t="str">
        <f t="shared" si="86"/>
        <v>PenColor</v>
      </c>
      <c r="Q397" s="218" t="str">
        <f t="shared" si="86"/>
        <v>x</v>
      </c>
      <c r="R397" s="218" t="str">
        <f t="shared" si="86"/>
        <v>BS</v>
      </c>
      <c r="S397" s="218" t="str">
        <f t="shared" si="86"/>
        <v>all</v>
      </c>
      <c r="T397" s="217">
        <f t="shared" si="86"/>
        <v>19</v>
      </c>
      <c r="U397" s="217" t="str">
        <f t="shared" si="86"/>
        <v>Schraffurhintergrund-Stift geschnitten Türblatt</v>
      </c>
      <c r="V397" s="217" t="str">
        <f t="shared" si="86"/>
        <v>x</v>
      </c>
      <c r="W397" s="217" t="str">
        <f t="shared" si="86"/>
        <v/>
      </c>
      <c r="X397" s="217" t="str">
        <f t="shared" si="86"/>
        <v/>
      </c>
      <c r="Y397" s="217" t="str">
        <f t="shared" si="86"/>
        <v>gs_penLeaf_bg</v>
      </c>
    </row>
    <row r="398" spans="1:25" x14ac:dyDescent="0.3">
      <c r="A398" s="216">
        <f t="shared" si="84"/>
        <v>396</v>
      </c>
      <c r="B398" s="217" t="str">
        <f t="shared" si="85"/>
        <v/>
      </c>
      <c r="C398" s="217" t="str">
        <f t="shared" si="85"/>
        <v/>
      </c>
      <c r="D398" s="217" t="str">
        <f t="shared" si="85"/>
        <v/>
      </c>
      <c r="E398" s="217" t="str">
        <f t="shared" si="85"/>
        <v/>
      </c>
      <c r="F398" s="217" t="str">
        <f t="shared" si="85"/>
        <v/>
      </c>
      <c r="G398" s="217" t="str">
        <f t="shared" si="85"/>
        <v/>
      </c>
      <c r="H398" s="217" t="str">
        <f t="shared" si="85"/>
        <v/>
      </c>
      <c r="I398" s="217" t="str">
        <f t="shared" si="85"/>
        <v/>
      </c>
      <c r="J398" s="217" t="str">
        <f t="shared" si="85"/>
        <v/>
      </c>
      <c r="K398" s="217" t="str">
        <f t="shared" si="85"/>
        <v/>
      </c>
      <c r="L398" s="217" t="str">
        <f t="shared" si="86"/>
        <v>info</v>
      </c>
      <c r="M398" s="217" t="str">
        <f t="shared" si="86"/>
        <v>x</v>
      </c>
      <c r="N398" s="217" t="str">
        <f t="shared" si="86"/>
        <v/>
      </c>
      <c r="O398" s="217" t="str">
        <f t="shared" si="86"/>
        <v>model</v>
      </c>
      <c r="P398" s="218" t="str">
        <f t="shared" si="86"/>
        <v>PenColor</v>
      </c>
      <c r="Q398" s="218" t="str">
        <f t="shared" si="86"/>
        <v>x</v>
      </c>
      <c r="R398" s="218" t="str">
        <f t="shared" si="86"/>
        <v>BS</v>
      </c>
      <c r="S398" s="218" t="str">
        <f t="shared" si="86"/>
        <v>all</v>
      </c>
      <c r="T398" s="217">
        <f t="shared" si="86"/>
        <v>2</v>
      </c>
      <c r="U398" s="217" t="str">
        <f t="shared" si="86"/>
        <v>Glas Linienstift Kontur</v>
      </c>
      <c r="V398" s="217" t="str">
        <f t="shared" si="86"/>
        <v>x</v>
      </c>
      <c r="W398" s="217" t="str">
        <f t="shared" si="86"/>
        <v/>
      </c>
      <c r="X398" s="217" t="str">
        <f t="shared" si="86"/>
        <v/>
      </c>
      <c r="Y398" s="217" t="str">
        <f t="shared" si="86"/>
        <v>gs_glass_pen</v>
      </c>
    </row>
    <row r="399" spans="1:25" x14ac:dyDescent="0.3">
      <c r="A399" s="216">
        <f t="shared" si="84"/>
        <v>397</v>
      </c>
      <c r="B399" s="217" t="str">
        <f t="shared" si="85"/>
        <v/>
      </c>
      <c r="C399" s="217" t="str">
        <f t="shared" si="85"/>
        <v>x</v>
      </c>
      <c r="D399" s="217" t="str">
        <f t="shared" si="85"/>
        <v/>
      </c>
      <c r="E399" s="217" t="str">
        <f t="shared" si="85"/>
        <v/>
      </c>
      <c r="F399" s="217" t="str">
        <f t="shared" si="85"/>
        <v/>
      </c>
      <c r="G399" s="217" t="str">
        <f t="shared" si="85"/>
        <v/>
      </c>
      <c r="H399" s="217" t="str">
        <f t="shared" si="85"/>
        <v/>
      </c>
      <c r="I399" s="217" t="str">
        <f t="shared" si="85"/>
        <v/>
      </c>
      <c r="J399" s="217" t="str">
        <f t="shared" si="85"/>
        <v/>
      </c>
      <c r="K399" s="217" t="str">
        <f t="shared" si="85"/>
        <v/>
      </c>
      <c r="L399" s="217" t="str">
        <f t="shared" si="86"/>
        <v>info</v>
      </c>
      <c r="M399" s="217" t="str">
        <f t="shared" si="86"/>
        <v>x</v>
      </c>
      <c r="N399" s="217" t="str">
        <f t="shared" si="86"/>
        <v/>
      </c>
      <c r="O399" s="217" t="str">
        <f t="shared" si="86"/>
        <v>model</v>
      </c>
      <c r="P399" s="218" t="str">
        <f t="shared" si="86"/>
        <v>FillPattern</v>
      </c>
      <c r="Q399" s="218" t="str">
        <f t="shared" si="86"/>
        <v>x</v>
      </c>
      <c r="R399" s="218" t="str">
        <f t="shared" si="86"/>
        <v>BS</v>
      </c>
      <c r="S399" s="218" t="str">
        <f t="shared" si="86"/>
        <v>all</v>
      </c>
      <c r="T399" s="217">
        <f t="shared" si="86"/>
        <v>65</v>
      </c>
      <c r="U399" s="217" t="str">
        <f t="shared" si="86"/>
        <v>Schraffurtyp Glas</v>
      </c>
      <c r="V399" s="217" t="str">
        <f t="shared" si="86"/>
        <v>x</v>
      </c>
      <c r="W399" s="217" t="str">
        <f t="shared" si="86"/>
        <v/>
      </c>
      <c r="X399" s="217" t="str">
        <f t="shared" si="86"/>
        <v/>
      </c>
      <c r="Y399" s="217" t="str">
        <f t="shared" si="86"/>
        <v>gs_fillGlass</v>
      </c>
    </row>
    <row r="400" spans="1:25" x14ac:dyDescent="0.3">
      <c r="A400" s="216">
        <f t="shared" si="84"/>
        <v>398</v>
      </c>
      <c r="B400" s="217" t="str">
        <f t="shared" si="85"/>
        <v/>
      </c>
      <c r="C400" s="217" t="str">
        <f t="shared" si="85"/>
        <v>x</v>
      </c>
      <c r="D400" s="217" t="str">
        <f t="shared" si="85"/>
        <v/>
      </c>
      <c r="E400" s="217" t="str">
        <f t="shared" si="85"/>
        <v/>
      </c>
      <c r="F400" s="217" t="str">
        <f t="shared" si="85"/>
        <v/>
      </c>
      <c r="G400" s="217" t="str">
        <f t="shared" si="85"/>
        <v/>
      </c>
      <c r="H400" s="217" t="str">
        <f t="shared" si="85"/>
        <v/>
      </c>
      <c r="I400" s="217" t="str">
        <f t="shared" si="85"/>
        <v/>
      </c>
      <c r="J400" s="217" t="str">
        <f t="shared" si="85"/>
        <v/>
      </c>
      <c r="K400" s="217" t="str">
        <f t="shared" si="85"/>
        <v/>
      </c>
      <c r="L400" s="217" t="str">
        <f t="shared" si="86"/>
        <v>info</v>
      </c>
      <c r="M400" s="217" t="str">
        <f t="shared" si="86"/>
        <v>x</v>
      </c>
      <c r="N400" s="217" t="str">
        <f t="shared" si="86"/>
        <v/>
      </c>
      <c r="O400" s="217" t="str">
        <f t="shared" si="86"/>
        <v>model</v>
      </c>
      <c r="P400" s="218" t="str">
        <f t="shared" si="86"/>
        <v>PenColor</v>
      </c>
      <c r="Q400" s="218" t="str">
        <f t="shared" si="86"/>
        <v>x</v>
      </c>
      <c r="R400" s="218" t="str">
        <f t="shared" si="86"/>
        <v>BS</v>
      </c>
      <c r="S400" s="218" t="str">
        <f t="shared" si="86"/>
        <v>all</v>
      </c>
      <c r="T400" s="217">
        <f t="shared" si="86"/>
        <v>19</v>
      </c>
      <c r="U400" s="217" t="str">
        <f t="shared" si="86"/>
        <v>Schraffurstift Glas</v>
      </c>
      <c r="V400" s="217" t="str">
        <f t="shared" si="86"/>
        <v>x</v>
      </c>
      <c r="W400" s="217" t="str">
        <f t="shared" si="86"/>
        <v/>
      </c>
      <c r="X400" s="217" t="str">
        <f t="shared" si="86"/>
        <v/>
      </c>
      <c r="Y400" s="217" t="str">
        <f t="shared" si="86"/>
        <v>gs_penGlass_fg</v>
      </c>
    </row>
    <row r="401" spans="1:25" x14ac:dyDescent="0.3">
      <c r="A401" s="216">
        <f t="shared" si="84"/>
        <v>399</v>
      </c>
      <c r="B401" s="217" t="str">
        <f t="shared" si="85"/>
        <v/>
      </c>
      <c r="C401" s="217" t="str">
        <f t="shared" si="85"/>
        <v>x</v>
      </c>
      <c r="D401" s="217" t="str">
        <f t="shared" si="85"/>
        <v/>
      </c>
      <c r="E401" s="217" t="str">
        <f t="shared" si="85"/>
        <v/>
      </c>
      <c r="F401" s="217" t="str">
        <f t="shared" si="85"/>
        <v/>
      </c>
      <c r="G401" s="217" t="str">
        <f t="shared" si="85"/>
        <v/>
      </c>
      <c r="H401" s="217" t="str">
        <f t="shared" si="85"/>
        <v/>
      </c>
      <c r="I401" s="217" t="str">
        <f t="shared" si="85"/>
        <v/>
      </c>
      <c r="J401" s="217" t="str">
        <f t="shared" si="85"/>
        <v/>
      </c>
      <c r="K401" s="217" t="str">
        <f t="shared" si="85"/>
        <v/>
      </c>
      <c r="L401" s="217" t="str">
        <f t="shared" si="86"/>
        <v>info</v>
      </c>
      <c r="M401" s="217" t="str">
        <f t="shared" si="86"/>
        <v>x</v>
      </c>
      <c r="N401" s="217" t="str">
        <f t="shared" si="86"/>
        <v/>
      </c>
      <c r="O401" s="217" t="str">
        <f t="shared" si="86"/>
        <v>model</v>
      </c>
      <c r="P401" s="218" t="str">
        <f t="shared" si="86"/>
        <v>PenColor</v>
      </c>
      <c r="Q401" s="218" t="str">
        <f t="shared" si="86"/>
        <v>x</v>
      </c>
      <c r="R401" s="218" t="str">
        <f t="shared" si="86"/>
        <v>BS</v>
      </c>
      <c r="S401" s="218" t="str">
        <f t="shared" si="86"/>
        <v>all</v>
      </c>
      <c r="T401" s="217">
        <f t="shared" si="86"/>
        <v>19</v>
      </c>
      <c r="U401" s="217" t="str">
        <f t="shared" si="86"/>
        <v>Schraffurstift Hintergrund Glas</v>
      </c>
      <c r="V401" s="217" t="str">
        <f t="shared" si="86"/>
        <v>x</v>
      </c>
      <c r="W401" s="217" t="str">
        <f t="shared" si="86"/>
        <v/>
      </c>
      <c r="X401" s="217" t="str">
        <f t="shared" si="86"/>
        <v/>
      </c>
      <c r="Y401" s="217" t="str">
        <f t="shared" si="86"/>
        <v>gs_penGlass_bg</v>
      </c>
    </row>
    <row r="402" spans="1:25" x14ac:dyDescent="0.3">
      <c r="A402" s="216">
        <f t="shared" si="84"/>
        <v>400</v>
      </c>
      <c r="B402" s="217" t="str">
        <f t="shared" si="85"/>
        <v/>
      </c>
      <c r="C402" s="217" t="str">
        <f t="shared" si="85"/>
        <v/>
      </c>
      <c r="D402" s="217" t="str">
        <f t="shared" si="85"/>
        <v/>
      </c>
      <c r="E402" s="217" t="str">
        <f t="shared" si="85"/>
        <v/>
      </c>
      <c r="F402" s="217" t="str">
        <f t="shared" si="85"/>
        <v/>
      </c>
      <c r="G402" s="217" t="str">
        <f t="shared" si="85"/>
        <v/>
      </c>
      <c r="H402" s="217" t="str">
        <f t="shared" si="85"/>
        <v/>
      </c>
      <c r="I402" s="217" t="str">
        <f t="shared" si="85"/>
        <v/>
      </c>
      <c r="J402" s="217" t="str">
        <f t="shared" si="85"/>
        <v/>
      </c>
      <c r="K402" s="217" t="str">
        <f t="shared" si="85"/>
        <v/>
      </c>
      <c r="L402" s="217" t="str">
        <f t="shared" si="86"/>
        <v>info</v>
      </c>
      <c r="M402" s="217" t="str">
        <f t="shared" si="86"/>
        <v>x</v>
      </c>
      <c r="N402" s="217" t="str">
        <f t="shared" si="86"/>
        <v/>
      </c>
      <c r="O402" s="217" t="str">
        <f t="shared" si="86"/>
        <v>model</v>
      </c>
      <c r="P402" s="218" t="str">
        <f t="shared" si="86"/>
        <v>PenColor</v>
      </c>
      <c r="Q402" s="218" t="str">
        <f t="shared" si="86"/>
        <v>x</v>
      </c>
      <c r="R402" s="218" t="str">
        <f t="shared" si="86"/>
        <v>BS</v>
      </c>
      <c r="S402" s="218" t="str">
        <f t="shared" si="86"/>
        <v>all</v>
      </c>
      <c r="T402" s="217">
        <f t="shared" si="86"/>
        <v>2</v>
      </c>
      <c r="U402" s="217" t="str">
        <f t="shared" si="86"/>
        <v>Linienstift Glas</v>
      </c>
      <c r="V402" s="217" t="str">
        <f t="shared" si="86"/>
        <v>x</v>
      </c>
      <c r="W402" s="217" t="str">
        <f t="shared" si="86"/>
        <v/>
      </c>
      <c r="X402" s="217" t="str">
        <f t="shared" si="86"/>
        <v/>
      </c>
      <c r="Y402" s="217" t="str">
        <f t="shared" si="86"/>
        <v>gs_glass_view_pen</v>
      </c>
    </row>
    <row r="403" spans="1:25" x14ac:dyDescent="0.3">
      <c r="A403" s="216">
        <f t="shared" si="84"/>
        <v>401</v>
      </c>
      <c r="B403" s="217" t="str">
        <f t="shared" ref="B403:K412" si="87">IF(ISNONTEXT(B$2),IF(B$2="","",IF(INDEX(IMPORT,$A403,B$2)=0,"",IFERROR(VLOOKUP(INDEX(IMPORT,$A403,B$2),ImportTranslation,2,0),INDEX(IMPORT,$A403,B$2)))),B$2)</f>
        <v/>
      </c>
      <c r="C403" s="217" t="str">
        <f t="shared" si="87"/>
        <v/>
      </c>
      <c r="D403" s="217" t="str">
        <f t="shared" si="87"/>
        <v/>
      </c>
      <c r="E403" s="217" t="str">
        <f t="shared" si="87"/>
        <v/>
      </c>
      <c r="F403" s="217" t="str">
        <f t="shared" si="87"/>
        <v/>
      </c>
      <c r="G403" s="217" t="str">
        <f t="shared" si="87"/>
        <v/>
      </c>
      <c r="H403" s="217" t="str">
        <f t="shared" si="87"/>
        <v/>
      </c>
      <c r="I403" s="217" t="str">
        <f t="shared" si="87"/>
        <v/>
      </c>
      <c r="J403" s="217" t="str">
        <f t="shared" si="87"/>
        <v/>
      </c>
      <c r="K403" s="217" t="str">
        <f t="shared" si="87"/>
        <v/>
      </c>
      <c r="L403" s="217" t="str">
        <f t="shared" ref="L403:Y412" si="88">IF(ISNONTEXT(L$2),IF(L$2="","",IF(INDEX(IMPORT,$A403,L$2)=0,"",IFERROR(VLOOKUP(INDEX(IMPORT,$A403,L$2),ImportTranslation,2,0),INDEX(IMPORT,$A403,L$2)))),L$2)</f>
        <v>info</v>
      </c>
      <c r="M403" s="217" t="str">
        <f t="shared" si="88"/>
        <v>x</v>
      </c>
      <c r="N403" s="217" t="str">
        <f t="shared" si="88"/>
        <v/>
      </c>
      <c r="O403" s="217" t="str">
        <f t="shared" si="88"/>
        <v>model</v>
      </c>
      <c r="P403" s="218" t="str">
        <f t="shared" si="88"/>
        <v>FillPattern</v>
      </c>
      <c r="Q403" s="218" t="str">
        <f t="shared" si="88"/>
        <v>x</v>
      </c>
      <c r="R403" s="218" t="str">
        <f t="shared" si="88"/>
        <v>BS</v>
      </c>
      <c r="S403" s="218" t="str">
        <f t="shared" si="88"/>
        <v>all</v>
      </c>
      <c r="T403" s="217">
        <f t="shared" si="88"/>
        <v>65</v>
      </c>
      <c r="U403" s="217" t="str">
        <f t="shared" si="88"/>
        <v>Schraffur-Typ Rahmen</v>
      </c>
      <c r="V403" s="217" t="str">
        <f t="shared" si="88"/>
        <v>x</v>
      </c>
      <c r="W403" s="217" t="str">
        <f t="shared" si="88"/>
        <v/>
      </c>
      <c r="X403" s="217" t="str">
        <f t="shared" si="88"/>
        <v/>
      </c>
      <c r="Y403" s="217" t="str">
        <f t="shared" si="88"/>
        <v>gs_fillShCover</v>
      </c>
    </row>
    <row r="404" spans="1:25" x14ac:dyDescent="0.3">
      <c r="A404" s="216">
        <f t="shared" si="84"/>
        <v>402</v>
      </c>
      <c r="B404" s="217" t="str">
        <f t="shared" si="87"/>
        <v/>
      </c>
      <c r="C404" s="217" t="str">
        <f t="shared" si="87"/>
        <v/>
      </c>
      <c r="D404" s="217" t="str">
        <f t="shared" si="87"/>
        <v/>
      </c>
      <c r="E404" s="217" t="str">
        <f t="shared" si="87"/>
        <v/>
      </c>
      <c r="F404" s="217" t="str">
        <f t="shared" si="87"/>
        <v/>
      </c>
      <c r="G404" s="217" t="str">
        <f t="shared" si="87"/>
        <v/>
      </c>
      <c r="H404" s="217" t="str">
        <f t="shared" si="87"/>
        <v/>
      </c>
      <c r="I404" s="217" t="str">
        <f t="shared" si="87"/>
        <v/>
      </c>
      <c r="J404" s="217" t="str">
        <f t="shared" si="87"/>
        <v/>
      </c>
      <c r="K404" s="217" t="str">
        <f t="shared" si="87"/>
        <v/>
      </c>
      <c r="L404" s="217" t="str">
        <f t="shared" si="88"/>
        <v>info</v>
      </c>
      <c r="M404" s="217" t="str">
        <f t="shared" si="88"/>
        <v>x</v>
      </c>
      <c r="N404" s="217" t="str">
        <f t="shared" si="88"/>
        <v/>
      </c>
      <c r="O404" s="217" t="str">
        <f t="shared" si="88"/>
        <v>model</v>
      </c>
      <c r="P404" s="218" t="str">
        <f t="shared" si="88"/>
        <v>PenColor</v>
      </c>
      <c r="Q404" s="218" t="str">
        <f t="shared" si="88"/>
        <v>x</v>
      </c>
      <c r="R404" s="218" t="str">
        <f t="shared" si="88"/>
        <v>BS</v>
      </c>
      <c r="S404" s="218" t="str">
        <f t="shared" si="88"/>
        <v>all</v>
      </c>
      <c r="T404" s="217">
        <f t="shared" si="88"/>
        <v>19</v>
      </c>
      <c r="U404" s="217" t="str">
        <f t="shared" si="88"/>
        <v>Schraffur-Stift Rahmen</v>
      </c>
      <c r="V404" s="217" t="str">
        <f t="shared" si="88"/>
        <v>x</v>
      </c>
      <c r="W404" s="217" t="str">
        <f t="shared" si="88"/>
        <v/>
      </c>
      <c r="X404" s="217" t="str">
        <f t="shared" si="88"/>
        <v/>
      </c>
      <c r="Y404" s="217" t="str">
        <f t="shared" si="88"/>
        <v>gs_penShCov_fg</v>
      </c>
    </row>
    <row r="405" spans="1:25" x14ac:dyDescent="0.3">
      <c r="A405" s="216">
        <f t="shared" si="84"/>
        <v>403</v>
      </c>
      <c r="B405" s="217" t="str">
        <f t="shared" si="87"/>
        <v/>
      </c>
      <c r="C405" s="217" t="str">
        <f t="shared" si="87"/>
        <v/>
      </c>
      <c r="D405" s="217" t="str">
        <f t="shared" si="87"/>
        <v/>
      </c>
      <c r="E405" s="217" t="str">
        <f t="shared" si="87"/>
        <v/>
      </c>
      <c r="F405" s="217" t="str">
        <f t="shared" si="87"/>
        <v/>
      </c>
      <c r="G405" s="217" t="str">
        <f t="shared" si="87"/>
        <v/>
      </c>
      <c r="H405" s="217" t="str">
        <f t="shared" si="87"/>
        <v/>
      </c>
      <c r="I405" s="217" t="str">
        <f t="shared" si="87"/>
        <v/>
      </c>
      <c r="J405" s="217" t="str">
        <f t="shared" si="87"/>
        <v/>
      </c>
      <c r="K405" s="217" t="str">
        <f t="shared" si="87"/>
        <v/>
      </c>
      <c r="L405" s="217" t="str">
        <f t="shared" si="88"/>
        <v>info</v>
      </c>
      <c r="M405" s="217" t="str">
        <f t="shared" si="88"/>
        <v>x</v>
      </c>
      <c r="N405" s="217" t="str">
        <f t="shared" si="88"/>
        <v/>
      </c>
      <c r="O405" s="217" t="str">
        <f t="shared" si="88"/>
        <v>model</v>
      </c>
      <c r="P405" s="218" t="str">
        <f t="shared" si="88"/>
        <v>PenColor</v>
      </c>
      <c r="Q405" s="218" t="str">
        <f t="shared" si="88"/>
        <v>x</v>
      </c>
      <c r="R405" s="218" t="str">
        <f t="shared" si="88"/>
        <v>BS</v>
      </c>
      <c r="S405" s="218" t="str">
        <f t="shared" si="88"/>
        <v>all</v>
      </c>
      <c r="T405" s="217">
        <f t="shared" si="88"/>
        <v>19</v>
      </c>
      <c r="U405" s="217" t="str">
        <f t="shared" si="88"/>
        <v>Schraffurhintergrund-Stift Rahmen</v>
      </c>
      <c r="V405" s="217" t="str">
        <f t="shared" si="88"/>
        <v>x</v>
      </c>
      <c r="W405" s="217" t="str">
        <f t="shared" si="88"/>
        <v/>
      </c>
      <c r="X405" s="217" t="str">
        <f t="shared" si="88"/>
        <v/>
      </c>
      <c r="Y405" s="217" t="str">
        <f t="shared" si="88"/>
        <v>gs_penShCov_bg</v>
      </c>
    </row>
    <row r="406" spans="1:25" x14ac:dyDescent="0.3">
      <c r="A406" s="216">
        <f t="shared" si="84"/>
        <v>404</v>
      </c>
      <c r="B406" s="217" t="str">
        <f t="shared" si="87"/>
        <v>x</v>
      </c>
      <c r="C406" s="217" t="str">
        <f t="shared" si="87"/>
        <v/>
      </c>
      <c r="D406" s="217" t="str">
        <f t="shared" si="87"/>
        <v/>
      </c>
      <c r="E406" s="217" t="str">
        <f t="shared" si="87"/>
        <v/>
      </c>
      <c r="F406" s="217" t="str">
        <f t="shared" si="87"/>
        <v/>
      </c>
      <c r="G406" s="217" t="str">
        <f t="shared" si="87"/>
        <v/>
      </c>
      <c r="H406" s="217" t="str">
        <f t="shared" si="87"/>
        <v/>
      </c>
      <c r="I406" s="217" t="str">
        <f t="shared" si="87"/>
        <v/>
      </c>
      <c r="J406" s="217" t="str">
        <f t="shared" si="87"/>
        <v/>
      </c>
      <c r="K406" s="217" t="str">
        <f t="shared" si="87"/>
        <v/>
      </c>
      <c r="L406" s="217" t="str">
        <f t="shared" si="88"/>
        <v>info</v>
      </c>
      <c r="M406" s="217" t="str">
        <f t="shared" si="88"/>
        <v/>
      </c>
      <c r="N406" s="217" t="str">
        <f t="shared" si="88"/>
        <v/>
      </c>
      <c r="O406" s="217" t="str">
        <f t="shared" si="88"/>
        <v>model</v>
      </c>
      <c r="P406" s="218" t="str">
        <f t="shared" si="88"/>
        <v>Title</v>
      </c>
      <c r="Q406" s="218" t="str">
        <f t="shared" si="88"/>
        <v>x</v>
      </c>
      <c r="R406" s="218" t="str">
        <f t="shared" si="88"/>
        <v>BS</v>
      </c>
      <c r="S406" s="218" t="str">
        <f t="shared" si="88"/>
        <v>all</v>
      </c>
      <c r="T406" s="217" t="str">
        <f t="shared" si="88"/>
        <v/>
      </c>
      <c r="U406" s="217" t="str">
        <f t="shared" si="88"/>
        <v>Öffnung</v>
      </c>
      <c r="V406" s="217" t="str">
        <f t="shared" si="88"/>
        <v/>
      </c>
      <c r="W406" s="217" t="str">
        <f t="shared" si="88"/>
        <v/>
      </c>
      <c r="X406" s="217" t="str">
        <f t="shared" si="88"/>
        <v/>
      </c>
      <c r="Y406" s="217" t="str">
        <f t="shared" si="88"/>
        <v>gs_door_offnung</v>
      </c>
    </row>
    <row r="407" spans="1:25" x14ac:dyDescent="0.3">
      <c r="A407" s="216">
        <f t="shared" si="84"/>
        <v>405</v>
      </c>
      <c r="B407" s="217" t="str">
        <f t="shared" si="87"/>
        <v>x</v>
      </c>
      <c r="C407" s="217" t="str">
        <f t="shared" si="87"/>
        <v/>
      </c>
      <c r="D407" s="217" t="str">
        <f t="shared" si="87"/>
        <v/>
      </c>
      <c r="E407" s="217" t="str">
        <f t="shared" si="87"/>
        <v/>
      </c>
      <c r="F407" s="217" t="str">
        <f t="shared" si="87"/>
        <v/>
      </c>
      <c r="G407" s="217" t="str">
        <f t="shared" si="87"/>
        <v/>
      </c>
      <c r="H407" s="217" t="str">
        <f t="shared" si="87"/>
        <v/>
      </c>
      <c r="I407" s="217" t="str">
        <f t="shared" si="87"/>
        <v/>
      </c>
      <c r="J407" s="217" t="str">
        <f t="shared" si="87"/>
        <v/>
      </c>
      <c r="K407" s="217" t="str">
        <f t="shared" si="87"/>
        <v/>
      </c>
      <c r="L407" s="217" t="str">
        <f t="shared" si="88"/>
        <v>info</v>
      </c>
      <c r="M407" s="217" t="str">
        <f t="shared" si="88"/>
        <v>x</v>
      </c>
      <c r="N407" s="217" t="str">
        <f t="shared" si="88"/>
        <v/>
      </c>
      <c r="O407" s="217" t="str">
        <f t="shared" si="88"/>
        <v>model</v>
      </c>
      <c r="P407" s="218" t="str">
        <f t="shared" si="88"/>
        <v>Integer</v>
      </c>
      <c r="Q407" s="218" t="str">
        <f t="shared" si="88"/>
        <v>x</v>
      </c>
      <c r="R407" s="218" t="str">
        <f t="shared" si="88"/>
        <v>BS</v>
      </c>
      <c r="S407" s="218" t="str">
        <f t="shared" si="88"/>
        <v>all</v>
      </c>
      <c r="T407" s="217">
        <f t="shared" si="88"/>
        <v>2</v>
      </c>
      <c r="U407" s="217" t="str">
        <f t="shared" si="88"/>
        <v>Symbol ausrichten</v>
      </c>
      <c r="V407" s="217" t="str">
        <f t="shared" si="88"/>
        <v>x</v>
      </c>
      <c r="W407" s="217" t="str">
        <f t="shared" si="88"/>
        <v/>
      </c>
      <c r="X407" s="217" t="str">
        <f t="shared" si="88"/>
        <v/>
      </c>
      <c r="Y407" s="217" t="str">
        <f t="shared" si="88"/>
        <v>iDrawSimpleLeafTo</v>
      </c>
    </row>
    <row r="408" spans="1:25" x14ac:dyDescent="0.3">
      <c r="A408" s="216">
        <f t="shared" si="84"/>
        <v>406</v>
      </c>
      <c r="B408" s="217" t="str">
        <f t="shared" si="87"/>
        <v>x</v>
      </c>
      <c r="C408" s="217" t="str">
        <f t="shared" si="87"/>
        <v/>
      </c>
      <c r="D408" s="217" t="str">
        <f t="shared" si="87"/>
        <v/>
      </c>
      <c r="E408" s="217" t="str">
        <f t="shared" si="87"/>
        <v/>
      </c>
      <c r="F408" s="217" t="str">
        <f t="shared" si="87"/>
        <v/>
      </c>
      <c r="G408" s="217" t="str">
        <f t="shared" si="87"/>
        <v/>
      </c>
      <c r="H408" s="217" t="str">
        <f t="shared" si="87"/>
        <v/>
      </c>
      <c r="I408" s="217" t="str">
        <f t="shared" si="87"/>
        <v/>
      </c>
      <c r="J408" s="217" t="str">
        <f t="shared" si="87"/>
        <v/>
      </c>
      <c r="K408" s="217" t="str">
        <f t="shared" si="87"/>
        <v/>
      </c>
      <c r="L408" s="217" t="str">
        <f t="shared" si="88"/>
        <v>info</v>
      </c>
      <c r="M408" s="217" t="str">
        <f t="shared" si="88"/>
        <v>x</v>
      </c>
      <c r="N408" s="217" t="str">
        <f t="shared" si="88"/>
        <v/>
      </c>
      <c r="O408" s="217" t="str">
        <f t="shared" si="88"/>
        <v>model</v>
      </c>
      <c r="P408" s="218" t="str">
        <f t="shared" si="88"/>
        <v>Angle</v>
      </c>
      <c r="Q408" s="218" t="str">
        <f t="shared" si="88"/>
        <v>x</v>
      </c>
      <c r="R408" s="218" t="str">
        <f t="shared" si="88"/>
        <v>BS</v>
      </c>
      <c r="S408" s="218" t="str">
        <f t="shared" si="88"/>
        <v>all</v>
      </c>
      <c r="T408" s="217">
        <f t="shared" si="88"/>
        <v>90</v>
      </c>
      <c r="U408" s="217" t="str">
        <f t="shared" si="88"/>
        <v>Öffnungswinkel für Durchgangsflügel in 2D</v>
      </c>
      <c r="V408" s="217" t="str">
        <f t="shared" si="88"/>
        <v>x</v>
      </c>
      <c r="W408" s="217" t="str">
        <f t="shared" si="88"/>
        <v/>
      </c>
      <c r="X408" s="217" t="str">
        <f t="shared" si="88"/>
        <v/>
      </c>
      <c r="Y408" s="217" t="str">
        <f t="shared" si="88"/>
        <v>gs_open_2D</v>
      </c>
    </row>
    <row r="409" spans="1:25" x14ac:dyDescent="0.3">
      <c r="A409" s="216">
        <f t="shared" si="84"/>
        <v>407</v>
      </c>
      <c r="B409" s="217" t="str">
        <f t="shared" si="87"/>
        <v/>
      </c>
      <c r="C409" s="217" t="str">
        <f t="shared" si="87"/>
        <v/>
      </c>
      <c r="D409" s="217" t="str">
        <f t="shared" si="87"/>
        <v/>
      </c>
      <c r="E409" s="217" t="str">
        <f t="shared" si="87"/>
        <v/>
      </c>
      <c r="F409" s="217" t="str">
        <f t="shared" si="87"/>
        <v/>
      </c>
      <c r="G409" s="217" t="str">
        <f t="shared" si="87"/>
        <v/>
      </c>
      <c r="H409" s="217" t="str">
        <f t="shared" si="87"/>
        <v/>
      </c>
      <c r="I409" s="217" t="str">
        <f t="shared" si="87"/>
        <v/>
      </c>
      <c r="J409" s="217" t="str">
        <f t="shared" si="87"/>
        <v/>
      </c>
      <c r="K409" s="217" t="str">
        <f t="shared" si="87"/>
        <v/>
      </c>
      <c r="L409" s="217" t="str">
        <f t="shared" si="88"/>
        <v>info</v>
      </c>
      <c r="M409" s="217" t="str">
        <f t="shared" si="88"/>
        <v>x</v>
      </c>
      <c r="N409" s="217" t="str">
        <f t="shared" si="88"/>
        <v/>
      </c>
      <c r="O409" s="217" t="str">
        <f t="shared" si="88"/>
        <v>model</v>
      </c>
      <c r="P409" s="218" t="str">
        <f t="shared" si="88"/>
        <v>Angle</v>
      </c>
      <c r="Q409" s="218" t="str">
        <f t="shared" si="88"/>
        <v>x</v>
      </c>
      <c r="R409" s="218" t="str">
        <f t="shared" si="88"/>
        <v>BS</v>
      </c>
      <c r="S409" s="218" t="str">
        <f t="shared" si="88"/>
        <v>all</v>
      </c>
      <c r="T409" s="217">
        <f t="shared" si="88"/>
        <v>90</v>
      </c>
      <c r="U409" s="217" t="str">
        <f t="shared" si="88"/>
        <v>Öffnungswinkel für Standflügel in 2D</v>
      </c>
      <c r="V409" s="217" t="str">
        <f t="shared" si="88"/>
        <v>x</v>
      </c>
      <c r="W409" s="217" t="str">
        <f t="shared" si="88"/>
        <v/>
      </c>
      <c r="X409" s="217" t="str">
        <f t="shared" si="88"/>
        <v/>
      </c>
      <c r="Y409" s="217" t="str">
        <f t="shared" si="88"/>
        <v>gs_open_2D_s</v>
      </c>
    </row>
    <row r="410" spans="1:25" x14ac:dyDescent="0.3">
      <c r="A410" s="216">
        <f t="shared" si="84"/>
        <v>408</v>
      </c>
      <c r="B410" s="217" t="str">
        <f t="shared" si="87"/>
        <v>x</v>
      </c>
      <c r="C410" s="217" t="str">
        <f t="shared" si="87"/>
        <v/>
      </c>
      <c r="D410" s="217" t="str">
        <f t="shared" si="87"/>
        <v/>
      </c>
      <c r="E410" s="217" t="str">
        <f t="shared" si="87"/>
        <v/>
      </c>
      <c r="F410" s="217" t="str">
        <f t="shared" si="87"/>
        <v/>
      </c>
      <c r="G410" s="217" t="str">
        <f t="shared" si="87"/>
        <v/>
      </c>
      <c r="H410" s="217" t="str">
        <f t="shared" si="87"/>
        <v/>
      </c>
      <c r="I410" s="217" t="str">
        <f t="shared" si="87"/>
        <v/>
      </c>
      <c r="J410" s="217" t="str">
        <f t="shared" si="87"/>
        <v/>
      </c>
      <c r="K410" s="217" t="str">
        <f t="shared" si="87"/>
        <v/>
      </c>
      <c r="L410" s="217" t="str">
        <f t="shared" si="88"/>
        <v>info</v>
      </c>
      <c r="M410" s="217" t="str">
        <f t="shared" si="88"/>
        <v>x</v>
      </c>
      <c r="N410" s="217" t="str">
        <f t="shared" si="88"/>
        <v/>
      </c>
      <c r="O410" s="217" t="str">
        <f t="shared" si="88"/>
        <v>model</v>
      </c>
      <c r="P410" s="218" t="str">
        <f t="shared" si="88"/>
        <v>Angle</v>
      </c>
      <c r="Q410" s="218" t="str">
        <f t="shared" si="88"/>
        <v>x</v>
      </c>
      <c r="R410" s="218" t="str">
        <f t="shared" si="88"/>
        <v>BS</v>
      </c>
      <c r="S410" s="218" t="str">
        <f t="shared" si="88"/>
        <v>all</v>
      </c>
      <c r="T410" s="217" t="str">
        <f t="shared" si="88"/>
        <v/>
      </c>
      <c r="U410" s="217" t="str">
        <f t="shared" si="88"/>
        <v>Öffnungswinkel für Durchgangsflügel in 3D</v>
      </c>
      <c r="V410" s="217" t="str">
        <f t="shared" si="88"/>
        <v>x</v>
      </c>
      <c r="W410" s="217" t="str">
        <f t="shared" si="88"/>
        <v/>
      </c>
      <c r="X410" s="217" t="str">
        <f t="shared" si="88"/>
        <v/>
      </c>
      <c r="Y410" s="217" t="str">
        <f t="shared" si="88"/>
        <v>gs_open_3D</v>
      </c>
    </row>
    <row r="411" spans="1:25" x14ac:dyDescent="0.3">
      <c r="A411" s="216">
        <f t="shared" si="84"/>
        <v>409</v>
      </c>
      <c r="B411" s="217" t="str">
        <f t="shared" si="87"/>
        <v/>
      </c>
      <c r="C411" s="217" t="str">
        <f t="shared" si="87"/>
        <v/>
      </c>
      <c r="D411" s="217" t="str">
        <f t="shared" si="87"/>
        <v/>
      </c>
      <c r="E411" s="217" t="str">
        <f t="shared" si="87"/>
        <v/>
      </c>
      <c r="F411" s="217" t="str">
        <f t="shared" si="87"/>
        <v/>
      </c>
      <c r="G411" s="217" t="str">
        <f t="shared" si="87"/>
        <v/>
      </c>
      <c r="H411" s="217" t="str">
        <f t="shared" si="87"/>
        <v/>
      </c>
      <c r="I411" s="217" t="str">
        <f t="shared" si="87"/>
        <v/>
      </c>
      <c r="J411" s="217" t="str">
        <f t="shared" si="87"/>
        <v/>
      </c>
      <c r="K411" s="217" t="str">
        <f t="shared" si="87"/>
        <v/>
      </c>
      <c r="L411" s="217" t="str">
        <f t="shared" si="88"/>
        <v>info</v>
      </c>
      <c r="M411" s="217" t="str">
        <f t="shared" si="88"/>
        <v>x</v>
      </c>
      <c r="N411" s="217" t="str">
        <f t="shared" si="88"/>
        <v/>
      </c>
      <c r="O411" s="217" t="str">
        <f t="shared" si="88"/>
        <v>model</v>
      </c>
      <c r="P411" s="218" t="str">
        <f t="shared" si="88"/>
        <v>Angle</v>
      </c>
      <c r="Q411" s="218" t="str">
        <f t="shared" si="88"/>
        <v>x</v>
      </c>
      <c r="R411" s="218" t="str">
        <f t="shared" si="88"/>
        <v>BS</v>
      </c>
      <c r="S411" s="218" t="str">
        <f t="shared" si="88"/>
        <v>all</v>
      </c>
      <c r="T411" s="217" t="str">
        <f t="shared" si="88"/>
        <v/>
      </c>
      <c r="U411" s="217" t="str">
        <f t="shared" si="88"/>
        <v>Öffnungswinkel für Standflügel in 3D</v>
      </c>
      <c r="V411" s="217" t="str">
        <f t="shared" si="88"/>
        <v>x</v>
      </c>
      <c r="W411" s="217" t="str">
        <f t="shared" si="88"/>
        <v/>
      </c>
      <c r="X411" s="217" t="str">
        <f t="shared" si="88"/>
        <v/>
      </c>
      <c r="Y411" s="217" t="str">
        <f t="shared" si="88"/>
        <v>gs_open_3D_s</v>
      </c>
    </row>
    <row r="412" spans="1:25" x14ac:dyDescent="0.3">
      <c r="A412" s="216">
        <f t="shared" si="84"/>
        <v>410</v>
      </c>
      <c r="B412" s="217" t="str">
        <f t="shared" si="87"/>
        <v/>
      </c>
      <c r="C412" s="217" t="str">
        <f t="shared" si="87"/>
        <v/>
      </c>
      <c r="D412" s="217" t="str">
        <f t="shared" si="87"/>
        <v/>
      </c>
      <c r="E412" s="217" t="str">
        <f t="shared" si="87"/>
        <v/>
      </c>
      <c r="F412" s="217" t="str">
        <f t="shared" si="87"/>
        <v/>
      </c>
      <c r="G412" s="217" t="str">
        <f t="shared" si="87"/>
        <v/>
      </c>
      <c r="H412" s="217" t="str">
        <f t="shared" si="87"/>
        <v/>
      </c>
      <c r="I412" s="217" t="str">
        <f t="shared" si="87"/>
        <v/>
      </c>
      <c r="J412" s="217" t="str">
        <f t="shared" si="87"/>
        <v/>
      </c>
      <c r="K412" s="217" t="str">
        <f t="shared" si="87"/>
        <v/>
      </c>
      <c r="L412" s="217" t="str">
        <f t="shared" si="88"/>
        <v>info</v>
      </c>
      <c r="M412" s="217" t="str">
        <f t="shared" si="88"/>
        <v>x</v>
      </c>
      <c r="N412" s="217" t="str">
        <f t="shared" si="88"/>
        <v/>
      </c>
      <c r="O412" s="217" t="str">
        <f t="shared" si="88"/>
        <v>model</v>
      </c>
      <c r="P412" s="218" t="str">
        <f t="shared" si="88"/>
        <v>Boolean</v>
      </c>
      <c r="Q412" s="218" t="str">
        <f t="shared" si="88"/>
        <v>x</v>
      </c>
      <c r="R412" s="218" t="str">
        <f t="shared" si="88"/>
        <v>BS</v>
      </c>
      <c r="S412" s="218" t="str">
        <f t="shared" si="88"/>
        <v>all</v>
      </c>
      <c r="T412" s="217">
        <f t="shared" si="88"/>
        <v>1</v>
      </c>
      <c r="U412" s="217" t="str">
        <f t="shared" si="88"/>
        <v>Gleicher Linientyp für Türblätter</v>
      </c>
      <c r="V412" s="217" t="str">
        <f t="shared" si="88"/>
        <v>x</v>
      </c>
      <c r="W412" s="217" t="str">
        <f t="shared" si="88"/>
        <v/>
      </c>
      <c r="X412" s="217" t="str">
        <f t="shared" si="88"/>
        <v/>
      </c>
      <c r="Y412" s="217" t="str">
        <f t="shared" si="88"/>
        <v>gs_bSameLineTypeForLeaves</v>
      </c>
    </row>
    <row r="413" spans="1:25" x14ac:dyDescent="0.3">
      <c r="A413" s="216">
        <f t="shared" si="84"/>
        <v>411</v>
      </c>
      <c r="B413" s="217" t="str">
        <f t="shared" ref="B413:K422" si="89">IF(ISNONTEXT(B$2),IF(B$2="","",IF(INDEX(IMPORT,$A413,B$2)=0,"",IFERROR(VLOOKUP(INDEX(IMPORT,$A413,B$2),ImportTranslation,2,0),INDEX(IMPORT,$A413,B$2)))),B$2)</f>
        <v>x</v>
      </c>
      <c r="C413" s="217" t="str">
        <f t="shared" si="89"/>
        <v/>
      </c>
      <c r="D413" s="217" t="str">
        <f t="shared" si="89"/>
        <v/>
      </c>
      <c r="E413" s="217" t="str">
        <f t="shared" si="89"/>
        <v/>
      </c>
      <c r="F413" s="217" t="str">
        <f t="shared" si="89"/>
        <v/>
      </c>
      <c r="G413" s="217" t="str">
        <f t="shared" si="89"/>
        <v/>
      </c>
      <c r="H413" s="217" t="str">
        <f t="shared" si="89"/>
        <v/>
      </c>
      <c r="I413" s="217" t="str">
        <f t="shared" si="89"/>
        <v/>
      </c>
      <c r="J413" s="217" t="str">
        <f t="shared" si="89"/>
        <v/>
      </c>
      <c r="K413" s="217" t="str">
        <f t="shared" si="89"/>
        <v/>
      </c>
      <c r="L413" s="217" t="str">
        <f t="shared" ref="L413:Y422" si="90">IF(ISNONTEXT(L$2),IF(L$2="","",IF(INDEX(IMPORT,$A413,L$2)=0,"",IFERROR(VLOOKUP(INDEX(IMPORT,$A413,L$2),ImportTranslation,2,0),INDEX(IMPORT,$A413,L$2)))),L$2)</f>
        <v>info</v>
      </c>
      <c r="M413" s="217" t="str">
        <f t="shared" si="90"/>
        <v>x</v>
      </c>
      <c r="N413" s="217" t="str">
        <f t="shared" si="90"/>
        <v/>
      </c>
      <c r="O413" s="217" t="str">
        <f t="shared" si="90"/>
        <v>model</v>
      </c>
      <c r="P413" s="218" t="str">
        <f t="shared" si="90"/>
        <v>Boolean</v>
      </c>
      <c r="Q413" s="218" t="str">
        <f t="shared" si="90"/>
        <v>x</v>
      </c>
      <c r="R413" s="218" t="str">
        <f t="shared" si="90"/>
        <v>BS</v>
      </c>
      <c r="S413" s="218" t="str">
        <f t="shared" si="90"/>
        <v>all</v>
      </c>
      <c r="T413" s="217" t="str">
        <f t="shared" si="90"/>
        <v/>
      </c>
      <c r="U413" s="217" t="str">
        <f t="shared" si="90"/>
        <v>Modelldarstell. für symbolische 2D-Darstellung überschreiben</v>
      </c>
      <c r="V413" s="217" t="str">
        <f t="shared" si="90"/>
        <v>x</v>
      </c>
      <c r="W413" s="217" t="str">
        <f t="shared" si="90"/>
        <v/>
      </c>
      <c r="X413" s="217" t="str">
        <f t="shared" si="90"/>
        <v/>
      </c>
      <c r="Y413" s="217" t="str">
        <f t="shared" si="90"/>
        <v>bOverride_MVO_2D</v>
      </c>
    </row>
    <row r="414" spans="1:25" x14ac:dyDescent="0.3">
      <c r="A414" s="216">
        <f t="shared" si="84"/>
        <v>412</v>
      </c>
      <c r="B414" s="217" t="str">
        <f t="shared" si="89"/>
        <v>x</v>
      </c>
      <c r="C414" s="217" t="str">
        <f t="shared" si="89"/>
        <v/>
      </c>
      <c r="D414" s="217" t="str">
        <f t="shared" si="89"/>
        <v/>
      </c>
      <c r="E414" s="217" t="str">
        <f t="shared" si="89"/>
        <v/>
      </c>
      <c r="F414" s="217" t="str">
        <f t="shared" si="89"/>
        <v/>
      </c>
      <c r="G414" s="217" t="str">
        <f t="shared" si="89"/>
        <v/>
      </c>
      <c r="H414" s="217" t="str">
        <f t="shared" si="89"/>
        <v/>
      </c>
      <c r="I414" s="217" t="str">
        <f t="shared" si="89"/>
        <v/>
      </c>
      <c r="J414" s="217" t="str">
        <f t="shared" si="89"/>
        <v/>
      </c>
      <c r="K414" s="217" t="str">
        <f t="shared" si="89"/>
        <v/>
      </c>
      <c r="L414" s="217" t="str">
        <f t="shared" si="90"/>
        <v>info</v>
      </c>
      <c r="M414" s="217" t="str">
        <f t="shared" si="90"/>
        <v>x</v>
      </c>
      <c r="N414" s="217" t="str">
        <f t="shared" si="90"/>
        <v/>
      </c>
      <c r="O414" s="217" t="str">
        <f t="shared" si="90"/>
        <v>model</v>
      </c>
      <c r="P414" s="218" t="str">
        <f t="shared" si="90"/>
        <v>Boolean</v>
      </c>
      <c r="Q414" s="218" t="str">
        <f t="shared" si="90"/>
        <v>x</v>
      </c>
      <c r="R414" s="218" t="str">
        <f t="shared" si="90"/>
        <v>BS</v>
      </c>
      <c r="S414" s="218" t="str">
        <f t="shared" si="90"/>
        <v>all</v>
      </c>
      <c r="T414" s="217">
        <f t="shared" si="90"/>
        <v>1</v>
      </c>
      <c r="U414" s="217" t="str">
        <f t="shared" si="90"/>
        <v>Öffnungslinien in 2D</v>
      </c>
      <c r="V414" s="217" t="str">
        <f t="shared" si="90"/>
        <v>x</v>
      </c>
      <c r="W414" s="217" t="str">
        <f t="shared" si="90"/>
        <v/>
      </c>
      <c r="X414" s="217" t="str">
        <f t="shared" si="90"/>
        <v/>
      </c>
      <c r="Y414" s="217" t="str">
        <f t="shared" si="90"/>
        <v>or_bOplines2D</v>
      </c>
    </row>
    <row r="415" spans="1:25" x14ac:dyDescent="0.3">
      <c r="A415" s="216">
        <f t="shared" si="84"/>
        <v>413</v>
      </c>
      <c r="B415" s="217" t="str">
        <f t="shared" si="89"/>
        <v>x</v>
      </c>
      <c r="C415" s="217" t="str">
        <f t="shared" si="89"/>
        <v/>
      </c>
      <c r="D415" s="217" t="str">
        <f t="shared" si="89"/>
        <v/>
      </c>
      <c r="E415" s="217" t="str">
        <f t="shared" si="89"/>
        <v/>
      </c>
      <c r="F415" s="217" t="str">
        <f t="shared" si="89"/>
        <v/>
      </c>
      <c r="G415" s="217" t="str">
        <f t="shared" si="89"/>
        <v/>
      </c>
      <c r="H415" s="217" t="str">
        <f t="shared" si="89"/>
        <v/>
      </c>
      <c r="I415" s="217" t="str">
        <f t="shared" si="89"/>
        <v/>
      </c>
      <c r="J415" s="217" t="str">
        <f t="shared" si="89"/>
        <v/>
      </c>
      <c r="K415" s="217" t="str">
        <f t="shared" si="89"/>
        <v/>
      </c>
      <c r="L415" s="217" t="str">
        <f t="shared" si="90"/>
        <v>info</v>
      </c>
      <c r="M415" s="217" t="str">
        <f t="shared" si="90"/>
        <v>x</v>
      </c>
      <c r="N415" s="217" t="str">
        <f t="shared" si="90"/>
        <v/>
      </c>
      <c r="O415" s="217" t="str">
        <f t="shared" si="90"/>
        <v>model</v>
      </c>
      <c r="P415" s="218" t="str">
        <f t="shared" si="90"/>
        <v>LineType</v>
      </c>
      <c r="Q415" s="218" t="str">
        <f t="shared" si="90"/>
        <v>x</v>
      </c>
      <c r="R415" s="218" t="str">
        <f t="shared" si="90"/>
        <v>BS</v>
      </c>
      <c r="S415" s="218" t="str">
        <f t="shared" si="90"/>
        <v>all</v>
      </c>
      <c r="T415" s="217">
        <f t="shared" si="90"/>
        <v>1</v>
      </c>
      <c r="U415" s="217" t="str">
        <f t="shared" si="90"/>
        <v>Öffnungslinien-Typ</v>
      </c>
      <c r="V415" s="217" t="str">
        <f t="shared" si="90"/>
        <v>x</v>
      </c>
      <c r="W415" s="217" t="str">
        <f t="shared" si="90"/>
        <v/>
      </c>
      <c r="X415" s="217" t="str">
        <f t="shared" si="90"/>
        <v/>
      </c>
      <c r="Y415" s="217" t="str">
        <f t="shared" si="90"/>
        <v>or_swingLineType</v>
      </c>
    </row>
    <row r="416" spans="1:25" x14ac:dyDescent="0.3">
      <c r="A416" s="216">
        <f t="shared" si="84"/>
        <v>414</v>
      </c>
      <c r="B416" s="217" t="str">
        <f t="shared" si="89"/>
        <v>x</v>
      </c>
      <c r="C416" s="217" t="str">
        <f t="shared" si="89"/>
        <v/>
      </c>
      <c r="D416" s="217" t="str">
        <f t="shared" si="89"/>
        <v/>
      </c>
      <c r="E416" s="217" t="str">
        <f t="shared" si="89"/>
        <v/>
      </c>
      <c r="F416" s="217" t="str">
        <f t="shared" si="89"/>
        <v/>
      </c>
      <c r="G416" s="217" t="str">
        <f t="shared" si="89"/>
        <v/>
      </c>
      <c r="H416" s="217" t="str">
        <f t="shared" si="89"/>
        <v/>
      </c>
      <c r="I416" s="217" t="str">
        <f t="shared" si="89"/>
        <v/>
      </c>
      <c r="J416" s="217" t="str">
        <f t="shared" si="89"/>
        <v/>
      </c>
      <c r="K416" s="217" t="str">
        <f t="shared" si="89"/>
        <v/>
      </c>
      <c r="L416" s="217" t="str">
        <f t="shared" si="90"/>
        <v>info</v>
      </c>
      <c r="M416" s="217" t="str">
        <f t="shared" si="90"/>
        <v>x</v>
      </c>
      <c r="N416" s="217" t="str">
        <f t="shared" si="90"/>
        <v/>
      </c>
      <c r="O416" s="217" t="str">
        <f t="shared" si="90"/>
        <v>model</v>
      </c>
      <c r="P416" s="218" t="str">
        <f t="shared" si="90"/>
        <v>LineType</v>
      </c>
      <c r="Q416" s="218" t="str">
        <f t="shared" si="90"/>
        <v>x</v>
      </c>
      <c r="R416" s="218" t="str">
        <f t="shared" si="90"/>
        <v>BS</v>
      </c>
      <c r="S416" s="218" t="str">
        <f t="shared" si="90"/>
        <v>all</v>
      </c>
      <c r="T416" s="217">
        <f t="shared" si="90"/>
        <v>4</v>
      </c>
      <c r="U416" s="217" t="str">
        <f t="shared" si="90"/>
        <v>Nebenöffnung Linientyp in 2D</v>
      </c>
      <c r="V416" s="217" t="str">
        <f t="shared" si="90"/>
        <v>x</v>
      </c>
      <c r="W416" s="217" t="str">
        <f t="shared" si="90"/>
        <v/>
      </c>
      <c r="X416" s="217" t="str">
        <f t="shared" si="90"/>
        <v/>
      </c>
      <c r="Y416" s="217" t="str">
        <f t="shared" si="90"/>
        <v>or_swingLineType2</v>
      </c>
    </row>
    <row r="417" spans="1:25" x14ac:dyDescent="0.3">
      <c r="A417" s="216">
        <f t="shared" si="84"/>
        <v>415</v>
      </c>
      <c r="B417" s="217" t="str">
        <f t="shared" si="89"/>
        <v>x</v>
      </c>
      <c r="C417" s="217" t="str">
        <f t="shared" si="89"/>
        <v/>
      </c>
      <c r="D417" s="217" t="str">
        <f t="shared" si="89"/>
        <v/>
      </c>
      <c r="E417" s="217" t="str">
        <f t="shared" si="89"/>
        <v/>
      </c>
      <c r="F417" s="217" t="str">
        <f t="shared" si="89"/>
        <v/>
      </c>
      <c r="G417" s="217" t="str">
        <f t="shared" si="89"/>
        <v/>
      </c>
      <c r="H417" s="217" t="str">
        <f t="shared" si="89"/>
        <v/>
      </c>
      <c r="I417" s="217" t="str">
        <f t="shared" si="89"/>
        <v/>
      </c>
      <c r="J417" s="217" t="str">
        <f t="shared" si="89"/>
        <v/>
      </c>
      <c r="K417" s="217" t="str">
        <f t="shared" si="89"/>
        <v/>
      </c>
      <c r="L417" s="217" t="str">
        <f t="shared" si="90"/>
        <v>info</v>
      </c>
      <c r="M417" s="217" t="str">
        <f t="shared" si="90"/>
        <v>x</v>
      </c>
      <c r="N417" s="217" t="str">
        <f t="shared" si="90"/>
        <v/>
      </c>
      <c r="O417" s="217" t="str">
        <f t="shared" si="90"/>
        <v>model</v>
      </c>
      <c r="P417" s="218" t="str">
        <f t="shared" si="90"/>
        <v>String</v>
      </c>
      <c r="Q417" s="218" t="str">
        <f t="shared" si="90"/>
        <v>x</v>
      </c>
      <c r="R417" s="218" t="str">
        <f t="shared" si="90"/>
        <v>BS</v>
      </c>
      <c r="S417" s="218" t="str">
        <f t="shared" si="90"/>
        <v>all</v>
      </c>
      <c r="T417" s="217" t="str">
        <f t="shared" si="90"/>
        <v>Gebogen</v>
      </c>
      <c r="U417" s="217" t="str">
        <f t="shared" si="90"/>
        <v>Öffnungslinien-Form</v>
      </c>
      <c r="V417" s="217" t="str">
        <f t="shared" si="90"/>
        <v>x</v>
      </c>
      <c r="W417" s="217" t="str">
        <f t="shared" si="90"/>
        <v/>
      </c>
      <c r="X417" s="217" t="str">
        <f t="shared" si="90"/>
        <v/>
      </c>
      <c r="Y417" s="217" t="str">
        <f t="shared" si="90"/>
        <v>or_SwingType</v>
      </c>
    </row>
    <row r="418" spans="1:25" x14ac:dyDescent="0.3">
      <c r="A418" s="216">
        <f t="shared" si="84"/>
        <v>416</v>
      </c>
      <c r="B418" s="217" t="str">
        <f t="shared" si="89"/>
        <v>x</v>
      </c>
      <c r="C418" s="217" t="str">
        <f t="shared" si="89"/>
        <v>x</v>
      </c>
      <c r="D418" s="217" t="str">
        <f t="shared" si="89"/>
        <v/>
      </c>
      <c r="E418" s="217" t="str">
        <f t="shared" si="89"/>
        <v/>
      </c>
      <c r="F418" s="217" t="str">
        <f t="shared" si="89"/>
        <v/>
      </c>
      <c r="G418" s="217" t="str">
        <f t="shared" si="89"/>
        <v/>
      </c>
      <c r="H418" s="217" t="str">
        <f t="shared" si="89"/>
        <v/>
      </c>
      <c r="I418" s="217" t="str">
        <f t="shared" si="89"/>
        <v/>
      </c>
      <c r="J418" s="217" t="str">
        <f t="shared" si="89"/>
        <v/>
      </c>
      <c r="K418" s="217" t="str">
        <f t="shared" si="89"/>
        <v/>
      </c>
      <c r="L418" s="217" t="str">
        <f t="shared" si="90"/>
        <v>info</v>
      </c>
      <c r="M418" s="217" t="str">
        <f t="shared" si="90"/>
        <v>x</v>
      </c>
      <c r="N418" s="217" t="str">
        <f t="shared" si="90"/>
        <v/>
      </c>
      <c r="O418" s="217" t="str">
        <f t="shared" si="90"/>
        <v>model</v>
      </c>
      <c r="P418" s="218" t="str">
        <f t="shared" si="90"/>
        <v>Integer</v>
      </c>
      <c r="Q418" s="218" t="str">
        <f t="shared" si="90"/>
        <v>x</v>
      </c>
      <c r="R418" s="218" t="str">
        <f t="shared" si="90"/>
        <v>BS</v>
      </c>
      <c r="S418" s="218" t="str">
        <f t="shared" si="90"/>
        <v>all</v>
      </c>
      <c r="T418" s="217">
        <f t="shared" si="90"/>
        <v>1</v>
      </c>
      <c r="U418" s="217" t="str">
        <f t="shared" si="90"/>
        <v>Öffnungslinien-Form</v>
      </c>
      <c r="V418" s="217" t="str">
        <f t="shared" si="90"/>
        <v>x</v>
      </c>
      <c r="W418" s="217" t="str">
        <f t="shared" si="90"/>
        <v/>
      </c>
      <c r="X418" s="217" t="str">
        <f t="shared" si="90"/>
        <v/>
      </c>
      <c r="Y418" s="217" t="str">
        <f t="shared" si="90"/>
        <v>or_iSwingType</v>
      </c>
    </row>
    <row r="419" spans="1:25" x14ac:dyDescent="0.3">
      <c r="A419" s="216">
        <f t="shared" si="84"/>
        <v>417</v>
      </c>
      <c r="B419" s="217" t="str">
        <f t="shared" si="89"/>
        <v>x</v>
      </c>
      <c r="C419" s="217" t="str">
        <f t="shared" si="89"/>
        <v/>
      </c>
      <c r="D419" s="217" t="str">
        <f t="shared" si="89"/>
        <v/>
      </c>
      <c r="E419" s="217" t="str">
        <f t="shared" si="89"/>
        <v/>
      </c>
      <c r="F419" s="217" t="str">
        <f t="shared" si="89"/>
        <v/>
      </c>
      <c r="G419" s="217" t="str">
        <f t="shared" si="89"/>
        <v/>
      </c>
      <c r="H419" s="217" t="str">
        <f t="shared" si="89"/>
        <v/>
      </c>
      <c r="I419" s="217" t="str">
        <f t="shared" si="89"/>
        <v/>
      </c>
      <c r="J419" s="217" t="str">
        <f t="shared" si="89"/>
        <v/>
      </c>
      <c r="K419" s="217" t="str">
        <f t="shared" si="89"/>
        <v/>
      </c>
      <c r="L419" s="217" t="str">
        <f t="shared" si="90"/>
        <v>info</v>
      </c>
      <c r="M419" s="217" t="str">
        <f t="shared" si="90"/>
        <v>x</v>
      </c>
      <c r="N419" s="217" t="str">
        <f t="shared" si="90"/>
        <v/>
      </c>
      <c r="O419" s="217" t="str">
        <f t="shared" si="90"/>
        <v>model</v>
      </c>
      <c r="P419" s="218" t="str">
        <f t="shared" si="90"/>
        <v>String</v>
      </c>
      <c r="Q419" s="218" t="str">
        <f t="shared" si="90"/>
        <v>x</v>
      </c>
      <c r="R419" s="218" t="str">
        <f t="shared" si="90"/>
        <v>BS</v>
      </c>
      <c r="S419" s="218" t="str">
        <f t="shared" si="90"/>
        <v>all</v>
      </c>
      <c r="T419" s="217" t="str">
        <f t="shared" si="90"/>
        <v>Kein</v>
      </c>
      <c r="U419" s="217" t="str">
        <f t="shared" si="90"/>
        <v>Öffnungslinien-Form</v>
      </c>
      <c r="V419" s="217" t="str">
        <f t="shared" si="90"/>
        <v>x</v>
      </c>
      <c r="W419" s="217" t="str">
        <f t="shared" si="90"/>
        <v/>
      </c>
      <c r="X419" s="217" t="str">
        <f t="shared" si="90"/>
        <v/>
      </c>
      <c r="Y419" s="217" t="str">
        <f t="shared" si="90"/>
        <v>or_SlidingType</v>
      </c>
    </row>
    <row r="420" spans="1:25" x14ac:dyDescent="0.3">
      <c r="A420" s="216">
        <f t="shared" si="84"/>
        <v>418</v>
      </c>
      <c r="B420" s="217" t="str">
        <f t="shared" si="89"/>
        <v>x</v>
      </c>
      <c r="C420" s="217" t="str">
        <f t="shared" si="89"/>
        <v>x</v>
      </c>
      <c r="D420" s="217" t="str">
        <f t="shared" si="89"/>
        <v/>
      </c>
      <c r="E420" s="217" t="str">
        <f t="shared" si="89"/>
        <v/>
      </c>
      <c r="F420" s="217" t="str">
        <f t="shared" si="89"/>
        <v/>
      </c>
      <c r="G420" s="217" t="str">
        <f t="shared" si="89"/>
        <v/>
      </c>
      <c r="H420" s="217" t="str">
        <f t="shared" si="89"/>
        <v/>
      </c>
      <c r="I420" s="217" t="str">
        <f t="shared" si="89"/>
        <v/>
      </c>
      <c r="J420" s="217" t="str">
        <f t="shared" si="89"/>
        <v/>
      </c>
      <c r="K420" s="217" t="str">
        <f t="shared" si="89"/>
        <v/>
      </c>
      <c r="L420" s="217" t="str">
        <f t="shared" si="90"/>
        <v>info</v>
      </c>
      <c r="M420" s="217" t="str">
        <f t="shared" si="90"/>
        <v>x</v>
      </c>
      <c r="N420" s="217" t="str">
        <f t="shared" si="90"/>
        <v/>
      </c>
      <c r="O420" s="217" t="str">
        <f t="shared" si="90"/>
        <v>model</v>
      </c>
      <c r="P420" s="218" t="str">
        <f t="shared" si="90"/>
        <v>Integer</v>
      </c>
      <c r="Q420" s="218" t="str">
        <f t="shared" si="90"/>
        <v>x</v>
      </c>
      <c r="R420" s="218" t="str">
        <f t="shared" si="90"/>
        <v>BS</v>
      </c>
      <c r="S420" s="218" t="str">
        <f t="shared" si="90"/>
        <v>all</v>
      </c>
      <c r="T420" s="217" t="str">
        <f t="shared" si="90"/>
        <v/>
      </c>
      <c r="U420" s="217" t="str">
        <f t="shared" si="90"/>
        <v>Öffnungslinien-Form</v>
      </c>
      <c r="V420" s="217" t="str">
        <f t="shared" si="90"/>
        <v>x</v>
      </c>
      <c r="W420" s="217" t="str">
        <f t="shared" si="90"/>
        <v/>
      </c>
      <c r="X420" s="217" t="str">
        <f t="shared" si="90"/>
        <v/>
      </c>
      <c r="Y420" s="217" t="str">
        <f t="shared" si="90"/>
        <v>or_iSlidingType</v>
      </c>
    </row>
    <row r="421" spans="1:25" x14ac:dyDescent="0.3">
      <c r="A421" s="216">
        <f t="shared" si="84"/>
        <v>419</v>
      </c>
      <c r="B421" s="217" t="str">
        <f t="shared" si="89"/>
        <v>x</v>
      </c>
      <c r="C421" s="217" t="str">
        <f t="shared" si="89"/>
        <v/>
      </c>
      <c r="D421" s="217" t="str">
        <f t="shared" si="89"/>
        <v/>
      </c>
      <c r="E421" s="217" t="str">
        <f t="shared" si="89"/>
        <v/>
      </c>
      <c r="F421" s="217" t="str">
        <f t="shared" si="89"/>
        <v/>
      </c>
      <c r="G421" s="217" t="str">
        <f t="shared" si="89"/>
        <v/>
      </c>
      <c r="H421" s="217" t="str">
        <f t="shared" si="89"/>
        <v/>
      </c>
      <c r="I421" s="217" t="str">
        <f t="shared" si="89"/>
        <v/>
      </c>
      <c r="J421" s="217" t="str">
        <f t="shared" si="89"/>
        <v/>
      </c>
      <c r="K421" s="217" t="str">
        <f t="shared" si="89"/>
        <v/>
      </c>
      <c r="L421" s="217" t="str">
        <f t="shared" si="90"/>
        <v>info</v>
      </c>
      <c r="M421" s="217" t="str">
        <f t="shared" si="90"/>
        <v>x</v>
      </c>
      <c r="N421" s="217" t="str">
        <f t="shared" si="90"/>
        <v/>
      </c>
      <c r="O421" s="217" t="str">
        <f t="shared" si="90"/>
        <v>model</v>
      </c>
      <c r="P421" s="218" t="str">
        <f t="shared" si="90"/>
        <v>PenColor</v>
      </c>
      <c r="Q421" s="218" t="str">
        <f t="shared" si="90"/>
        <v>x</v>
      </c>
      <c r="R421" s="218" t="str">
        <f t="shared" si="90"/>
        <v>BS</v>
      </c>
      <c r="S421" s="218" t="str">
        <f t="shared" si="90"/>
        <v>all</v>
      </c>
      <c r="T421" s="217">
        <f t="shared" si="90"/>
        <v>1</v>
      </c>
      <c r="U421" s="217" t="str">
        <f t="shared" si="90"/>
        <v>2D &amp; 3D Öffnungslinien-Stift</v>
      </c>
      <c r="V421" s="217" t="str">
        <f t="shared" si="90"/>
        <v>x</v>
      </c>
      <c r="W421" s="217" t="str">
        <f t="shared" si="90"/>
        <v/>
      </c>
      <c r="X421" s="217" t="str">
        <f t="shared" si="90"/>
        <v/>
      </c>
      <c r="Y421" s="217" t="str">
        <f t="shared" si="90"/>
        <v>or_opLinePen</v>
      </c>
    </row>
    <row r="422" spans="1:25" x14ac:dyDescent="0.3">
      <c r="A422" s="216">
        <f t="shared" si="84"/>
        <v>420</v>
      </c>
      <c r="B422" s="217" t="str">
        <f t="shared" si="89"/>
        <v>x</v>
      </c>
      <c r="C422" s="217" t="str">
        <f t="shared" si="89"/>
        <v>x</v>
      </c>
      <c r="D422" s="217" t="str">
        <f t="shared" si="89"/>
        <v/>
      </c>
      <c r="E422" s="217" t="str">
        <f t="shared" si="89"/>
        <v/>
      </c>
      <c r="F422" s="217" t="str">
        <f t="shared" si="89"/>
        <v/>
      </c>
      <c r="G422" s="217" t="str">
        <f t="shared" si="89"/>
        <v/>
      </c>
      <c r="H422" s="217" t="str">
        <f t="shared" si="89"/>
        <v/>
      </c>
      <c r="I422" s="217" t="str">
        <f t="shared" si="89"/>
        <v/>
      </c>
      <c r="J422" s="217" t="str">
        <f t="shared" si="89"/>
        <v/>
      </c>
      <c r="K422" s="217" t="str">
        <f t="shared" si="89"/>
        <v/>
      </c>
      <c r="L422" s="217" t="str">
        <f t="shared" si="90"/>
        <v>info</v>
      </c>
      <c r="M422" s="217" t="str">
        <f t="shared" si="90"/>
        <v>x</v>
      </c>
      <c r="N422" s="217" t="str">
        <f t="shared" si="90"/>
        <v/>
      </c>
      <c r="O422" s="217" t="str">
        <f t="shared" si="90"/>
        <v>model</v>
      </c>
      <c r="P422" s="218" t="str">
        <f t="shared" si="90"/>
        <v>Integer</v>
      </c>
      <c r="Q422" s="218" t="str">
        <f t="shared" si="90"/>
        <v>x</v>
      </c>
      <c r="R422" s="218" t="str">
        <f t="shared" si="90"/>
        <v>BS</v>
      </c>
      <c r="S422" s="218" t="str">
        <f t="shared" si="90"/>
        <v>all</v>
      </c>
      <c r="T422" s="217">
        <f t="shared" si="90"/>
        <v>1</v>
      </c>
      <c r="U422" s="217" t="str">
        <f t="shared" si="90"/>
        <v>2D &amp; 3D Öffnungslinien-Stift</v>
      </c>
      <c r="V422" s="217" t="str">
        <f t="shared" si="90"/>
        <v>x</v>
      </c>
      <c r="W422" s="217" t="str">
        <f t="shared" si="90"/>
        <v/>
      </c>
      <c r="X422" s="217" t="str">
        <f t="shared" si="90"/>
        <v/>
      </c>
      <c r="Y422" s="217" t="str">
        <f t="shared" si="90"/>
        <v>or_iOpLinePen</v>
      </c>
    </row>
    <row r="423" spans="1:25" x14ac:dyDescent="0.3">
      <c r="A423" s="216">
        <f t="shared" si="84"/>
        <v>421</v>
      </c>
      <c r="B423" s="217" t="str">
        <f t="shared" ref="B423:K432" si="91">IF(ISNONTEXT(B$2),IF(B$2="","",IF(INDEX(IMPORT,$A423,B$2)=0,"",IFERROR(VLOOKUP(INDEX(IMPORT,$A423,B$2),ImportTranslation,2,0),INDEX(IMPORT,$A423,B$2)))),B$2)</f>
        <v>x</v>
      </c>
      <c r="C423" s="217" t="str">
        <f t="shared" si="91"/>
        <v/>
      </c>
      <c r="D423" s="217" t="str">
        <f t="shared" si="91"/>
        <v/>
      </c>
      <c r="E423" s="217" t="str">
        <f t="shared" si="91"/>
        <v/>
      </c>
      <c r="F423" s="217" t="str">
        <f t="shared" si="91"/>
        <v/>
      </c>
      <c r="G423" s="217" t="str">
        <f t="shared" si="91"/>
        <v/>
      </c>
      <c r="H423" s="217" t="str">
        <f t="shared" si="91"/>
        <v/>
      </c>
      <c r="I423" s="217" t="str">
        <f t="shared" si="91"/>
        <v/>
      </c>
      <c r="J423" s="217" t="str">
        <f t="shared" si="91"/>
        <v/>
      </c>
      <c r="K423" s="217" t="str">
        <f t="shared" si="91"/>
        <v/>
      </c>
      <c r="L423" s="217" t="str">
        <f t="shared" ref="L423:Y432" si="92">IF(ISNONTEXT(L$2),IF(L$2="","",IF(INDEX(IMPORT,$A423,L$2)=0,"",IFERROR(VLOOKUP(INDEX(IMPORT,$A423,L$2),ImportTranslation,2,0),INDEX(IMPORT,$A423,L$2)))),L$2)</f>
        <v>info</v>
      </c>
      <c r="M423" s="217" t="str">
        <f t="shared" si="92"/>
        <v>x</v>
      </c>
      <c r="N423" s="217" t="str">
        <f t="shared" si="92"/>
        <v/>
      </c>
      <c r="O423" s="217" t="str">
        <f t="shared" si="92"/>
        <v>model</v>
      </c>
      <c r="P423" s="218" t="str">
        <f t="shared" si="92"/>
        <v>Boolean</v>
      </c>
      <c r="Q423" s="218" t="str">
        <f t="shared" si="92"/>
        <v>x</v>
      </c>
      <c r="R423" s="218" t="str">
        <f t="shared" si="92"/>
        <v>BS</v>
      </c>
      <c r="S423" s="218" t="str">
        <f t="shared" si="92"/>
        <v>all</v>
      </c>
      <c r="T423" s="217" t="str">
        <f t="shared" si="92"/>
        <v/>
      </c>
      <c r="U423" s="217" t="str">
        <f t="shared" si="92"/>
        <v>Modelldarstell. für 3D-Darstellung überschreiben</v>
      </c>
      <c r="V423" s="217" t="str">
        <f t="shared" si="92"/>
        <v>x</v>
      </c>
      <c r="W423" s="217" t="str">
        <f t="shared" si="92"/>
        <v/>
      </c>
      <c r="X423" s="217" t="str">
        <f t="shared" si="92"/>
        <v/>
      </c>
      <c r="Y423" s="217" t="str">
        <f t="shared" si="92"/>
        <v>bOverride_MVO_3D</v>
      </c>
    </row>
    <row r="424" spans="1:25" x14ac:dyDescent="0.3">
      <c r="A424" s="216">
        <f t="shared" si="84"/>
        <v>422</v>
      </c>
      <c r="B424" s="217" t="str">
        <f t="shared" si="91"/>
        <v>x</v>
      </c>
      <c r="C424" s="217" t="str">
        <f t="shared" si="91"/>
        <v/>
      </c>
      <c r="D424" s="217" t="str">
        <f t="shared" si="91"/>
        <v/>
      </c>
      <c r="E424" s="217" t="str">
        <f t="shared" si="91"/>
        <v/>
      </c>
      <c r="F424" s="217" t="str">
        <f t="shared" si="91"/>
        <v/>
      </c>
      <c r="G424" s="217" t="str">
        <f t="shared" si="91"/>
        <v/>
      </c>
      <c r="H424" s="217" t="str">
        <f t="shared" si="91"/>
        <v/>
      </c>
      <c r="I424" s="217" t="str">
        <f t="shared" si="91"/>
        <v/>
      </c>
      <c r="J424" s="217" t="str">
        <f t="shared" si="91"/>
        <v/>
      </c>
      <c r="K424" s="217" t="str">
        <f t="shared" si="91"/>
        <v/>
      </c>
      <c r="L424" s="217" t="str">
        <f t="shared" si="92"/>
        <v>info</v>
      </c>
      <c r="M424" s="217" t="str">
        <f t="shared" si="92"/>
        <v>x</v>
      </c>
      <c r="N424" s="217" t="str">
        <f t="shared" si="92"/>
        <v/>
      </c>
      <c r="O424" s="217" t="str">
        <f t="shared" si="92"/>
        <v>model</v>
      </c>
      <c r="P424" s="218" t="str">
        <f t="shared" si="92"/>
        <v>Boolean</v>
      </c>
      <c r="Q424" s="218" t="str">
        <f t="shared" si="92"/>
        <v>x</v>
      </c>
      <c r="R424" s="218" t="str">
        <f t="shared" si="92"/>
        <v>BS</v>
      </c>
      <c r="S424" s="218" t="str">
        <f t="shared" si="92"/>
        <v>all</v>
      </c>
      <c r="T424" s="217">
        <f t="shared" si="92"/>
        <v>1</v>
      </c>
      <c r="U424" s="217" t="str">
        <f t="shared" si="92"/>
        <v>Öffnungslinie zeigen</v>
      </c>
      <c r="V424" s="217" t="str">
        <f t="shared" si="92"/>
        <v>x</v>
      </c>
      <c r="W424" s="217" t="str">
        <f t="shared" si="92"/>
        <v/>
      </c>
      <c r="X424" s="217" t="str">
        <f t="shared" si="92"/>
        <v/>
      </c>
      <c r="Y424" s="217" t="str">
        <f t="shared" si="92"/>
        <v>or_bOplines3d</v>
      </c>
    </row>
    <row r="425" spans="1:25" x14ac:dyDescent="0.3">
      <c r="A425" s="216">
        <f t="shared" si="84"/>
        <v>423</v>
      </c>
      <c r="B425" s="217" t="str">
        <f t="shared" si="91"/>
        <v>x</v>
      </c>
      <c r="C425" s="217" t="str">
        <f t="shared" si="91"/>
        <v/>
      </c>
      <c r="D425" s="217" t="str">
        <f t="shared" si="91"/>
        <v/>
      </c>
      <c r="E425" s="217" t="str">
        <f t="shared" si="91"/>
        <v/>
      </c>
      <c r="F425" s="217" t="str">
        <f t="shared" si="91"/>
        <v/>
      </c>
      <c r="G425" s="217" t="str">
        <f t="shared" si="91"/>
        <v/>
      </c>
      <c r="H425" s="217" t="str">
        <f t="shared" si="91"/>
        <v/>
      </c>
      <c r="I425" s="217" t="str">
        <f t="shared" si="91"/>
        <v/>
      </c>
      <c r="J425" s="217" t="str">
        <f t="shared" si="91"/>
        <v/>
      </c>
      <c r="K425" s="217" t="str">
        <f t="shared" si="91"/>
        <v/>
      </c>
      <c r="L425" s="217" t="str">
        <f t="shared" si="92"/>
        <v>info</v>
      </c>
      <c r="M425" s="217" t="str">
        <f t="shared" si="92"/>
        <v>x</v>
      </c>
      <c r="N425" s="217" t="str">
        <f t="shared" si="92"/>
        <v/>
      </c>
      <c r="O425" s="217" t="str">
        <f t="shared" si="92"/>
        <v>model</v>
      </c>
      <c r="P425" s="218" t="str">
        <f t="shared" si="92"/>
        <v>String</v>
      </c>
      <c r="Q425" s="218" t="str">
        <f t="shared" si="92"/>
        <v>x</v>
      </c>
      <c r="R425" s="218" t="str">
        <f t="shared" si="92"/>
        <v>BS</v>
      </c>
      <c r="S425" s="218" t="str">
        <f t="shared" si="92"/>
        <v>all</v>
      </c>
      <c r="T425" s="217" t="str">
        <f t="shared" si="92"/>
        <v>Vollinie</v>
      </c>
      <c r="U425" s="217" t="str">
        <f t="shared" si="92"/>
        <v>Linientyp Öffnungsseite</v>
      </c>
      <c r="V425" s="217" t="str">
        <f t="shared" si="92"/>
        <v>x</v>
      </c>
      <c r="W425" s="217" t="str">
        <f t="shared" si="92"/>
        <v/>
      </c>
      <c r="X425" s="217" t="str">
        <f t="shared" si="92"/>
        <v/>
      </c>
      <c r="Y425" s="217" t="str">
        <f t="shared" si="92"/>
        <v>or_opLineType3dIn</v>
      </c>
    </row>
    <row r="426" spans="1:25" x14ac:dyDescent="0.3">
      <c r="A426" s="216">
        <f t="shared" si="84"/>
        <v>424</v>
      </c>
      <c r="B426" s="217" t="str">
        <f t="shared" si="91"/>
        <v>x</v>
      </c>
      <c r="C426" s="217" t="str">
        <f t="shared" si="91"/>
        <v>x</v>
      </c>
      <c r="D426" s="217" t="str">
        <f t="shared" si="91"/>
        <v/>
      </c>
      <c r="E426" s="217" t="str">
        <f t="shared" si="91"/>
        <v/>
      </c>
      <c r="F426" s="217" t="str">
        <f t="shared" si="91"/>
        <v/>
      </c>
      <c r="G426" s="217" t="str">
        <f t="shared" si="91"/>
        <v/>
      </c>
      <c r="H426" s="217" t="str">
        <f t="shared" si="91"/>
        <v/>
      </c>
      <c r="I426" s="217" t="str">
        <f t="shared" si="91"/>
        <v/>
      </c>
      <c r="J426" s="217" t="str">
        <f t="shared" si="91"/>
        <v/>
      </c>
      <c r="K426" s="217" t="str">
        <f t="shared" si="91"/>
        <v/>
      </c>
      <c r="L426" s="217" t="str">
        <f t="shared" si="92"/>
        <v>info</v>
      </c>
      <c r="M426" s="217" t="str">
        <f t="shared" si="92"/>
        <v>x</v>
      </c>
      <c r="N426" s="217" t="str">
        <f t="shared" si="92"/>
        <v/>
      </c>
      <c r="O426" s="217" t="str">
        <f t="shared" si="92"/>
        <v>model</v>
      </c>
      <c r="P426" s="218" t="str">
        <f t="shared" si="92"/>
        <v>Integer</v>
      </c>
      <c r="Q426" s="218" t="str">
        <f t="shared" si="92"/>
        <v>x</v>
      </c>
      <c r="R426" s="218" t="str">
        <f t="shared" si="92"/>
        <v>BS</v>
      </c>
      <c r="S426" s="218" t="str">
        <f t="shared" si="92"/>
        <v>all</v>
      </c>
      <c r="T426" s="217" t="str">
        <f t="shared" si="92"/>
        <v/>
      </c>
      <c r="U426" s="217" t="str">
        <f t="shared" si="92"/>
        <v>Linientyp Öffnungsseite</v>
      </c>
      <c r="V426" s="217" t="str">
        <f t="shared" si="92"/>
        <v>x</v>
      </c>
      <c r="W426" s="217" t="str">
        <f t="shared" si="92"/>
        <v/>
      </c>
      <c r="X426" s="217" t="str">
        <f t="shared" si="92"/>
        <v/>
      </c>
      <c r="Y426" s="217" t="str">
        <f t="shared" si="92"/>
        <v>or_iOpLineType3dIn</v>
      </c>
    </row>
    <row r="427" spans="1:25" x14ac:dyDescent="0.3">
      <c r="A427" s="216">
        <f t="shared" si="84"/>
        <v>425</v>
      </c>
      <c r="B427" s="217" t="str">
        <f t="shared" si="91"/>
        <v>x</v>
      </c>
      <c r="C427" s="217" t="str">
        <f t="shared" si="91"/>
        <v/>
      </c>
      <c r="D427" s="217" t="str">
        <f t="shared" si="91"/>
        <v/>
      </c>
      <c r="E427" s="217" t="str">
        <f t="shared" si="91"/>
        <v/>
      </c>
      <c r="F427" s="217" t="str">
        <f t="shared" si="91"/>
        <v/>
      </c>
      <c r="G427" s="217" t="str">
        <f t="shared" si="91"/>
        <v/>
      </c>
      <c r="H427" s="217" t="str">
        <f t="shared" si="91"/>
        <v/>
      </c>
      <c r="I427" s="217" t="str">
        <f t="shared" si="91"/>
        <v/>
      </c>
      <c r="J427" s="217" t="str">
        <f t="shared" si="91"/>
        <v/>
      </c>
      <c r="K427" s="217" t="str">
        <f t="shared" si="91"/>
        <v/>
      </c>
      <c r="L427" s="217" t="str">
        <f t="shared" si="92"/>
        <v>info</v>
      </c>
      <c r="M427" s="217" t="str">
        <f t="shared" si="92"/>
        <v>x</v>
      </c>
      <c r="N427" s="217" t="str">
        <f t="shared" si="92"/>
        <v/>
      </c>
      <c r="O427" s="217" t="str">
        <f t="shared" si="92"/>
        <v>model</v>
      </c>
      <c r="P427" s="218" t="str">
        <f t="shared" si="92"/>
        <v>String</v>
      </c>
      <c r="Q427" s="218" t="str">
        <f t="shared" si="92"/>
        <v>x</v>
      </c>
      <c r="R427" s="218" t="str">
        <f t="shared" si="92"/>
        <v>BS</v>
      </c>
      <c r="S427" s="218" t="str">
        <f t="shared" si="92"/>
        <v>all</v>
      </c>
      <c r="T427" s="217" t="str">
        <f t="shared" si="92"/>
        <v>Strichlinie</v>
      </c>
      <c r="U427" s="217" t="str">
        <f t="shared" si="92"/>
        <v>Linientyp Gegenüberliegende Seite</v>
      </c>
      <c r="V427" s="217" t="str">
        <f t="shared" si="92"/>
        <v>x</v>
      </c>
      <c r="W427" s="217" t="str">
        <f t="shared" si="92"/>
        <v/>
      </c>
      <c r="X427" s="217" t="str">
        <f t="shared" si="92"/>
        <v/>
      </c>
      <c r="Y427" s="217" t="str">
        <f t="shared" si="92"/>
        <v>or_opLineType3dOut</v>
      </c>
    </row>
    <row r="428" spans="1:25" x14ac:dyDescent="0.3">
      <c r="A428" s="216">
        <f t="shared" si="84"/>
        <v>426</v>
      </c>
      <c r="B428" s="217" t="str">
        <f t="shared" si="91"/>
        <v>x</v>
      </c>
      <c r="C428" s="217" t="str">
        <f t="shared" si="91"/>
        <v>x</v>
      </c>
      <c r="D428" s="217" t="str">
        <f t="shared" si="91"/>
        <v/>
      </c>
      <c r="E428" s="217" t="str">
        <f t="shared" si="91"/>
        <v/>
      </c>
      <c r="F428" s="217" t="str">
        <f t="shared" si="91"/>
        <v/>
      </c>
      <c r="G428" s="217" t="str">
        <f t="shared" si="91"/>
        <v/>
      </c>
      <c r="H428" s="217" t="str">
        <f t="shared" si="91"/>
        <v/>
      </c>
      <c r="I428" s="217" t="str">
        <f t="shared" si="91"/>
        <v/>
      </c>
      <c r="J428" s="217" t="str">
        <f t="shared" si="91"/>
        <v/>
      </c>
      <c r="K428" s="217" t="str">
        <f t="shared" si="91"/>
        <v/>
      </c>
      <c r="L428" s="217" t="str">
        <f t="shared" si="92"/>
        <v>info</v>
      </c>
      <c r="M428" s="217" t="str">
        <f t="shared" si="92"/>
        <v>x</v>
      </c>
      <c r="N428" s="217" t="str">
        <f t="shared" si="92"/>
        <v/>
      </c>
      <c r="O428" s="217" t="str">
        <f t="shared" si="92"/>
        <v>model</v>
      </c>
      <c r="P428" s="218" t="str">
        <f t="shared" si="92"/>
        <v>Integer</v>
      </c>
      <c r="Q428" s="218" t="str">
        <f t="shared" si="92"/>
        <v>x</v>
      </c>
      <c r="R428" s="218" t="str">
        <f t="shared" si="92"/>
        <v>BS</v>
      </c>
      <c r="S428" s="218" t="str">
        <f t="shared" si="92"/>
        <v>all</v>
      </c>
      <c r="T428" s="217">
        <f t="shared" si="92"/>
        <v>1</v>
      </c>
      <c r="U428" s="217" t="str">
        <f t="shared" si="92"/>
        <v>Linientyp Gegenüberliegende Seite</v>
      </c>
      <c r="V428" s="217" t="str">
        <f t="shared" si="92"/>
        <v>x</v>
      </c>
      <c r="W428" s="217" t="str">
        <f t="shared" si="92"/>
        <v/>
      </c>
      <c r="X428" s="217" t="str">
        <f t="shared" si="92"/>
        <v/>
      </c>
      <c r="Y428" s="217" t="str">
        <f t="shared" si="92"/>
        <v>or_iOpLineType3dOut</v>
      </c>
    </row>
    <row r="429" spans="1:25" x14ac:dyDescent="0.3">
      <c r="A429" s="216">
        <f t="shared" si="84"/>
        <v>427</v>
      </c>
      <c r="B429" s="217" t="str">
        <f t="shared" si="91"/>
        <v>x</v>
      </c>
      <c r="C429" s="217" t="str">
        <f t="shared" si="91"/>
        <v/>
      </c>
      <c r="D429" s="217" t="str">
        <f t="shared" si="91"/>
        <v/>
      </c>
      <c r="E429" s="217" t="str">
        <f t="shared" si="91"/>
        <v/>
      </c>
      <c r="F429" s="217" t="str">
        <f t="shared" si="91"/>
        <v/>
      </c>
      <c r="G429" s="217" t="str">
        <f t="shared" si="91"/>
        <v/>
      </c>
      <c r="H429" s="217" t="str">
        <f t="shared" si="91"/>
        <v/>
      </c>
      <c r="I429" s="217" t="str">
        <f t="shared" si="91"/>
        <v/>
      </c>
      <c r="J429" s="217" t="str">
        <f t="shared" si="91"/>
        <v/>
      </c>
      <c r="K429" s="217" t="str">
        <f t="shared" si="91"/>
        <v/>
      </c>
      <c r="L429" s="217" t="str">
        <f t="shared" si="92"/>
        <v>info</v>
      </c>
      <c r="M429" s="217" t="str">
        <f t="shared" si="92"/>
        <v>x</v>
      </c>
      <c r="N429" s="217" t="str">
        <f t="shared" si="92"/>
        <v/>
      </c>
      <c r="O429" s="217" t="str">
        <f t="shared" si="92"/>
        <v>model</v>
      </c>
      <c r="P429" s="218" t="str">
        <f t="shared" si="92"/>
        <v>String</v>
      </c>
      <c r="Q429" s="218" t="str">
        <f t="shared" si="92"/>
        <v>x</v>
      </c>
      <c r="R429" s="218" t="str">
        <f t="shared" si="92"/>
        <v>BS</v>
      </c>
      <c r="S429" s="218" t="str">
        <f t="shared" si="92"/>
        <v>all</v>
      </c>
      <c r="T429" s="217" t="str">
        <f t="shared" si="92"/>
        <v>Strichlinie</v>
      </c>
      <c r="U429" s="217" t="str">
        <f t="shared" si="92"/>
        <v>Standflügel Linientyp in 3D</v>
      </c>
      <c r="V429" s="217" t="str">
        <f t="shared" si="92"/>
        <v>x</v>
      </c>
      <c r="W429" s="217" t="str">
        <f t="shared" si="92"/>
        <v/>
      </c>
      <c r="X429" s="217" t="str">
        <f t="shared" si="92"/>
        <v/>
      </c>
      <c r="Y429" s="217" t="str">
        <f t="shared" si="92"/>
        <v>or_opLineType3dSecondary</v>
      </c>
    </row>
    <row r="430" spans="1:25" x14ac:dyDescent="0.3">
      <c r="A430" s="216">
        <f t="shared" si="84"/>
        <v>428</v>
      </c>
      <c r="B430" s="217" t="str">
        <f t="shared" si="91"/>
        <v>x</v>
      </c>
      <c r="C430" s="217" t="str">
        <f t="shared" si="91"/>
        <v>x</v>
      </c>
      <c r="D430" s="217" t="str">
        <f t="shared" si="91"/>
        <v/>
      </c>
      <c r="E430" s="217" t="str">
        <f t="shared" si="91"/>
        <v/>
      </c>
      <c r="F430" s="217" t="str">
        <f t="shared" si="91"/>
        <v/>
      </c>
      <c r="G430" s="217" t="str">
        <f t="shared" si="91"/>
        <v/>
      </c>
      <c r="H430" s="217" t="str">
        <f t="shared" si="91"/>
        <v/>
      </c>
      <c r="I430" s="217" t="str">
        <f t="shared" si="91"/>
        <v/>
      </c>
      <c r="J430" s="217" t="str">
        <f t="shared" si="91"/>
        <v/>
      </c>
      <c r="K430" s="217" t="str">
        <f t="shared" si="91"/>
        <v/>
      </c>
      <c r="L430" s="217" t="str">
        <f t="shared" si="92"/>
        <v>info</v>
      </c>
      <c r="M430" s="217" t="str">
        <f t="shared" si="92"/>
        <v>x</v>
      </c>
      <c r="N430" s="217" t="str">
        <f t="shared" si="92"/>
        <v/>
      </c>
      <c r="O430" s="217" t="str">
        <f t="shared" si="92"/>
        <v>model</v>
      </c>
      <c r="P430" s="218" t="str">
        <f t="shared" si="92"/>
        <v>Integer</v>
      </c>
      <c r="Q430" s="218" t="str">
        <f t="shared" si="92"/>
        <v>x</v>
      </c>
      <c r="R430" s="218" t="str">
        <f t="shared" si="92"/>
        <v>BS</v>
      </c>
      <c r="S430" s="218" t="str">
        <f t="shared" si="92"/>
        <v>all</v>
      </c>
      <c r="T430" s="217">
        <f t="shared" si="92"/>
        <v>1</v>
      </c>
      <c r="U430" s="217" t="str">
        <f t="shared" si="92"/>
        <v>Standflügel Linientyp</v>
      </c>
      <c r="V430" s="217" t="str">
        <f t="shared" si="92"/>
        <v>x</v>
      </c>
      <c r="W430" s="217" t="str">
        <f t="shared" si="92"/>
        <v/>
      </c>
      <c r="X430" s="217" t="str">
        <f t="shared" si="92"/>
        <v/>
      </c>
      <c r="Y430" s="217" t="str">
        <f t="shared" si="92"/>
        <v>or_iOpLineType3dSecondary</v>
      </c>
    </row>
    <row r="431" spans="1:25" x14ac:dyDescent="0.3">
      <c r="A431" s="216">
        <f t="shared" si="84"/>
        <v>429</v>
      </c>
      <c r="B431" s="217" t="str">
        <f t="shared" si="91"/>
        <v>x</v>
      </c>
      <c r="C431" s="217" t="str">
        <f t="shared" si="91"/>
        <v/>
      </c>
      <c r="D431" s="217" t="str">
        <f t="shared" si="91"/>
        <v/>
      </c>
      <c r="E431" s="217" t="str">
        <f t="shared" si="91"/>
        <v/>
      </c>
      <c r="F431" s="217" t="str">
        <f t="shared" si="91"/>
        <v/>
      </c>
      <c r="G431" s="217" t="str">
        <f t="shared" si="91"/>
        <v/>
      </c>
      <c r="H431" s="217" t="str">
        <f t="shared" si="91"/>
        <v/>
      </c>
      <c r="I431" s="217" t="str">
        <f t="shared" si="91"/>
        <v/>
      </c>
      <c r="J431" s="217" t="str">
        <f t="shared" si="91"/>
        <v/>
      </c>
      <c r="K431" s="217" t="str">
        <f t="shared" si="91"/>
        <v/>
      </c>
      <c r="L431" s="217" t="str">
        <f t="shared" si="92"/>
        <v>info</v>
      </c>
      <c r="M431" s="217" t="str">
        <f t="shared" si="92"/>
        <v>x</v>
      </c>
      <c r="N431" s="217" t="str">
        <f t="shared" si="92"/>
        <v/>
      </c>
      <c r="O431" s="217" t="str">
        <f t="shared" si="92"/>
        <v>model</v>
      </c>
      <c r="P431" s="218" t="str">
        <f t="shared" si="92"/>
        <v>String</v>
      </c>
      <c r="Q431" s="218" t="str">
        <f t="shared" si="92"/>
        <v>x</v>
      </c>
      <c r="R431" s="218" t="str">
        <f t="shared" si="92"/>
        <v>BS</v>
      </c>
      <c r="S431" s="218" t="str">
        <f t="shared" si="92"/>
        <v>all</v>
      </c>
      <c r="T431" s="217" t="str">
        <f t="shared" si="92"/>
        <v>Griff</v>
      </c>
      <c r="U431" s="217" t="str">
        <f t="shared" si="92"/>
        <v>Linien-Ausrichtung</v>
      </c>
      <c r="V431" s="217" t="str">
        <f t="shared" si="92"/>
        <v>x</v>
      </c>
      <c r="W431" s="217" t="str">
        <f t="shared" si="92"/>
        <v/>
      </c>
      <c r="X431" s="217" t="str">
        <f t="shared" si="92"/>
        <v/>
      </c>
      <c r="Y431" s="217" t="str">
        <f t="shared" si="92"/>
        <v>or_oplineStyle</v>
      </c>
    </row>
    <row r="432" spans="1:25" x14ac:dyDescent="0.3">
      <c r="A432" s="216">
        <f t="shared" si="84"/>
        <v>430</v>
      </c>
      <c r="B432" s="217" t="str">
        <f t="shared" si="91"/>
        <v>x</v>
      </c>
      <c r="C432" s="217" t="str">
        <f t="shared" si="91"/>
        <v>x</v>
      </c>
      <c r="D432" s="217" t="str">
        <f t="shared" si="91"/>
        <v/>
      </c>
      <c r="E432" s="217" t="str">
        <f t="shared" si="91"/>
        <v/>
      </c>
      <c r="F432" s="217" t="str">
        <f t="shared" si="91"/>
        <v/>
      </c>
      <c r="G432" s="217" t="str">
        <f t="shared" si="91"/>
        <v/>
      </c>
      <c r="H432" s="217" t="str">
        <f t="shared" si="91"/>
        <v/>
      </c>
      <c r="I432" s="217" t="str">
        <f t="shared" si="91"/>
        <v/>
      </c>
      <c r="J432" s="217" t="str">
        <f t="shared" si="91"/>
        <v/>
      </c>
      <c r="K432" s="217" t="str">
        <f t="shared" si="91"/>
        <v/>
      </c>
      <c r="L432" s="217" t="str">
        <f t="shared" si="92"/>
        <v>info</v>
      </c>
      <c r="M432" s="217" t="str">
        <f t="shared" si="92"/>
        <v>x</v>
      </c>
      <c r="N432" s="217" t="str">
        <f t="shared" si="92"/>
        <v/>
      </c>
      <c r="O432" s="217" t="str">
        <f t="shared" si="92"/>
        <v>model</v>
      </c>
      <c r="P432" s="218" t="str">
        <f t="shared" si="92"/>
        <v>Integer</v>
      </c>
      <c r="Q432" s="218" t="str">
        <f t="shared" si="92"/>
        <v>x</v>
      </c>
      <c r="R432" s="218" t="str">
        <f t="shared" si="92"/>
        <v>BS</v>
      </c>
      <c r="S432" s="218" t="str">
        <f t="shared" si="92"/>
        <v>all</v>
      </c>
      <c r="T432" s="217">
        <f t="shared" si="92"/>
        <v>1</v>
      </c>
      <c r="U432" s="217" t="str">
        <f t="shared" si="92"/>
        <v>Linien-Ausrichtung</v>
      </c>
      <c r="V432" s="217" t="str">
        <f t="shared" si="92"/>
        <v>x</v>
      </c>
      <c r="W432" s="217" t="str">
        <f t="shared" si="92"/>
        <v/>
      </c>
      <c r="X432" s="217" t="str">
        <f t="shared" si="92"/>
        <v/>
      </c>
      <c r="Y432" s="217" t="str">
        <f t="shared" si="92"/>
        <v>or_iOplineStyle</v>
      </c>
    </row>
    <row r="433" spans="1:25" x14ac:dyDescent="0.3">
      <c r="A433" s="216">
        <f t="shared" si="84"/>
        <v>431</v>
      </c>
      <c r="B433" s="217" t="str">
        <f t="shared" ref="B433:K442" si="93">IF(ISNONTEXT(B$2),IF(B$2="","",IF(INDEX(IMPORT,$A433,B$2)=0,"",IFERROR(VLOOKUP(INDEX(IMPORT,$A433,B$2),ImportTranslation,2,0),INDEX(IMPORT,$A433,B$2)))),B$2)</f>
        <v>x</v>
      </c>
      <c r="C433" s="217" t="str">
        <f t="shared" si="93"/>
        <v/>
      </c>
      <c r="D433" s="217" t="str">
        <f t="shared" si="93"/>
        <v/>
      </c>
      <c r="E433" s="217" t="str">
        <f t="shared" si="93"/>
        <v/>
      </c>
      <c r="F433" s="217" t="str">
        <f t="shared" si="93"/>
        <v/>
      </c>
      <c r="G433" s="217" t="str">
        <f t="shared" si="93"/>
        <v/>
      </c>
      <c r="H433" s="217" t="str">
        <f t="shared" si="93"/>
        <v/>
      </c>
      <c r="I433" s="217" t="str">
        <f t="shared" si="93"/>
        <v/>
      </c>
      <c r="J433" s="217" t="str">
        <f t="shared" si="93"/>
        <v/>
      </c>
      <c r="K433" s="217" t="str">
        <f t="shared" si="93"/>
        <v/>
      </c>
      <c r="L433" s="217" t="str">
        <f t="shared" ref="L433:Y442" si="94">IF(ISNONTEXT(L$2),IF(L$2="","",IF(INDEX(IMPORT,$A433,L$2)=0,"",IFERROR(VLOOKUP(INDEX(IMPORT,$A433,L$2),ImportTranslation,2,0),INDEX(IMPORT,$A433,L$2)))),L$2)</f>
        <v>info</v>
      </c>
      <c r="M433" s="217" t="str">
        <f t="shared" si="94"/>
        <v/>
      </c>
      <c r="N433" s="217" t="str">
        <f t="shared" si="94"/>
        <v/>
      </c>
      <c r="O433" s="217" t="str">
        <f t="shared" si="94"/>
        <v>model</v>
      </c>
      <c r="P433" s="218" t="str">
        <f t="shared" si="94"/>
        <v>Title</v>
      </c>
      <c r="Q433" s="218" t="str">
        <f t="shared" si="94"/>
        <v>x</v>
      </c>
      <c r="R433" s="218" t="str">
        <f t="shared" si="94"/>
        <v>BS</v>
      </c>
      <c r="S433" s="218" t="str">
        <f t="shared" si="94"/>
        <v>all</v>
      </c>
      <c r="T433" s="217" t="str">
        <f t="shared" si="94"/>
        <v/>
      </c>
      <c r="U433" s="217" t="str">
        <f t="shared" si="94"/>
        <v>Detaillierungsgrad</v>
      </c>
      <c r="V433" s="217" t="str">
        <f t="shared" si="94"/>
        <v/>
      </c>
      <c r="W433" s="217" t="str">
        <f t="shared" si="94"/>
        <v/>
      </c>
      <c r="X433" s="217" t="str">
        <f t="shared" si="94"/>
        <v/>
      </c>
      <c r="Y433" s="217" t="str">
        <f t="shared" si="94"/>
        <v>gs_detail_level</v>
      </c>
    </row>
    <row r="434" spans="1:25" x14ac:dyDescent="0.3">
      <c r="A434" s="216">
        <f t="shared" si="84"/>
        <v>432</v>
      </c>
      <c r="B434" s="217" t="str">
        <f t="shared" si="93"/>
        <v>x</v>
      </c>
      <c r="C434" s="217" t="str">
        <f t="shared" si="93"/>
        <v/>
      </c>
      <c r="D434" s="217" t="str">
        <f t="shared" si="93"/>
        <v/>
      </c>
      <c r="E434" s="217" t="str">
        <f t="shared" si="93"/>
        <v/>
      </c>
      <c r="F434" s="217" t="str">
        <f t="shared" si="93"/>
        <v/>
      </c>
      <c r="G434" s="217" t="str">
        <f t="shared" si="93"/>
        <v/>
      </c>
      <c r="H434" s="217" t="str">
        <f t="shared" si="93"/>
        <v/>
      </c>
      <c r="I434" s="217" t="str">
        <f t="shared" si="93"/>
        <v/>
      </c>
      <c r="J434" s="217" t="str">
        <f t="shared" si="93"/>
        <v/>
      </c>
      <c r="K434" s="217" t="str">
        <f t="shared" si="93"/>
        <v/>
      </c>
      <c r="L434" s="217" t="str">
        <f t="shared" si="94"/>
        <v>info</v>
      </c>
      <c r="M434" s="217" t="str">
        <f t="shared" si="94"/>
        <v>x</v>
      </c>
      <c r="N434" s="217" t="str">
        <f t="shared" si="94"/>
        <v/>
      </c>
      <c r="O434" s="217" t="str">
        <f t="shared" si="94"/>
        <v>model</v>
      </c>
      <c r="P434" s="218" t="str">
        <f t="shared" si="94"/>
        <v>Integer</v>
      </c>
      <c r="Q434" s="218" t="str">
        <f t="shared" si="94"/>
        <v>x</v>
      </c>
      <c r="R434" s="218" t="str">
        <f t="shared" si="94"/>
        <v>BS</v>
      </c>
      <c r="S434" s="218" t="str">
        <f t="shared" si="94"/>
        <v>all</v>
      </c>
      <c r="T434" s="217">
        <f t="shared" si="94"/>
        <v>1</v>
      </c>
      <c r="U434" s="217" t="str">
        <f t="shared" si="94"/>
        <v>Grundriss</v>
      </c>
      <c r="V434" s="217" t="str">
        <f t="shared" si="94"/>
        <v>x</v>
      </c>
      <c r="W434" s="217" t="str">
        <f t="shared" si="94"/>
        <v/>
      </c>
      <c r="X434" s="217" t="str">
        <f t="shared" si="94"/>
        <v/>
      </c>
      <c r="Y434" s="217" t="str">
        <f t="shared" si="94"/>
        <v>iDWDet2D</v>
      </c>
    </row>
    <row r="435" spans="1:25" x14ac:dyDescent="0.3">
      <c r="A435" s="216">
        <f t="shared" si="84"/>
        <v>433</v>
      </c>
      <c r="B435" s="217" t="str">
        <f t="shared" si="93"/>
        <v>x</v>
      </c>
      <c r="C435" s="217" t="str">
        <f t="shared" si="93"/>
        <v/>
      </c>
      <c r="D435" s="217" t="str">
        <f t="shared" si="93"/>
        <v/>
      </c>
      <c r="E435" s="217" t="str">
        <f t="shared" si="93"/>
        <v/>
      </c>
      <c r="F435" s="217" t="str">
        <f t="shared" si="93"/>
        <v/>
      </c>
      <c r="G435" s="217" t="str">
        <f t="shared" si="93"/>
        <v/>
      </c>
      <c r="H435" s="217" t="str">
        <f t="shared" si="93"/>
        <v/>
      </c>
      <c r="I435" s="217" t="str">
        <f t="shared" si="93"/>
        <v/>
      </c>
      <c r="J435" s="217" t="str">
        <f t="shared" si="93"/>
        <v/>
      </c>
      <c r="K435" s="217" t="str">
        <f t="shared" si="93"/>
        <v/>
      </c>
      <c r="L435" s="217" t="str">
        <f t="shared" si="94"/>
        <v>info</v>
      </c>
      <c r="M435" s="217" t="str">
        <f t="shared" si="94"/>
        <v>x</v>
      </c>
      <c r="N435" s="217" t="str">
        <f t="shared" si="94"/>
        <v/>
      </c>
      <c r="O435" s="217" t="str">
        <f t="shared" si="94"/>
        <v>model</v>
      </c>
      <c r="P435" s="218" t="str">
        <f t="shared" si="94"/>
        <v>Integer</v>
      </c>
      <c r="Q435" s="218" t="str">
        <f t="shared" si="94"/>
        <v>x</v>
      </c>
      <c r="R435" s="218" t="str">
        <f t="shared" si="94"/>
        <v>BS</v>
      </c>
      <c r="S435" s="218" t="str">
        <f t="shared" si="94"/>
        <v>all</v>
      </c>
      <c r="T435" s="217">
        <f t="shared" si="94"/>
        <v>2</v>
      </c>
      <c r="U435" s="217" t="str">
        <f t="shared" si="94"/>
        <v>3D</v>
      </c>
      <c r="V435" s="217" t="str">
        <f t="shared" si="94"/>
        <v>x</v>
      </c>
      <c r="W435" s="217" t="str">
        <f t="shared" si="94"/>
        <v/>
      </c>
      <c r="X435" s="217" t="str">
        <f t="shared" si="94"/>
        <v/>
      </c>
      <c r="Y435" s="217" t="str">
        <f t="shared" si="94"/>
        <v>iDWDet3D</v>
      </c>
    </row>
    <row r="436" spans="1:25" x14ac:dyDescent="0.3">
      <c r="A436" s="216">
        <f t="shared" si="84"/>
        <v>434</v>
      </c>
      <c r="B436" s="217" t="str">
        <f t="shared" si="93"/>
        <v>x</v>
      </c>
      <c r="C436" s="217" t="str">
        <f t="shared" si="93"/>
        <v/>
      </c>
      <c r="D436" s="217" t="str">
        <f t="shared" si="93"/>
        <v/>
      </c>
      <c r="E436" s="217" t="str">
        <f t="shared" si="93"/>
        <v/>
      </c>
      <c r="F436" s="217" t="str">
        <f t="shared" si="93"/>
        <v/>
      </c>
      <c r="G436" s="217" t="str">
        <f t="shared" si="93"/>
        <v/>
      </c>
      <c r="H436" s="217" t="str">
        <f t="shared" si="93"/>
        <v/>
      </c>
      <c r="I436" s="217" t="str">
        <f t="shared" si="93"/>
        <v/>
      </c>
      <c r="J436" s="217" t="str">
        <f t="shared" si="93"/>
        <v/>
      </c>
      <c r="K436" s="217" t="str">
        <f t="shared" si="93"/>
        <v/>
      </c>
      <c r="L436" s="217" t="str">
        <f t="shared" si="94"/>
        <v>info</v>
      </c>
      <c r="M436" s="217" t="str">
        <f t="shared" si="94"/>
        <v>x</v>
      </c>
      <c r="N436" s="217" t="str">
        <f t="shared" si="94"/>
        <v/>
      </c>
      <c r="O436" s="217" t="str">
        <f t="shared" si="94"/>
        <v>model</v>
      </c>
      <c r="P436" s="218" t="str">
        <f t="shared" si="94"/>
        <v>Integer</v>
      </c>
      <c r="Q436" s="218" t="str">
        <f t="shared" si="94"/>
        <v>x</v>
      </c>
      <c r="R436" s="218" t="str">
        <f t="shared" si="94"/>
        <v>BS</v>
      </c>
      <c r="S436" s="218" t="str">
        <f t="shared" si="94"/>
        <v>all</v>
      </c>
      <c r="T436" s="217">
        <f t="shared" si="94"/>
        <v>1</v>
      </c>
      <c r="U436" s="217" t="str">
        <f t="shared" si="94"/>
        <v>Schnitt / Ansicht</v>
      </c>
      <c r="V436" s="217" t="str">
        <f t="shared" si="94"/>
        <v>x</v>
      </c>
      <c r="W436" s="217" t="str">
        <f t="shared" si="94"/>
        <v/>
      </c>
      <c r="X436" s="217" t="str">
        <f t="shared" si="94"/>
        <v/>
      </c>
      <c r="Y436" s="217" t="str">
        <f t="shared" si="94"/>
        <v>iDWDetSE</v>
      </c>
    </row>
    <row r="437" spans="1:25" x14ac:dyDescent="0.3">
      <c r="A437" s="216">
        <f t="shared" si="84"/>
        <v>435</v>
      </c>
      <c r="B437" s="217" t="str">
        <f t="shared" si="93"/>
        <v>x</v>
      </c>
      <c r="C437" s="217" t="str">
        <f t="shared" si="93"/>
        <v/>
      </c>
      <c r="D437" s="217" t="str">
        <f t="shared" si="93"/>
        <v/>
      </c>
      <c r="E437" s="217" t="str">
        <f t="shared" si="93"/>
        <v/>
      </c>
      <c r="F437" s="217" t="str">
        <f t="shared" si="93"/>
        <v/>
      </c>
      <c r="G437" s="217" t="str">
        <f t="shared" si="93"/>
        <v/>
      </c>
      <c r="H437" s="217" t="str">
        <f t="shared" si="93"/>
        <v/>
      </c>
      <c r="I437" s="217" t="str">
        <f t="shared" si="93"/>
        <v/>
      </c>
      <c r="J437" s="217" t="str">
        <f t="shared" si="93"/>
        <v/>
      </c>
      <c r="K437" s="217" t="str">
        <f t="shared" si="93"/>
        <v/>
      </c>
      <c r="L437" s="217" t="str">
        <f t="shared" si="94"/>
        <v>info</v>
      </c>
      <c r="M437" s="217" t="str">
        <f t="shared" si="94"/>
        <v>x</v>
      </c>
      <c r="N437" s="217" t="str">
        <f t="shared" si="94"/>
        <v/>
      </c>
      <c r="O437" s="217" t="str">
        <f t="shared" si="94"/>
        <v>model</v>
      </c>
      <c r="P437" s="218" t="str">
        <f t="shared" si="94"/>
        <v>Integer</v>
      </c>
      <c r="Q437" s="218" t="str">
        <f t="shared" si="94"/>
        <v>x</v>
      </c>
      <c r="R437" s="218" t="str">
        <f t="shared" si="94"/>
        <v>BS</v>
      </c>
      <c r="S437" s="218" t="str">
        <f t="shared" si="94"/>
        <v>all</v>
      </c>
      <c r="T437" s="217">
        <f t="shared" si="94"/>
        <v>1</v>
      </c>
      <c r="U437" s="217" t="str">
        <f t="shared" si="94"/>
        <v>Anschlag im Grundriss zeigen</v>
      </c>
      <c r="V437" s="217" t="str">
        <f t="shared" si="94"/>
        <v>x</v>
      </c>
      <c r="W437" s="217" t="str">
        <f t="shared" si="94"/>
        <v/>
      </c>
      <c r="X437" s="217" t="str">
        <f t="shared" si="94"/>
        <v/>
      </c>
      <c r="Y437" s="217" t="str">
        <f t="shared" si="94"/>
        <v>iRevealOnSymbol</v>
      </c>
    </row>
    <row r="438" spans="1:25" x14ac:dyDescent="0.3">
      <c r="A438" s="216">
        <f t="shared" si="84"/>
        <v>436</v>
      </c>
      <c r="B438" s="217" t="str">
        <f t="shared" si="93"/>
        <v>x</v>
      </c>
      <c r="C438" s="217" t="str">
        <f t="shared" si="93"/>
        <v/>
      </c>
      <c r="D438" s="217" t="str">
        <f t="shared" si="93"/>
        <v/>
      </c>
      <c r="E438" s="217" t="str">
        <f t="shared" si="93"/>
        <v/>
      </c>
      <c r="F438" s="217" t="str">
        <f t="shared" si="93"/>
        <v/>
      </c>
      <c r="G438" s="217" t="str">
        <f t="shared" si="93"/>
        <v/>
      </c>
      <c r="H438" s="217" t="str">
        <f t="shared" si="93"/>
        <v/>
      </c>
      <c r="I438" s="217" t="str">
        <f t="shared" si="93"/>
        <v/>
      </c>
      <c r="J438" s="217" t="str">
        <f t="shared" si="93"/>
        <v/>
      </c>
      <c r="K438" s="217" t="str">
        <f t="shared" si="93"/>
        <v/>
      </c>
      <c r="L438" s="217" t="str">
        <f t="shared" si="94"/>
        <v>info</v>
      </c>
      <c r="M438" s="217" t="str">
        <f t="shared" si="94"/>
        <v/>
      </c>
      <c r="N438" s="217" t="str">
        <f t="shared" si="94"/>
        <v/>
      </c>
      <c r="O438" s="217" t="str">
        <f t="shared" si="94"/>
        <v>model</v>
      </c>
      <c r="P438" s="218" t="str">
        <f t="shared" si="94"/>
        <v>Boolean</v>
      </c>
      <c r="Q438" s="218" t="str">
        <f t="shared" si="94"/>
        <v>x</v>
      </c>
      <c r="R438" s="218" t="str">
        <f t="shared" si="94"/>
        <v>BS</v>
      </c>
      <c r="S438" s="218" t="str">
        <f t="shared" si="94"/>
        <v>all</v>
      </c>
      <c r="T438" s="217" t="str">
        <f t="shared" si="94"/>
        <v/>
      </c>
      <c r="U438" s="217" t="str">
        <f t="shared" si="94"/>
        <v>Schraffur Wandöffnung</v>
      </c>
      <c r="V438" s="217" t="str">
        <f t="shared" si="94"/>
        <v/>
      </c>
      <c r="W438" s="217" t="str">
        <f t="shared" si="94"/>
        <v/>
      </c>
      <c r="X438" s="217" t="str">
        <f t="shared" si="94"/>
        <v/>
      </c>
      <c r="Y438" s="217" t="str">
        <f t="shared" si="94"/>
        <v>gs_bFills_Wallhole</v>
      </c>
    </row>
    <row r="439" spans="1:25" x14ac:dyDescent="0.3">
      <c r="A439" s="216">
        <f t="shared" si="84"/>
        <v>437</v>
      </c>
      <c r="B439" s="217" t="str">
        <f t="shared" si="93"/>
        <v>x</v>
      </c>
      <c r="C439" s="217" t="str">
        <f t="shared" si="93"/>
        <v/>
      </c>
      <c r="D439" s="217" t="str">
        <f t="shared" si="93"/>
        <v/>
      </c>
      <c r="E439" s="217" t="str">
        <f t="shared" si="93"/>
        <v/>
      </c>
      <c r="F439" s="217" t="str">
        <f t="shared" si="93"/>
        <v/>
      </c>
      <c r="G439" s="217" t="str">
        <f t="shared" si="93"/>
        <v/>
      </c>
      <c r="H439" s="217" t="str">
        <f t="shared" si="93"/>
        <v/>
      </c>
      <c r="I439" s="217" t="str">
        <f t="shared" si="93"/>
        <v/>
      </c>
      <c r="J439" s="217" t="str">
        <f t="shared" si="93"/>
        <v/>
      </c>
      <c r="K439" s="217" t="str">
        <f t="shared" si="93"/>
        <v/>
      </c>
      <c r="L439" s="217" t="str">
        <f t="shared" si="94"/>
        <v>info</v>
      </c>
      <c r="M439" s="217" t="str">
        <f t="shared" si="94"/>
        <v>x</v>
      </c>
      <c r="N439" s="217" t="str">
        <f t="shared" si="94"/>
        <v/>
      </c>
      <c r="O439" s="217" t="str">
        <f t="shared" si="94"/>
        <v>model</v>
      </c>
      <c r="P439" s="218" t="str">
        <f t="shared" si="94"/>
        <v>FillPattern</v>
      </c>
      <c r="Q439" s="218" t="str">
        <f t="shared" si="94"/>
        <v>x</v>
      </c>
      <c r="R439" s="218" t="str">
        <f t="shared" si="94"/>
        <v>BS</v>
      </c>
      <c r="S439" s="218" t="str">
        <f t="shared" si="94"/>
        <v>all</v>
      </c>
      <c r="T439" s="217">
        <f t="shared" si="94"/>
        <v>65</v>
      </c>
      <c r="U439" s="217" t="str">
        <f t="shared" si="94"/>
        <v>Schraffur-Typ</v>
      </c>
      <c r="V439" s="217" t="str">
        <f t="shared" si="94"/>
        <v>x</v>
      </c>
      <c r="W439" s="217" t="str">
        <f t="shared" si="94"/>
        <v/>
      </c>
      <c r="X439" s="217" t="str">
        <f t="shared" si="94"/>
        <v/>
      </c>
      <c r="Y439" s="217" t="str">
        <f t="shared" si="94"/>
        <v>gs_wallhole_fill</v>
      </c>
    </row>
    <row r="440" spans="1:25" x14ac:dyDescent="0.3">
      <c r="A440" s="216">
        <f t="shared" si="84"/>
        <v>438</v>
      </c>
      <c r="B440" s="217" t="str">
        <f t="shared" si="93"/>
        <v>x</v>
      </c>
      <c r="C440" s="217" t="str">
        <f t="shared" si="93"/>
        <v/>
      </c>
      <c r="D440" s="217" t="str">
        <f t="shared" si="93"/>
        <v/>
      </c>
      <c r="E440" s="217" t="str">
        <f t="shared" si="93"/>
        <v/>
      </c>
      <c r="F440" s="217" t="str">
        <f t="shared" si="93"/>
        <v/>
      </c>
      <c r="G440" s="217" t="str">
        <f t="shared" si="93"/>
        <v/>
      </c>
      <c r="H440" s="217" t="str">
        <f t="shared" si="93"/>
        <v/>
      </c>
      <c r="I440" s="217" t="str">
        <f t="shared" si="93"/>
        <v/>
      </c>
      <c r="J440" s="217" t="str">
        <f t="shared" si="93"/>
        <v/>
      </c>
      <c r="K440" s="217" t="str">
        <f t="shared" si="93"/>
        <v/>
      </c>
      <c r="L440" s="217" t="str">
        <f t="shared" si="94"/>
        <v>info</v>
      </c>
      <c r="M440" s="217" t="str">
        <f t="shared" si="94"/>
        <v>x</v>
      </c>
      <c r="N440" s="217" t="str">
        <f t="shared" si="94"/>
        <v/>
      </c>
      <c r="O440" s="217" t="str">
        <f t="shared" si="94"/>
        <v>model</v>
      </c>
      <c r="P440" s="218" t="str">
        <f t="shared" si="94"/>
        <v>PenColor</v>
      </c>
      <c r="Q440" s="218" t="str">
        <f t="shared" si="94"/>
        <v>x</v>
      </c>
      <c r="R440" s="218" t="str">
        <f t="shared" si="94"/>
        <v>BS</v>
      </c>
      <c r="S440" s="218" t="str">
        <f t="shared" si="94"/>
        <v>all</v>
      </c>
      <c r="T440" s="217">
        <f t="shared" si="94"/>
        <v>1</v>
      </c>
      <c r="U440" s="217" t="str">
        <f t="shared" si="94"/>
        <v>Schraffur-Stift</v>
      </c>
      <c r="V440" s="217" t="str">
        <f t="shared" si="94"/>
        <v>x</v>
      </c>
      <c r="W440" s="217" t="str">
        <f t="shared" si="94"/>
        <v/>
      </c>
      <c r="X440" s="217" t="str">
        <f t="shared" si="94"/>
        <v/>
      </c>
      <c r="Y440" s="217" t="str">
        <f t="shared" si="94"/>
        <v>gs_wallhole_pen_fg</v>
      </c>
    </row>
    <row r="441" spans="1:25" x14ac:dyDescent="0.3">
      <c r="A441" s="216">
        <f t="shared" si="84"/>
        <v>439</v>
      </c>
      <c r="B441" s="217" t="str">
        <f t="shared" si="93"/>
        <v>x</v>
      </c>
      <c r="C441" s="217" t="str">
        <f t="shared" si="93"/>
        <v/>
      </c>
      <c r="D441" s="217" t="str">
        <f t="shared" si="93"/>
        <v/>
      </c>
      <c r="E441" s="217" t="str">
        <f t="shared" si="93"/>
        <v/>
      </c>
      <c r="F441" s="217" t="str">
        <f t="shared" si="93"/>
        <v/>
      </c>
      <c r="G441" s="217" t="str">
        <f t="shared" si="93"/>
        <v/>
      </c>
      <c r="H441" s="217" t="str">
        <f t="shared" si="93"/>
        <v/>
      </c>
      <c r="I441" s="217" t="str">
        <f t="shared" si="93"/>
        <v/>
      </c>
      <c r="J441" s="217" t="str">
        <f t="shared" si="93"/>
        <v/>
      </c>
      <c r="K441" s="217" t="str">
        <f t="shared" si="93"/>
        <v/>
      </c>
      <c r="L441" s="217" t="str">
        <f t="shared" si="94"/>
        <v>info</v>
      </c>
      <c r="M441" s="217" t="str">
        <f t="shared" si="94"/>
        <v>x</v>
      </c>
      <c r="N441" s="217" t="str">
        <f t="shared" si="94"/>
        <v/>
      </c>
      <c r="O441" s="217" t="str">
        <f t="shared" si="94"/>
        <v>model</v>
      </c>
      <c r="P441" s="218" t="str">
        <f t="shared" si="94"/>
        <v>PenColor</v>
      </c>
      <c r="Q441" s="218" t="str">
        <f t="shared" si="94"/>
        <v>x</v>
      </c>
      <c r="R441" s="218" t="str">
        <f t="shared" si="94"/>
        <v>BS</v>
      </c>
      <c r="S441" s="218" t="str">
        <f t="shared" si="94"/>
        <v>all</v>
      </c>
      <c r="T441" s="217">
        <f t="shared" si="94"/>
        <v>91</v>
      </c>
      <c r="U441" s="217" t="str">
        <f t="shared" si="94"/>
        <v>Schraffurhintergrund-Stift</v>
      </c>
      <c r="V441" s="217" t="str">
        <f t="shared" si="94"/>
        <v>x</v>
      </c>
      <c r="W441" s="217" t="str">
        <f t="shared" si="94"/>
        <v/>
      </c>
      <c r="X441" s="217" t="str">
        <f t="shared" si="94"/>
        <v/>
      </c>
      <c r="Y441" s="217" t="str">
        <f t="shared" si="94"/>
        <v>gs_wallhole_pen_bg</v>
      </c>
    </row>
    <row r="442" spans="1:25" x14ac:dyDescent="0.3">
      <c r="A442" s="216">
        <f t="shared" si="84"/>
        <v>440</v>
      </c>
      <c r="B442" s="217" t="str">
        <f t="shared" si="93"/>
        <v>x</v>
      </c>
      <c r="C442" s="217" t="str">
        <f t="shared" si="93"/>
        <v/>
      </c>
      <c r="D442" s="217" t="str">
        <f t="shared" si="93"/>
        <v/>
      </c>
      <c r="E442" s="217" t="str">
        <f t="shared" si="93"/>
        <v/>
      </c>
      <c r="F442" s="217" t="str">
        <f t="shared" si="93"/>
        <v/>
      </c>
      <c r="G442" s="217" t="str">
        <f t="shared" si="93"/>
        <v/>
      </c>
      <c r="H442" s="217" t="str">
        <f t="shared" si="93"/>
        <v/>
      </c>
      <c r="I442" s="217" t="str">
        <f t="shared" si="93"/>
        <v/>
      </c>
      <c r="J442" s="217" t="str">
        <f t="shared" si="93"/>
        <v/>
      </c>
      <c r="K442" s="217" t="str">
        <f t="shared" si="93"/>
        <v/>
      </c>
      <c r="L442" s="217" t="str">
        <f t="shared" si="94"/>
        <v>info</v>
      </c>
      <c r="M442" s="217" t="str">
        <f t="shared" si="94"/>
        <v/>
      </c>
      <c r="N442" s="217" t="str">
        <f t="shared" si="94"/>
        <v/>
      </c>
      <c r="O442" s="217" t="str">
        <f t="shared" si="94"/>
        <v>model</v>
      </c>
      <c r="P442" s="218" t="str">
        <f t="shared" si="94"/>
        <v>Boolean</v>
      </c>
      <c r="Q442" s="218" t="str">
        <f t="shared" si="94"/>
        <v>x</v>
      </c>
      <c r="R442" s="218" t="str">
        <f t="shared" si="94"/>
        <v>BS</v>
      </c>
      <c r="S442" s="218" t="str">
        <f t="shared" si="94"/>
        <v>all</v>
      </c>
      <c r="T442" s="217" t="str">
        <f t="shared" si="94"/>
        <v/>
      </c>
      <c r="U442" s="217" t="str">
        <f t="shared" si="94"/>
        <v>Türkoten</v>
      </c>
      <c r="V442" s="217" t="str">
        <f t="shared" si="94"/>
        <v/>
      </c>
      <c r="W442" s="217" t="str">
        <f t="shared" si="94"/>
        <v/>
      </c>
      <c r="X442" s="217" t="str">
        <f t="shared" si="94"/>
        <v/>
      </c>
      <c r="Y442" s="217" t="str">
        <f t="shared" si="94"/>
        <v>bEtikett</v>
      </c>
    </row>
    <row r="443" spans="1:25" x14ac:dyDescent="0.3">
      <c r="A443" s="216">
        <f t="shared" si="84"/>
        <v>441</v>
      </c>
      <c r="B443" s="217" t="str">
        <f t="shared" ref="B443:K452" si="95">IF(ISNONTEXT(B$2),IF(B$2="","",IF(INDEX(IMPORT,$A443,B$2)=0,"",IFERROR(VLOOKUP(INDEX(IMPORT,$A443,B$2),ImportTranslation,2,0),INDEX(IMPORT,$A443,B$2)))),B$2)</f>
        <v>x</v>
      </c>
      <c r="C443" s="217" t="str">
        <f t="shared" si="95"/>
        <v/>
      </c>
      <c r="D443" s="217" t="str">
        <f t="shared" si="95"/>
        <v/>
      </c>
      <c r="E443" s="217" t="str">
        <f t="shared" si="95"/>
        <v/>
      </c>
      <c r="F443" s="217" t="str">
        <f t="shared" si="95"/>
        <v/>
      </c>
      <c r="G443" s="217" t="str">
        <f t="shared" si="95"/>
        <v/>
      </c>
      <c r="H443" s="217" t="str">
        <f t="shared" si="95"/>
        <v/>
      </c>
      <c r="I443" s="217" t="str">
        <f t="shared" si="95"/>
        <v/>
      </c>
      <c r="J443" s="217" t="str">
        <f t="shared" si="95"/>
        <v/>
      </c>
      <c r="K443" s="217" t="str">
        <f t="shared" si="95"/>
        <v/>
      </c>
      <c r="L443" s="217" t="str">
        <f t="shared" ref="L443:Y452" si="96">IF(ISNONTEXT(L$2),IF(L$2="","",IF(INDEX(IMPORT,$A443,L$2)=0,"",IFERROR(VLOOKUP(INDEX(IMPORT,$A443,L$2),ImportTranslation,2,0),INDEX(IMPORT,$A443,L$2)))),L$2)</f>
        <v>info</v>
      </c>
      <c r="M443" s="217" t="str">
        <f t="shared" si="96"/>
        <v>x</v>
      </c>
      <c r="N443" s="217" t="str">
        <f t="shared" si="96"/>
        <v/>
      </c>
      <c r="O443" s="217" t="str">
        <f t="shared" si="96"/>
        <v>model</v>
      </c>
      <c r="P443" s="218" t="str">
        <f t="shared" si="96"/>
        <v>String</v>
      </c>
      <c r="Q443" s="218" t="str">
        <f t="shared" si="96"/>
        <v>x</v>
      </c>
      <c r="R443" s="218" t="str">
        <f t="shared" si="96"/>
        <v>BS</v>
      </c>
      <c r="S443" s="218" t="str">
        <f t="shared" si="96"/>
        <v>all</v>
      </c>
      <c r="T443" s="217" t="str">
        <f t="shared" si="96"/>
        <v>Modelldarstellungs-Optionen</v>
      </c>
      <c r="U443" s="217" t="str">
        <f t="shared" si="96"/>
        <v>Sichtbarkeit Türbemaßung</v>
      </c>
      <c r="V443" s="217" t="str">
        <f t="shared" si="96"/>
        <v>x</v>
      </c>
      <c r="W443" s="217" t="str">
        <f t="shared" si="96"/>
        <v/>
      </c>
      <c r="X443" s="217" t="str">
        <f t="shared" si="96"/>
        <v/>
      </c>
      <c r="Y443" s="217" t="str">
        <f t="shared" si="96"/>
        <v>gs_etikett</v>
      </c>
    </row>
    <row r="444" spans="1:25" x14ac:dyDescent="0.3">
      <c r="A444" s="216">
        <f t="shared" si="84"/>
        <v>442</v>
      </c>
      <c r="B444" s="217" t="str">
        <f t="shared" si="95"/>
        <v>x</v>
      </c>
      <c r="C444" s="217" t="str">
        <f t="shared" si="95"/>
        <v>x</v>
      </c>
      <c r="D444" s="217" t="str">
        <f t="shared" si="95"/>
        <v/>
      </c>
      <c r="E444" s="217" t="str">
        <f t="shared" si="95"/>
        <v/>
      </c>
      <c r="F444" s="217" t="str">
        <f t="shared" si="95"/>
        <v/>
      </c>
      <c r="G444" s="217" t="str">
        <f t="shared" si="95"/>
        <v/>
      </c>
      <c r="H444" s="217" t="str">
        <f t="shared" si="95"/>
        <v/>
      </c>
      <c r="I444" s="217" t="str">
        <f t="shared" si="95"/>
        <v/>
      </c>
      <c r="J444" s="217" t="str">
        <f t="shared" si="95"/>
        <v/>
      </c>
      <c r="K444" s="217" t="str">
        <f t="shared" si="95"/>
        <v/>
      </c>
      <c r="L444" s="217" t="str">
        <f t="shared" si="96"/>
        <v>info</v>
      </c>
      <c r="M444" s="217" t="str">
        <f t="shared" si="96"/>
        <v>x</v>
      </c>
      <c r="N444" s="217" t="str">
        <f t="shared" si="96"/>
        <v/>
      </c>
      <c r="O444" s="217" t="str">
        <f t="shared" si="96"/>
        <v>model</v>
      </c>
      <c r="P444" s="218" t="str">
        <f t="shared" si="96"/>
        <v>Integer</v>
      </c>
      <c r="Q444" s="218" t="str">
        <f t="shared" si="96"/>
        <v>x</v>
      </c>
      <c r="R444" s="218" t="str">
        <f t="shared" si="96"/>
        <v>BS</v>
      </c>
      <c r="S444" s="218" t="str">
        <f t="shared" si="96"/>
        <v>all</v>
      </c>
      <c r="T444" s="217">
        <f t="shared" si="96"/>
        <v>3</v>
      </c>
      <c r="U444" s="217" t="str">
        <f t="shared" si="96"/>
        <v>Sichtbarkeit Türbemaßung</v>
      </c>
      <c r="V444" s="217" t="str">
        <f t="shared" si="96"/>
        <v>x</v>
      </c>
      <c r="W444" s="217" t="str">
        <f t="shared" si="96"/>
        <v/>
      </c>
      <c r="X444" s="217" t="str">
        <f t="shared" si="96"/>
        <v/>
      </c>
      <c r="Y444" s="217" t="str">
        <f t="shared" si="96"/>
        <v>iEtikett</v>
      </c>
    </row>
    <row r="445" spans="1:25" x14ac:dyDescent="0.3">
      <c r="A445" s="216">
        <f t="shared" si="84"/>
        <v>443</v>
      </c>
      <c r="B445" s="217" t="str">
        <f t="shared" si="95"/>
        <v>x</v>
      </c>
      <c r="C445" s="217" t="str">
        <f t="shared" si="95"/>
        <v/>
      </c>
      <c r="D445" s="217" t="str">
        <f t="shared" si="95"/>
        <v/>
      </c>
      <c r="E445" s="217" t="str">
        <f t="shared" si="95"/>
        <v/>
      </c>
      <c r="F445" s="217" t="str">
        <f t="shared" si="95"/>
        <v/>
      </c>
      <c r="G445" s="217" t="str">
        <f t="shared" si="95"/>
        <v/>
      </c>
      <c r="H445" s="217" t="str">
        <f t="shared" si="95"/>
        <v/>
      </c>
      <c r="I445" s="217" t="str">
        <f t="shared" si="95"/>
        <v/>
      </c>
      <c r="J445" s="217" t="str">
        <f t="shared" si="95"/>
        <v/>
      </c>
      <c r="K445" s="217" t="str">
        <f t="shared" si="95"/>
        <v/>
      </c>
      <c r="L445" s="217" t="str">
        <f t="shared" si="96"/>
        <v>info</v>
      </c>
      <c r="M445" s="217" t="str">
        <f t="shared" si="96"/>
        <v>x</v>
      </c>
      <c r="N445" s="217" t="str">
        <f t="shared" si="96"/>
        <v/>
      </c>
      <c r="O445" s="217" t="str">
        <f t="shared" si="96"/>
        <v>model</v>
      </c>
      <c r="P445" s="218" t="str">
        <f t="shared" si="96"/>
        <v>Integer</v>
      </c>
      <c r="Q445" s="218" t="str">
        <f t="shared" si="96"/>
        <v>x</v>
      </c>
      <c r="R445" s="218" t="str">
        <f t="shared" si="96"/>
        <v>BS</v>
      </c>
      <c r="S445" s="218" t="str">
        <f t="shared" si="96"/>
        <v>all</v>
      </c>
      <c r="T445" s="217">
        <f t="shared" si="96"/>
        <v>1</v>
      </c>
      <c r="U445" s="217" t="str">
        <f t="shared" si="96"/>
        <v>Öffnung roh</v>
      </c>
      <c r="V445" s="217" t="str">
        <f t="shared" si="96"/>
        <v>x</v>
      </c>
      <c r="W445" s="217" t="str">
        <f t="shared" si="96"/>
        <v/>
      </c>
      <c r="X445" s="217" t="str">
        <f t="shared" si="96"/>
        <v/>
      </c>
      <c r="Y445" s="217" t="str">
        <f t="shared" si="96"/>
        <v>iDWDimRawOpening</v>
      </c>
    </row>
    <row r="446" spans="1:25" x14ac:dyDescent="0.3">
      <c r="A446" s="216">
        <f t="shared" si="84"/>
        <v>444</v>
      </c>
      <c r="B446" s="217" t="str">
        <f t="shared" si="95"/>
        <v>x</v>
      </c>
      <c r="C446" s="217" t="str">
        <f t="shared" si="95"/>
        <v/>
      </c>
      <c r="D446" s="217" t="str">
        <f t="shared" si="95"/>
        <v/>
      </c>
      <c r="E446" s="217" t="str">
        <f t="shared" si="95"/>
        <v/>
      </c>
      <c r="F446" s="217" t="str">
        <f t="shared" si="95"/>
        <v/>
      </c>
      <c r="G446" s="217" t="str">
        <f t="shared" si="95"/>
        <v/>
      </c>
      <c r="H446" s="217" t="str">
        <f t="shared" si="95"/>
        <v/>
      </c>
      <c r="I446" s="217" t="str">
        <f t="shared" si="95"/>
        <v/>
      </c>
      <c r="J446" s="217" t="str">
        <f t="shared" si="95"/>
        <v/>
      </c>
      <c r="K446" s="217" t="str">
        <f t="shared" si="95"/>
        <v/>
      </c>
      <c r="L446" s="217" t="str">
        <f t="shared" si="96"/>
        <v>info</v>
      </c>
      <c r="M446" s="217" t="str">
        <f t="shared" si="96"/>
        <v>x</v>
      </c>
      <c r="N446" s="217" t="str">
        <f t="shared" si="96"/>
        <v/>
      </c>
      <c r="O446" s="217" t="str">
        <f t="shared" si="96"/>
        <v>model</v>
      </c>
      <c r="P446" s="218" t="str">
        <f t="shared" si="96"/>
        <v>String</v>
      </c>
      <c r="Q446" s="218" t="str">
        <f t="shared" si="96"/>
        <v>x</v>
      </c>
      <c r="R446" s="218" t="str">
        <f t="shared" si="96"/>
        <v>BS</v>
      </c>
      <c r="S446" s="218" t="str">
        <f t="shared" si="96"/>
        <v>all</v>
      </c>
      <c r="T446" s="217" t="str">
        <f t="shared" si="96"/>
        <v>Öffnung roh</v>
      </c>
      <c r="U446" s="217" t="str">
        <f t="shared" si="96"/>
        <v>Text Öffnung roh</v>
      </c>
      <c r="V446" s="217" t="str">
        <f t="shared" si="96"/>
        <v>x</v>
      </c>
      <c r="W446" s="217" t="str">
        <f t="shared" si="96"/>
        <v/>
      </c>
      <c r="X446" s="217" t="str">
        <f t="shared" si="96"/>
        <v/>
      </c>
      <c r="Y446" s="217" t="str">
        <f t="shared" si="96"/>
        <v>gs_mtext</v>
      </c>
    </row>
    <row r="447" spans="1:25" x14ac:dyDescent="0.3">
      <c r="A447" s="216">
        <f t="shared" si="84"/>
        <v>445</v>
      </c>
      <c r="B447" s="217" t="str">
        <f t="shared" si="95"/>
        <v>x</v>
      </c>
      <c r="C447" s="217" t="str">
        <f t="shared" si="95"/>
        <v/>
      </c>
      <c r="D447" s="217" t="str">
        <f t="shared" si="95"/>
        <v/>
      </c>
      <c r="E447" s="217" t="str">
        <f t="shared" si="95"/>
        <v/>
      </c>
      <c r="F447" s="217" t="str">
        <f t="shared" si="95"/>
        <v/>
      </c>
      <c r="G447" s="217" t="str">
        <f t="shared" si="95"/>
        <v/>
      </c>
      <c r="H447" s="217" t="str">
        <f t="shared" si="95"/>
        <v/>
      </c>
      <c r="I447" s="217" t="str">
        <f t="shared" si="95"/>
        <v/>
      </c>
      <c r="J447" s="217" t="str">
        <f t="shared" si="95"/>
        <v/>
      </c>
      <c r="K447" s="217" t="str">
        <f t="shared" si="95"/>
        <v/>
      </c>
      <c r="L447" s="217" t="str">
        <f t="shared" si="96"/>
        <v>info</v>
      </c>
      <c r="M447" s="217" t="str">
        <f t="shared" si="96"/>
        <v>x</v>
      </c>
      <c r="N447" s="217" t="str">
        <f t="shared" si="96"/>
        <v/>
      </c>
      <c r="O447" s="217" t="str">
        <f t="shared" si="96"/>
        <v>model</v>
      </c>
      <c r="P447" s="218" t="str">
        <f t="shared" si="96"/>
        <v>Length</v>
      </c>
      <c r="Q447" s="218" t="str">
        <f t="shared" si="96"/>
        <v>x</v>
      </c>
      <c r="R447" s="218" t="str">
        <f t="shared" si="96"/>
        <v>BS</v>
      </c>
      <c r="S447" s="218" t="str">
        <f t="shared" si="96"/>
        <v>all</v>
      </c>
      <c r="T447" s="217" t="str">
        <f t="shared" si="96"/>
        <v/>
      </c>
      <c r="U447" s="217" t="str">
        <f t="shared" si="96"/>
        <v>Eigene Kote Öffnung roh</v>
      </c>
      <c r="V447" s="217" t="str">
        <f t="shared" si="96"/>
        <v>x</v>
      </c>
      <c r="W447" s="217" t="str">
        <f t="shared" si="96"/>
        <v/>
      </c>
      <c r="X447" s="217" t="str">
        <f t="shared" si="96"/>
        <v/>
      </c>
      <c r="Y447" s="217" t="str">
        <f t="shared" si="96"/>
        <v>gs_me</v>
      </c>
    </row>
    <row r="448" spans="1:25" x14ac:dyDescent="0.3">
      <c r="A448" s="216">
        <f t="shared" si="84"/>
        <v>446</v>
      </c>
      <c r="B448" s="217" t="str">
        <f t="shared" si="95"/>
        <v>x</v>
      </c>
      <c r="C448" s="217" t="str">
        <f t="shared" si="95"/>
        <v/>
      </c>
      <c r="D448" s="217" t="str">
        <f t="shared" si="95"/>
        <v/>
      </c>
      <c r="E448" s="217" t="str">
        <f t="shared" si="95"/>
        <v/>
      </c>
      <c r="F448" s="217" t="str">
        <f t="shared" si="95"/>
        <v/>
      </c>
      <c r="G448" s="217" t="str">
        <f t="shared" si="95"/>
        <v/>
      </c>
      <c r="H448" s="217" t="str">
        <f t="shared" si="95"/>
        <v/>
      </c>
      <c r="I448" s="217" t="str">
        <f t="shared" si="95"/>
        <v/>
      </c>
      <c r="J448" s="217" t="str">
        <f t="shared" si="95"/>
        <v/>
      </c>
      <c r="K448" s="217" t="str">
        <f t="shared" si="95"/>
        <v/>
      </c>
      <c r="L448" s="217" t="str">
        <f t="shared" si="96"/>
        <v>info</v>
      </c>
      <c r="M448" s="217" t="str">
        <f t="shared" si="96"/>
        <v>x</v>
      </c>
      <c r="N448" s="217" t="str">
        <f t="shared" si="96"/>
        <v/>
      </c>
      <c r="O448" s="217" t="str">
        <f t="shared" si="96"/>
        <v>model</v>
      </c>
      <c r="P448" s="218" t="str">
        <f t="shared" si="96"/>
        <v>Integer</v>
      </c>
      <c r="Q448" s="218" t="str">
        <f t="shared" si="96"/>
        <v>x</v>
      </c>
      <c r="R448" s="218" t="str">
        <f t="shared" si="96"/>
        <v>BS</v>
      </c>
      <c r="S448" s="218" t="str">
        <f t="shared" si="96"/>
        <v>all</v>
      </c>
      <c r="T448" s="217">
        <f t="shared" si="96"/>
        <v>1</v>
      </c>
      <c r="U448" s="217" t="str">
        <f t="shared" si="96"/>
        <v>Sturz fertig</v>
      </c>
      <c r="V448" s="217" t="str">
        <f t="shared" si="96"/>
        <v>x</v>
      </c>
      <c r="W448" s="217" t="str">
        <f t="shared" si="96"/>
        <v/>
      </c>
      <c r="X448" s="217" t="str">
        <f t="shared" si="96"/>
        <v/>
      </c>
      <c r="Y448" s="217" t="str">
        <f t="shared" si="96"/>
        <v>iDWDimFinishedLintel</v>
      </c>
    </row>
    <row r="449" spans="1:25" x14ac:dyDescent="0.3">
      <c r="A449" s="216">
        <f t="shared" si="84"/>
        <v>447</v>
      </c>
      <c r="B449" s="217" t="str">
        <f t="shared" si="95"/>
        <v>x</v>
      </c>
      <c r="C449" s="217" t="str">
        <f t="shared" si="95"/>
        <v/>
      </c>
      <c r="D449" s="217" t="str">
        <f t="shared" si="95"/>
        <v/>
      </c>
      <c r="E449" s="217" t="str">
        <f t="shared" si="95"/>
        <v/>
      </c>
      <c r="F449" s="217" t="str">
        <f t="shared" si="95"/>
        <v/>
      </c>
      <c r="G449" s="217" t="str">
        <f t="shared" si="95"/>
        <v/>
      </c>
      <c r="H449" s="217" t="str">
        <f t="shared" si="95"/>
        <v/>
      </c>
      <c r="I449" s="217" t="str">
        <f t="shared" si="95"/>
        <v/>
      </c>
      <c r="J449" s="217" t="str">
        <f t="shared" si="95"/>
        <v/>
      </c>
      <c r="K449" s="217" t="str">
        <f t="shared" si="95"/>
        <v/>
      </c>
      <c r="L449" s="217" t="str">
        <f t="shared" si="96"/>
        <v>info</v>
      </c>
      <c r="M449" s="217" t="str">
        <f t="shared" si="96"/>
        <v>x</v>
      </c>
      <c r="N449" s="217" t="str">
        <f t="shared" si="96"/>
        <v/>
      </c>
      <c r="O449" s="217" t="str">
        <f t="shared" si="96"/>
        <v>model</v>
      </c>
      <c r="P449" s="218" t="str">
        <f t="shared" si="96"/>
        <v>String</v>
      </c>
      <c r="Q449" s="218" t="str">
        <f t="shared" si="96"/>
        <v>x</v>
      </c>
      <c r="R449" s="218" t="str">
        <f t="shared" si="96"/>
        <v>BS</v>
      </c>
      <c r="S449" s="218" t="str">
        <f t="shared" si="96"/>
        <v>all</v>
      </c>
      <c r="T449" s="217" t="str">
        <f t="shared" si="96"/>
        <v>Sturz fertig</v>
      </c>
      <c r="U449" s="217" t="str">
        <f t="shared" si="96"/>
        <v>Text Fertig Sturz</v>
      </c>
      <c r="V449" s="217" t="str">
        <f t="shared" si="96"/>
        <v>x</v>
      </c>
      <c r="W449" s="217" t="str">
        <f t="shared" si="96"/>
        <v/>
      </c>
      <c r="X449" s="217" t="str">
        <f t="shared" si="96"/>
        <v/>
      </c>
      <c r="Y449" s="217" t="str">
        <f t="shared" si="96"/>
        <v>gs_ntext</v>
      </c>
    </row>
    <row r="450" spans="1:25" x14ac:dyDescent="0.3">
      <c r="A450" s="216">
        <f t="shared" si="84"/>
        <v>448</v>
      </c>
      <c r="B450" s="217" t="e">
        <f t="shared" si="95"/>
        <v>#REF!</v>
      </c>
      <c r="C450" s="217" t="e">
        <f t="shared" si="95"/>
        <v>#REF!</v>
      </c>
      <c r="D450" s="217" t="str">
        <f t="shared" si="95"/>
        <v/>
      </c>
      <c r="E450" s="217" t="str">
        <f t="shared" si="95"/>
        <v/>
      </c>
      <c r="F450" s="217" t="str">
        <f t="shared" si="95"/>
        <v/>
      </c>
      <c r="G450" s="217" t="str">
        <f t="shared" si="95"/>
        <v/>
      </c>
      <c r="H450" s="217" t="str">
        <f t="shared" si="95"/>
        <v/>
      </c>
      <c r="I450" s="217" t="str">
        <f t="shared" si="95"/>
        <v/>
      </c>
      <c r="J450" s="217" t="str">
        <f t="shared" si="95"/>
        <v/>
      </c>
      <c r="K450" s="217" t="e">
        <f t="shared" si="95"/>
        <v>#REF!</v>
      </c>
      <c r="L450" s="217" t="str">
        <f t="shared" si="96"/>
        <v>info</v>
      </c>
      <c r="M450" s="217" t="e">
        <f t="shared" si="96"/>
        <v>#REF!</v>
      </c>
      <c r="N450" s="217" t="str">
        <f t="shared" si="96"/>
        <v/>
      </c>
      <c r="O450" s="217" t="e">
        <f t="shared" si="96"/>
        <v>#REF!</v>
      </c>
      <c r="P450" s="218" t="e">
        <f t="shared" si="96"/>
        <v>#REF!</v>
      </c>
      <c r="Q450" s="218" t="str">
        <f t="shared" si="96"/>
        <v>x</v>
      </c>
      <c r="R450" s="218" t="str">
        <f t="shared" si="96"/>
        <v>BS</v>
      </c>
      <c r="S450" s="218" t="str">
        <f t="shared" si="96"/>
        <v>all</v>
      </c>
      <c r="T450" s="217" t="e">
        <f t="shared" si="96"/>
        <v>#REF!</v>
      </c>
      <c r="U450" s="217" t="e">
        <f t="shared" si="96"/>
        <v>#REF!</v>
      </c>
      <c r="V450" s="217" t="e">
        <f t="shared" si="96"/>
        <v>#REF!</v>
      </c>
      <c r="W450" s="217" t="str">
        <f t="shared" si="96"/>
        <v/>
      </c>
      <c r="X450" s="217" t="str">
        <f t="shared" si="96"/>
        <v/>
      </c>
      <c r="Y450" s="217" t="e">
        <f t="shared" si="96"/>
        <v>#REF!</v>
      </c>
    </row>
    <row r="451" spans="1:25" x14ac:dyDescent="0.3">
      <c r="A451" s="216">
        <f>ROW()-ROW($A$2)</f>
        <v>449</v>
      </c>
      <c r="B451" s="217" t="e">
        <f t="shared" si="95"/>
        <v>#REF!</v>
      </c>
      <c r="C451" s="217" t="e">
        <f t="shared" si="95"/>
        <v>#REF!</v>
      </c>
      <c r="D451" s="217" t="str">
        <f t="shared" si="95"/>
        <v/>
      </c>
      <c r="E451" s="217" t="str">
        <f t="shared" si="95"/>
        <v/>
      </c>
      <c r="F451" s="217" t="str">
        <f t="shared" si="95"/>
        <v/>
      </c>
      <c r="G451" s="217" t="str">
        <f t="shared" si="95"/>
        <v/>
      </c>
      <c r="H451" s="217" t="str">
        <f t="shared" si="95"/>
        <v/>
      </c>
      <c r="I451" s="217" t="str">
        <f t="shared" si="95"/>
        <v/>
      </c>
      <c r="J451" s="217" t="str">
        <f t="shared" si="95"/>
        <v/>
      </c>
      <c r="K451" s="217" t="e">
        <f t="shared" si="95"/>
        <v>#REF!</v>
      </c>
      <c r="L451" s="217" t="str">
        <f t="shared" si="96"/>
        <v>info</v>
      </c>
      <c r="M451" s="217" t="e">
        <f t="shared" si="96"/>
        <v>#REF!</v>
      </c>
      <c r="N451" s="217" t="str">
        <f t="shared" si="96"/>
        <v/>
      </c>
      <c r="O451" s="217" t="e">
        <f t="shared" si="96"/>
        <v>#REF!</v>
      </c>
      <c r="P451" s="218" t="e">
        <f t="shared" si="96"/>
        <v>#REF!</v>
      </c>
      <c r="Q451" s="218" t="str">
        <f t="shared" si="96"/>
        <v>x</v>
      </c>
      <c r="R451" s="218" t="str">
        <f t="shared" si="96"/>
        <v>BS</v>
      </c>
      <c r="S451" s="218" t="str">
        <f t="shared" si="96"/>
        <v>all</v>
      </c>
      <c r="T451" s="217" t="e">
        <f t="shared" si="96"/>
        <v>#REF!</v>
      </c>
      <c r="U451" s="217" t="e">
        <f t="shared" si="96"/>
        <v>#REF!</v>
      </c>
      <c r="V451" s="217" t="e">
        <f t="shared" si="96"/>
        <v>#REF!</v>
      </c>
      <c r="W451" s="217" t="str">
        <f t="shared" si="96"/>
        <v/>
      </c>
      <c r="X451" s="217" t="str">
        <f t="shared" si="96"/>
        <v/>
      </c>
      <c r="Y451" s="217" t="e">
        <f t="shared" si="96"/>
        <v>#REF!</v>
      </c>
    </row>
    <row r="452" spans="1:25" x14ac:dyDescent="0.3">
      <c r="A452" s="216">
        <f>ROW()-ROW($A$2)</f>
        <v>450</v>
      </c>
      <c r="B452" s="217" t="e">
        <f t="shared" si="95"/>
        <v>#REF!</v>
      </c>
      <c r="C452" s="217" t="e">
        <f t="shared" si="95"/>
        <v>#REF!</v>
      </c>
      <c r="D452" s="217" t="str">
        <f t="shared" si="95"/>
        <v/>
      </c>
      <c r="E452" s="217" t="str">
        <f t="shared" si="95"/>
        <v/>
      </c>
      <c r="F452" s="217" t="str">
        <f t="shared" si="95"/>
        <v/>
      </c>
      <c r="G452" s="217" t="str">
        <f t="shared" si="95"/>
        <v/>
      </c>
      <c r="H452" s="217" t="str">
        <f t="shared" si="95"/>
        <v/>
      </c>
      <c r="I452" s="217" t="str">
        <f t="shared" si="95"/>
        <v/>
      </c>
      <c r="J452" s="217" t="str">
        <f t="shared" si="95"/>
        <v/>
      </c>
      <c r="K452" s="217" t="e">
        <f t="shared" si="95"/>
        <v>#REF!</v>
      </c>
      <c r="L452" s="217" t="str">
        <f t="shared" si="96"/>
        <v>info</v>
      </c>
      <c r="M452" s="217" t="e">
        <f t="shared" si="96"/>
        <v>#REF!</v>
      </c>
      <c r="N452" s="217" t="str">
        <f t="shared" si="96"/>
        <v/>
      </c>
      <c r="O452" s="217" t="e">
        <f t="shared" si="96"/>
        <v>#REF!</v>
      </c>
      <c r="P452" s="218" t="e">
        <f t="shared" si="96"/>
        <v>#REF!</v>
      </c>
      <c r="Q452" s="218" t="str">
        <f t="shared" si="96"/>
        <v>x</v>
      </c>
      <c r="R452" s="218" t="str">
        <f t="shared" si="96"/>
        <v>BS</v>
      </c>
      <c r="S452" s="218" t="str">
        <f t="shared" si="96"/>
        <v>all</v>
      </c>
      <c r="T452" s="217" t="e">
        <f t="shared" si="96"/>
        <v>#REF!</v>
      </c>
      <c r="U452" s="217" t="e">
        <f t="shared" si="96"/>
        <v>#REF!</v>
      </c>
      <c r="V452" s="217" t="e">
        <f t="shared" si="96"/>
        <v>#REF!</v>
      </c>
      <c r="W452" s="217" t="str">
        <f t="shared" si="96"/>
        <v/>
      </c>
      <c r="X452" s="217" t="str">
        <f t="shared" si="96"/>
        <v/>
      </c>
      <c r="Y452" s="217" t="e">
        <f t="shared" si="96"/>
        <v>#REF!</v>
      </c>
    </row>
  </sheetData>
  <pageMargins left="0.7" right="0.7" top="0.78740157499999996" bottom="0.78740157499999996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"/>
  <dimension ref="A1:M854"/>
  <sheetViews>
    <sheetView workbookViewId="0">
      <selection activeCell="L2" sqref="L2"/>
    </sheetView>
  </sheetViews>
  <sheetFormatPr baseColWidth="10" defaultColWidth="11.5546875" defaultRowHeight="14.4" x14ac:dyDescent="0.3"/>
  <cols>
    <col min="1" max="5" width="3.44140625" style="148" customWidth="1"/>
    <col min="6" max="6" width="14.109375" customWidth="1"/>
    <col min="7" max="7" width="10" customWidth="1"/>
    <col min="8" max="8" width="31" customWidth="1"/>
    <col min="9" max="9" width="51.5546875" customWidth="1"/>
    <col min="10" max="10" width="16.6640625" customWidth="1"/>
    <col min="11" max="11" width="3.44140625" customWidth="1"/>
    <col min="12" max="12" width="32" style="212" bestFit="1" customWidth="1"/>
    <col min="257" max="257" width="3.44140625" customWidth="1"/>
    <col min="258" max="258" width="7" customWidth="1"/>
    <col min="259" max="259" width="5" customWidth="1"/>
    <col min="260" max="260" width="5.44140625" customWidth="1"/>
    <col min="261" max="261" width="7" customWidth="1"/>
    <col min="262" max="262" width="14.109375" customWidth="1"/>
    <col min="263" max="263" width="10" customWidth="1"/>
    <col min="264" max="264" width="31" customWidth="1"/>
    <col min="265" max="265" width="32.109375" customWidth="1"/>
    <col min="266" max="266" width="33.109375" customWidth="1"/>
    <col min="513" max="513" width="3.44140625" customWidth="1"/>
    <col min="514" max="514" width="7" customWidth="1"/>
    <col min="515" max="515" width="5" customWidth="1"/>
    <col min="516" max="516" width="5.44140625" customWidth="1"/>
    <col min="517" max="517" width="7" customWidth="1"/>
    <col min="518" max="518" width="14.109375" customWidth="1"/>
    <col min="519" max="519" width="10" customWidth="1"/>
    <col min="520" max="520" width="31" customWidth="1"/>
    <col min="521" max="521" width="32.109375" customWidth="1"/>
    <col min="522" max="522" width="33.109375" customWidth="1"/>
    <col min="769" max="769" width="3.44140625" customWidth="1"/>
    <col min="770" max="770" width="7" customWidth="1"/>
    <col min="771" max="771" width="5" customWidth="1"/>
    <col min="772" max="772" width="5.44140625" customWidth="1"/>
    <col min="773" max="773" width="7" customWidth="1"/>
    <col min="774" max="774" width="14.109375" customWidth="1"/>
    <col min="775" max="775" width="10" customWidth="1"/>
    <col min="776" max="776" width="31" customWidth="1"/>
    <col min="777" max="777" width="32.109375" customWidth="1"/>
    <col min="778" max="778" width="33.109375" customWidth="1"/>
    <col min="1025" max="1025" width="3.44140625" customWidth="1"/>
    <col min="1026" max="1026" width="7" customWidth="1"/>
    <col min="1027" max="1027" width="5" customWidth="1"/>
    <col min="1028" max="1028" width="5.44140625" customWidth="1"/>
    <col min="1029" max="1029" width="7" customWidth="1"/>
    <col min="1030" max="1030" width="14.109375" customWidth="1"/>
    <col min="1031" max="1031" width="10" customWidth="1"/>
    <col min="1032" max="1032" width="31" customWidth="1"/>
    <col min="1033" max="1033" width="32.109375" customWidth="1"/>
    <col min="1034" max="1034" width="33.109375" customWidth="1"/>
    <col min="1281" max="1281" width="3.44140625" customWidth="1"/>
    <col min="1282" max="1282" width="7" customWidth="1"/>
    <col min="1283" max="1283" width="5" customWidth="1"/>
    <col min="1284" max="1284" width="5.44140625" customWidth="1"/>
    <col min="1285" max="1285" width="7" customWidth="1"/>
    <col min="1286" max="1286" width="14.109375" customWidth="1"/>
    <col min="1287" max="1287" width="10" customWidth="1"/>
    <col min="1288" max="1288" width="31" customWidth="1"/>
    <col min="1289" max="1289" width="32.109375" customWidth="1"/>
    <col min="1290" max="1290" width="33.109375" customWidth="1"/>
    <col min="1537" max="1537" width="3.44140625" customWidth="1"/>
    <col min="1538" max="1538" width="7" customWidth="1"/>
    <col min="1539" max="1539" width="5" customWidth="1"/>
    <col min="1540" max="1540" width="5.44140625" customWidth="1"/>
    <col min="1541" max="1541" width="7" customWidth="1"/>
    <col min="1542" max="1542" width="14.109375" customWidth="1"/>
    <col min="1543" max="1543" width="10" customWidth="1"/>
    <col min="1544" max="1544" width="31" customWidth="1"/>
    <col min="1545" max="1545" width="32.109375" customWidth="1"/>
    <col min="1546" max="1546" width="33.109375" customWidth="1"/>
    <col min="1793" max="1793" width="3.44140625" customWidth="1"/>
    <col min="1794" max="1794" width="7" customWidth="1"/>
    <col min="1795" max="1795" width="5" customWidth="1"/>
    <col min="1796" max="1796" width="5.44140625" customWidth="1"/>
    <col min="1797" max="1797" width="7" customWidth="1"/>
    <col min="1798" max="1798" width="14.109375" customWidth="1"/>
    <col min="1799" max="1799" width="10" customWidth="1"/>
    <col min="1800" max="1800" width="31" customWidth="1"/>
    <col min="1801" max="1801" width="32.109375" customWidth="1"/>
    <col min="1802" max="1802" width="33.109375" customWidth="1"/>
    <col min="2049" max="2049" width="3.44140625" customWidth="1"/>
    <col min="2050" max="2050" width="7" customWidth="1"/>
    <col min="2051" max="2051" width="5" customWidth="1"/>
    <col min="2052" max="2052" width="5.44140625" customWidth="1"/>
    <col min="2053" max="2053" width="7" customWidth="1"/>
    <col min="2054" max="2054" width="14.109375" customWidth="1"/>
    <col min="2055" max="2055" width="10" customWidth="1"/>
    <col min="2056" max="2056" width="31" customWidth="1"/>
    <col min="2057" max="2057" width="32.109375" customWidth="1"/>
    <col min="2058" max="2058" width="33.109375" customWidth="1"/>
    <col min="2305" max="2305" width="3.44140625" customWidth="1"/>
    <col min="2306" max="2306" width="7" customWidth="1"/>
    <col min="2307" max="2307" width="5" customWidth="1"/>
    <col min="2308" max="2308" width="5.44140625" customWidth="1"/>
    <col min="2309" max="2309" width="7" customWidth="1"/>
    <col min="2310" max="2310" width="14.109375" customWidth="1"/>
    <col min="2311" max="2311" width="10" customWidth="1"/>
    <col min="2312" max="2312" width="31" customWidth="1"/>
    <col min="2313" max="2313" width="32.109375" customWidth="1"/>
    <col min="2314" max="2314" width="33.109375" customWidth="1"/>
    <col min="2561" max="2561" width="3.44140625" customWidth="1"/>
    <col min="2562" max="2562" width="7" customWidth="1"/>
    <col min="2563" max="2563" width="5" customWidth="1"/>
    <col min="2564" max="2564" width="5.44140625" customWidth="1"/>
    <col min="2565" max="2565" width="7" customWidth="1"/>
    <col min="2566" max="2566" width="14.109375" customWidth="1"/>
    <col min="2567" max="2567" width="10" customWidth="1"/>
    <col min="2568" max="2568" width="31" customWidth="1"/>
    <col min="2569" max="2569" width="32.109375" customWidth="1"/>
    <col min="2570" max="2570" width="33.109375" customWidth="1"/>
    <col min="2817" max="2817" width="3.44140625" customWidth="1"/>
    <col min="2818" max="2818" width="7" customWidth="1"/>
    <col min="2819" max="2819" width="5" customWidth="1"/>
    <col min="2820" max="2820" width="5.44140625" customWidth="1"/>
    <col min="2821" max="2821" width="7" customWidth="1"/>
    <col min="2822" max="2822" width="14.109375" customWidth="1"/>
    <col min="2823" max="2823" width="10" customWidth="1"/>
    <col min="2824" max="2824" width="31" customWidth="1"/>
    <col min="2825" max="2825" width="32.109375" customWidth="1"/>
    <col min="2826" max="2826" width="33.109375" customWidth="1"/>
    <col min="3073" max="3073" width="3.44140625" customWidth="1"/>
    <col min="3074" max="3074" width="7" customWidth="1"/>
    <col min="3075" max="3075" width="5" customWidth="1"/>
    <col min="3076" max="3076" width="5.44140625" customWidth="1"/>
    <col min="3077" max="3077" width="7" customWidth="1"/>
    <col min="3078" max="3078" width="14.109375" customWidth="1"/>
    <col min="3079" max="3079" width="10" customWidth="1"/>
    <col min="3080" max="3080" width="31" customWidth="1"/>
    <col min="3081" max="3081" width="32.109375" customWidth="1"/>
    <col min="3082" max="3082" width="33.109375" customWidth="1"/>
    <col min="3329" max="3329" width="3.44140625" customWidth="1"/>
    <col min="3330" max="3330" width="7" customWidth="1"/>
    <col min="3331" max="3331" width="5" customWidth="1"/>
    <col min="3332" max="3332" width="5.44140625" customWidth="1"/>
    <col min="3333" max="3333" width="7" customWidth="1"/>
    <col min="3334" max="3334" width="14.109375" customWidth="1"/>
    <col min="3335" max="3335" width="10" customWidth="1"/>
    <col min="3336" max="3336" width="31" customWidth="1"/>
    <col min="3337" max="3337" width="32.109375" customWidth="1"/>
    <col min="3338" max="3338" width="33.109375" customWidth="1"/>
    <col min="3585" max="3585" width="3.44140625" customWidth="1"/>
    <col min="3586" max="3586" width="7" customWidth="1"/>
    <col min="3587" max="3587" width="5" customWidth="1"/>
    <col min="3588" max="3588" width="5.44140625" customWidth="1"/>
    <col min="3589" max="3589" width="7" customWidth="1"/>
    <col min="3590" max="3590" width="14.109375" customWidth="1"/>
    <col min="3591" max="3591" width="10" customWidth="1"/>
    <col min="3592" max="3592" width="31" customWidth="1"/>
    <col min="3593" max="3593" width="32.109375" customWidth="1"/>
    <col min="3594" max="3594" width="33.109375" customWidth="1"/>
    <col min="3841" max="3841" width="3.44140625" customWidth="1"/>
    <col min="3842" max="3842" width="7" customWidth="1"/>
    <col min="3843" max="3843" width="5" customWidth="1"/>
    <col min="3844" max="3844" width="5.44140625" customWidth="1"/>
    <col min="3845" max="3845" width="7" customWidth="1"/>
    <col min="3846" max="3846" width="14.109375" customWidth="1"/>
    <col min="3847" max="3847" width="10" customWidth="1"/>
    <col min="3848" max="3848" width="31" customWidth="1"/>
    <col min="3849" max="3849" width="32.109375" customWidth="1"/>
    <col min="3850" max="3850" width="33.109375" customWidth="1"/>
    <col min="4097" max="4097" width="3.44140625" customWidth="1"/>
    <col min="4098" max="4098" width="7" customWidth="1"/>
    <col min="4099" max="4099" width="5" customWidth="1"/>
    <col min="4100" max="4100" width="5.44140625" customWidth="1"/>
    <col min="4101" max="4101" width="7" customWidth="1"/>
    <col min="4102" max="4102" width="14.109375" customWidth="1"/>
    <col min="4103" max="4103" width="10" customWidth="1"/>
    <col min="4104" max="4104" width="31" customWidth="1"/>
    <col min="4105" max="4105" width="32.109375" customWidth="1"/>
    <col min="4106" max="4106" width="33.109375" customWidth="1"/>
    <col min="4353" max="4353" width="3.44140625" customWidth="1"/>
    <col min="4354" max="4354" width="7" customWidth="1"/>
    <col min="4355" max="4355" width="5" customWidth="1"/>
    <col min="4356" max="4356" width="5.44140625" customWidth="1"/>
    <col min="4357" max="4357" width="7" customWidth="1"/>
    <col min="4358" max="4358" width="14.109375" customWidth="1"/>
    <col min="4359" max="4359" width="10" customWidth="1"/>
    <col min="4360" max="4360" width="31" customWidth="1"/>
    <col min="4361" max="4361" width="32.109375" customWidth="1"/>
    <col min="4362" max="4362" width="33.109375" customWidth="1"/>
    <col min="4609" max="4609" width="3.44140625" customWidth="1"/>
    <col min="4610" max="4610" width="7" customWidth="1"/>
    <col min="4611" max="4611" width="5" customWidth="1"/>
    <col min="4612" max="4612" width="5.44140625" customWidth="1"/>
    <col min="4613" max="4613" width="7" customWidth="1"/>
    <col min="4614" max="4614" width="14.109375" customWidth="1"/>
    <col min="4615" max="4615" width="10" customWidth="1"/>
    <col min="4616" max="4616" width="31" customWidth="1"/>
    <col min="4617" max="4617" width="32.109375" customWidth="1"/>
    <col min="4618" max="4618" width="33.109375" customWidth="1"/>
    <col min="4865" max="4865" width="3.44140625" customWidth="1"/>
    <col min="4866" max="4866" width="7" customWidth="1"/>
    <col min="4867" max="4867" width="5" customWidth="1"/>
    <col min="4868" max="4868" width="5.44140625" customWidth="1"/>
    <col min="4869" max="4869" width="7" customWidth="1"/>
    <col min="4870" max="4870" width="14.109375" customWidth="1"/>
    <col min="4871" max="4871" width="10" customWidth="1"/>
    <col min="4872" max="4872" width="31" customWidth="1"/>
    <col min="4873" max="4873" width="32.109375" customWidth="1"/>
    <col min="4874" max="4874" width="33.109375" customWidth="1"/>
    <col min="5121" max="5121" width="3.44140625" customWidth="1"/>
    <col min="5122" max="5122" width="7" customWidth="1"/>
    <col min="5123" max="5123" width="5" customWidth="1"/>
    <col min="5124" max="5124" width="5.44140625" customWidth="1"/>
    <col min="5125" max="5125" width="7" customWidth="1"/>
    <col min="5126" max="5126" width="14.109375" customWidth="1"/>
    <col min="5127" max="5127" width="10" customWidth="1"/>
    <col min="5128" max="5128" width="31" customWidth="1"/>
    <col min="5129" max="5129" width="32.109375" customWidth="1"/>
    <col min="5130" max="5130" width="33.109375" customWidth="1"/>
    <col min="5377" max="5377" width="3.44140625" customWidth="1"/>
    <col min="5378" max="5378" width="7" customWidth="1"/>
    <col min="5379" max="5379" width="5" customWidth="1"/>
    <col min="5380" max="5380" width="5.44140625" customWidth="1"/>
    <col min="5381" max="5381" width="7" customWidth="1"/>
    <col min="5382" max="5382" width="14.109375" customWidth="1"/>
    <col min="5383" max="5383" width="10" customWidth="1"/>
    <col min="5384" max="5384" width="31" customWidth="1"/>
    <col min="5385" max="5385" width="32.109375" customWidth="1"/>
    <col min="5386" max="5386" width="33.109375" customWidth="1"/>
    <col min="5633" max="5633" width="3.44140625" customWidth="1"/>
    <col min="5634" max="5634" width="7" customWidth="1"/>
    <col min="5635" max="5635" width="5" customWidth="1"/>
    <col min="5636" max="5636" width="5.44140625" customWidth="1"/>
    <col min="5637" max="5637" width="7" customWidth="1"/>
    <col min="5638" max="5638" width="14.109375" customWidth="1"/>
    <col min="5639" max="5639" width="10" customWidth="1"/>
    <col min="5640" max="5640" width="31" customWidth="1"/>
    <col min="5641" max="5641" width="32.109375" customWidth="1"/>
    <col min="5642" max="5642" width="33.109375" customWidth="1"/>
    <col min="5889" max="5889" width="3.44140625" customWidth="1"/>
    <col min="5890" max="5890" width="7" customWidth="1"/>
    <col min="5891" max="5891" width="5" customWidth="1"/>
    <col min="5892" max="5892" width="5.44140625" customWidth="1"/>
    <col min="5893" max="5893" width="7" customWidth="1"/>
    <col min="5894" max="5894" width="14.109375" customWidth="1"/>
    <col min="5895" max="5895" width="10" customWidth="1"/>
    <col min="5896" max="5896" width="31" customWidth="1"/>
    <col min="5897" max="5897" width="32.109375" customWidth="1"/>
    <col min="5898" max="5898" width="33.109375" customWidth="1"/>
    <col min="6145" max="6145" width="3.44140625" customWidth="1"/>
    <col min="6146" max="6146" width="7" customWidth="1"/>
    <col min="6147" max="6147" width="5" customWidth="1"/>
    <col min="6148" max="6148" width="5.44140625" customWidth="1"/>
    <col min="6149" max="6149" width="7" customWidth="1"/>
    <col min="6150" max="6150" width="14.109375" customWidth="1"/>
    <col min="6151" max="6151" width="10" customWidth="1"/>
    <col min="6152" max="6152" width="31" customWidth="1"/>
    <col min="6153" max="6153" width="32.109375" customWidth="1"/>
    <col min="6154" max="6154" width="33.109375" customWidth="1"/>
    <col min="6401" max="6401" width="3.44140625" customWidth="1"/>
    <col min="6402" max="6402" width="7" customWidth="1"/>
    <col min="6403" max="6403" width="5" customWidth="1"/>
    <col min="6404" max="6404" width="5.44140625" customWidth="1"/>
    <col min="6405" max="6405" width="7" customWidth="1"/>
    <col min="6406" max="6406" width="14.109375" customWidth="1"/>
    <col min="6407" max="6407" width="10" customWidth="1"/>
    <col min="6408" max="6408" width="31" customWidth="1"/>
    <col min="6409" max="6409" width="32.109375" customWidth="1"/>
    <col min="6410" max="6410" width="33.109375" customWidth="1"/>
    <col min="6657" max="6657" width="3.44140625" customWidth="1"/>
    <col min="6658" max="6658" width="7" customWidth="1"/>
    <col min="6659" max="6659" width="5" customWidth="1"/>
    <col min="6660" max="6660" width="5.44140625" customWidth="1"/>
    <col min="6661" max="6661" width="7" customWidth="1"/>
    <col min="6662" max="6662" width="14.109375" customWidth="1"/>
    <col min="6663" max="6663" width="10" customWidth="1"/>
    <col min="6664" max="6664" width="31" customWidth="1"/>
    <col min="6665" max="6665" width="32.109375" customWidth="1"/>
    <col min="6666" max="6666" width="33.109375" customWidth="1"/>
    <col min="6913" max="6913" width="3.44140625" customWidth="1"/>
    <col min="6914" max="6914" width="7" customWidth="1"/>
    <col min="6915" max="6915" width="5" customWidth="1"/>
    <col min="6916" max="6916" width="5.44140625" customWidth="1"/>
    <col min="6917" max="6917" width="7" customWidth="1"/>
    <col min="6918" max="6918" width="14.109375" customWidth="1"/>
    <col min="6919" max="6919" width="10" customWidth="1"/>
    <col min="6920" max="6920" width="31" customWidth="1"/>
    <col min="6921" max="6921" width="32.109375" customWidth="1"/>
    <col min="6922" max="6922" width="33.109375" customWidth="1"/>
    <col min="7169" max="7169" width="3.44140625" customWidth="1"/>
    <col min="7170" max="7170" width="7" customWidth="1"/>
    <col min="7171" max="7171" width="5" customWidth="1"/>
    <col min="7172" max="7172" width="5.44140625" customWidth="1"/>
    <col min="7173" max="7173" width="7" customWidth="1"/>
    <col min="7174" max="7174" width="14.109375" customWidth="1"/>
    <col min="7175" max="7175" width="10" customWidth="1"/>
    <col min="7176" max="7176" width="31" customWidth="1"/>
    <col min="7177" max="7177" width="32.109375" customWidth="1"/>
    <col min="7178" max="7178" width="33.109375" customWidth="1"/>
    <col min="7425" max="7425" width="3.44140625" customWidth="1"/>
    <col min="7426" max="7426" width="7" customWidth="1"/>
    <col min="7427" max="7427" width="5" customWidth="1"/>
    <col min="7428" max="7428" width="5.44140625" customWidth="1"/>
    <col min="7429" max="7429" width="7" customWidth="1"/>
    <col min="7430" max="7430" width="14.109375" customWidth="1"/>
    <col min="7431" max="7431" width="10" customWidth="1"/>
    <col min="7432" max="7432" width="31" customWidth="1"/>
    <col min="7433" max="7433" width="32.109375" customWidth="1"/>
    <col min="7434" max="7434" width="33.109375" customWidth="1"/>
    <col min="7681" max="7681" width="3.44140625" customWidth="1"/>
    <col min="7682" max="7682" width="7" customWidth="1"/>
    <col min="7683" max="7683" width="5" customWidth="1"/>
    <col min="7684" max="7684" width="5.44140625" customWidth="1"/>
    <col min="7685" max="7685" width="7" customWidth="1"/>
    <col min="7686" max="7686" width="14.109375" customWidth="1"/>
    <col min="7687" max="7687" width="10" customWidth="1"/>
    <col min="7688" max="7688" width="31" customWidth="1"/>
    <col min="7689" max="7689" width="32.109375" customWidth="1"/>
    <col min="7690" max="7690" width="33.109375" customWidth="1"/>
    <col min="7937" max="7937" width="3.44140625" customWidth="1"/>
    <col min="7938" max="7938" width="7" customWidth="1"/>
    <col min="7939" max="7939" width="5" customWidth="1"/>
    <col min="7940" max="7940" width="5.44140625" customWidth="1"/>
    <col min="7941" max="7941" width="7" customWidth="1"/>
    <col min="7942" max="7942" width="14.109375" customWidth="1"/>
    <col min="7943" max="7943" width="10" customWidth="1"/>
    <col min="7944" max="7944" width="31" customWidth="1"/>
    <col min="7945" max="7945" width="32.109375" customWidth="1"/>
    <col min="7946" max="7946" width="33.109375" customWidth="1"/>
    <col min="8193" max="8193" width="3.44140625" customWidth="1"/>
    <col min="8194" max="8194" width="7" customWidth="1"/>
    <col min="8195" max="8195" width="5" customWidth="1"/>
    <col min="8196" max="8196" width="5.44140625" customWidth="1"/>
    <col min="8197" max="8197" width="7" customWidth="1"/>
    <col min="8198" max="8198" width="14.109375" customWidth="1"/>
    <col min="8199" max="8199" width="10" customWidth="1"/>
    <col min="8200" max="8200" width="31" customWidth="1"/>
    <col min="8201" max="8201" width="32.109375" customWidth="1"/>
    <col min="8202" max="8202" width="33.109375" customWidth="1"/>
    <col min="8449" max="8449" width="3.44140625" customWidth="1"/>
    <col min="8450" max="8450" width="7" customWidth="1"/>
    <col min="8451" max="8451" width="5" customWidth="1"/>
    <col min="8452" max="8452" width="5.44140625" customWidth="1"/>
    <col min="8453" max="8453" width="7" customWidth="1"/>
    <col min="8454" max="8454" width="14.109375" customWidth="1"/>
    <col min="8455" max="8455" width="10" customWidth="1"/>
    <col min="8456" max="8456" width="31" customWidth="1"/>
    <col min="8457" max="8457" width="32.109375" customWidth="1"/>
    <col min="8458" max="8458" width="33.109375" customWidth="1"/>
    <col min="8705" max="8705" width="3.44140625" customWidth="1"/>
    <col min="8706" max="8706" width="7" customWidth="1"/>
    <col min="8707" max="8707" width="5" customWidth="1"/>
    <col min="8708" max="8708" width="5.44140625" customWidth="1"/>
    <col min="8709" max="8709" width="7" customWidth="1"/>
    <col min="8710" max="8710" width="14.109375" customWidth="1"/>
    <col min="8711" max="8711" width="10" customWidth="1"/>
    <col min="8712" max="8712" width="31" customWidth="1"/>
    <col min="8713" max="8713" width="32.109375" customWidth="1"/>
    <col min="8714" max="8714" width="33.109375" customWidth="1"/>
    <col min="8961" max="8961" width="3.44140625" customWidth="1"/>
    <col min="8962" max="8962" width="7" customWidth="1"/>
    <col min="8963" max="8963" width="5" customWidth="1"/>
    <col min="8964" max="8964" width="5.44140625" customWidth="1"/>
    <col min="8965" max="8965" width="7" customWidth="1"/>
    <col min="8966" max="8966" width="14.109375" customWidth="1"/>
    <col min="8967" max="8967" width="10" customWidth="1"/>
    <col min="8968" max="8968" width="31" customWidth="1"/>
    <col min="8969" max="8969" width="32.109375" customWidth="1"/>
    <col min="8970" max="8970" width="33.109375" customWidth="1"/>
    <col min="9217" max="9217" width="3.44140625" customWidth="1"/>
    <col min="9218" max="9218" width="7" customWidth="1"/>
    <col min="9219" max="9219" width="5" customWidth="1"/>
    <col min="9220" max="9220" width="5.44140625" customWidth="1"/>
    <col min="9221" max="9221" width="7" customWidth="1"/>
    <col min="9222" max="9222" width="14.109375" customWidth="1"/>
    <col min="9223" max="9223" width="10" customWidth="1"/>
    <col min="9224" max="9224" width="31" customWidth="1"/>
    <col min="9225" max="9225" width="32.109375" customWidth="1"/>
    <col min="9226" max="9226" width="33.109375" customWidth="1"/>
    <col min="9473" max="9473" width="3.44140625" customWidth="1"/>
    <col min="9474" max="9474" width="7" customWidth="1"/>
    <col min="9475" max="9475" width="5" customWidth="1"/>
    <col min="9476" max="9476" width="5.44140625" customWidth="1"/>
    <col min="9477" max="9477" width="7" customWidth="1"/>
    <col min="9478" max="9478" width="14.109375" customWidth="1"/>
    <col min="9479" max="9479" width="10" customWidth="1"/>
    <col min="9480" max="9480" width="31" customWidth="1"/>
    <col min="9481" max="9481" width="32.109375" customWidth="1"/>
    <col min="9482" max="9482" width="33.109375" customWidth="1"/>
    <col min="9729" max="9729" width="3.44140625" customWidth="1"/>
    <col min="9730" max="9730" width="7" customWidth="1"/>
    <col min="9731" max="9731" width="5" customWidth="1"/>
    <col min="9732" max="9732" width="5.44140625" customWidth="1"/>
    <col min="9733" max="9733" width="7" customWidth="1"/>
    <col min="9734" max="9734" width="14.109375" customWidth="1"/>
    <col min="9735" max="9735" width="10" customWidth="1"/>
    <col min="9736" max="9736" width="31" customWidth="1"/>
    <col min="9737" max="9737" width="32.109375" customWidth="1"/>
    <col min="9738" max="9738" width="33.109375" customWidth="1"/>
    <col min="9985" max="9985" width="3.44140625" customWidth="1"/>
    <col min="9986" max="9986" width="7" customWidth="1"/>
    <col min="9987" max="9987" width="5" customWidth="1"/>
    <col min="9988" max="9988" width="5.44140625" customWidth="1"/>
    <col min="9989" max="9989" width="7" customWidth="1"/>
    <col min="9990" max="9990" width="14.109375" customWidth="1"/>
    <col min="9991" max="9991" width="10" customWidth="1"/>
    <col min="9992" max="9992" width="31" customWidth="1"/>
    <col min="9993" max="9993" width="32.109375" customWidth="1"/>
    <col min="9994" max="9994" width="33.109375" customWidth="1"/>
    <col min="10241" max="10241" width="3.44140625" customWidth="1"/>
    <col min="10242" max="10242" width="7" customWidth="1"/>
    <col min="10243" max="10243" width="5" customWidth="1"/>
    <col min="10244" max="10244" width="5.44140625" customWidth="1"/>
    <col min="10245" max="10245" width="7" customWidth="1"/>
    <col min="10246" max="10246" width="14.109375" customWidth="1"/>
    <col min="10247" max="10247" width="10" customWidth="1"/>
    <col min="10248" max="10248" width="31" customWidth="1"/>
    <col min="10249" max="10249" width="32.109375" customWidth="1"/>
    <col min="10250" max="10250" width="33.109375" customWidth="1"/>
    <col min="10497" max="10497" width="3.44140625" customWidth="1"/>
    <col min="10498" max="10498" width="7" customWidth="1"/>
    <col min="10499" max="10499" width="5" customWidth="1"/>
    <col min="10500" max="10500" width="5.44140625" customWidth="1"/>
    <col min="10501" max="10501" width="7" customWidth="1"/>
    <col min="10502" max="10502" width="14.109375" customWidth="1"/>
    <col min="10503" max="10503" width="10" customWidth="1"/>
    <col min="10504" max="10504" width="31" customWidth="1"/>
    <col min="10505" max="10505" width="32.109375" customWidth="1"/>
    <col min="10506" max="10506" width="33.109375" customWidth="1"/>
    <col min="10753" max="10753" width="3.44140625" customWidth="1"/>
    <col min="10754" max="10754" width="7" customWidth="1"/>
    <col min="10755" max="10755" width="5" customWidth="1"/>
    <col min="10756" max="10756" width="5.44140625" customWidth="1"/>
    <col min="10757" max="10757" width="7" customWidth="1"/>
    <col min="10758" max="10758" width="14.109375" customWidth="1"/>
    <col min="10759" max="10759" width="10" customWidth="1"/>
    <col min="10760" max="10760" width="31" customWidth="1"/>
    <col min="10761" max="10761" width="32.109375" customWidth="1"/>
    <col min="10762" max="10762" width="33.109375" customWidth="1"/>
    <col min="11009" max="11009" width="3.44140625" customWidth="1"/>
    <col min="11010" max="11010" width="7" customWidth="1"/>
    <col min="11011" max="11011" width="5" customWidth="1"/>
    <col min="11012" max="11012" width="5.44140625" customWidth="1"/>
    <col min="11013" max="11013" width="7" customWidth="1"/>
    <col min="11014" max="11014" width="14.109375" customWidth="1"/>
    <col min="11015" max="11015" width="10" customWidth="1"/>
    <col min="11016" max="11016" width="31" customWidth="1"/>
    <col min="11017" max="11017" width="32.109375" customWidth="1"/>
    <col min="11018" max="11018" width="33.109375" customWidth="1"/>
    <col min="11265" max="11265" width="3.44140625" customWidth="1"/>
    <col min="11266" max="11266" width="7" customWidth="1"/>
    <col min="11267" max="11267" width="5" customWidth="1"/>
    <col min="11268" max="11268" width="5.44140625" customWidth="1"/>
    <col min="11269" max="11269" width="7" customWidth="1"/>
    <col min="11270" max="11270" width="14.109375" customWidth="1"/>
    <col min="11271" max="11271" width="10" customWidth="1"/>
    <col min="11272" max="11272" width="31" customWidth="1"/>
    <col min="11273" max="11273" width="32.109375" customWidth="1"/>
    <col min="11274" max="11274" width="33.109375" customWidth="1"/>
    <col min="11521" max="11521" width="3.44140625" customWidth="1"/>
    <col min="11522" max="11522" width="7" customWidth="1"/>
    <col min="11523" max="11523" width="5" customWidth="1"/>
    <col min="11524" max="11524" width="5.44140625" customWidth="1"/>
    <col min="11525" max="11525" width="7" customWidth="1"/>
    <col min="11526" max="11526" width="14.109375" customWidth="1"/>
    <col min="11527" max="11527" width="10" customWidth="1"/>
    <col min="11528" max="11528" width="31" customWidth="1"/>
    <col min="11529" max="11529" width="32.109375" customWidth="1"/>
    <col min="11530" max="11530" width="33.109375" customWidth="1"/>
    <col min="11777" max="11777" width="3.44140625" customWidth="1"/>
    <col min="11778" max="11778" width="7" customWidth="1"/>
    <col min="11779" max="11779" width="5" customWidth="1"/>
    <col min="11780" max="11780" width="5.44140625" customWidth="1"/>
    <col min="11781" max="11781" width="7" customWidth="1"/>
    <col min="11782" max="11782" width="14.109375" customWidth="1"/>
    <col min="11783" max="11783" width="10" customWidth="1"/>
    <col min="11784" max="11784" width="31" customWidth="1"/>
    <col min="11785" max="11785" width="32.109375" customWidth="1"/>
    <col min="11786" max="11786" width="33.109375" customWidth="1"/>
    <col min="12033" max="12033" width="3.44140625" customWidth="1"/>
    <col min="12034" max="12034" width="7" customWidth="1"/>
    <col min="12035" max="12035" width="5" customWidth="1"/>
    <col min="12036" max="12036" width="5.44140625" customWidth="1"/>
    <col min="12037" max="12037" width="7" customWidth="1"/>
    <col min="12038" max="12038" width="14.109375" customWidth="1"/>
    <col min="12039" max="12039" width="10" customWidth="1"/>
    <col min="12040" max="12040" width="31" customWidth="1"/>
    <col min="12041" max="12041" width="32.109375" customWidth="1"/>
    <col min="12042" max="12042" width="33.109375" customWidth="1"/>
    <col min="12289" max="12289" width="3.44140625" customWidth="1"/>
    <col min="12290" max="12290" width="7" customWidth="1"/>
    <col min="12291" max="12291" width="5" customWidth="1"/>
    <col min="12292" max="12292" width="5.44140625" customWidth="1"/>
    <col min="12293" max="12293" width="7" customWidth="1"/>
    <col min="12294" max="12294" width="14.109375" customWidth="1"/>
    <col min="12295" max="12295" width="10" customWidth="1"/>
    <col min="12296" max="12296" width="31" customWidth="1"/>
    <col min="12297" max="12297" width="32.109375" customWidth="1"/>
    <col min="12298" max="12298" width="33.109375" customWidth="1"/>
    <col min="12545" max="12545" width="3.44140625" customWidth="1"/>
    <col min="12546" max="12546" width="7" customWidth="1"/>
    <col min="12547" max="12547" width="5" customWidth="1"/>
    <col min="12548" max="12548" width="5.44140625" customWidth="1"/>
    <col min="12549" max="12549" width="7" customWidth="1"/>
    <col min="12550" max="12550" width="14.109375" customWidth="1"/>
    <col min="12551" max="12551" width="10" customWidth="1"/>
    <col min="12552" max="12552" width="31" customWidth="1"/>
    <col min="12553" max="12553" width="32.109375" customWidth="1"/>
    <col min="12554" max="12554" width="33.109375" customWidth="1"/>
    <col min="12801" max="12801" width="3.44140625" customWidth="1"/>
    <col min="12802" max="12802" width="7" customWidth="1"/>
    <col min="12803" max="12803" width="5" customWidth="1"/>
    <col min="12804" max="12804" width="5.44140625" customWidth="1"/>
    <col min="12805" max="12805" width="7" customWidth="1"/>
    <col min="12806" max="12806" width="14.109375" customWidth="1"/>
    <col min="12807" max="12807" width="10" customWidth="1"/>
    <col min="12808" max="12808" width="31" customWidth="1"/>
    <col min="12809" max="12809" width="32.109375" customWidth="1"/>
    <col min="12810" max="12810" width="33.109375" customWidth="1"/>
    <col min="13057" max="13057" width="3.44140625" customWidth="1"/>
    <col min="13058" max="13058" width="7" customWidth="1"/>
    <col min="13059" max="13059" width="5" customWidth="1"/>
    <col min="13060" max="13060" width="5.44140625" customWidth="1"/>
    <col min="13061" max="13061" width="7" customWidth="1"/>
    <col min="13062" max="13062" width="14.109375" customWidth="1"/>
    <col min="13063" max="13063" width="10" customWidth="1"/>
    <col min="13064" max="13064" width="31" customWidth="1"/>
    <col min="13065" max="13065" width="32.109375" customWidth="1"/>
    <col min="13066" max="13066" width="33.109375" customWidth="1"/>
    <col min="13313" max="13313" width="3.44140625" customWidth="1"/>
    <col min="13314" max="13314" width="7" customWidth="1"/>
    <col min="13315" max="13315" width="5" customWidth="1"/>
    <col min="13316" max="13316" width="5.44140625" customWidth="1"/>
    <col min="13317" max="13317" width="7" customWidth="1"/>
    <col min="13318" max="13318" width="14.109375" customWidth="1"/>
    <col min="13319" max="13319" width="10" customWidth="1"/>
    <col min="13320" max="13320" width="31" customWidth="1"/>
    <col min="13321" max="13321" width="32.109375" customWidth="1"/>
    <col min="13322" max="13322" width="33.109375" customWidth="1"/>
    <col min="13569" max="13569" width="3.44140625" customWidth="1"/>
    <col min="13570" max="13570" width="7" customWidth="1"/>
    <col min="13571" max="13571" width="5" customWidth="1"/>
    <col min="13572" max="13572" width="5.44140625" customWidth="1"/>
    <col min="13573" max="13573" width="7" customWidth="1"/>
    <col min="13574" max="13574" width="14.109375" customWidth="1"/>
    <col min="13575" max="13575" width="10" customWidth="1"/>
    <col min="13576" max="13576" width="31" customWidth="1"/>
    <col min="13577" max="13577" width="32.109375" customWidth="1"/>
    <col min="13578" max="13578" width="33.109375" customWidth="1"/>
    <col min="13825" max="13825" width="3.44140625" customWidth="1"/>
    <col min="13826" max="13826" width="7" customWidth="1"/>
    <col min="13827" max="13827" width="5" customWidth="1"/>
    <col min="13828" max="13828" width="5.44140625" customWidth="1"/>
    <col min="13829" max="13829" width="7" customWidth="1"/>
    <col min="13830" max="13830" width="14.109375" customWidth="1"/>
    <col min="13831" max="13831" width="10" customWidth="1"/>
    <col min="13832" max="13832" width="31" customWidth="1"/>
    <col min="13833" max="13833" width="32.109375" customWidth="1"/>
    <col min="13834" max="13834" width="33.109375" customWidth="1"/>
    <col min="14081" max="14081" width="3.44140625" customWidth="1"/>
    <col min="14082" max="14082" width="7" customWidth="1"/>
    <col min="14083" max="14083" width="5" customWidth="1"/>
    <col min="14084" max="14084" width="5.44140625" customWidth="1"/>
    <col min="14085" max="14085" width="7" customWidth="1"/>
    <col min="14086" max="14086" width="14.109375" customWidth="1"/>
    <col min="14087" max="14087" width="10" customWidth="1"/>
    <col min="14088" max="14088" width="31" customWidth="1"/>
    <col min="14089" max="14089" width="32.109375" customWidth="1"/>
    <col min="14090" max="14090" width="33.109375" customWidth="1"/>
    <col min="14337" max="14337" width="3.44140625" customWidth="1"/>
    <col min="14338" max="14338" width="7" customWidth="1"/>
    <col min="14339" max="14339" width="5" customWidth="1"/>
    <col min="14340" max="14340" width="5.44140625" customWidth="1"/>
    <col min="14341" max="14341" width="7" customWidth="1"/>
    <col min="14342" max="14342" width="14.109375" customWidth="1"/>
    <col min="14343" max="14343" width="10" customWidth="1"/>
    <col min="14344" max="14344" width="31" customWidth="1"/>
    <col min="14345" max="14345" width="32.109375" customWidth="1"/>
    <col min="14346" max="14346" width="33.109375" customWidth="1"/>
    <col min="14593" max="14593" width="3.44140625" customWidth="1"/>
    <col min="14594" max="14594" width="7" customWidth="1"/>
    <col min="14595" max="14595" width="5" customWidth="1"/>
    <col min="14596" max="14596" width="5.44140625" customWidth="1"/>
    <col min="14597" max="14597" width="7" customWidth="1"/>
    <col min="14598" max="14598" width="14.109375" customWidth="1"/>
    <col min="14599" max="14599" width="10" customWidth="1"/>
    <col min="14600" max="14600" width="31" customWidth="1"/>
    <col min="14601" max="14601" width="32.109375" customWidth="1"/>
    <col min="14602" max="14602" width="33.109375" customWidth="1"/>
    <col min="14849" max="14849" width="3.44140625" customWidth="1"/>
    <col min="14850" max="14850" width="7" customWidth="1"/>
    <col min="14851" max="14851" width="5" customWidth="1"/>
    <col min="14852" max="14852" width="5.44140625" customWidth="1"/>
    <col min="14853" max="14853" width="7" customWidth="1"/>
    <col min="14854" max="14854" width="14.109375" customWidth="1"/>
    <col min="14855" max="14855" width="10" customWidth="1"/>
    <col min="14856" max="14856" width="31" customWidth="1"/>
    <col min="14857" max="14857" width="32.109375" customWidth="1"/>
    <col min="14858" max="14858" width="33.109375" customWidth="1"/>
    <col min="15105" max="15105" width="3.44140625" customWidth="1"/>
    <col min="15106" max="15106" width="7" customWidth="1"/>
    <col min="15107" max="15107" width="5" customWidth="1"/>
    <col min="15108" max="15108" width="5.44140625" customWidth="1"/>
    <col min="15109" max="15109" width="7" customWidth="1"/>
    <col min="15110" max="15110" width="14.109375" customWidth="1"/>
    <col min="15111" max="15111" width="10" customWidth="1"/>
    <col min="15112" max="15112" width="31" customWidth="1"/>
    <col min="15113" max="15113" width="32.109375" customWidth="1"/>
    <col min="15114" max="15114" width="33.109375" customWidth="1"/>
    <col min="15361" max="15361" width="3.44140625" customWidth="1"/>
    <col min="15362" max="15362" width="7" customWidth="1"/>
    <col min="15363" max="15363" width="5" customWidth="1"/>
    <col min="15364" max="15364" width="5.44140625" customWidth="1"/>
    <col min="15365" max="15365" width="7" customWidth="1"/>
    <col min="15366" max="15366" width="14.109375" customWidth="1"/>
    <col min="15367" max="15367" width="10" customWidth="1"/>
    <col min="15368" max="15368" width="31" customWidth="1"/>
    <col min="15369" max="15369" width="32.109375" customWidth="1"/>
    <col min="15370" max="15370" width="33.109375" customWidth="1"/>
    <col min="15617" max="15617" width="3.44140625" customWidth="1"/>
    <col min="15618" max="15618" width="7" customWidth="1"/>
    <col min="15619" max="15619" width="5" customWidth="1"/>
    <col min="15620" max="15620" width="5.44140625" customWidth="1"/>
    <col min="15621" max="15621" width="7" customWidth="1"/>
    <col min="15622" max="15622" width="14.109375" customWidth="1"/>
    <col min="15623" max="15623" width="10" customWidth="1"/>
    <col min="15624" max="15624" width="31" customWidth="1"/>
    <col min="15625" max="15625" width="32.109375" customWidth="1"/>
    <col min="15626" max="15626" width="33.109375" customWidth="1"/>
    <col min="15873" max="15873" width="3.44140625" customWidth="1"/>
    <col min="15874" max="15874" width="7" customWidth="1"/>
    <col min="15875" max="15875" width="5" customWidth="1"/>
    <col min="15876" max="15876" width="5.44140625" customWidth="1"/>
    <col min="15877" max="15877" width="7" customWidth="1"/>
    <col min="15878" max="15878" width="14.109375" customWidth="1"/>
    <col min="15879" max="15879" width="10" customWidth="1"/>
    <col min="15880" max="15880" width="31" customWidth="1"/>
    <col min="15881" max="15881" width="32.109375" customWidth="1"/>
    <col min="15882" max="15882" width="33.109375" customWidth="1"/>
    <col min="16129" max="16129" width="3.44140625" customWidth="1"/>
    <col min="16130" max="16130" width="7" customWidth="1"/>
    <col min="16131" max="16131" width="5" customWidth="1"/>
    <col min="16132" max="16132" width="5.44140625" customWidth="1"/>
    <col min="16133" max="16133" width="7" customWidth="1"/>
    <col min="16134" max="16134" width="14.109375" customWidth="1"/>
    <col min="16135" max="16135" width="10" customWidth="1"/>
    <col min="16136" max="16136" width="31" customWidth="1"/>
    <col min="16137" max="16137" width="32.109375" customWidth="1"/>
    <col min="16138" max="16138" width="33.109375" customWidth="1"/>
  </cols>
  <sheetData>
    <row r="1" spans="1:13" s="118" customFormat="1" ht="40.799999999999997" x14ac:dyDescent="0.3">
      <c r="A1" s="210" t="s">
        <v>68</v>
      </c>
      <c r="B1" s="210" t="s">
        <v>69</v>
      </c>
      <c r="C1" s="210" t="s">
        <v>70</v>
      </c>
      <c r="D1" s="210" t="s">
        <v>71</v>
      </c>
      <c r="E1" s="210" t="s">
        <v>72</v>
      </c>
      <c r="F1" s="118" t="s">
        <v>11</v>
      </c>
      <c r="G1" s="118" t="s">
        <v>12</v>
      </c>
      <c r="H1" s="118" t="s">
        <v>1784</v>
      </c>
      <c r="I1" s="118" t="s">
        <v>1785</v>
      </c>
      <c r="J1" s="118" t="s">
        <v>1786</v>
      </c>
      <c r="L1" s="211" t="s">
        <v>1787</v>
      </c>
    </row>
    <row r="2" spans="1:13" x14ac:dyDescent="0.3">
      <c r="A2" t="s">
        <v>9</v>
      </c>
      <c r="B2"/>
      <c r="C2"/>
      <c r="D2"/>
      <c r="E2"/>
      <c r="F2" t="s">
        <v>24</v>
      </c>
      <c r="G2" t="s">
        <v>27</v>
      </c>
      <c r="H2" t="s">
        <v>86</v>
      </c>
      <c r="I2" t="s">
        <v>92</v>
      </c>
      <c r="J2">
        <v>2.5099999999999998</v>
      </c>
      <c r="L2" s="212" t="str">
        <f>IFERROR(VLOOKUP($H2,PARAMETERS!$M$3:$M$493,1,0),"---")</f>
        <v>A</v>
      </c>
      <c r="M2" s="212"/>
    </row>
    <row r="3" spans="1:13" x14ac:dyDescent="0.3">
      <c r="A3" t="s">
        <v>9</v>
      </c>
      <c r="B3"/>
      <c r="C3"/>
      <c r="D3"/>
      <c r="E3"/>
      <c r="F3" t="s">
        <v>24</v>
      </c>
      <c r="G3" t="s">
        <v>27</v>
      </c>
      <c r="H3" t="s">
        <v>48</v>
      </c>
      <c r="I3" t="s">
        <v>93</v>
      </c>
      <c r="J3">
        <v>2.5099999999999998</v>
      </c>
      <c r="L3" s="212" t="str">
        <f>IFERROR(VLOOKUP($H3,PARAMETERS!$M$3:$M$493,1,0),"---")</f>
        <v>B</v>
      </c>
    </row>
    <row r="4" spans="1:13" x14ac:dyDescent="0.3">
      <c r="A4"/>
      <c r="B4"/>
      <c r="C4"/>
      <c r="D4"/>
      <c r="E4"/>
      <c r="F4" t="s">
        <v>47</v>
      </c>
      <c r="G4" t="s">
        <v>27</v>
      </c>
      <c r="H4" t="s">
        <v>777</v>
      </c>
      <c r="I4" t="s">
        <v>778</v>
      </c>
      <c r="J4">
        <v>1</v>
      </c>
      <c r="L4" s="212" t="str">
        <f>IFERROR(VLOOKUP($H4,PARAMETERS!$M$3:$M$493,1,0),"---")</f>
        <v>symm</v>
      </c>
    </row>
    <row r="5" spans="1:13" x14ac:dyDescent="0.3">
      <c r="A5"/>
      <c r="B5"/>
      <c r="C5"/>
      <c r="D5"/>
      <c r="E5"/>
      <c r="F5" t="s">
        <v>24</v>
      </c>
      <c r="G5" t="s">
        <v>27</v>
      </c>
      <c r="H5" t="s">
        <v>779</v>
      </c>
      <c r="I5" t="s">
        <v>780</v>
      </c>
      <c r="J5">
        <v>1</v>
      </c>
      <c r="L5" s="212" t="str">
        <f>IFERROR(VLOOKUP($H5,PARAMETERS!$M$3:$M$493,1,0),"---")</f>
        <v>gs_SecondLeaf_w</v>
      </c>
    </row>
    <row r="6" spans="1:13" x14ac:dyDescent="0.3">
      <c r="A6" t="s">
        <v>9</v>
      </c>
      <c r="B6" t="s">
        <v>9</v>
      </c>
      <c r="C6"/>
      <c r="D6"/>
      <c r="E6"/>
      <c r="F6" t="s">
        <v>24</v>
      </c>
      <c r="G6" t="s">
        <v>27</v>
      </c>
      <c r="H6" t="s">
        <v>90</v>
      </c>
      <c r="I6" t="s">
        <v>94</v>
      </c>
      <c r="J6">
        <v>1</v>
      </c>
      <c r="L6" s="212" t="str">
        <f>IFERROR(VLOOKUP($H6,PARAMETERS!$M$3:$M$493,1,0),"---")</f>
        <v>ZZYZX</v>
      </c>
    </row>
    <row r="7" spans="1:13" x14ac:dyDescent="0.3">
      <c r="A7" t="s">
        <v>9</v>
      </c>
      <c r="B7" t="s">
        <v>9</v>
      </c>
      <c r="C7"/>
      <c r="D7"/>
      <c r="E7"/>
      <c r="F7" t="s">
        <v>44</v>
      </c>
      <c r="G7" t="s">
        <v>27</v>
      </c>
      <c r="H7" t="s">
        <v>1024</v>
      </c>
      <c r="I7" t="s">
        <v>1788</v>
      </c>
      <c r="J7">
        <v>0</v>
      </c>
      <c r="L7" s="212" t="str">
        <f>IFERROR(VLOOKUP($H7,PARAMETERS!$M$3:$M$493,1,0),"---")</f>
        <v>---</v>
      </c>
    </row>
    <row r="8" spans="1:13" x14ac:dyDescent="0.3">
      <c r="A8" t="s">
        <v>9</v>
      </c>
      <c r="B8" t="s">
        <v>9</v>
      </c>
      <c r="C8"/>
      <c r="D8"/>
      <c r="E8"/>
      <c r="F8" t="s">
        <v>44</v>
      </c>
      <c r="G8" t="s">
        <v>27</v>
      </c>
      <c r="H8" t="s">
        <v>1025</v>
      </c>
      <c r="I8" t="s">
        <v>1789</v>
      </c>
      <c r="J8">
        <v>3</v>
      </c>
      <c r="L8" s="212" t="str">
        <f>IFERROR(VLOOKUP($H8,PARAMETERS!$M$3:$M$493,1,0),"---")</f>
        <v>---</v>
      </c>
    </row>
    <row r="9" spans="1:13" x14ac:dyDescent="0.3">
      <c r="A9" t="s">
        <v>9</v>
      </c>
      <c r="B9" t="s">
        <v>9</v>
      </c>
      <c r="C9"/>
      <c r="D9"/>
      <c r="E9"/>
      <c r="F9" t="s">
        <v>47</v>
      </c>
      <c r="G9" t="s">
        <v>27</v>
      </c>
      <c r="H9" t="s">
        <v>179</v>
      </c>
      <c r="I9" t="s">
        <v>1026</v>
      </c>
      <c r="J9">
        <v>1</v>
      </c>
      <c r="L9" s="212" t="str">
        <f>IFERROR(VLOOKUP($H9,PARAMETERS!$M$3:$M$493,1,0),"---")</f>
        <v>---</v>
      </c>
    </row>
    <row r="10" spans="1:13" x14ac:dyDescent="0.3">
      <c r="A10" t="s">
        <v>9</v>
      </c>
      <c r="B10" t="s">
        <v>9</v>
      </c>
      <c r="C10"/>
      <c r="D10"/>
      <c r="E10"/>
      <c r="F10" t="s">
        <v>24</v>
      </c>
      <c r="G10" t="s">
        <v>27</v>
      </c>
      <c r="H10" t="s">
        <v>180</v>
      </c>
      <c r="I10" t="s">
        <v>1790</v>
      </c>
      <c r="J10">
        <v>1</v>
      </c>
      <c r="L10" s="212" t="str">
        <f>IFERROR(VLOOKUP($H10,PARAMETERS!$M$3:$M$493,1,0),"---")</f>
        <v>---</v>
      </c>
    </row>
    <row r="11" spans="1:13" x14ac:dyDescent="0.3">
      <c r="A11" t="s">
        <v>9</v>
      </c>
      <c r="B11" t="s">
        <v>9</v>
      </c>
      <c r="C11"/>
      <c r="D11"/>
      <c r="E11"/>
      <c r="F11" t="s">
        <v>24</v>
      </c>
      <c r="G11" t="s">
        <v>27</v>
      </c>
      <c r="H11" t="s">
        <v>181</v>
      </c>
      <c r="I11" t="s">
        <v>1791</v>
      </c>
      <c r="J11">
        <v>0</v>
      </c>
      <c r="L11" s="212" t="str">
        <f>IFERROR(VLOOKUP($H11,PARAMETERS!$M$3:$M$493,1,0),"---")</f>
        <v>---</v>
      </c>
    </row>
    <row r="12" spans="1:13" x14ac:dyDescent="0.3">
      <c r="A12" t="s">
        <v>9</v>
      </c>
      <c r="B12" t="s">
        <v>9</v>
      </c>
      <c r="C12"/>
      <c r="D12"/>
      <c r="E12" t="s">
        <v>9</v>
      </c>
      <c r="F12" t="s">
        <v>24</v>
      </c>
      <c r="G12" t="s">
        <v>27</v>
      </c>
      <c r="H12" t="s">
        <v>1048</v>
      </c>
      <c r="I12" t="s">
        <v>1049</v>
      </c>
      <c r="J12">
        <v>0</v>
      </c>
      <c r="L12" s="212" t="str">
        <f>IFERROR(VLOOKUP($H12,PARAMETERS!$M$3:$M$493,1,0),"---")</f>
        <v>---</v>
      </c>
    </row>
    <row r="13" spans="1:13" x14ac:dyDescent="0.3">
      <c r="A13" t="s">
        <v>9</v>
      </c>
      <c r="B13" t="s">
        <v>9</v>
      </c>
      <c r="C13"/>
      <c r="D13"/>
      <c r="E13"/>
      <c r="F13" t="s">
        <v>44</v>
      </c>
      <c r="G13" t="s">
        <v>27</v>
      </c>
      <c r="H13" t="s">
        <v>1027</v>
      </c>
      <c r="I13" t="s">
        <v>1792</v>
      </c>
      <c r="J13">
        <v>3</v>
      </c>
      <c r="L13" s="212" t="str">
        <f>IFERROR(VLOOKUP($H13,PARAMETERS!$M$3:$M$493,1,0),"---")</f>
        <v>---</v>
      </c>
    </row>
    <row r="14" spans="1:13" x14ac:dyDescent="0.3">
      <c r="A14" t="s">
        <v>9</v>
      </c>
      <c r="B14" t="s">
        <v>9</v>
      </c>
      <c r="C14"/>
      <c r="D14"/>
      <c r="E14"/>
      <c r="F14" t="s">
        <v>31</v>
      </c>
      <c r="G14" t="s">
        <v>27</v>
      </c>
      <c r="H14" t="s">
        <v>1028</v>
      </c>
      <c r="I14" t="s">
        <v>1029</v>
      </c>
      <c r="J14">
        <v>0</v>
      </c>
      <c r="L14" s="212" t="str">
        <f>IFERROR(VLOOKUP($H14,PARAMETERS!$M$3:$M$493,1,0),"---")</f>
        <v>---</v>
      </c>
    </row>
    <row r="15" spans="1:13" x14ac:dyDescent="0.3">
      <c r="A15" t="s">
        <v>9</v>
      </c>
      <c r="B15" t="s">
        <v>9</v>
      </c>
      <c r="C15"/>
      <c r="D15"/>
      <c r="E15"/>
      <c r="F15" t="s">
        <v>47</v>
      </c>
      <c r="G15" t="s">
        <v>27</v>
      </c>
      <c r="H15" t="s">
        <v>1030</v>
      </c>
      <c r="I15" t="s">
        <v>1793</v>
      </c>
      <c r="J15">
        <v>1</v>
      </c>
      <c r="L15" s="212" t="str">
        <f>IFERROR(VLOOKUP($H15,PARAMETERS!$M$3:$M$493,1,0),"---")</f>
        <v>---</v>
      </c>
    </row>
    <row r="16" spans="1:13" x14ac:dyDescent="0.3">
      <c r="A16" t="s">
        <v>9</v>
      </c>
      <c r="B16" t="s">
        <v>9</v>
      </c>
      <c r="C16"/>
      <c r="D16"/>
      <c r="E16"/>
      <c r="F16" t="s">
        <v>47</v>
      </c>
      <c r="G16" t="s">
        <v>27</v>
      </c>
      <c r="H16" t="s">
        <v>1031</v>
      </c>
      <c r="I16" t="s">
        <v>1032</v>
      </c>
      <c r="J16">
        <v>0</v>
      </c>
      <c r="L16" s="212" t="str">
        <f>IFERROR(VLOOKUP($H16,PARAMETERS!$M$3:$M$493,1,0),"---")</f>
        <v>---</v>
      </c>
    </row>
    <row r="17" spans="1:12" x14ac:dyDescent="0.3">
      <c r="A17" t="s">
        <v>9</v>
      </c>
      <c r="B17" t="s">
        <v>9</v>
      </c>
      <c r="C17"/>
      <c r="D17"/>
      <c r="E17"/>
      <c r="F17" t="s">
        <v>44</v>
      </c>
      <c r="G17" t="s">
        <v>27</v>
      </c>
      <c r="H17" t="s">
        <v>1033</v>
      </c>
      <c r="I17" t="s">
        <v>1034</v>
      </c>
      <c r="J17">
        <v>1</v>
      </c>
      <c r="L17" s="212" t="str">
        <f>IFERROR(VLOOKUP($H17,PARAMETERS!$M$3:$M$493,1,0),"---")</f>
        <v>---</v>
      </c>
    </row>
    <row r="18" spans="1:12" x14ac:dyDescent="0.3">
      <c r="A18" t="s">
        <v>9</v>
      </c>
      <c r="B18" t="s">
        <v>9</v>
      </c>
      <c r="C18"/>
      <c r="D18"/>
      <c r="E18"/>
      <c r="F18" t="s">
        <v>44</v>
      </c>
      <c r="G18" t="s">
        <v>27</v>
      </c>
      <c r="H18" t="s">
        <v>1035</v>
      </c>
      <c r="I18" t="s">
        <v>1036</v>
      </c>
      <c r="J18" t="s">
        <v>33</v>
      </c>
      <c r="L18" s="212" t="str">
        <f>IFERROR(VLOOKUP($H18,PARAMETERS!$M$3:$M$493,1,0),"---")</f>
        <v>---</v>
      </c>
    </row>
    <row r="19" spans="1:12" x14ac:dyDescent="0.3">
      <c r="A19" t="s">
        <v>9</v>
      </c>
      <c r="B19" t="s">
        <v>9</v>
      </c>
      <c r="C19"/>
      <c r="D19"/>
      <c r="E19"/>
      <c r="F19" t="s">
        <v>24</v>
      </c>
      <c r="G19" t="s">
        <v>27</v>
      </c>
      <c r="H19" t="s">
        <v>1037</v>
      </c>
      <c r="I19" t="s">
        <v>1038</v>
      </c>
      <c r="J19" t="s">
        <v>33</v>
      </c>
      <c r="L19" s="212" t="str">
        <f>IFERROR(VLOOKUP($H19,PARAMETERS!$M$3:$M$493,1,0),"---")</f>
        <v>---</v>
      </c>
    </row>
    <row r="20" spans="1:12" x14ac:dyDescent="0.3">
      <c r="A20" t="s">
        <v>9</v>
      </c>
      <c r="B20" t="s">
        <v>9</v>
      </c>
      <c r="C20"/>
      <c r="D20"/>
      <c r="E20"/>
      <c r="F20" t="s">
        <v>44</v>
      </c>
      <c r="G20" t="s">
        <v>27</v>
      </c>
      <c r="H20" t="s">
        <v>1039</v>
      </c>
      <c r="I20" t="s">
        <v>1794</v>
      </c>
      <c r="J20">
        <v>0</v>
      </c>
      <c r="L20" s="212" t="str">
        <f>IFERROR(VLOOKUP($H20,PARAMETERS!$M$3:$M$493,1,0),"---")</f>
        <v>---</v>
      </c>
    </row>
    <row r="21" spans="1:12" x14ac:dyDescent="0.3">
      <c r="A21" t="s">
        <v>9</v>
      </c>
      <c r="B21" t="s">
        <v>9</v>
      </c>
      <c r="C21"/>
      <c r="D21"/>
      <c r="E21" t="s">
        <v>9</v>
      </c>
      <c r="F21" t="s">
        <v>44</v>
      </c>
      <c r="G21" t="s">
        <v>27</v>
      </c>
      <c r="H21" t="s">
        <v>1040</v>
      </c>
      <c r="I21" t="s">
        <v>1041</v>
      </c>
      <c r="J21">
        <v>2</v>
      </c>
      <c r="L21" s="212" t="str">
        <f>IFERROR(VLOOKUP($H21,PARAMETERS!$M$3:$M$493,1,0),"---")</f>
        <v>---</v>
      </c>
    </row>
    <row r="22" spans="1:12" x14ac:dyDescent="0.3">
      <c r="A22" t="s">
        <v>9</v>
      </c>
      <c r="B22" t="s">
        <v>9</v>
      </c>
      <c r="C22"/>
      <c r="D22"/>
      <c r="E22" t="s">
        <v>9</v>
      </c>
      <c r="F22" t="s">
        <v>24</v>
      </c>
      <c r="G22" t="s">
        <v>27</v>
      </c>
      <c r="H22" t="s">
        <v>1042</v>
      </c>
      <c r="I22" t="s">
        <v>1795</v>
      </c>
      <c r="J22">
        <v>-0.255</v>
      </c>
      <c r="L22" s="212" t="str">
        <f>IFERROR(VLOOKUP($H22,PARAMETERS!$M$3:$M$493,1,0),"---")</f>
        <v>---</v>
      </c>
    </row>
    <row r="23" spans="1:12" x14ac:dyDescent="0.3">
      <c r="A23" t="s">
        <v>9</v>
      </c>
      <c r="B23" t="s">
        <v>9</v>
      </c>
      <c r="C23"/>
      <c r="D23"/>
      <c r="E23"/>
      <c r="F23" t="s">
        <v>44</v>
      </c>
      <c r="G23" t="s">
        <v>27</v>
      </c>
      <c r="H23" t="s">
        <v>1043</v>
      </c>
      <c r="I23" t="s">
        <v>1044</v>
      </c>
      <c r="J23">
        <v>1</v>
      </c>
      <c r="L23" s="212" t="str">
        <f>IFERROR(VLOOKUP($H23,PARAMETERS!$M$3:$M$493,1,0),"---")</f>
        <v>---</v>
      </c>
    </row>
    <row r="24" spans="1:12" x14ac:dyDescent="0.3">
      <c r="A24" t="s">
        <v>9</v>
      </c>
      <c r="B24" t="s">
        <v>9</v>
      </c>
      <c r="C24"/>
      <c r="D24"/>
      <c r="E24"/>
      <c r="F24" t="s">
        <v>44</v>
      </c>
      <c r="G24" t="s">
        <v>27</v>
      </c>
      <c r="H24" t="s">
        <v>1045</v>
      </c>
      <c r="J24">
        <v>2</v>
      </c>
      <c r="L24" s="212" t="str">
        <f>IFERROR(VLOOKUP($H24,PARAMETERS!$M$3:$M$493,1,0),"---")</f>
        <v>---</v>
      </c>
    </row>
    <row r="25" spans="1:12" x14ac:dyDescent="0.3">
      <c r="A25" t="s">
        <v>9</v>
      </c>
      <c r="B25" t="s">
        <v>9</v>
      </c>
      <c r="C25"/>
      <c r="D25"/>
      <c r="E25" t="s">
        <v>9</v>
      </c>
      <c r="F25" t="s">
        <v>44</v>
      </c>
      <c r="G25" t="s">
        <v>27</v>
      </c>
      <c r="H25" t="s">
        <v>1046</v>
      </c>
      <c r="I25" t="s">
        <v>1796</v>
      </c>
      <c r="J25">
        <v>0</v>
      </c>
      <c r="L25" s="212" t="str">
        <f>IFERROR(VLOOKUP($H25,PARAMETERS!$M$3:$M$493,1,0),"---")</f>
        <v>---</v>
      </c>
    </row>
    <row r="26" spans="1:12" x14ac:dyDescent="0.3">
      <c r="A26" t="s">
        <v>9</v>
      </c>
      <c r="B26" t="s">
        <v>9</v>
      </c>
      <c r="C26"/>
      <c r="D26"/>
      <c r="E26" t="s">
        <v>9</v>
      </c>
      <c r="F26" t="s">
        <v>44</v>
      </c>
      <c r="G26" t="s">
        <v>27</v>
      </c>
      <c r="H26" t="s">
        <v>1047</v>
      </c>
      <c r="I26" t="s">
        <v>1797</v>
      </c>
      <c r="J26">
        <v>3</v>
      </c>
      <c r="L26" s="212" t="str">
        <f>IFERROR(VLOOKUP($H26,PARAMETERS!$M$3:$M$493,1,0),"---")</f>
        <v>---</v>
      </c>
    </row>
    <row r="27" spans="1:12" x14ac:dyDescent="0.3">
      <c r="A27" t="s">
        <v>9</v>
      </c>
      <c r="B27"/>
      <c r="C27"/>
      <c r="D27"/>
      <c r="E27"/>
      <c r="F27" t="s">
        <v>57</v>
      </c>
      <c r="G27" t="s">
        <v>27</v>
      </c>
      <c r="H27" t="s">
        <v>465</v>
      </c>
      <c r="I27" t="s">
        <v>1798</v>
      </c>
      <c r="L27" s="212" t="str">
        <f>IFERROR(VLOOKUP($H27,PARAMETERS!$M$3:$M$493,1,0),"---")</f>
        <v>gs_door_sizes</v>
      </c>
    </row>
    <row r="28" spans="1:12" x14ac:dyDescent="0.3">
      <c r="A28" t="s">
        <v>9</v>
      </c>
      <c r="B28"/>
      <c r="C28"/>
      <c r="D28" t="s">
        <v>9</v>
      </c>
      <c r="E28"/>
      <c r="F28" t="s">
        <v>24</v>
      </c>
      <c r="G28" t="s">
        <v>27</v>
      </c>
      <c r="H28" t="s">
        <v>467</v>
      </c>
      <c r="I28" t="s">
        <v>468</v>
      </c>
      <c r="J28">
        <v>0</v>
      </c>
      <c r="L28" s="212" t="str">
        <f>IFERROR(VLOOKUP($H28,PARAMETERS!$M$3:$M$493,1,0),"---")</f>
        <v>gs_tolerance_left</v>
      </c>
    </row>
    <row r="29" spans="1:12" x14ac:dyDescent="0.3">
      <c r="A29" t="s">
        <v>9</v>
      </c>
      <c r="B29"/>
      <c r="C29"/>
      <c r="D29" t="s">
        <v>9</v>
      </c>
      <c r="E29"/>
      <c r="F29" t="s">
        <v>24</v>
      </c>
      <c r="G29" t="s">
        <v>27</v>
      </c>
      <c r="H29" t="s">
        <v>470</v>
      </c>
      <c r="I29" t="s">
        <v>471</v>
      </c>
      <c r="J29">
        <v>0</v>
      </c>
      <c r="L29" s="212" t="str">
        <f>IFERROR(VLOOKUP($H29,PARAMETERS!$M$3:$M$493,1,0),"---")</f>
        <v>gs_tolerance_right</v>
      </c>
    </row>
    <row r="30" spans="1:12" x14ac:dyDescent="0.3">
      <c r="A30" t="s">
        <v>9</v>
      </c>
      <c r="B30"/>
      <c r="C30"/>
      <c r="D30" t="s">
        <v>9</v>
      </c>
      <c r="E30"/>
      <c r="F30" t="s">
        <v>24</v>
      </c>
      <c r="G30" t="s">
        <v>27</v>
      </c>
      <c r="H30" t="s">
        <v>473</v>
      </c>
      <c r="I30" t="s">
        <v>474</v>
      </c>
      <c r="J30">
        <v>0</v>
      </c>
      <c r="L30" s="212" t="str">
        <f>IFERROR(VLOOKUP($H30,PARAMETERS!$M$3:$M$493,1,0),"---")</f>
        <v>gs_tolerance_upper</v>
      </c>
    </row>
    <row r="31" spans="1:12" x14ac:dyDescent="0.3">
      <c r="A31" t="s">
        <v>9</v>
      </c>
      <c r="B31" t="s">
        <v>9</v>
      </c>
      <c r="C31"/>
      <c r="D31" t="s">
        <v>9</v>
      </c>
      <c r="E31"/>
      <c r="F31" t="s">
        <v>24</v>
      </c>
      <c r="G31" t="s">
        <v>27</v>
      </c>
      <c r="H31" t="s">
        <v>476</v>
      </c>
      <c r="I31" t="s">
        <v>477</v>
      </c>
      <c r="J31">
        <v>0</v>
      </c>
      <c r="L31" s="212" t="str">
        <f>IFERROR(VLOOKUP($H31,PARAMETERS!$M$3:$M$493,1,0),"---")</f>
        <v>gs_tolerance_lower</v>
      </c>
    </row>
    <row r="32" spans="1:12" x14ac:dyDescent="0.3">
      <c r="A32" t="s">
        <v>9</v>
      </c>
      <c r="B32"/>
      <c r="C32"/>
      <c r="D32" t="s">
        <v>9</v>
      </c>
      <c r="E32"/>
      <c r="F32" t="s">
        <v>24</v>
      </c>
      <c r="G32" t="s">
        <v>27</v>
      </c>
      <c r="H32" t="s">
        <v>481</v>
      </c>
      <c r="I32" t="s">
        <v>482</v>
      </c>
      <c r="J32">
        <v>0</v>
      </c>
      <c r="L32" s="212" t="str">
        <f>IFERROR(VLOOKUP($H32,PARAMETERS!$M$3:$M$493,1,0),"---")</f>
        <v>gs_baurichtmass_outer_left</v>
      </c>
    </row>
    <row r="33" spans="1:12" x14ac:dyDescent="0.3">
      <c r="A33" t="s">
        <v>9</v>
      </c>
      <c r="B33"/>
      <c r="C33"/>
      <c r="D33" t="s">
        <v>9</v>
      </c>
      <c r="E33"/>
      <c r="F33" t="s">
        <v>24</v>
      </c>
      <c r="G33" t="s">
        <v>27</v>
      </c>
      <c r="H33" t="s">
        <v>483</v>
      </c>
      <c r="I33" t="s">
        <v>484</v>
      </c>
      <c r="J33">
        <v>0</v>
      </c>
      <c r="L33" s="212" t="str">
        <f>IFERROR(VLOOKUP($H33,PARAMETERS!$M$3:$M$493,1,0),"---")</f>
        <v>gs_baurichtmass_inner_left</v>
      </c>
    </row>
    <row r="34" spans="1:12" x14ac:dyDescent="0.3">
      <c r="A34" t="s">
        <v>9</v>
      </c>
      <c r="B34"/>
      <c r="C34"/>
      <c r="D34" t="s">
        <v>9</v>
      </c>
      <c r="E34"/>
      <c r="F34" t="s">
        <v>24</v>
      </c>
      <c r="G34" t="s">
        <v>27</v>
      </c>
      <c r="H34" t="s">
        <v>485</v>
      </c>
      <c r="I34" t="s">
        <v>486</v>
      </c>
      <c r="J34">
        <v>0</v>
      </c>
      <c r="L34" s="212" t="str">
        <f>IFERROR(VLOOKUP($H34,PARAMETERS!$M$3:$M$493,1,0),"---")</f>
        <v>gs_baurichtmass_outer_right</v>
      </c>
    </row>
    <row r="35" spans="1:12" x14ac:dyDescent="0.3">
      <c r="A35" t="s">
        <v>9</v>
      </c>
      <c r="B35"/>
      <c r="C35"/>
      <c r="D35" t="s">
        <v>9</v>
      </c>
      <c r="E35"/>
      <c r="F35" t="s">
        <v>24</v>
      </c>
      <c r="G35" t="s">
        <v>27</v>
      </c>
      <c r="H35" t="s">
        <v>487</v>
      </c>
      <c r="I35" t="s">
        <v>488</v>
      </c>
      <c r="J35">
        <v>0</v>
      </c>
      <c r="L35" s="212" t="str">
        <f>IFERROR(VLOOKUP($H35,PARAMETERS!$M$3:$M$493,1,0),"---")</f>
        <v>gs_baurichtmass_inner_right</v>
      </c>
    </row>
    <row r="36" spans="1:12" x14ac:dyDescent="0.3">
      <c r="A36" t="s">
        <v>9</v>
      </c>
      <c r="B36"/>
      <c r="C36"/>
      <c r="D36" t="s">
        <v>9</v>
      </c>
      <c r="E36"/>
      <c r="F36" t="s">
        <v>24</v>
      </c>
      <c r="G36" t="s">
        <v>27</v>
      </c>
      <c r="H36" t="s">
        <v>489</v>
      </c>
      <c r="I36" t="s">
        <v>490</v>
      </c>
      <c r="J36">
        <v>0</v>
      </c>
      <c r="L36" s="212" t="str">
        <f>IFERROR(VLOOKUP($H36,PARAMETERS!$M$3:$M$493,1,0),"---")</f>
        <v>gs_baurichtmass_outer_upper</v>
      </c>
    </row>
    <row r="37" spans="1:12" x14ac:dyDescent="0.3">
      <c r="A37" t="s">
        <v>9</v>
      </c>
      <c r="B37"/>
      <c r="C37"/>
      <c r="D37" t="s">
        <v>9</v>
      </c>
      <c r="E37"/>
      <c r="F37" t="s">
        <v>24</v>
      </c>
      <c r="G37" t="s">
        <v>27</v>
      </c>
      <c r="H37" t="s">
        <v>491</v>
      </c>
      <c r="I37" t="s">
        <v>492</v>
      </c>
      <c r="J37">
        <v>0</v>
      </c>
      <c r="L37" s="212" t="str">
        <f>IFERROR(VLOOKUP($H37,PARAMETERS!$M$3:$M$493,1,0),"---")</f>
        <v>gs_baurichtmass_inner_upper</v>
      </c>
    </row>
    <row r="38" spans="1:12" x14ac:dyDescent="0.3">
      <c r="A38" t="s">
        <v>9</v>
      </c>
      <c r="B38" t="s">
        <v>9</v>
      </c>
      <c r="C38"/>
      <c r="D38" t="s">
        <v>9</v>
      </c>
      <c r="E38"/>
      <c r="F38" t="s">
        <v>24</v>
      </c>
      <c r="G38" t="s">
        <v>27</v>
      </c>
      <c r="H38" t="s">
        <v>493</v>
      </c>
      <c r="I38" t="s">
        <v>494</v>
      </c>
      <c r="J38">
        <v>0</v>
      </c>
      <c r="L38" s="212" t="str">
        <f>IFERROR(VLOOKUP($H38,PARAMETERS!$M$3:$M$493,1,0),"---")</f>
        <v>gs_baurichtmass_outer_lower</v>
      </c>
    </row>
    <row r="39" spans="1:12" x14ac:dyDescent="0.3">
      <c r="A39" t="s">
        <v>9</v>
      </c>
      <c r="B39" t="s">
        <v>9</v>
      </c>
      <c r="C39"/>
      <c r="D39" t="s">
        <v>9</v>
      </c>
      <c r="E39"/>
      <c r="F39" t="s">
        <v>24</v>
      </c>
      <c r="G39" t="s">
        <v>27</v>
      </c>
      <c r="H39" t="s">
        <v>495</v>
      </c>
      <c r="I39" t="s">
        <v>496</v>
      </c>
      <c r="J39">
        <v>0</v>
      </c>
      <c r="L39" s="212" t="str">
        <f>IFERROR(VLOOKUP($H39,PARAMETERS!$M$3:$M$493,1,0),"---")</f>
        <v>gs_baurichtmass_inner_lower</v>
      </c>
    </row>
    <row r="40" spans="1:12" x14ac:dyDescent="0.3">
      <c r="A40" t="s">
        <v>9</v>
      </c>
      <c r="B40"/>
      <c r="C40"/>
      <c r="D40" t="s">
        <v>9</v>
      </c>
      <c r="E40"/>
      <c r="F40" t="s">
        <v>24</v>
      </c>
      <c r="G40" t="s">
        <v>27</v>
      </c>
      <c r="H40" t="s">
        <v>497</v>
      </c>
      <c r="I40" t="s">
        <v>498</v>
      </c>
      <c r="J40">
        <v>2.5099999999999998</v>
      </c>
      <c r="L40" s="212" t="str">
        <f>IFERROR(VLOOKUP($H40,PARAMETERS!$M$3:$M$493,1,0),"---")</f>
        <v>ac_wallhole_width</v>
      </c>
    </row>
    <row r="41" spans="1:12" x14ac:dyDescent="0.3">
      <c r="A41" t="s">
        <v>9</v>
      </c>
      <c r="B41"/>
      <c r="C41"/>
      <c r="D41" t="s">
        <v>9</v>
      </c>
      <c r="E41"/>
      <c r="F41" t="s">
        <v>24</v>
      </c>
      <c r="G41" t="s">
        <v>27</v>
      </c>
      <c r="H41" t="s">
        <v>501</v>
      </c>
      <c r="I41" t="s">
        <v>502</v>
      </c>
      <c r="J41">
        <v>2.5099999999999998</v>
      </c>
      <c r="L41" s="212" t="str">
        <f>IFERROR(VLOOKUP($H41,PARAMETERS!$M$3:$M$493,1,0),"---")</f>
        <v>ac_wallhole_height</v>
      </c>
    </row>
    <row r="42" spans="1:12" x14ac:dyDescent="0.3">
      <c r="A42" t="s">
        <v>9</v>
      </c>
      <c r="B42" t="s">
        <v>9</v>
      </c>
      <c r="C42"/>
      <c r="D42" t="s">
        <v>9</v>
      </c>
      <c r="E42" t="s">
        <v>9</v>
      </c>
      <c r="F42" t="s">
        <v>24</v>
      </c>
      <c r="G42" t="s">
        <v>27</v>
      </c>
      <c r="H42" t="s">
        <v>505</v>
      </c>
      <c r="I42" t="s">
        <v>502</v>
      </c>
      <c r="J42">
        <v>2.5099999999999998</v>
      </c>
      <c r="L42" s="212" t="str">
        <f>IFERROR(VLOOKUP($H42,PARAMETERS!$M$3:$M$493,1,0),"---")</f>
        <v>ac_wallhole_height_original</v>
      </c>
    </row>
    <row r="43" spans="1:12" x14ac:dyDescent="0.3">
      <c r="A43" t="s">
        <v>9</v>
      </c>
      <c r="B43"/>
      <c r="C43"/>
      <c r="D43" t="s">
        <v>9</v>
      </c>
      <c r="E43"/>
      <c r="F43" t="s">
        <v>24</v>
      </c>
      <c r="G43" t="s">
        <v>27</v>
      </c>
      <c r="H43" t="s">
        <v>506</v>
      </c>
      <c r="I43" t="s">
        <v>507</v>
      </c>
      <c r="J43">
        <v>2.5099999999999998</v>
      </c>
      <c r="L43" s="212" t="str">
        <f>IFERROR(VLOOKUP($H43,PARAMETERS!$M$3:$M$493,1,0),"---")</f>
        <v>ac_reveal_width</v>
      </c>
    </row>
    <row r="44" spans="1:12" x14ac:dyDescent="0.3">
      <c r="A44" t="s">
        <v>9</v>
      </c>
      <c r="B44"/>
      <c r="C44"/>
      <c r="D44" t="s">
        <v>9</v>
      </c>
      <c r="E44"/>
      <c r="F44" t="s">
        <v>24</v>
      </c>
      <c r="G44" t="s">
        <v>27</v>
      </c>
      <c r="H44" t="s">
        <v>508</v>
      </c>
      <c r="I44" t="s">
        <v>509</v>
      </c>
      <c r="J44">
        <v>2.5099999999999998</v>
      </c>
      <c r="L44" s="212" t="str">
        <f>IFERROR(VLOOKUP($H44,PARAMETERS!$M$3:$M$493,1,0),"---")</f>
        <v>ac_reveal_height</v>
      </c>
    </row>
    <row r="45" spans="1:12" x14ac:dyDescent="0.3">
      <c r="A45" t="s">
        <v>9</v>
      </c>
      <c r="B45" t="s">
        <v>9</v>
      </c>
      <c r="C45"/>
      <c r="D45" t="s">
        <v>9</v>
      </c>
      <c r="E45" t="s">
        <v>9</v>
      </c>
      <c r="F45" t="s">
        <v>24</v>
      </c>
      <c r="G45" t="s">
        <v>27</v>
      </c>
      <c r="H45" t="s">
        <v>510</v>
      </c>
      <c r="I45" t="s">
        <v>509</v>
      </c>
      <c r="J45">
        <v>2.5099999999999998</v>
      </c>
      <c r="L45" s="212" t="str">
        <f>IFERROR(VLOOKUP($H45,PARAMETERS!$M$3:$M$493,1,0),"---")</f>
        <v>ac_reveal_height_original</v>
      </c>
    </row>
    <row r="46" spans="1:12" x14ac:dyDescent="0.3">
      <c r="A46" t="s">
        <v>9</v>
      </c>
      <c r="B46"/>
      <c r="C46"/>
      <c r="D46" t="s">
        <v>9</v>
      </c>
      <c r="E46"/>
      <c r="F46" t="s">
        <v>24</v>
      </c>
      <c r="G46" t="s">
        <v>27</v>
      </c>
      <c r="H46" t="s">
        <v>511</v>
      </c>
      <c r="I46" t="s">
        <v>512</v>
      </c>
      <c r="J46">
        <v>2.5099999999999998</v>
      </c>
      <c r="L46" s="212" t="str">
        <f>IFERROR(VLOOKUP($H46,PARAMETERS!$M$3:$M$493,1,0),"---")</f>
        <v>ac_unit_width</v>
      </c>
    </row>
    <row r="47" spans="1:12" x14ac:dyDescent="0.3">
      <c r="A47" t="s">
        <v>9</v>
      </c>
      <c r="B47"/>
      <c r="C47"/>
      <c r="D47" t="s">
        <v>9</v>
      </c>
      <c r="E47"/>
      <c r="F47" t="s">
        <v>24</v>
      </c>
      <c r="G47" t="s">
        <v>27</v>
      </c>
      <c r="H47" t="s">
        <v>513</v>
      </c>
      <c r="I47" t="s">
        <v>514</v>
      </c>
      <c r="J47">
        <v>2.5099999999999998</v>
      </c>
      <c r="L47" s="212" t="str">
        <f>IFERROR(VLOOKUP($H47,PARAMETERS!$M$3:$M$493,1,0),"---")</f>
        <v>ac_unit_height</v>
      </c>
    </row>
    <row r="48" spans="1:12" x14ac:dyDescent="0.3">
      <c r="A48" t="s">
        <v>9</v>
      </c>
      <c r="B48"/>
      <c r="C48"/>
      <c r="D48" t="s">
        <v>9</v>
      </c>
      <c r="E48" t="s">
        <v>9</v>
      </c>
      <c r="F48" t="s">
        <v>24</v>
      </c>
      <c r="G48" t="s">
        <v>27</v>
      </c>
      <c r="H48" t="s">
        <v>515</v>
      </c>
      <c r="I48" t="s">
        <v>516</v>
      </c>
      <c r="J48">
        <v>2.5099999999999998</v>
      </c>
      <c r="L48" s="212" t="str">
        <f>IFERROR(VLOOKUP($H48,PARAMETERS!$M$3:$M$493,1,0),"---")</f>
        <v>ac_baurichtmass_width</v>
      </c>
    </row>
    <row r="49" spans="1:12" x14ac:dyDescent="0.3">
      <c r="A49" t="s">
        <v>9</v>
      </c>
      <c r="B49"/>
      <c r="C49"/>
      <c r="D49" t="s">
        <v>9</v>
      </c>
      <c r="E49" t="s">
        <v>9</v>
      </c>
      <c r="F49" t="s">
        <v>24</v>
      </c>
      <c r="G49" t="s">
        <v>27</v>
      </c>
      <c r="H49" t="s">
        <v>517</v>
      </c>
      <c r="I49" t="s">
        <v>518</v>
      </c>
      <c r="J49">
        <v>2.5099999999999998</v>
      </c>
      <c r="L49" s="212" t="str">
        <f>IFERROR(VLOOKUP($H49,PARAMETERS!$M$3:$M$493,1,0),"---")</f>
        <v>ac_baurichtmass_height</v>
      </c>
    </row>
    <row r="50" spans="1:12" x14ac:dyDescent="0.3">
      <c r="A50" t="s">
        <v>9</v>
      </c>
      <c r="B50"/>
      <c r="C50"/>
      <c r="D50" t="s">
        <v>9</v>
      </c>
      <c r="E50"/>
      <c r="F50" t="s">
        <v>24</v>
      </c>
      <c r="G50" t="s">
        <v>27</v>
      </c>
      <c r="H50" t="s">
        <v>519</v>
      </c>
      <c r="I50" t="s">
        <v>520</v>
      </c>
      <c r="J50">
        <v>1.3</v>
      </c>
      <c r="L50" s="212" t="str">
        <f>IFERROR(VLOOKUP($H50,PARAMETERS!$M$3:$M$493,1,0),"---")</f>
        <v>ac_egress_width</v>
      </c>
    </row>
    <row r="51" spans="1:12" x14ac:dyDescent="0.3">
      <c r="A51" t="s">
        <v>9</v>
      </c>
      <c r="B51"/>
      <c r="C51"/>
      <c r="D51" t="s">
        <v>9</v>
      </c>
      <c r="E51"/>
      <c r="F51" t="s">
        <v>24</v>
      </c>
      <c r="G51" t="s">
        <v>27</v>
      </c>
      <c r="H51" t="s">
        <v>522</v>
      </c>
      <c r="I51" t="s">
        <v>523</v>
      </c>
      <c r="J51">
        <v>2.0099999999999998</v>
      </c>
      <c r="L51" s="212" t="str">
        <f>IFERROR(VLOOKUP($H51,PARAMETERS!$M$3:$M$493,1,0),"---")</f>
        <v>ac_egress_height</v>
      </c>
    </row>
    <row r="52" spans="1:12" x14ac:dyDescent="0.3">
      <c r="A52" t="s">
        <v>9</v>
      </c>
      <c r="B52"/>
      <c r="C52"/>
      <c r="D52" t="s">
        <v>9</v>
      </c>
      <c r="E52"/>
      <c r="F52" t="s">
        <v>24</v>
      </c>
      <c r="G52" t="s">
        <v>27</v>
      </c>
      <c r="H52" t="s">
        <v>530</v>
      </c>
      <c r="I52" t="s">
        <v>532</v>
      </c>
      <c r="J52">
        <v>1.33</v>
      </c>
      <c r="L52" s="212" t="str">
        <f>IFERROR(VLOOKUP($H52,PARAMETERS!$M$3:$M$493,1,0),"---")</f>
        <v>ac_leaf_width</v>
      </c>
    </row>
    <row r="53" spans="1:12" x14ac:dyDescent="0.3">
      <c r="A53" t="s">
        <v>9</v>
      </c>
      <c r="B53"/>
      <c r="C53"/>
      <c r="D53" t="s">
        <v>9</v>
      </c>
      <c r="E53"/>
      <c r="F53" t="s">
        <v>24</v>
      </c>
      <c r="G53" t="s">
        <v>27</v>
      </c>
      <c r="H53" t="s">
        <v>534</v>
      </c>
      <c r="I53" t="s">
        <v>536</v>
      </c>
      <c r="J53">
        <v>2.02</v>
      </c>
      <c r="L53" s="212" t="str">
        <f>IFERROR(VLOOKUP($H53,PARAMETERS!$M$3:$M$493,1,0),"---")</f>
        <v>ac_leaf_height</v>
      </c>
    </row>
    <row r="54" spans="1:12" x14ac:dyDescent="0.3">
      <c r="A54" t="s">
        <v>9</v>
      </c>
      <c r="B54" t="s">
        <v>9</v>
      </c>
      <c r="C54"/>
      <c r="D54" t="s">
        <v>9</v>
      </c>
      <c r="E54"/>
      <c r="F54" t="s">
        <v>44</v>
      </c>
      <c r="G54" t="s">
        <v>27</v>
      </c>
      <c r="H54" t="s">
        <v>538</v>
      </c>
      <c r="I54" t="s">
        <v>539</v>
      </c>
      <c r="J54">
        <v>0</v>
      </c>
      <c r="L54" s="212" t="str">
        <f>IFERROR(VLOOKUP($H54,PARAMETERS!$M$3:$M$493,1,0),"---")</f>
        <v>gs_nominal_size</v>
      </c>
    </row>
    <row r="55" spans="1:12" x14ac:dyDescent="0.3">
      <c r="A55" t="s">
        <v>9</v>
      </c>
      <c r="B55"/>
      <c r="C55"/>
      <c r="D55" t="s">
        <v>9</v>
      </c>
      <c r="E55"/>
      <c r="F55" t="s">
        <v>47</v>
      </c>
      <c r="G55" t="s">
        <v>27</v>
      </c>
      <c r="H55" t="s">
        <v>540</v>
      </c>
      <c r="I55" t="s">
        <v>541</v>
      </c>
      <c r="J55">
        <v>0</v>
      </c>
      <c r="L55" s="212" t="str">
        <f>IFERROR(VLOOKUP($H55,PARAMETERS!$M$3:$M$493,1,0),"---")</f>
        <v>gs_wallhole_nominal</v>
      </c>
    </row>
    <row r="56" spans="1:12" x14ac:dyDescent="0.3">
      <c r="A56" t="s">
        <v>9</v>
      </c>
      <c r="B56"/>
      <c r="C56"/>
      <c r="D56" t="s">
        <v>9</v>
      </c>
      <c r="E56"/>
      <c r="F56" t="s">
        <v>47</v>
      </c>
      <c r="G56" t="s">
        <v>27</v>
      </c>
      <c r="H56" t="s">
        <v>542</v>
      </c>
      <c r="I56" t="s">
        <v>543</v>
      </c>
      <c r="J56">
        <v>1</v>
      </c>
      <c r="L56" s="212" t="str">
        <f>IFERROR(VLOOKUP($H56,PARAMETERS!$M$3:$M$493,1,0),"---")</f>
        <v>gs_reveal_nominal</v>
      </c>
    </row>
    <row r="57" spans="1:12" x14ac:dyDescent="0.3">
      <c r="A57" t="s">
        <v>9</v>
      </c>
      <c r="B57"/>
      <c r="C57"/>
      <c r="D57" t="s">
        <v>9</v>
      </c>
      <c r="E57"/>
      <c r="F57" t="s">
        <v>47</v>
      </c>
      <c r="G57" t="s">
        <v>27</v>
      </c>
      <c r="H57" t="s">
        <v>544</v>
      </c>
      <c r="I57" t="s">
        <v>545</v>
      </c>
      <c r="J57">
        <v>0</v>
      </c>
      <c r="L57" s="212" t="str">
        <f>IFERROR(VLOOKUP($H57,PARAMETERS!$M$3:$M$493,1,0),"---")</f>
        <v>gs_unit_nominal</v>
      </c>
    </row>
    <row r="58" spans="1:12" x14ac:dyDescent="0.3">
      <c r="A58" t="s">
        <v>9</v>
      </c>
      <c r="B58"/>
      <c r="C58"/>
      <c r="D58" t="s">
        <v>9</v>
      </c>
      <c r="E58"/>
      <c r="F58" t="s">
        <v>47</v>
      </c>
      <c r="G58" t="s">
        <v>27</v>
      </c>
      <c r="H58" t="s">
        <v>546</v>
      </c>
      <c r="I58" t="s">
        <v>547</v>
      </c>
      <c r="J58">
        <v>0</v>
      </c>
      <c r="L58" s="212" t="str">
        <f>IFERROR(VLOOKUP($H58,PARAMETERS!$M$3:$M$493,1,0),"---")</f>
        <v>gs_baurichtmass_nominal</v>
      </c>
    </row>
    <row r="59" spans="1:12" x14ac:dyDescent="0.3">
      <c r="A59" t="s">
        <v>9</v>
      </c>
      <c r="B59"/>
      <c r="C59"/>
      <c r="D59" t="s">
        <v>9</v>
      </c>
      <c r="E59"/>
      <c r="F59" t="s">
        <v>47</v>
      </c>
      <c r="G59" t="s">
        <v>27</v>
      </c>
      <c r="H59" t="s">
        <v>548</v>
      </c>
      <c r="I59" t="s">
        <v>549</v>
      </c>
      <c r="J59">
        <v>0</v>
      </c>
      <c r="L59" s="212" t="str">
        <f>IFERROR(VLOOKUP($H59,PARAMETERS!$M$3:$M$493,1,0),"---")</f>
        <v>gs_egress_nominal</v>
      </c>
    </row>
    <row r="60" spans="1:12" x14ac:dyDescent="0.3">
      <c r="A60" t="s">
        <v>9</v>
      </c>
      <c r="B60"/>
      <c r="C60"/>
      <c r="D60" t="s">
        <v>9</v>
      </c>
      <c r="E60"/>
      <c r="F60" t="s">
        <v>47</v>
      </c>
      <c r="G60" t="s">
        <v>27</v>
      </c>
      <c r="H60" t="s">
        <v>550</v>
      </c>
      <c r="I60" t="s">
        <v>551</v>
      </c>
      <c r="J60">
        <v>0</v>
      </c>
      <c r="L60" s="212" t="str">
        <f>IFERROR(VLOOKUP($H60,PARAMETERS!$M$3:$M$493,1,0),"---")</f>
        <v>gs_leaf_nominal</v>
      </c>
    </row>
    <row r="61" spans="1:12" x14ac:dyDescent="0.3">
      <c r="A61" t="s">
        <v>9</v>
      </c>
      <c r="B61"/>
      <c r="C61"/>
      <c r="D61" t="s">
        <v>9</v>
      </c>
      <c r="E61"/>
      <c r="F61" t="s">
        <v>47</v>
      </c>
      <c r="G61" t="s">
        <v>27</v>
      </c>
      <c r="H61" t="s">
        <v>552</v>
      </c>
      <c r="I61" t="s">
        <v>553</v>
      </c>
      <c r="J61">
        <v>1</v>
      </c>
      <c r="L61" s="212" t="str">
        <f>IFERROR(VLOOKUP($H61,PARAMETERS!$M$3:$M$493,1,0),"---")</f>
        <v>gs_retain_nominal_sizes</v>
      </c>
    </row>
    <row r="62" spans="1:12" x14ac:dyDescent="0.3">
      <c r="A62" t="s">
        <v>9</v>
      </c>
      <c r="B62"/>
      <c r="C62"/>
      <c r="D62"/>
      <c r="E62"/>
      <c r="F62" t="s">
        <v>57</v>
      </c>
      <c r="G62" t="s">
        <v>27</v>
      </c>
      <c r="H62" t="s">
        <v>763</v>
      </c>
      <c r="I62" t="s">
        <v>1799</v>
      </c>
      <c r="L62" s="212" t="str">
        <f>IFERROR(VLOOKUP($H62,PARAMETERS!$M$3:$M$493,1,0),"---")</f>
        <v>gs_door_panel</v>
      </c>
    </row>
    <row r="63" spans="1:12" x14ac:dyDescent="0.3">
      <c r="A63"/>
      <c r="B63"/>
      <c r="C63"/>
      <c r="D63" t="s">
        <v>9</v>
      </c>
      <c r="E63"/>
      <c r="F63" t="s">
        <v>47</v>
      </c>
      <c r="G63" t="s">
        <v>27</v>
      </c>
      <c r="H63" t="s">
        <v>770</v>
      </c>
      <c r="I63" t="s">
        <v>771</v>
      </c>
      <c r="J63">
        <v>0</v>
      </c>
      <c r="L63" s="212" t="str">
        <f>IFERROR(VLOOKUP($H63,PARAMETERS!$M$3:$M$493,1,0),"---")</f>
        <v>bUniformPanels1</v>
      </c>
    </row>
    <row r="64" spans="1:12" x14ac:dyDescent="0.3">
      <c r="A64"/>
      <c r="B64"/>
      <c r="C64"/>
      <c r="D64" t="s">
        <v>9</v>
      </c>
      <c r="E64"/>
      <c r="F64" t="s">
        <v>47</v>
      </c>
      <c r="G64" t="s">
        <v>27</v>
      </c>
      <c r="H64" t="s">
        <v>772</v>
      </c>
      <c r="I64" t="s">
        <v>773</v>
      </c>
      <c r="J64">
        <v>0</v>
      </c>
      <c r="L64" s="212" t="str">
        <f>IFERROR(VLOOKUP($H64,PARAMETERS!$M$3:$M$493,1,0),"---")</f>
        <v>bUniformPanels2</v>
      </c>
    </row>
    <row r="65" spans="1:12" x14ac:dyDescent="0.3">
      <c r="A65" t="s">
        <v>9</v>
      </c>
      <c r="B65"/>
      <c r="C65"/>
      <c r="D65" t="s">
        <v>9</v>
      </c>
      <c r="E65"/>
      <c r="F65" t="s">
        <v>44</v>
      </c>
      <c r="G65" t="s">
        <v>27</v>
      </c>
      <c r="H65" t="s">
        <v>774</v>
      </c>
      <c r="I65" t="s">
        <v>764</v>
      </c>
      <c r="J65">
        <v>1</v>
      </c>
      <c r="L65" s="212" t="str">
        <f>IFERROR(VLOOKUP($H65,PARAMETERS!$M$3:$M$493,1,0),"---")</f>
        <v>---</v>
      </c>
    </row>
    <row r="66" spans="1:12" x14ac:dyDescent="0.3">
      <c r="A66"/>
      <c r="B66"/>
      <c r="C66"/>
      <c r="D66" t="s">
        <v>9</v>
      </c>
      <c r="E66"/>
      <c r="F66" t="s">
        <v>44</v>
      </c>
      <c r="G66" t="s">
        <v>27</v>
      </c>
      <c r="H66" t="s">
        <v>775</v>
      </c>
      <c r="I66" t="s">
        <v>776</v>
      </c>
      <c r="J66">
        <v>1</v>
      </c>
      <c r="L66" s="212" t="str">
        <f>IFERROR(VLOOKUP($H66,PARAMETERS!$M$3:$M$493,1,0),"---")</f>
        <v>---</v>
      </c>
    </row>
    <row r="67" spans="1:12" x14ac:dyDescent="0.3">
      <c r="A67" t="s">
        <v>9</v>
      </c>
      <c r="B67"/>
      <c r="C67"/>
      <c r="D67" t="s">
        <v>9</v>
      </c>
      <c r="E67"/>
      <c r="F67" t="s">
        <v>18</v>
      </c>
      <c r="G67" t="s">
        <v>27</v>
      </c>
      <c r="H67" t="s">
        <v>768</v>
      </c>
      <c r="I67" t="s">
        <v>1296</v>
      </c>
      <c r="L67" s="212" t="str">
        <f>IFERROR(VLOOKUP($H67,PARAMETERS!$M$3:$M$493,1,0),"---")</f>
        <v>---</v>
      </c>
    </row>
    <row r="68" spans="1:12" x14ac:dyDescent="0.3">
      <c r="A68"/>
      <c r="B68"/>
      <c r="C68"/>
      <c r="D68" t="s">
        <v>9</v>
      </c>
      <c r="E68"/>
      <c r="F68" t="s">
        <v>18</v>
      </c>
      <c r="G68" t="s">
        <v>27</v>
      </c>
      <c r="H68" t="s">
        <v>769</v>
      </c>
      <c r="I68" t="s">
        <v>1800</v>
      </c>
      <c r="L68" s="212" t="str">
        <f>IFERROR(VLOOKUP($H68,PARAMETERS!$M$3:$M$493,1,0),"---")</f>
        <v>---</v>
      </c>
    </row>
    <row r="69" spans="1:12" x14ac:dyDescent="0.3">
      <c r="A69" t="s">
        <v>9</v>
      </c>
      <c r="B69"/>
      <c r="C69"/>
      <c r="D69" t="s">
        <v>9</v>
      </c>
      <c r="E69"/>
      <c r="F69" t="s">
        <v>24</v>
      </c>
      <c r="G69" t="s">
        <v>27</v>
      </c>
      <c r="H69" t="s">
        <v>787</v>
      </c>
      <c r="I69" t="s">
        <v>788</v>
      </c>
      <c r="J69">
        <v>5.0000000000000001E-3</v>
      </c>
      <c r="L69" s="212" t="str">
        <f>IFERROR(VLOOKUP($H69,PARAMETERS!$M$3:$M$493,1,0),"---")</f>
        <v>gapHeightUnderPanel</v>
      </c>
    </row>
    <row r="70" spans="1:12" x14ac:dyDescent="0.3">
      <c r="A70" t="s">
        <v>9</v>
      </c>
      <c r="B70"/>
      <c r="C70"/>
      <c r="D70" t="s">
        <v>9</v>
      </c>
      <c r="E70"/>
      <c r="F70" t="s">
        <v>24</v>
      </c>
      <c r="G70" t="s">
        <v>27</v>
      </c>
      <c r="H70" t="s">
        <v>781</v>
      </c>
      <c r="I70" t="s">
        <v>782</v>
      </c>
      <c r="J70">
        <v>0.04</v>
      </c>
      <c r="L70" s="212" t="str">
        <f>IFERROR(VLOOKUP($H70,PARAMETERS!$M$3:$M$493,1,0),"---")</f>
        <v>gs_leaf_thk</v>
      </c>
    </row>
    <row r="71" spans="1:12" x14ac:dyDescent="0.3">
      <c r="A71" t="s">
        <v>9</v>
      </c>
      <c r="B71"/>
      <c r="C71"/>
      <c r="D71" t="s">
        <v>9</v>
      </c>
      <c r="E71"/>
      <c r="F71" t="s">
        <v>24</v>
      </c>
      <c r="G71" t="s">
        <v>27</v>
      </c>
      <c r="H71" t="s">
        <v>718</v>
      </c>
      <c r="I71" t="s">
        <v>719</v>
      </c>
      <c r="J71">
        <v>1.4999999999999999E-2</v>
      </c>
      <c r="L71" s="212" t="str">
        <f>IFERROR(VLOOKUP($H71,PARAMETERS!$M$3:$M$493,1,0),"---")</f>
        <v>gs_vb</v>
      </c>
    </row>
    <row r="72" spans="1:12" x14ac:dyDescent="0.3">
      <c r="A72" t="s">
        <v>9</v>
      </c>
      <c r="B72"/>
      <c r="C72"/>
      <c r="D72" t="s">
        <v>9</v>
      </c>
      <c r="E72"/>
      <c r="F72" t="s">
        <v>24</v>
      </c>
      <c r="G72" t="s">
        <v>27</v>
      </c>
      <c r="H72" t="s">
        <v>721</v>
      </c>
      <c r="I72" t="s">
        <v>722</v>
      </c>
      <c r="J72">
        <v>0.02</v>
      </c>
      <c r="L72" s="212" t="str">
        <f>IFERROR(VLOOKUP($H72,PARAMETERS!$M$3:$M$493,1,0),"---")</f>
        <v>gs_vt</v>
      </c>
    </row>
    <row r="73" spans="1:12" x14ac:dyDescent="0.3">
      <c r="A73" t="s">
        <v>9</v>
      </c>
      <c r="B73"/>
      <c r="C73"/>
      <c r="D73" t="s">
        <v>9</v>
      </c>
      <c r="E73"/>
      <c r="F73" t="s">
        <v>24</v>
      </c>
      <c r="G73" t="s">
        <v>27</v>
      </c>
      <c r="H73" t="s">
        <v>797</v>
      </c>
      <c r="I73" t="s">
        <v>798</v>
      </c>
      <c r="J73">
        <v>0.02</v>
      </c>
      <c r="L73" s="212" t="str">
        <f>IFERROR(VLOOKUP($H73,PARAMETERS!$M$3:$M$493,1,0),"---")</f>
        <v>---</v>
      </c>
    </row>
    <row r="74" spans="1:12" x14ac:dyDescent="0.3">
      <c r="A74"/>
      <c r="B74"/>
      <c r="C74"/>
      <c r="D74" t="s">
        <v>9</v>
      </c>
      <c r="E74"/>
      <c r="F74" t="s">
        <v>24</v>
      </c>
      <c r="G74" t="s">
        <v>27</v>
      </c>
      <c r="H74" t="s">
        <v>799</v>
      </c>
      <c r="I74" t="s">
        <v>800</v>
      </c>
      <c r="J74">
        <v>0.02</v>
      </c>
      <c r="L74" s="212" t="str">
        <f>IFERROR(VLOOKUP($H74,PARAMETERS!$M$3:$M$493,1,0),"---")</f>
        <v>---</v>
      </c>
    </row>
    <row r="75" spans="1:12" x14ac:dyDescent="0.3">
      <c r="A75" t="s">
        <v>9</v>
      </c>
      <c r="B75"/>
      <c r="C75"/>
      <c r="D75" t="s">
        <v>9</v>
      </c>
      <c r="E75"/>
      <c r="F75" t="s">
        <v>24</v>
      </c>
      <c r="G75" t="s">
        <v>27</v>
      </c>
      <c r="H75" t="s">
        <v>803</v>
      </c>
      <c r="I75" t="s">
        <v>804</v>
      </c>
      <c r="J75">
        <v>0.1</v>
      </c>
      <c r="L75" s="212" t="str">
        <f>IFERROR(VLOOKUP($H75,PARAMETERS!$M$3:$M$493,1,0),"---")</f>
        <v>leafFrWidthLeft</v>
      </c>
    </row>
    <row r="76" spans="1:12" x14ac:dyDescent="0.3">
      <c r="A76"/>
      <c r="B76"/>
      <c r="C76"/>
      <c r="D76" t="s">
        <v>9</v>
      </c>
      <c r="E76"/>
      <c r="F76" t="s">
        <v>24</v>
      </c>
      <c r="G76" t="s">
        <v>27</v>
      </c>
      <c r="H76" t="s">
        <v>805</v>
      </c>
      <c r="I76" t="s">
        <v>806</v>
      </c>
      <c r="J76">
        <v>0.1</v>
      </c>
      <c r="L76" s="212" t="str">
        <f>IFERROR(VLOOKUP($H76,PARAMETERS!$M$3:$M$493,1,0),"---")</f>
        <v>leafFrWidthLeft2</v>
      </c>
    </row>
    <row r="77" spans="1:12" x14ac:dyDescent="0.3">
      <c r="A77" t="s">
        <v>9</v>
      </c>
      <c r="B77"/>
      <c r="C77"/>
      <c r="D77" t="s">
        <v>9</v>
      </c>
      <c r="E77"/>
      <c r="F77" t="s">
        <v>24</v>
      </c>
      <c r="G77" t="s">
        <v>27</v>
      </c>
      <c r="H77" t="s">
        <v>807</v>
      </c>
      <c r="I77" t="s">
        <v>808</v>
      </c>
      <c r="J77">
        <v>0.1</v>
      </c>
      <c r="L77" s="212" t="str">
        <f>IFERROR(VLOOKUP($H77,PARAMETERS!$M$3:$M$493,1,0),"---")</f>
        <v>leafFrWidthRight</v>
      </c>
    </row>
    <row r="78" spans="1:12" x14ac:dyDescent="0.3">
      <c r="A78"/>
      <c r="B78"/>
      <c r="C78"/>
      <c r="D78" t="s">
        <v>9</v>
      </c>
      <c r="E78"/>
      <c r="F78" t="s">
        <v>24</v>
      </c>
      <c r="G78" t="s">
        <v>27</v>
      </c>
      <c r="H78" t="s">
        <v>809</v>
      </c>
      <c r="I78" t="s">
        <v>810</v>
      </c>
      <c r="J78">
        <v>0.1</v>
      </c>
      <c r="L78" s="212" t="str">
        <f>IFERROR(VLOOKUP($H78,PARAMETERS!$M$3:$M$493,1,0),"---")</f>
        <v>leafFrWidthRight2</v>
      </c>
    </row>
    <row r="79" spans="1:12" x14ac:dyDescent="0.3">
      <c r="A79" t="s">
        <v>9</v>
      </c>
      <c r="B79"/>
      <c r="C79"/>
      <c r="D79" t="s">
        <v>9</v>
      </c>
      <c r="E79"/>
      <c r="F79" t="s">
        <v>24</v>
      </c>
      <c r="G79" t="s">
        <v>27</v>
      </c>
      <c r="H79" t="s">
        <v>811</v>
      </c>
      <c r="I79" t="s">
        <v>812</v>
      </c>
      <c r="J79">
        <v>0.9</v>
      </c>
      <c r="L79" s="212" t="str">
        <f>IFERROR(VLOOKUP($H79,PARAMETERS!$M$3:$M$493,1,0),"---")</f>
        <v>---</v>
      </c>
    </row>
    <row r="80" spans="1:12" x14ac:dyDescent="0.3">
      <c r="A80"/>
      <c r="B80"/>
      <c r="C80"/>
      <c r="D80" t="s">
        <v>9</v>
      </c>
      <c r="E80"/>
      <c r="F80" t="s">
        <v>24</v>
      </c>
      <c r="G80" t="s">
        <v>27</v>
      </c>
      <c r="H80" t="s">
        <v>813</v>
      </c>
      <c r="I80" t="s">
        <v>814</v>
      </c>
      <c r="J80">
        <v>0.9</v>
      </c>
      <c r="L80" s="212" t="str">
        <f>IFERROR(VLOOKUP($H80,PARAMETERS!$M$3:$M$493,1,0),"---")</f>
        <v>---</v>
      </c>
    </row>
    <row r="81" spans="1:12" x14ac:dyDescent="0.3">
      <c r="A81" t="s">
        <v>9</v>
      </c>
      <c r="B81"/>
      <c r="C81"/>
      <c r="D81" t="s">
        <v>9</v>
      </c>
      <c r="E81"/>
      <c r="F81" t="s">
        <v>24</v>
      </c>
      <c r="G81" t="s">
        <v>27</v>
      </c>
      <c r="H81" t="s">
        <v>815</v>
      </c>
      <c r="I81" t="s">
        <v>816</v>
      </c>
      <c r="J81">
        <v>0.1</v>
      </c>
      <c r="L81" s="212" t="str">
        <f>IFERROR(VLOOKUP($H81,PARAMETERS!$M$3:$M$493,1,0),"---")</f>
        <v>---</v>
      </c>
    </row>
    <row r="82" spans="1:12" x14ac:dyDescent="0.3">
      <c r="A82"/>
      <c r="B82"/>
      <c r="C82"/>
      <c r="D82" t="s">
        <v>9</v>
      </c>
      <c r="E82"/>
      <c r="F82" t="s">
        <v>24</v>
      </c>
      <c r="G82" t="s">
        <v>27</v>
      </c>
      <c r="H82" t="s">
        <v>817</v>
      </c>
      <c r="I82" t="s">
        <v>818</v>
      </c>
      <c r="J82">
        <v>0.1</v>
      </c>
      <c r="L82" s="212" t="str">
        <f>IFERROR(VLOOKUP($H82,PARAMETERS!$M$3:$M$493,1,0),"---")</f>
        <v>---</v>
      </c>
    </row>
    <row r="83" spans="1:12" x14ac:dyDescent="0.3">
      <c r="A83" t="s">
        <v>9</v>
      </c>
      <c r="B83"/>
      <c r="C83"/>
      <c r="D83" t="s">
        <v>9</v>
      </c>
      <c r="E83"/>
      <c r="F83" t="s">
        <v>44</v>
      </c>
      <c r="G83" t="s">
        <v>27</v>
      </c>
      <c r="H83" t="s">
        <v>819</v>
      </c>
      <c r="I83" t="s">
        <v>820</v>
      </c>
      <c r="J83">
        <v>3</v>
      </c>
      <c r="L83" s="212" t="str">
        <f>IFERROR(VLOOKUP($H83,PARAMETERS!$M$3:$M$493,1,0),"---")</f>
        <v>---</v>
      </c>
    </row>
    <row r="84" spans="1:12" x14ac:dyDescent="0.3">
      <c r="A84"/>
      <c r="B84"/>
      <c r="C84"/>
      <c r="D84" t="s">
        <v>9</v>
      </c>
      <c r="E84"/>
      <c r="F84" t="s">
        <v>44</v>
      </c>
      <c r="G84" t="s">
        <v>27</v>
      </c>
      <c r="H84" t="s">
        <v>821</v>
      </c>
      <c r="I84" t="s">
        <v>822</v>
      </c>
      <c r="J84">
        <v>3</v>
      </c>
      <c r="L84" s="212" t="str">
        <f>IFERROR(VLOOKUP($H84,PARAMETERS!$M$3:$M$493,1,0),"---")</f>
        <v>---</v>
      </c>
    </row>
    <row r="85" spans="1:12" x14ac:dyDescent="0.3">
      <c r="A85" t="s">
        <v>9</v>
      </c>
      <c r="B85"/>
      <c r="C85"/>
      <c r="D85" t="s">
        <v>9</v>
      </c>
      <c r="E85"/>
      <c r="F85" t="s">
        <v>44</v>
      </c>
      <c r="G85" t="s">
        <v>27</v>
      </c>
      <c r="H85" t="s">
        <v>823</v>
      </c>
      <c r="I85" t="s">
        <v>824</v>
      </c>
      <c r="J85">
        <v>2</v>
      </c>
      <c r="L85" s="212" t="str">
        <f>IFERROR(VLOOKUP($H85,PARAMETERS!$M$3:$M$493,1,0),"---")</f>
        <v>---</v>
      </c>
    </row>
    <row r="86" spans="1:12" x14ac:dyDescent="0.3">
      <c r="A86"/>
      <c r="B86"/>
      <c r="C86"/>
      <c r="D86" t="s">
        <v>9</v>
      </c>
      <c r="E86"/>
      <c r="F86" t="s">
        <v>44</v>
      </c>
      <c r="G86" t="s">
        <v>27</v>
      </c>
      <c r="H86" t="s">
        <v>825</v>
      </c>
      <c r="I86" t="s">
        <v>826</v>
      </c>
      <c r="J86">
        <v>2</v>
      </c>
      <c r="L86" s="212" t="str">
        <f>IFERROR(VLOOKUP($H86,PARAMETERS!$M$3:$M$493,1,0),"---")</f>
        <v>---</v>
      </c>
    </row>
    <row r="87" spans="1:12" x14ac:dyDescent="0.3">
      <c r="A87" t="s">
        <v>9</v>
      </c>
      <c r="B87"/>
      <c r="C87"/>
      <c r="D87" t="s">
        <v>9</v>
      </c>
      <c r="E87"/>
      <c r="F87" t="s">
        <v>24</v>
      </c>
      <c r="G87" t="s">
        <v>27</v>
      </c>
      <c r="H87" t="s">
        <v>827</v>
      </c>
      <c r="I87" t="s">
        <v>828</v>
      </c>
      <c r="J87">
        <v>2.5000000000000001E-2</v>
      </c>
      <c r="L87" s="212" t="str">
        <f>IFERROR(VLOOKUP($H87,PARAMETERS!$M$3:$M$493,1,0),"---")</f>
        <v>---</v>
      </c>
    </row>
    <row r="88" spans="1:12" x14ac:dyDescent="0.3">
      <c r="A88"/>
      <c r="B88"/>
      <c r="C88"/>
      <c r="D88" t="s">
        <v>9</v>
      </c>
      <c r="E88"/>
      <c r="F88" t="s">
        <v>24</v>
      </c>
      <c r="G88" t="s">
        <v>27</v>
      </c>
      <c r="H88" t="s">
        <v>829</v>
      </c>
      <c r="I88" t="s">
        <v>830</v>
      </c>
      <c r="J88">
        <v>2.5000000000000001E-2</v>
      </c>
      <c r="L88" s="212" t="str">
        <f>IFERROR(VLOOKUP($H88,PARAMETERS!$M$3:$M$493,1,0),"---")</f>
        <v>---</v>
      </c>
    </row>
    <row r="89" spans="1:12" x14ac:dyDescent="0.3">
      <c r="A89" t="s">
        <v>9</v>
      </c>
      <c r="B89"/>
      <c r="C89"/>
      <c r="D89" t="s">
        <v>9</v>
      </c>
      <c r="E89"/>
      <c r="F89" t="s">
        <v>24</v>
      </c>
      <c r="G89" t="s">
        <v>27</v>
      </c>
      <c r="H89" t="s">
        <v>831</v>
      </c>
      <c r="I89" t="s">
        <v>832</v>
      </c>
      <c r="J89">
        <v>2.5000000000000001E-2</v>
      </c>
      <c r="L89" s="212" t="str">
        <f>IFERROR(VLOOKUP($H89,PARAMETERS!$M$3:$M$493,1,0),"---")</f>
        <v>---</v>
      </c>
    </row>
    <row r="90" spans="1:12" x14ac:dyDescent="0.3">
      <c r="A90"/>
      <c r="B90"/>
      <c r="C90"/>
      <c r="D90" t="s">
        <v>9</v>
      </c>
      <c r="E90"/>
      <c r="F90" t="s">
        <v>24</v>
      </c>
      <c r="G90" t="s">
        <v>27</v>
      </c>
      <c r="H90" t="s">
        <v>833</v>
      </c>
      <c r="I90" t="s">
        <v>834</v>
      </c>
      <c r="J90">
        <v>2.5000000000000001E-2</v>
      </c>
      <c r="L90" s="212" t="str">
        <f>IFERROR(VLOOKUP($H90,PARAMETERS!$M$3:$M$493,1,0),"---")</f>
        <v>---</v>
      </c>
    </row>
    <row r="91" spans="1:12" x14ac:dyDescent="0.3">
      <c r="A91" t="s">
        <v>9</v>
      </c>
      <c r="B91"/>
      <c r="C91"/>
      <c r="D91" t="s">
        <v>9</v>
      </c>
      <c r="E91"/>
      <c r="F91" t="s">
        <v>24</v>
      </c>
      <c r="G91" t="s">
        <v>27</v>
      </c>
      <c r="H91" t="s">
        <v>835</v>
      </c>
      <c r="I91" t="s">
        <v>836</v>
      </c>
      <c r="J91">
        <v>0.2</v>
      </c>
      <c r="L91" s="212" t="str">
        <f>IFERROR(VLOOKUP($H91,PARAMETERS!$M$3:$M$493,1,0),"---")</f>
        <v>---</v>
      </c>
    </row>
    <row r="92" spans="1:12" x14ac:dyDescent="0.3">
      <c r="A92"/>
      <c r="B92"/>
      <c r="C92"/>
      <c r="D92" t="s">
        <v>9</v>
      </c>
      <c r="E92"/>
      <c r="F92" t="s">
        <v>24</v>
      </c>
      <c r="G92" t="s">
        <v>27</v>
      </c>
      <c r="H92" t="s">
        <v>837</v>
      </c>
      <c r="I92" t="s">
        <v>838</v>
      </c>
      <c r="J92">
        <v>0.2</v>
      </c>
      <c r="L92" s="212" t="str">
        <f>IFERROR(VLOOKUP($H92,PARAMETERS!$M$3:$M$493,1,0),"---")</f>
        <v>---</v>
      </c>
    </row>
    <row r="93" spans="1:12" x14ac:dyDescent="0.3">
      <c r="A93" t="s">
        <v>9</v>
      </c>
      <c r="B93"/>
      <c r="C93"/>
      <c r="D93" t="s">
        <v>9</v>
      </c>
      <c r="E93"/>
      <c r="F93" t="s">
        <v>24</v>
      </c>
      <c r="G93" t="s">
        <v>27</v>
      </c>
      <c r="H93" t="s">
        <v>839</v>
      </c>
      <c r="I93" t="s">
        <v>840</v>
      </c>
      <c r="J93">
        <v>0.35</v>
      </c>
      <c r="L93" s="212" t="str">
        <f>IFERROR(VLOOKUP($H93,PARAMETERS!$M$3:$M$493,1,0),"---")</f>
        <v>---</v>
      </c>
    </row>
    <row r="94" spans="1:12" x14ac:dyDescent="0.3">
      <c r="A94"/>
      <c r="B94"/>
      <c r="C94"/>
      <c r="D94" t="s">
        <v>9</v>
      </c>
      <c r="E94"/>
      <c r="F94" t="s">
        <v>24</v>
      </c>
      <c r="G94" t="s">
        <v>27</v>
      </c>
      <c r="H94" t="s">
        <v>841</v>
      </c>
      <c r="I94" t="s">
        <v>842</v>
      </c>
      <c r="J94">
        <v>0.35</v>
      </c>
      <c r="L94" s="212" t="str">
        <f>IFERROR(VLOOKUP($H94,PARAMETERS!$M$3:$M$493,1,0),"---")</f>
        <v>---</v>
      </c>
    </row>
    <row r="95" spans="1:12" x14ac:dyDescent="0.3">
      <c r="A95" t="s">
        <v>9</v>
      </c>
      <c r="B95"/>
      <c r="C95"/>
      <c r="D95" t="s">
        <v>9</v>
      </c>
      <c r="E95"/>
      <c r="F95" t="s">
        <v>24</v>
      </c>
      <c r="G95" t="s">
        <v>27</v>
      </c>
      <c r="H95" t="s">
        <v>843</v>
      </c>
      <c r="I95" t="s">
        <v>844</v>
      </c>
      <c r="J95">
        <v>0.98</v>
      </c>
      <c r="L95" s="212" t="str">
        <f>IFERROR(VLOOKUP($H95,PARAMETERS!$M$3:$M$493,1,0),"---")</f>
        <v>---</v>
      </c>
    </row>
    <row r="96" spans="1:12" x14ac:dyDescent="0.3">
      <c r="A96"/>
      <c r="B96"/>
      <c r="C96"/>
      <c r="D96" t="s">
        <v>9</v>
      </c>
      <c r="E96"/>
      <c r="F96" t="s">
        <v>24</v>
      </c>
      <c r="G96" t="s">
        <v>27</v>
      </c>
      <c r="H96" t="s">
        <v>845</v>
      </c>
      <c r="I96" t="s">
        <v>846</v>
      </c>
      <c r="J96">
        <v>0.98</v>
      </c>
      <c r="L96" s="212" t="str">
        <f>IFERROR(VLOOKUP($H96,PARAMETERS!$M$3:$M$493,1,0),"---")</f>
        <v>---</v>
      </c>
    </row>
    <row r="97" spans="1:12" x14ac:dyDescent="0.3">
      <c r="A97" t="s">
        <v>9</v>
      </c>
      <c r="B97"/>
      <c r="C97"/>
      <c r="D97" t="s">
        <v>9</v>
      </c>
      <c r="E97"/>
      <c r="F97" t="s">
        <v>24</v>
      </c>
      <c r="G97" t="s">
        <v>27</v>
      </c>
      <c r="H97" t="s">
        <v>847</v>
      </c>
      <c r="I97" t="s">
        <v>848</v>
      </c>
      <c r="J97">
        <v>1.4</v>
      </c>
      <c r="L97" s="212" t="str">
        <f>IFERROR(VLOOKUP($H97,PARAMETERS!$M$3:$M$493,1,0),"---")</f>
        <v>---</v>
      </c>
    </row>
    <row r="98" spans="1:12" x14ac:dyDescent="0.3">
      <c r="A98"/>
      <c r="B98"/>
      <c r="C98"/>
      <c r="D98" t="s">
        <v>9</v>
      </c>
      <c r="E98"/>
      <c r="F98" t="s">
        <v>24</v>
      </c>
      <c r="G98" t="s">
        <v>27</v>
      </c>
      <c r="H98" t="s">
        <v>849</v>
      </c>
      <c r="I98" t="s">
        <v>850</v>
      </c>
      <c r="J98">
        <v>1.4</v>
      </c>
      <c r="L98" s="212" t="str">
        <f>IFERROR(VLOOKUP($H98,PARAMETERS!$M$3:$M$493,1,0),"---")</f>
        <v>---</v>
      </c>
    </row>
    <row r="99" spans="1:12" x14ac:dyDescent="0.3">
      <c r="A99" t="s">
        <v>9</v>
      </c>
      <c r="B99"/>
      <c r="C99"/>
      <c r="D99" t="s">
        <v>9</v>
      </c>
      <c r="E99"/>
      <c r="F99" t="s">
        <v>24</v>
      </c>
      <c r="G99" t="s">
        <v>27</v>
      </c>
      <c r="H99" t="s">
        <v>851</v>
      </c>
      <c r="I99" t="s">
        <v>852</v>
      </c>
      <c r="J99">
        <v>0.51500000000000001</v>
      </c>
      <c r="L99" s="212" t="str">
        <f>IFERROR(VLOOKUP($H99,PARAMETERS!$M$3:$M$493,1,0),"---")</f>
        <v>---</v>
      </c>
    </row>
    <row r="100" spans="1:12" x14ac:dyDescent="0.3">
      <c r="A100"/>
      <c r="B100"/>
      <c r="C100"/>
      <c r="D100" t="s">
        <v>9</v>
      </c>
      <c r="E100"/>
      <c r="F100" t="s">
        <v>24</v>
      </c>
      <c r="G100" t="s">
        <v>27</v>
      </c>
      <c r="H100" t="s">
        <v>853</v>
      </c>
      <c r="I100" t="s">
        <v>854</v>
      </c>
      <c r="J100">
        <v>0.51500000000000001</v>
      </c>
      <c r="L100" s="212" t="str">
        <f>IFERROR(VLOOKUP($H100,PARAMETERS!$M$3:$M$493,1,0),"---")</f>
        <v>---</v>
      </c>
    </row>
    <row r="101" spans="1:12" x14ac:dyDescent="0.3">
      <c r="A101" t="s">
        <v>9</v>
      </c>
      <c r="B101"/>
      <c r="C101"/>
      <c r="D101"/>
      <c r="E101"/>
      <c r="F101" t="s">
        <v>57</v>
      </c>
      <c r="G101" t="s">
        <v>27</v>
      </c>
      <c r="H101" t="s">
        <v>855</v>
      </c>
      <c r="I101" t="s">
        <v>1801</v>
      </c>
      <c r="L101" s="212" t="str">
        <f>IFERROR(VLOOKUP($H101,PARAMETERS!$M$3:$M$493,1,0),"---")</f>
        <v>---</v>
      </c>
    </row>
    <row r="102" spans="1:12" x14ac:dyDescent="0.3">
      <c r="A102" t="s">
        <v>9</v>
      </c>
      <c r="B102"/>
      <c r="C102"/>
      <c r="D102" t="s">
        <v>9</v>
      </c>
      <c r="E102"/>
      <c r="F102" t="s">
        <v>18</v>
      </c>
      <c r="G102" t="s">
        <v>27</v>
      </c>
      <c r="H102" t="s">
        <v>856</v>
      </c>
      <c r="I102" t="s">
        <v>1802</v>
      </c>
      <c r="J102" t="s">
        <v>1803</v>
      </c>
      <c r="L102" s="212" t="str">
        <f>IFERROR(VLOOKUP($H102,PARAMETERS!$M$3:$M$493,1,0),"---")</f>
        <v>---</v>
      </c>
    </row>
    <row r="103" spans="1:12" x14ac:dyDescent="0.3">
      <c r="A103"/>
      <c r="B103" t="s">
        <v>9</v>
      </c>
      <c r="C103"/>
      <c r="D103" t="s">
        <v>9</v>
      </c>
      <c r="E103"/>
      <c r="F103" t="s">
        <v>44</v>
      </c>
      <c r="G103" t="s">
        <v>27</v>
      </c>
      <c r="H103" t="s">
        <v>857</v>
      </c>
      <c r="I103" t="s">
        <v>1802</v>
      </c>
      <c r="J103">
        <v>10</v>
      </c>
      <c r="L103" s="212" t="str">
        <f>IFERROR(VLOOKUP($H103,PARAMETERS!$M$3:$M$493,1,0),"---")</f>
        <v>---</v>
      </c>
    </row>
    <row r="104" spans="1:12" x14ac:dyDescent="0.3">
      <c r="A104"/>
      <c r="B104"/>
      <c r="C104"/>
      <c r="D104" t="s">
        <v>9</v>
      </c>
      <c r="E104"/>
      <c r="F104" t="s">
        <v>44</v>
      </c>
      <c r="G104" t="s">
        <v>27</v>
      </c>
      <c r="H104" t="s">
        <v>859</v>
      </c>
      <c r="I104" t="s">
        <v>1804</v>
      </c>
      <c r="J104">
        <v>0</v>
      </c>
      <c r="L104" s="212" t="str">
        <f>IFERROR(VLOOKUP($H104,PARAMETERS!$M$3:$M$493,1,0),"---")</f>
        <v>---</v>
      </c>
    </row>
    <row r="105" spans="1:12" x14ac:dyDescent="0.3">
      <c r="A105"/>
      <c r="B105"/>
      <c r="C105"/>
      <c r="D105" t="s">
        <v>9</v>
      </c>
      <c r="E105"/>
      <c r="F105" t="s">
        <v>18</v>
      </c>
      <c r="G105" t="s">
        <v>27</v>
      </c>
      <c r="H105" t="s">
        <v>858</v>
      </c>
      <c r="I105" t="s">
        <v>1805</v>
      </c>
      <c r="L105" s="212" t="str">
        <f>IFERROR(VLOOKUP($H105,PARAMETERS!$M$3:$M$493,1,0),"---")</f>
        <v>---</v>
      </c>
    </row>
    <row r="106" spans="1:12" x14ac:dyDescent="0.3">
      <c r="A106"/>
      <c r="B106"/>
      <c r="C106"/>
      <c r="D106" t="s">
        <v>9</v>
      </c>
      <c r="E106"/>
      <c r="F106" t="s">
        <v>18</v>
      </c>
      <c r="G106" t="s">
        <v>27</v>
      </c>
      <c r="H106" t="s">
        <v>860</v>
      </c>
      <c r="I106" t="s">
        <v>1806</v>
      </c>
      <c r="L106" s="212" t="str">
        <f>IFERROR(VLOOKUP($H106,PARAMETERS!$M$3:$M$493,1,0),"---")</f>
        <v>---</v>
      </c>
    </row>
    <row r="107" spans="1:12" x14ac:dyDescent="0.3">
      <c r="A107"/>
      <c r="B107"/>
      <c r="C107"/>
      <c r="D107" t="s">
        <v>9</v>
      </c>
      <c r="E107"/>
      <c r="F107" t="s">
        <v>24</v>
      </c>
      <c r="G107" t="s">
        <v>27</v>
      </c>
      <c r="H107" t="s">
        <v>861</v>
      </c>
      <c r="I107" t="s">
        <v>1807</v>
      </c>
      <c r="J107">
        <v>1.05</v>
      </c>
      <c r="L107" s="212" t="str">
        <f>IFERROR(VLOOKUP($H107,PARAMETERS!$M$3:$M$493,1,0),"---")</f>
        <v>---</v>
      </c>
    </row>
    <row r="108" spans="1:12" x14ac:dyDescent="0.3">
      <c r="A108"/>
      <c r="B108"/>
      <c r="C108"/>
      <c r="D108" t="s">
        <v>9</v>
      </c>
      <c r="E108"/>
      <c r="F108" t="s">
        <v>24</v>
      </c>
      <c r="G108" t="s">
        <v>27</v>
      </c>
      <c r="H108" t="s">
        <v>862</v>
      </c>
      <c r="I108" t="s">
        <v>1808</v>
      </c>
      <c r="J108">
        <v>1.05</v>
      </c>
      <c r="L108" s="212" t="str">
        <f>IFERROR(VLOOKUP($H108,PARAMETERS!$M$3:$M$493,1,0),"---")</f>
        <v>---</v>
      </c>
    </row>
    <row r="109" spans="1:12" x14ac:dyDescent="0.3">
      <c r="A109"/>
      <c r="B109"/>
      <c r="C109"/>
      <c r="D109" t="s">
        <v>9</v>
      </c>
      <c r="E109"/>
      <c r="F109" t="s">
        <v>24</v>
      </c>
      <c r="G109" t="s">
        <v>27</v>
      </c>
      <c r="H109" t="s">
        <v>868</v>
      </c>
      <c r="I109" t="s">
        <v>1809</v>
      </c>
      <c r="J109">
        <v>0.06</v>
      </c>
      <c r="L109" s="212" t="str">
        <f>IFERROR(VLOOKUP($H109,PARAMETERS!$M$3:$M$493,1,0),"---")</f>
        <v>---</v>
      </c>
    </row>
    <row r="110" spans="1:12" x14ac:dyDescent="0.3">
      <c r="A110"/>
      <c r="B110"/>
      <c r="C110"/>
      <c r="D110" t="s">
        <v>9</v>
      </c>
      <c r="E110"/>
      <c r="F110" t="s">
        <v>24</v>
      </c>
      <c r="G110" t="s">
        <v>27</v>
      </c>
      <c r="H110" t="s">
        <v>869</v>
      </c>
      <c r="I110" t="s">
        <v>1810</v>
      </c>
      <c r="J110">
        <v>0.06</v>
      </c>
      <c r="L110" s="212" t="str">
        <f>IFERROR(VLOOKUP($H110,PARAMETERS!$M$3:$M$493,1,0),"---")</f>
        <v>---</v>
      </c>
    </row>
    <row r="111" spans="1:12" x14ac:dyDescent="0.3">
      <c r="A111" t="s">
        <v>9</v>
      </c>
      <c r="B111"/>
      <c r="C111"/>
      <c r="D111"/>
      <c r="E111"/>
      <c r="F111" t="s">
        <v>57</v>
      </c>
      <c r="G111" t="s">
        <v>27</v>
      </c>
      <c r="H111" t="s">
        <v>1811</v>
      </c>
      <c r="I111" t="s">
        <v>431</v>
      </c>
      <c r="L111" s="212" t="str">
        <f>IFERROR(VLOOKUP($H111,PARAMETERS!$M$3:$M$493,1,0),"---")</f>
        <v>---</v>
      </c>
    </row>
    <row r="112" spans="1:12" x14ac:dyDescent="0.3">
      <c r="A112" t="s">
        <v>9</v>
      </c>
      <c r="B112"/>
      <c r="C112"/>
      <c r="D112" t="s">
        <v>9</v>
      </c>
      <c r="E112"/>
      <c r="F112" t="s">
        <v>47</v>
      </c>
      <c r="G112" t="s">
        <v>27</v>
      </c>
      <c r="H112" t="s">
        <v>429</v>
      </c>
      <c r="I112" t="s">
        <v>431</v>
      </c>
      <c r="J112">
        <v>1</v>
      </c>
      <c r="L112" s="212" t="str">
        <f>IFERROR(VLOOKUP($H112,PARAMETERS!$M$3:$M$493,1,0),"---")</f>
        <v>gs_kamp</v>
      </c>
    </row>
    <row r="113" spans="1:12" x14ac:dyDescent="0.3">
      <c r="A113" t="s">
        <v>9</v>
      </c>
      <c r="B113"/>
      <c r="C113"/>
      <c r="D113" t="s">
        <v>9</v>
      </c>
      <c r="E113"/>
      <c r="F113" t="s">
        <v>24</v>
      </c>
      <c r="G113" t="s">
        <v>27</v>
      </c>
      <c r="H113" t="s">
        <v>761</v>
      </c>
      <c r="I113" t="s">
        <v>760</v>
      </c>
      <c r="J113">
        <v>0.5</v>
      </c>
      <c r="L113" s="212" t="str">
        <f>IFERROR(VLOOKUP($H113,PARAMETERS!$M$3:$M$493,1,0),"---")</f>
        <v>---</v>
      </c>
    </row>
    <row r="114" spans="1:12" x14ac:dyDescent="0.3">
      <c r="A114"/>
      <c r="B114"/>
      <c r="C114"/>
      <c r="D114"/>
      <c r="E114"/>
      <c r="F114" t="s">
        <v>57</v>
      </c>
      <c r="G114" t="s">
        <v>27</v>
      </c>
      <c r="H114" t="s">
        <v>1812</v>
      </c>
      <c r="I114" t="s">
        <v>741</v>
      </c>
      <c r="L114" s="212" t="str">
        <f>IFERROR(VLOOKUP($H114,PARAMETERS!$M$3:$M$493,1,0),"---")</f>
        <v>---</v>
      </c>
    </row>
    <row r="115" spans="1:12" x14ac:dyDescent="0.3">
      <c r="A115"/>
      <c r="B115"/>
      <c r="C115"/>
      <c r="D115" t="s">
        <v>9</v>
      </c>
      <c r="E115"/>
      <c r="F115" t="s">
        <v>47</v>
      </c>
      <c r="G115" t="s">
        <v>27</v>
      </c>
      <c r="H115" t="s">
        <v>742</v>
      </c>
      <c r="I115" t="s">
        <v>743</v>
      </c>
      <c r="J115">
        <v>0</v>
      </c>
      <c r="L115" s="212" t="str">
        <f>IFERROR(VLOOKUP($H115,PARAMETERS!$M$3:$M$493,1,0),"---")</f>
        <v>---</v>
      </c>
    </row>
    <row r="116" spans="1:12" x14ac:dyDescent="0.3">
      <c r="A116"/>
      <c r="B116"/>
      <c r="C116"/>
      <c r="D116" t="s">
        <v>9</v>
      </c>
      <c r="E116"/>
      <c r="F116" t="s">
        <v>24</v>
      </c>
      <c r="G116" t="s">
        <v>27</v>
      </c>
      <c r="H116" t="s">
        <v>1813</v>
      </c>
      <c r="I116" t="s">
        <v>1814</v>
      </c>
      <c r="J116">
        <v>0.505</v>
      </c>
      <c r="L116" s="212" t="str">
        <f>IFERROR(VLOOKUP($H116,PARAMETERS!$M$3:$M$493,1,0),"---")</f>
        <v>---</v>
      </c>
    </row>
    <row r="117" spans="1:12" x14ac:dyDescent="0.3">
      <c r="A117"/>
      <c r="B117"/>
      <c r="C117"/>
      <c r="D117" t="s">
        <v>9</v>
      </c>
      <c r="E117"/>
      <c r="F117" t="s">
        <v>24</v>
      </c>
      <c r="G117" t="s">
        <v>27</v>
      </c>
      <c r="H117" t="s">
        <v>1815</v>
      </c>
      <c r="I117" t="s">
        <v>1816</v>
      </c>
      <c r="J117">
        <v>0.5</v>
      </c>
      <c r="L117" s="212" t="str">
        <f>IFERROR(VLOOKUP($H117,PARAMETERS!$M$3:$M$493,1,0),"---")</f>
        <v>---</v>
      </c>
    </row>
    <row r="118" spans="1:12" x14ac:dyDescent="0.3">
      <c r="A118"/>
      <c r="B118"/>
      <c r="C118"/>
      <c r="D118" t="s">
        <v>9</v>
      </c>
      <c r="E118"/>
      <c r="F118" t="s">
        <v>47</v>
      </c>
      <c r="G118" t="s">
        <v>27</v>
      </c>
      <c r="H118" t="s">
        <v>746</v>
      </c>
      <c r="I118" t="s">
        <v>747</v>
      </c>
      <c r="J118">
        <v>1</v>
      </c>
      <c r="L118" s="212" t="str">
        <f>IFERROR(VLOOKUP($H118,PARAMETERS!$M$3:$M$493,1,0),"---")</f>
        <v>---</v>
      </c>
    </row>
    <row r="119" spans="1:12" x14ac:dyDescent="0.3">
      <c r="A119"/>
      <c r="B119"/>
      <c r="C119"/>
      <c r="D119" t="s">
        <v>9</v>
      </c>
      <c r="E119"/>
      <c r="F119" t="s">
        <v>24</v>
      </c>
      <c r="G119" t="s">
        <v>27</v>
      </c>
      <c r="H119" t="s">
        <v>748</v>
      </c>
      <c r="I119" t="s">
        <v>749</v>
      </c>
      <c r="J119">
        <v>0.38500000000000001</v>
      </c>
      <c r="L119" s="212" t="str">
        <f>IFERROR(VLOOKUP($H119,PARAMETERS!$M$3:$M$493,1,0),"---")</f>
        <v>---</v>
      </c>
    </row>
    <row r="120" spans="1:12" x14ac:dyDescent="0.3">
      <c r="A120"/>
      <c r="B120"/>
      <c r="C120"/>
      <c r="D120" t="s">
        <v>9</v>
      </c>
      <c r="E120"/>
      <c r="F120" t="s">
        <v>24</v>
      </c>
      <c r="G120" t="s">
        <v>27</v>
      </c>
      <c r="H120" t="s">
        <v>750</v>
      </c>
      <c r="I120" t="s">
        <v>751</v>
      </c>
      <c r="J120">
        <v>0.39</v>
      </c>
      <c r="L120" s="212" t="str">
        <f>IFERROR(VLOOKUP($H120,PARAMETERS!$M$3:$M$493,1,0),"---")</f>
        <v>---</v>
      </c>
    </row>
    <row r="121" spans="1:12" x14ac:dyDescent="0.3">
      <c r="A121"/>
      <c r="B121"/>
      <c r="C121"/>
      <c r="D121" t="s">
        <v>9</v>
      </c>
      <c r="E121"/>
      <c r="F121" t="s">
        <v>24</v>
      </c>
      <c r="G121" t="s">
        <v>27</v>
      </c>
      <c r="H121" t="s">
        <v>752</v>
      </c>
      <c r="I121" t="s">
        <v>753</v>
      </c>
      <c r="J121">
        <v>1.91</v>
      </c>
      <c r="L121" s="212" t="str">
        <f>IFERROR(VLOOKUP($H121,PARAMETERS!$M$3:$M$493,1,0),"---")</f>
        <v>---</v>
      </c>
    </row>
    <row r="122" spans="1:12" x14ac:dyDescent="0.3">
      <c r="A122" t="s">
        <v>9</v>
      </c>
      <c r="B122"/>
      <c r="C122"/>
      <c r="D122"/>
      <c r="E122"/>
      <c r="F122" t="s">
        <v>57</v>
      </c>
      <c r="G122" t="s">
        <v>27</v>
      </c>
      <c r="H122" t="s">
        <v>670</v>
      </c>
      <c r="I122" t="s">
        <v>1817</v>
      </c>
      <c r="L122" s="212" t="str">
        <f>IFERROR(VLOOKUP($H122,PARAMETERS!$M$3:$M$493,1,0),"---")</f>
        <v>gs_door_frame</v>
      </c>
    </row>
    <row r="123" spans="1:12" x14ac:dyDescent="0.3">
      <c r="A123" t="s">
        <v>9</v>
      </c>
      <c r="B123"/>
      <c r="C123"/>
      <c r="D123" t="s">
        <v>9</v>
      </c>
      <c r="E123"/>
      <c r="F123" t="s">
        <v>18</v>
      </c>
      <c r="G123" t="s">
        <v>27</v>
      </c>
      <c r="H123" t="s">
        <v>674</v>
      </c>
      <c r="I123" t="s">
        <v>675</v>
      </c>
      <c r="J123" t="s">
        <v>182</v>
      </c>
      <c r="L123" s="212" t="str">
        <f>IFERROR(VLOOKUP($H123,PARAMETERS!$M$3:$M$493,1,0),"---")</f>
        <v>gs_frame_type</v>
      </c>
    </row>
    <row r="124" spans="1:12" x14ac:dyDescent="0.3">
      <c r="A124" t="s">
        <v>9</v>
      </c>
      <c r="B124" t="s">
        <v>9</v>
      </c>
      <c r="C124"/>
      <c r="D124" t="s">
        <v>9</v>
      </c>
      <c r="E124"/>
      <c r="F124" t="s">
        <v>44</v>
      </c>
      <c r="G124" t="s">
        <v>27</v>
      </c>
      <c r="H124" t="s">
        <v>678</v>
      </c>
      <c r="I124" t="s">
        <v>675</v>
      </c>
      <c r="J124">
        <v>1</v>
      </c>
      <c r="L124" s="212" t="str">
        <f>IFERROR(VLOOKUP($H124,PARAMETERS!$M$3:$M$493,1,0),"---")</f>
        <v>iFrameType</v>
      </c>
    </row>
    <row r="125" spans="1:12" x14ac:dyDescent="0.3">
      <c r="A125"/>
      <c r="B125"/>
      <c r="C125"/>
      <c r="D125" t="s">
        <v>9</v>
      </c>
      <c r="E125"/>
      <c r="F125" t="s">
        <v>47</v>
      </c>
      <c r="G125" t="s">
        <v>27</v>
      </c>
      <c r="H125" t="s">
        <v>682</v>
      </c>
      <c r="I125" t="s">
        <v>683</v>
      </c>
      <c r="J125">
        <v>0</v>
      </c>
      <c r="L125" s="212" t="str">
        <f>IFERROR(VLOOKUP($H125,PARAMETERS!$M$3:$M$493,1,0),"---")</f>
        <v>gs_different_framewidth</v>
      </c>
    </row>
    <row r="126" spans="1:12" x14ac:dyDescent="0.3">
      <c r="A126" t="s">
        <v>9</v>
      </c>
      <c r="B126"/>
      <c r="C126"/>
      <c r="D126" t="s">
        <v>9</v>
      </c>
      <c r="E126"/>
      <c r="F126" t="s">
        <v>24</v>
      </c>
      <c r="G126" t="s">
        <v>27</v>
      </c>
      <c r="H126" t="s">
        <v>684</v>
      </c>
      <c r="I126" t="s">
        <v>685</v>
      </c>
      <c r="J126">
        <v>0.1</v>
      </c>
      <c r="L126" s="212" t="str">
        <f>IFERROR(VLOOKUP($H126,PARAMETERS!$M$3:$M$493,1,0),"---")</f>
        <v>gs_frame_width</v>
      </c>
    </row>
    <row r="127" spans="1:12" x14ac:dyDescent="0.3">
      <c r="A127"/>
      <c r="B127"/>
      <c r="C127"/>
      <c r="D127" t="s">
        <v>9</v>
      </c>
      <c r="E127"/>
      <c r="F127" t="s">
        <v>24</v>
      </c>
      <c r="G127" t="s">
        <v>27</v>
      </c>
      <c r="H127" t="s">
        <v>686</v>
      </c>
      <c r="I127" t="s">
        <v>687</v>
      </c>
      <c r="J127">
        <v>0.1</v>
      </c>
      <c r="L127" s="212" t="str">
        <f>IFERROR(VLOOKUP($H127,PARAMETERS!$M$3:$M$493,1,0),"---")</f>
        <v>gs_frame_width_right</v>
      </c>
    </row>
    <row r="128" spans="1:12" x14ac:dyDescent="0.3">
      <c r="A128"/>
      <c r="B128"/>
      <c r="C128"/>
      <c r="D128" t="s">
        <v>9</v>
      </c>
      <c r="E128"/>
      <c r="F128" t="s">
        <v>24</v>
      </c>
      <c r="G128" t="s">
        <v>27</v>
      </c>
      <c r="H128" t="s">
        <v>688</v>
      </c>
      <c r="I128" t="s">
        <v>689</v>
      </c>
      <c r="J128">
        <v>0.1</v>
      </c>
      <c r="L128" s="212" t="str">
        <f>IFERROR(VLOOKUP($H128,PARAMETERS!$M$3:$M$493,1,0),"---")</f>
        <v>gs_frame_width_left</v>
      </c>
    </row>
    <row r="129" spans="1:12" x14ac:dyDescent="0.3">
      <c r="A129"/>
      <c r="B129"/>
      <c r="C129"/>
      <c r="D129" t="s">
        <v>9</v>
      </c>
      <c r="E129"/>
      <c r="F129" t="s">
        <v>24</v>
      </c>
      <c r="G129" t="s">
        <v>27</v>
      </c>
      <c r="H129" t="s">
        <v>690</v>
      </c>
      <c r="I129" t="s">
        <v>691</v>
      </c>
      <c r="J129">
        <v>0.1</v>
      </c>
      <c r="L129" s="212" t="str">
        <f>IFERROR(VLOOKUP($H129,PARAMETERS!$M$3:$M$493,1,0),"---")</f>
        <v>gs_frame_width_right_2</v>
      </c>
    </row>
    <row r="130" spans="1:12" x14ac:dyDescent="0.3">
      <c r="A130"/>
      <c r="B130"/>
      <c r="C130"/>
      <c r="D130" t="s">
        <v>9</v>
      </c>
      <c r="E130"/>
      <c r="F130" t="s">
        <v>24</v>
      </c>
      <c r="G130" t="s">
        <v>27</v>
      </c>
      <c r="H130" t="s">
        <v>692</v>
      </c>
      <c r="I130" t="s">
        <v>693</v>
      </c>
      <c r="J130">
        <v>0.1</v>
      </c>
      <c r="L130" s="212" t="str">
        <f>IFERROR(VLOOKUP($H130,PARAMETERS!$M$3:$M$493,1,0),"---")</f>
        <v>gs_frame_width_left_2</v>
      </c>
    </row>
    <row r="131" spans="1:12" x14ac:dyDescent="0.3">
      <c r="A131"/>
      <c r="B131"/>
      <c r="C131"/>
      <c r="D131" t="s">
        <v>9</v>
      </c>
      <c r="E131"/>
      <c r="F131" t="s">
        <v>24</v>
      </c>
      <c r="G131" t="s">
        <v>27</v>
      </c>
      <c r="H131" t="s">
        <v>694</v>
      </c>
      <c r="I131" t="s">
        <v>695</v>
      </c>
      <c r="J131">
        <v>0.1</v>
      </c>
      <c r="L131" s="212" t="str">
        <f>IFERROR(VLOOKUP($H131,PARAMETERS!$M$3:$M$493,1,0),"---")</f>
        <v>gs_frame_width_upper</v>
      </c>
    </row>
    <row r="132" spans="1:12" x14ac:dyDescent="0.3">
      <c r="A132"/>
      <c r="B132"/>
      <c r="C132"/>
      <c r="D132" t="s">
        <v>9</v>
      </c>
      <c r="E132"/>
      <c r="F132" t="s">
        <v>24</v>
      </c>
      <c r="G132" t="s">
        <v>27</v>
      </c>
      <c r="H132" t="s">
        <v>696</v>
      </c>
      <c r="I132" t="s">
        <v>697</v>
      </c>
      <c r="J132">
        <v>0.1</v>
      </c>
      <c r="L132" s="212" t="str">
        <f>IFERROR(VLOOKUP($H132,PARAMETERS!$M$3:$M$493,1,0),"---")</f>
        <v>gs_frame_width_transom</v>
      </c>
    </row>
    <row r="133" spans="1:12" x14ac:dyDescent="0.3">
      <c r="A133"/>
      <c r="B133"/>
      <c r="C133"/>
      <c r="D133" t="s">
        <v>9</v>
      </c>
      <c r="E133"/>
      <c r="F133" t="s">
        <v>24</v>
      </c>
      <c r="G133" t="s">
        <v>27</v>
      </c>
      <c r="H133" t="s">
        <v>754</v>
      </c>
      <c r="I133" t="s">
        <v>755</v>
      </c>
      <c r="J133">
        <v>0.1</v>
      </c>
      <c r="L133" s="212" t="str">
        <f>IFERROR(VLOOKUP($H133,PARAMETERS!$M$3:$M$493,1,0),"---")</f>
        <v>---</v>
      </c>
    </row>
    <row r="134" spans="1:12" x14ac:dyDescent="0.3">
      <c r="A134"/>
      <c r="B134"/>
      <c r="C134"/>
      <c r="D134" t="s">
        <v>9</v>
      </c>
      <c r="E134"/>
      <c r="F134" t="s">
        <v>24</v>
      </c>
      <c r="G134" t="s">
        <v>27</v>
      </c>
      <c r="H134" t="s">
        <v>756</v>
      </c>
      <c r="I134" t="s">
        <v>757</v>
      </c>
      <c r="J134">
        <v>0.1</v>
      </c>
      <c r="L134" s="212" t="str">
        <f>IFERROR(VLOOKUP($H134,PARAMETERS!$M$3:$M$493,1,0),"---")</f>
        <v>---</v>
      </c>
    </row>
    <row r="135" spans="1:12" x14ac:dyDescent="0.3">
      <c r="A135"/>
      <c r="B135"/>
      <c r="C135"/>
      <c r="D135" t="s">
        <v>9</v>
      </c>
      <c r="E135"/>
      <c r="F135" t="s">
        <v>24</v>
      </c>
      <c r="G135" t="s">
        <v>27</v>
      </c>
      <c r="H135" t="s">
        <v>698</v>
      </c>
      <c r="I135" t="s">
        <v>699</v>
      </c>
      <c r="J135">
        <v>0.1</v>
      </c>
      <c r="L135" s="212" t="str">
        <f>IFERROR(VLOOKUP($H135,PARAMETERS!$M$3:$M$493,1,0),"---")</f>
        <v>gs_frame_width_bottom_sl</v>
      </c>
    </row>
    <row r="136" spans="1:12" x14ac:dyDescent="0.3">
      <c r="A136" t="s">
        <v>9</v>
      </c>
      <c r="B136"/>
      <c r="C136"/>
      <c r="D136" t="s">
        <v>9</v>
      </c>
      <c r="E136"/>
      <c r="F136" t="s">
        <v>24</v>
      </c>
      <c r="G136" t="s">
        <v>27</v>
      </c>
      <c r="H136" t="s">
        <v>700</v>
      </c>
      <c r="I136" t="s">
        <v>701</v>
      </c>
      <c r="J136">
        <v>0.05</v>
      </c>
      <c r="L136" s="212" t="str">
        <f>IFERROR(VLOOKUP($H136,PARAMETERS!$M$3:$M$493,1,0),"---")</f>
        <v>gs_frame_thk</v>
      </c>
    </row>
    <row r="137" spans="1:12" x14ac:dyDescent="0.3">
      <c r="A137" t="s">
        <v>9</v>
      </c>
      <c r="B137"/>
      <c r="C137"/>
      <c r="D137" t="s">
        <v>9</v>
      </c>
      <c r="E137"/>
      <c r="F137" t="s">
        <v>47</v>
      </c>
      <c r="G137" t="s">
        <v>27</v>
      </c>
      <c r="H137" t="s">
        <v>727</v>
      </c>
      <c r="I137" t="s">
        <v>728</v>
      </c>
      <c r="J137">
        <v>1</v>
      </c>
      <c r="L137" s="212" t="str">
        <f>IFERROR(VLOOKUP($H137,PARAMETERS!$M$3:$M$493,1,0),"---")</f>
        <v>gs_rev</v>
      </c>
    </row>
    <row r="138" spans="1:12" x14ac:dyDescent="0.3">
      <c r="A138" t="s">
        <v>9</v>
      </c>
      <c r="B138"/>
      <c r="C138"/>
      <c r="D138" t="s">
        <v>9</v>
      </c>
      <c r="E138"/>
      <c r="F138" t="s">
        <v>24</v>
      </c>
      <c r="G138" t="s">
        <v>27</v>
      </c>
      <c r="H138" t="s">
        <v>729</v>
      </c>
      <c r="I138" t="s">
        <v>730</v>
      </c>
      <c r="J138">
        <v>0.05</v>
      </c>
      <c r="L138" s="212" t="str">
        <f>IFERROR(VLOOKUP($H138,PARAMETERS!$M$3:$M$493,1,0),"---")</f>
        <v>gs_bl_thk</v>
      </c>
    </row>
    <row r="139" spans="1:12" x14ac:dyDescent="0.3">
      <c r="A139" t="s">
        <v>9</v>
      </c>
      <c r="B139"/>
      <c r="C139"/>
      <c r="D139" t="s">
        <v>9</v>
      </c>
      <c r="E139"/>
      <c r="F139" t="s">
        <v>24</v>
      </c>
      <c r="G139" t="s">
        <v>27</v>
      </c>
      <c r="H139" t="s">
        <v>731</v>
      </c>
      <c r="I139" t="s">
        <v>732</v>
      </c>
      <c r="J139">
        <v>0.06</v>
      </c>
      <c r="L139" s="212" t="str">
        <f>IFERROR(VLOOKUP($H139,PARAMETERS!$M$3:$M$493,1,0),"---")</f>
        <v>gs_bl_width</v>
      </c>
    </row>
    <row r="140" spans="1:12" x14ac:dyDescent="0.3">
      <c r="A140" t="s">
        <v>9</v>
      </c>
      <c r="B140"/>
      <c r="C140"/>
      <c r="D140" t="s">
        <v>9</v>
      </c>
      <c r="E140"/>
      <c r="F140" t="s">
        <v>24</v>
      </c>
      <c r="G140" t="s">
        <v>27</v>
      </c>
      <c r="H140" t="s">
        <v>733</v>
      </c>
      <c r="I140" t="s">
        <v>734</v>
      </c>
      <c r="J140">
        <v>0.01</v>
      </c>
      <c r="L140" s="212" t="str">
        <f>IFERROR(VLOOKUP($H140,PARAMETERS!$M$3:$M$493,1,0),"---")</f>
        <v>gs_fuge</v>
      </c>
    </row>
    <row r="141" spans="1:12" x14ac:dyDescent="0.3">
      <c r="A141" t="s">
        <v>9</v>
      </c>
      <c r="B141"/>
      <c r="C141"/>
      <c r="D141" t="s">
        <v>9</v>
      </c>
      <c r="E141"/>
      <c r="F141" t="s">
        <v>24</v>
      </c>
      <c r="G141" t="s">
        <v>27</v>
      </c>
      <c r="H141" t="s">
        <v>735</v>
      </c>
      <c r="I141" t="s">
        <v>736</v>
      </c>
      <c r="J141">
        <v>0.01</v>
      </c>
      <c r="L141" s="212" t="str">
        <f>IFERROR(VLOOKUP($H141,PARAMETERS!$M$3:$M$493,1,0),"---")</f>
        <v>gs_ub_st1</v>
      </c>
    </row>
    <row r="142" spans="1:12" x14ac:dyDescent="0.3">
      <c r="A142" t="s">
        <v>9</v>
      </c>
      <c r="B142"/>
      <c r="C142"/>
      <c r="D142" t="s">
        <v>9</v>
      </c>
      <c r="E142"/>
      <c r="F142" t="s">
        <v>24</v>
      </c>
      <c r="G142" t="s">
        <v>27</v>
      </c>
      <c r="H142" t="s">
        <v>737</v>
      </c>
      <c r="I142" t="s">
        <v>738</v>
      </c>
      <c r="J142">
        <v>0.01</v>
      </c>
      <c r="L142" s="212" t="str">
        <f>IFERROR(VLOOKUP($H142,PARAMETERS!$M$3:$M$493,1,0),"---")</f>
        <v>gs_ub_st2</v>
      </c>
    </row>
    <row r="143" spans="1:12" x14ac:dyDescent="0.3">
      <c r="A143" t="s">
        <v>9</v>
      </c>
      <c r="B143"/>
      <c r="C143"/>
      <c r="D143"/>
      <c r="E143"/>
      <c r="F143" t="s">
        <v>57</v>
      </c>
      <c r="G143" t="s">
        <v>27</v>
      </c>
      <c r="H143" t="s">
        <v>210</v>
      </c>
      <c r="I143" t="s">
        <v>1818</v>
      </c>
      <c r="L143" s="212" t="str">
        <f>IFERROR(VLOOKUP($H143,PARAMETERS!$M$3:$M$493,1,0),"---")</f>
        <v>gs_door_material</v>
      </c>
    </row>
    <row r="144" spans="1:12" x14ac:dyDescent="0.3">
      <c r="A144" t="s">
        <v>9</v>
      </c>
      <c r="B144"/>
      <c r="C144"/>
      <c r="D144" t="s">
        <v>9</v>
      </c>
      <c r="E144"/>
      <c r="F144" t="s">
        <v>50</v>
      </c>
      <c r="G144" t="s">
        <v>27</v>
      </c>
      <c r="H144" t="s">
        <v>739</v>
      </c>
      <c r="I144" t="s">
        <v>740</v>
      </c>
      <c r="J144">
        <v>133</v>
      </c>
      <c r="L144" s="212" t="str">
        <f>IFERROR(VLOOKUP($H144,PARAMETERS!$M$3:$M$493,1,0),"---")</f>
        <v>gs_frame_mat</v>
      </c>
    </row>
    <row r="145" spans="1:12" x14ac:dyDescent="0.3">
      <c r="A145" t="s">
        <v>9</v>
      </c>
      <c r="B145"/>
      <c r="C145"/>
      <c r="D145" t="s">
        <v>9</v>
      </c>
      <c r="E145"/>
      <c r="F145" t="s">
        <v>50</v>
      </c>
      <c r="G145" t="s">
        <v>27</v>
      </c>
      <c r="H145" t="s">
        <v>933</v>
      </c>
      <c r="I145" t="s">
        <v>934</v>
      </c>
      <c r="J145">
        <v>133</v>
      </c>
      <c r="L145" s="212" t="str">
        <f>IFERROR(VLOOKUP($H145,PARAMETERS!$M$3:$M$493,1,0),"---")</f>
        <v>gs_leaf_mat</v>
      </c>
    </row>
    <row r="146" spans="1:12" x14ac:dyDescent="0.3">
      <c r="A146" t="s">
        <v>9</v>
      </c>
      <c r="B146"/>
      <c r="C146"/>
      <c r="D146" t="s">
        <v>9</v>
      </c>
      <c r="E146"/>
      <c r="F146" t="s">
        <v>50</v>
      </c>
      <c r="G146" t="s">
        <v>27</v>
      </c>
      <c r="H146" t="s">
        <v>935</v>
      </c>
      <c r="I146" t="s">
        <v>936</v>
      </c>
      <c r="J146">
        <v>24</v>
      </c>
      <c r="L146" s="212" t="str">
        <f>IFERROR(VLOOKUP($H146,PARAMETERS!$M$3:$M$493,1,0),"---")</f>
        <v>gs_glass_mat</v>
      </c>
    </row>
    <row r="147" spans="1:12" x14ac:dyDescent="0.3">
      <c r="A147" t="s">
        <v>9</v>
      </c>
      <c r="B147"/>
      <c r="C147"/>
      <c r="D147" t="s">
        <v>9</v>
      </c>
      <c r="E147"/>
      <c r="F147" t="s">
        <v>50</v>
      </c>
      <c r="G147" t="s">
        <v>27</v>
      </c>
      <c r="H147" t="s">
        <v>937</v>
      </c>
      <c r="I147" t="s">
        <v>938</v>
      </c>
      <c r="J147">
        <v>40</v>
      </c>
      <c r="L147" s="212" t="str">
        <f>IFERROR(VLOOKUP($H147,PARAMETERS!$M$3:$M$493,1,0),"---")</f>
        <v>gs_metal_mat</v>
      </c>
    </row>
    <row r="148" spans="1:12" x14ac:dyDescent="0.3">
      <c r="A148" t="s">
        <v>9</v>
      </c>
      <c r="B148"/>
      <c r="C148"/>
      <c r="D148" t="s">
        <v>9</v>
      </c>
      <c r="E148"/>
      <c r="F148" t="s">
        <v>50</v>
      </c>
      <c r="G148" t="s">
        <v>27</v>
      </c>
      <c r="H148" t="s">
        <v>801</v>
      </c>
      <c r="I148" t="s">
        <v>802</v>
      </c>
      <c r="J148">
        <v>54</v>
      </c>
      <c r="L148" s="212" t="str">
        <f>IFERROR(VLOOKUP($H148,PARAMETERS!$M$3:$M$493,1,0),"---")</f>
        <v>---</v>
      </c>
    </row>
    <row r="149" spans="1:12" x14ac:dyDescent="0.3">
      <c r="A149" t="s">
        <v>9</v>
      </c>
      <c r="B149"/>
      <c r="C149"/>
      <c r="D149" t="s">
        <v>9</v>
      </c>
      <c r="E149"/>
      <c r="F149" t="s">
        <v>50</v>
      </c>
      <c r="G149" t="s">
        <v>27</v>
      </c>
      <c r="H149" t="s">
        <v>939</v>
      </c>
      <c r="I149" t="s">
        <v>940</v>
      </c>
      <c r="J149">
        <v>133</v>
      </c>
      <c r="L149" s="212" t="str">
        <f>IFERROR(VLOOKUP($H149,PARAMETERS!$M$3:$M$493,1,0),"---")</f>
        <v>gs_mat_spr</v>
      </c>
    </row>
    <row r="150" spans="1:12" x14ac:dyDescent="0.3">
      <c r="A150" t="s">
        <v>9</v>
      </c>
      <c r="B150"/>
      <c r="C150"/>
      <c r="D150" t="s">
        <v>9</v>
      </c>
      <c r="E150"/>
      <c r="F150" t="s">
        <v>50</v>
      </c>
      <c r="G150" t="s">
        <v>27</v>
      </c>
      <c r="H150" t="s">
        <v>863</v>
      </c>
      <c r="I150" t="s">
        <v>864</v>
      </c>
      <c r="J150">
        <v>40</v>
      </c>
      <c r="L150" s="212" t="str">
        <f>IFERROR(VLOOKUP($H150,PARAMETERS!$M$3:$M$493,1,0),"---")</f>
        <v>---</v>
      </c>
    </row>
    <row r="151" spans="1:12" x14ac:dyDescent="0.3">
      <c r="A151" t="s">
        <v>9</v>
      </c>
      <c r="B151"/>
      <c r="C151"/>
      <c r="D151" t="s">
        <v>9</v>
      </c>
      <c r="E151"/>
      <c r="F151" t="s">
        <v>50</v>
      </c>
      <c r="G151" t="s">
        <v>27</v>
      </c>
      <c r="H151" t="s">
        <v>866</v>
      </c>
      <c r="I151" t="s">
        <v>867</v>
      </c>
      <c r="J151">
        <v>40</v>
      </c>
      <c r="L151" s="212" t="str">
        <f>IFERROR(VLOOKUP($H151,PARAMETERS!$M$3:$M$493,1,0),"---")</f>
        <v>---</v>
      </c>
    </row>
    <row r="152" spans="1:12" x14ac:dyDescent="0.3">
      <c r="A152" t="s">
        <v>9</v>
      </c>
      <c r="B152"/>
      <c r="C152"/>
      <c r="D152" t="s">
        <v>9</v>
      </c>
      <c r="E152"/>
      <c r="F152" t="s">
        <v>50</v>
      </c>
      <c r="G152" t="s">
        <v>27</v>
      </c>
      <c r="H152" t="s">
        <v>597</v>
      </c>
      <c r="I152" t="s">
        <v>598</v>
      </c>
      <c r="J152">
        <v>15</v>
      </c>
      <c r="L152" s="212" t="str">
        <f>IFERROR(VLOOKUP($H152,PARAMETERS!$M$3:$M$493,1,0),"---")</f>
        <v>---</v>
      </c>
    </row>
    <row r="153" spans="1:12" x14ac:dyDescent="0.3">
      <c r="A153" t="s">
        <v>9</v>
      </c>
      <c r="B153"/>
      <c r="C153"/>
      <c r="D153" t="s">
        <v>9</v>
      </c>
      <c r="E153"/>
      <c r="F153" t="s">
        <v>50</v>
      </c>
      <c r="G153" t="s">
        <v>27</v>
      </c>
      <c r="H153" t="s">
        <v>599</v>
      </c>
      <c r="I153" t="s">
        <v>600</v>
      </c>
      <c r="J153">
        <v>45</v>
      </c>
      <c r="L153" s="212" t="str">
        <f>IFERROR(VLOOKUP($H153,PARAMETERS!$M$3:$M$493,1,0),"---")</f>
        <v>---</v>
      </c>
    </row>
    <row r="154" spans="1:12" x14ac:dyDescent="0.3">
      <c r="A154" t="s">
        <v>9</v>
      </c>
      <c r="B154"/>
      <c r="C154"/>
      <c r="D154" t="s">
        <v>9</v>
      </c>
      <c r="E154"/>
      <c r="F154" t="s">
        <v>50</v>
      </c>
      <c r="G154" t="s">
        <v>27</v>
      </c>
      <c r="H154" t="s">
        <v>601</v>
      </c>
      <c r="I154" t="s">
        <v>602</v>
      </c>
      <c r="J154">
        <v>15</v>
      </c>
      <c r="L154" s="212" t="str">
        <f>IFERROR(VLOOKUP($H154,PARAMETERS!$M$3:$M$493,1,0),"---")</f>
        <v>---</v>
      </c>
    </row>
    <row r="155" spans="1:12" x14ac:dyDescent="0.3">
      <c r="A155"/>
      <c r="B155"/>
      <c r="C155"/>
      <c r="D155" t="s">
        <v>9</v>
      </c>
      <c r="E155"/>
      <c r="F155" t="s">
        <v>47</v>
      </c>
      <c r="G155" t="s">
        <v>27</v>
      </c>
      <c r="H155" t="s">
        <v>941</v>
      </c>
      <c r="I155" t="s">
        <v>942</v>
      </c>
      <c r="J155">
        <v>1</v>
      </c>
      <c r="L155" s="212" t="str">
        <f>IFERROR(VLOOKUP($H155,PARAMETERS!$M$3:$M$493,1,0),"---")</f>
        <v>bLinkCasingSurfaces</v>
      </c>
    </row>
    <row r="156" spans="1:12" x14ac:dyDescent="0.3">
      <c r="A156"/>
      <c r="B156" t="s">
        <v>9</v>
      </c>
      <c r="C156"/>
      <c r="D156" t="s">
        <v>9</v>
      </c>
      <c r="E156"/>
      <c r="F156" t="s">
        <v>44</v>
      </c>
      <c r="G156" t="s">
        <v>27</v>
      </c>
      <c r="H156" t="s">
        <v>943</v>
      </c>
      <c r="J156" t="s">
        <v>33</v>
      </c>
      <c r="L156" s="212" t="str">
        <f>IFERROR(VLOOKUP($H156,PARAMETERS!$M$3:$M$493,1,0),"---")</f>
        <v>stored_material</v>
      </c>
    </row>
    <row r="157" spans="1:12" x14ac:dyDescent="0.3">
      <c r="A157" t="s">
        <v>9</v>
      </c>
      <c r="B157"/>
      <c r="C157"/>
      <c r="D157" t="s">
        <v>9</v>
      </c>
      <c r="E157"/>
      <c r="F157" t="s">
        <v>50</v>
      </c>
      <c r="G157" t="s">
        <v>27</v>
      </c>
      <c r="H157" t="s">
        <v>944</v>
      </c>
      <c r="I157" t="s">
        <v>945</v>
      </c>
      <c r="J157">
        <v>133</v>
      </c>
      <c r="L157" s="212" t="str">
        <f>IFERROR(VLOOKUP($H157,PARAMETERS!$M$3:$M$493,1,0),"---")</f>
        <v>gs_trim_in_mat</v>
      </c>
    </row>
    <row r="158" spans="1:12" x14ac:dyDescent="0.3">
      <c r="A158" t="s">
        <v>9</v>
      </c>
      <c r="B158"/>
      <c r="C158"/>
      <c r="D158" t="s">
        <v>9</v>
      </c>
      <c r="E158"/>
      <c r="F158" t="s">
        <v>50</v>
      </c>
      <c r="G158" t="s">
        <v>27</v>
      </c>
      <c r="H158" t="s">
        <v>946</v>
      </c>
      <c r="I158" t="s">
        <v>947</v>
      </c>
      <c r="J158">
        <v>133</v>
      </c>
      <c r="L158" s="212" t="str">
        <f>IFERROR(VLOOKUP($H158,PARAMETERS!$M$3:$M$493,1,0),"---")</f>
        <v>gs_trim_out_mat</v>
      </c>
    </row>
    <row r="159" spans="1:12" x14ac:dyDescent="0.3">
      <c r="A159" t="s">
        <v>9</v>
      </c>
      <c r="B159"/>
      <c r="C159" t="s">
        <v>9</v>
      </c>
      <c r="D159"/>
      <c r="E159"/>
      <c r="F159" t="s">
        <v>47</v>
      </c>
      <c r="G159" t="s">
        <v>27</v>
      </c>
      <c r="H159" t="s">
        <v>460</v>
      </c>
      <c r="I159" t="s">
        <v>461</v>
      </c>
      <c r="J159">
        <v>0</v>
      </c>
      <c r="L159" s="212" t="str">
        <f>IFERROR(VLOOKUP($H159,PARAMETERS!$M$3:$M$493,1,0),"---")</f>
        <v>bThreshold</v>
      </c>
    </row>
    <row r="160" spans="1:12" x14ac:dyDescent="0.3">
      <c r="A160" t="s">
        <v>9</v>
      </c>
      <c r="B160"/>
      <c r="C160"/>
      <c r="D160" t="s">
        <v>9</v>
      </c>
      <c r="E160"/>
      <c r="F160" t="s">
        <v>18</v>
      </c>
      <c r="G160" t="s">
        <v>27</v>
      </c>
      <c r="H160" t="s">
        <v>554</v>
      </c>
      <c r="I160" t="s">
        <v>555</v>
      </c>
      <c r="J160" t="s">
        <v>1819</v>
      </c>
      <c r="L160" s="212" t="str">
        <f>IFERROR(VLOOKUP($H160,PARAMETERS!$M$3:$M$493,1,0),"---")</f>
        <v>---</v>
      </c>
    </row>
    <row r="161" spans="1:12" x14ac:dyDescent="0.3">
      <c r="A161" t="s">
        <v>9</v>
      </c>
      <c r="B161" t="s">
        <v>9</v>
      </c>
      <c r="C161"/>
      <c r="D161" t="s">
        <v>9</v>
      </c>
      <c r="E161"/>
      <c r="F161" t="s">
        <v>44</v>
      </c>
      <c r="G161" t="s">
        <v>27</v>
      </c>
      <c r="H161" t="s">
        <v>556</v>
      </c>
      <c r="I161" t="s">
        <v>461</v>
      </c>
      <c r="J161">
        <v>1</v>
      </c>
      <c r="L161" s="212" t="str">
        <f>IFERROR(VLOOKUP($H161,PARAMETERS!$M$3:$M$493,1,0),"---")</f>
        <v>---</v>
      </c>
    </row>
    <row r="162" spans="1:12" x14ac:dyDescent="0.3">
      <c r="A162" t="s">
        <v>9</v>
      </c>
      <c r="B162" t="s">
        <v>9</v>
      </c>
      <c r="C162"/>
      <c r="D162" t="s">
        <v>9</v>
      </c>
      <c r="E162"/>
      <c r="F162" t="s">
        <v>44</v>
      </c>
      <c r="G162" t="s">
        <v>27</v>
      </c>
      <c r="H162" t="s">
        <v>557</v>
      </c>
      <c r="I162" t="s">
        <v>558</v>
      </c>
      <c r="J162">
        <v>1</v>
      </c>
      <c r="L162" s="212" t="str">
        <f>IFERROR(VLOOKUP($H162,PARAMETERS!$M$3:$M$493,1,0),"---")</f>
        <v>---</v>
      </c>
    </row>
    <row r="163" spans="1:12" x14ac:dyDescent="0.3">
      <c r="A163" t="s">
        <v>9</v>
      </c>
      <c r="B163"/>
      <c r="C163"/>
      <c r="D163" t="s">
        <v>9</v>
      </c>
      <c r="E163"/>
      <c r="F163" t="s">
        <v>47</v>
      </c>
      <c r="G163" t="s">
        <v>27</v>
      </c>
      <c r="H163" t="s">
        <v>559</v>
      </c>
      <c r="I163" t="s">
        <v>560</v>
      </c>
      <c r="J163">
        <v>0</v>
      </c>
      <c r="L163" s="212" t="str">
        <f>IFERROR(VLOOKUP($H163,PARAMETERS!$M$3:$M$493,1,0),"---")</f>
        <v>---</v>
      </c>
    </row>
    <row r="164" spans="1:12" x14ac:dyDescent="0.3">
      <c r="A164" t="s">
        <v>9</v>
      </c>
      <c r="B164"/>
      <c r="C164"/>
      <c r="D164" t="s">
        <v>9</v>
      </c>
      <c r="E164"/>
      <c r="F164" t="s">
        <v>24</v>
      </c>
      <c r="G164" t="s">
        <v>27</v>
      </c>
      <c r="H164" t="s">
        <v>561</v>
      </c>
      <c r="I164" t="s">
        <v>562</v>
      </c>
      <c r="J164">
        <v>0.02</v>
      </c>
      <c r="L164" s="212" t="str">
        <f>IFERROR(VLOOKUP($H164,PARAMETERS!$M$3:$M$493,1,0),"---")</f>
        <v>---</v>
      </c>
    </row>
    <row r="165" spans="1:12" x14ac:dyDescent="0.3">
      <c r="A165" t="s">
        <v>9</v>
      </c>
      <c r="B165"/>
      <c r="C165"/>
      <c r="D165" t="s">
        <v>9</v>
      </c>
      <c r="E165"/>
      <c r="F165" t="s">
        <v>24</v>
      </c>
      <c r="G165" t="s">
        <v>27</v>
      </c>
      <c r="H165" t="s">
        <v>563</v>
      </c>
      <c r="I165" t="s">
        <v>562</v>
      </c>
      <c r="J165">
        <v>0.02</v>
      </c>
      <c r="L165" s="212" t="str">
        <f>IFERROR(VLOOKUP($H165,PARAMETERS!$M$3:$M$493,1,0),"---")</f>
        <v>---</v>
      </c>
    </row>
    <row r="166" spans="1:12" x14ac:dyDescent="0.3">
      <c r="A166" t="s">
        <v>9</v>
      </c>
      <c r="B166"/>
      <c r="C166"/>
      <c r="D166" t="s">
        <v>9</v>
      </c>
      <c r="E166"/>
      <c r="F166" t="s">
        <v>24</v>
      </c>
      <c r="G166" t="s">
        <v>27</v>
      </c>
      <c r="H166" t="s">
        <v>564</v>
      </c>
      <c r="I166" t="s">
        <v>565</v>
      </c>
      <c r="J166">
        <v>0.02</v>
      </c>
      <c r="L166" s="212" t="str">
        <f>IFERROR(VLOOKUP($H166,PARAMETERS!$M$3:$M$493,1,0),"---")</f>
        <v>---</v>
      </c>
    </row>
    <row r="167" spans="1:12" x14ac:dyDescent="0.3">
      <c r="A167" t="s">
        <v>9</v>
      </c>
      <c r="B167"/>
      <c r="C167"/>
      <c r="D167" t="s">
        <v>9</v>
      </c>
      <c r="E167"/>
      <c r="F167" t="s">
        <v>24</v>
      </c>
      <c r="G167" t="s">
        <v>27</v>
      </c>
      <c r="H167" t="s">
        <v>566</v>
      </c>
      <c r="I167" t="s">
        <v>567</v>
      </c>
      <c r="J167">
        <v>0.02</v>
      </c>
      <c r="L167" s="212" t="str">
        <f>IFERROR(VLOOKUP($H167,PARAMETERS!$M$3:$M$493,1,0),"---")</f>
        <v>---</v>
      </c>
    </row>
    <row r="168" spans="1:12" x14ac:dyDescent="0.3">
      <c r="A168" t="s">
        <v>9</v>
      </c>
      <c r="B168"/>
      <c r="C168"/>
      <c r="D168" t="s">
        <v>9</v>
      </c>
      <c r="E168"/>
      <c r="F168" t="s">
        <v>47</v>
      </c>
      <c r="G168" t="s">
        <v>27</v>
      </c>
      <c r="H168" t="s">
        <v>568</v>
      </c>
      <c r="I168" t="s">
        <v>569</v>
      </c>
      <c r="J168">
        <v>0</v>
      </c>
      <c r="L168" s="212" t="str">
        <f>IFERROR(VLOOKUP($H168,PARAMETERS!$M$3:$M$493,1,0),"---")</f>
        <v>---</v>
      </c>
    </row>
    <row r="169" spans="1:12" x14ac:dyDescent="0.3">
      <c r="A169" t="s">
        <v>9</v>
      </c>
      <c r="B169"/>
      <c r="C169"/>
      <c r="D169" t="s">
        <v>9</v>
      </c>
      <c r="E169"/>
      <c r="F169" t="s">
        <v>53</v>
      </c>
      <c r="G169" t="s">
        <v>27</v>
      </c>
      <c r="H169" t="s">
        <v>570</v>
      </c>
      <c r="I169" t="s">
        <v>571</v>
      </c>
      <c r="J169">
        <v>1</v>
      </c>
      <c r="L169" s="212" t="str">
        <f>IFERROR(VLOOKUP($H169,PARAMETERS!$M$3:$M$493,1,0),"---")</f>
        <v>---</v>
      </c>
    </row>
    <row r="170" spans="1:12" x14ac:dyDescent="0.3">
      <c r="A170" t="s">
        <v>9</v>
      </c>
      <c r="B170"/>
      <c r="C170"/>
      <c r="D170" t="s">
        <v>9</v>
      </c>
      <c r="E170"/>
      <c r="F170" t="s">
        <v>51</v>
      </c>
      <c r="G170" t="s">
        <v>27</v>
      </c>
      <c r="H170" t="s">
        <v>572</v>
      </c>
      <c r="I170" t="s">
        <v>573</v>
      </c>
      <c r="J170">
        <v>1</v>
      </c>
      <c r="L170" s="212" t="str">
        <f>IFERROR(VLOOKUP($H170,PARAMETERS!$M$3:$M$493,1,0),"---")</f>
        <v>---</v>
      </c>
    </row>
    <row r="171" spans="1:12" x14ac:dyDescent="0.3">
      <c r="A171" t="s">
        <v>9</v>
      </c>
      <c r="B171"/>
      <c r="C171" t="s">
        <v>9</v>
      </c>
      <c r="D171"/>
      <c r="E171"/>
      <c r="F171" t="s">
        <v>18</v>
      </c>
      <c r="G171" t="s">
        <v>27</v>
      </c>
      <c r="H171" t="s">
        <v>574</v>
      </c>
      <c r="I171" t="s">
        <v>575</v>
      </c>
      <c r="J171" t="s">
        <v>576</v>
      </c>
      <c r="L171" s="212" t="str">
        <f>IFERROR(VLOOKUP($H171,PARAMETERS!$M$3:$M$493,1,0),"---")</f>
        <v>---</v>
      </c>
    </row>
    <row r="172" spans="1:12" x14ac:dyDescent="0.3">
      <c r="A172" t="s">
        <v>9</v>
      </c>
      <c r="B172" t="s">
        <v>9</v>
      </c>
      <c r="C172"/>
      <c r="D172" t="s">
        <v>9</v>
      </c>
      <c r="E172"/>
      <c r="F172" t="s">
        <v>44</v>
      </c>
      <c r="G172" t="s">
        <v>27</v>
      </c>
      <c r="H172" t="s">
        <v>577</v>
      </c>
      <c r="I172" t="s">
        <v>575</v>
      </c>
      <c r="J172">
        <v>1</v>
      </c>
      <c r="L172" s="212" t="str">
        <f>IFERROR(VLOOKUP($H172,PARAMETERS!$M$3:$M$493,1,0),"---")</f>
        <v>---</v>
      </c>
    </row>
    <row r="173" spans="1:12" x14ac:dyDescent="0.3">
      <c r="A173" t="s">
        <v>9</v>
      </c>
      <c r="B173"/>
      <c r="C173"/>
      <c r="D173" t="s">
        <v>9</v>
      </c>
      <c r="E173"/>
      <c r="F173" t="s">
        <v>24</v>
      </c>
      <c r="G173" t="s">
        <v>27</v>
      </c>
      <c r="H173" t="s">
        <v>578</v>
      </c>
      <c r="I173" t="s">
        <v>579</v>
      </c>
      <c r="J173">
        <v>0.05</v>
      </c>
      <c r="L173" s="212" t="str">
        <f>IFERROR(VLOOKUP($H173,PARAMETERS!$M$3:$M$493,1,0),"---")</f>
        <v>---</v>
      </c>
    </row>
    <row r="174" spans="1:12" x14ac:dyDescent="0.3">
      <c r="A174" t="s">
        <v>9</v>
      </c>
      <c r="B174"/>
      <c r="C174" t="s">
        <v>9</v>
      </c>
      <c r="D174"/>
      <c r="E174"/>
      <c r="F174" t="s">
        <v>18</v>
      </c>
      <c r="G174" t="s">
        <v>27</v>
      </c>
      <c r="H174" t="s">
        <v>580</v>
      </c>
      <c r="I174" t="s">
        <v>581</v>
      </c>
      <c r="J174" t="s">
        <v>582</v>
      </c>
      <c r="L174" s="212" t="str">
        <f>IFERROR(VLOOKUP($H174,PARAMETERS!$M$3:$M$493,1,0),"---")</f>
        <v>---</v>
      </c>
    </row>
    <row r="175" spans="1:12" x14ac:dyDescent="0.3">
      <c r="A175" t="s">
        <v>9</v>
      </c>
      <c r="B175" t="s">
        <v>9</v>
      </c>
      <c r="C175"/>
      <c r="D175" t="s">
        <v>9</v>
      </c>
      <c r="E175"/>
      <c r="F175" t="s">
        <v>44</v>
      </c>
      <c r="G175" t="s">
        <v>27</v>
      </c>
      <c r="H175" t="s">
        <v>583</v>
      </c>
      <c r="I175" t="s">
        <v>581</v>
      </c>
      <c r="J175">
        <v>0</v>
      </c>
      <c r="L175" s="212" t="str">
        <f>IFERROR(VLOOKUP($H175,PARAMETERS!$M$3:$M$493,1,0),"---")</f>
        <v>---</v>
      </c>
    </row>
    <row r="176" spans="1:12" x14ac:dyDescent="0.3">
      <c r="A176" t="s">
        <v>9</v>
      </c>
      <c r="B176"/>
      <c r="C176"/>
      <c r="D176" t="s">
        <v>9</v>
      </c>
      <c r="E176"/>
      <c r="F176" t="s">
        <v>47</v>
      </c>
      <c r="G176" t="s">
        <v>27</v>
      </c>
      <c r="H176" t="s">
        <v>584</v>
      </c>
      <c r="I176" t="s">
        <v>585</v>
      </c>
      <c r="J176">
        <v>0</v>
      </c>
      <c r="L176" s="212" t="str">
        <f>IFERROR(VLOOKUP($H176,PARAMETERS!$M$3:$M$493,1,0),"---")</f>
        <v>---</v>
      </c>
    </row>
    <row r="177" spans="1:12" x14ac:dyDescent="0.3">
      <c r="A177" t="s">
        <v>9</v>
      </c>
      <c r="B177"/>
      <c r="C177"/>
      <c r="D177" t="s">
        <v>9</v>
      </c>
      <c r="E177"/>
      <c r="F177" t="s">
        <v>24</v>
      </c>
      <c r="G177" t="s">
        <v>27</v>
      </c>
      <c r="H177" t="s">
        <v>586</v>
      </c>
      <c r="I177" t="s">
        <v>587</v>
      </c>
      <c r="J177">
        <v>0</v>
      </c>
      <c r="L177" s="212" t="str">
        <f>IFERROR(VLOOKUP($H177,PARAMETERS!$M$3:$M$493,1,0),"---")</f>
        <v>---</v>
      </c>
    </row>
    <row r="178" spans="1:12" x14ac:dyDescent="0.3">
      <c r="A178" t="s">
        <v>9</v>
      </c>
      <c r="B178"/>
      <c r="C178"/>
      <c r="D178" t="s">
        <v>9</v>
      </c>
      <c r="E178"/>
      <c r="F178" t="s">
        <v>24</v>
      </c>
      <c r="G178" t="s">
        <v>27</v>
      </c>
      <c r="H178" t="s">
        <v>588</v>
      </c>
      <c r="I178" t="s">
        <v>587</v>
      </c>
      <c r="J178">
        <v>0</v>
      </c>
      <c r="L178" s="212" t="str">
        <f>IFERROR(VLOOKUP($H178,PARAMETERS!$M$3:$M$493,1,0),"---")</f>
        <v>---</v>
      </c>
    </row>
    <row r="179" spans="1:12" x14ac:dyDescent="0.3">
      <c r="A179" t="s">
        <v>9</v>
      </c>
      <c r="B179"/>
      <c r="C179"/>
      <c r="D179" t="s">
        <v>9</v>
      </c>
      <c r="E179"/>
      <c r="F179" t="s">
        <v>24</v>
      </c>
      <c r="G179" t="s">
        <v>27</v>
      </c>
      <c r="H179" t="s">
        <v>589</v>
      </c>
      <c r="I179" t="s">
        <v>587</v>
      </c>
      <c r="J179">
        <v>0</v>
      </c>
      <c r="L179" s="212" t="str">
        <f>IFERROR(VLOOKUP($H179,PARAMETERS!$M$3:$M$493,1,0),"---")</f>
        <v>---</v>
      </c>
    </row>
    <row r="180" spans="1:12" x14ac:dyDescent="0.3">
      <c r="A180" t="s">
        <v>9</v>
      </c>
      <c r="B180"/>
      <c r="C180"/>
      <c r="D180" t="s">
        <v>9</v>
      </c>
      <c r="E180"/>
      <c r="F180" t="s">
        <v>18</v>
      </c>
      <c r="G180" t="s">
        <v>27</v>
      </c>
      <c r="H180" t="s">
        <v>590</v>
      </c>
      <c r="I180" t="s">
        <v>555</v>
      </c>
      <c r="J180" t="s">
        <v>591</v>
      </c>
      <c r="L180" s="212" t="str">
        <f>IFERROR(VLOOKUP($H180,PARAMETERS!$M$3:$M$493,1,0),"---")</f>
        <v>---</v>
      </c>
    </row>
    <row r="181" spans="1:12" x14ac:dyDescent="0.3">
      <c r="A181" t="s">
        <v>9</v>
      </c>
      <c r="B181" t="s">
        <v>9</v>
      </c>
      <c r="C181"/>
      <c r="D181" t="s">
        <v>9</v>
      </c>
      <c r="E181"/>
      <c r="F181" t="s">
        <v>44</v>
      </c>
      <c r="G181" t="s">
        <v>27</v>
      </c>
      <c r="H181" t="s">
        <v>592</v>
      </c>
      <c r="I181" t="s">
        <v>555</v>
      </c>
      <c r="J181">
        <v>1</v>
      </c>
      <c r="L181" s="212" t="str">
        <f>IFERROR(VLOOKUP($H181,PARAMETERS!$M$3:$M$493,1,0),"---")</f>
        <v>---</v>
      </c>
    </row>
    <row r="182" spans="1:12" x14ac:dyDescent="0.3">
      <c r="A182" t="s">
        <v>9</v>
      </c>
      <c r="B182"/>
      <c r="C182"/>
      <c r="D182" t="s">
        <v>9</v>
      </c>
      <c r="E182"/>
      <c r="F182" t="s">
        <v>18</v>
      </c>
      <c r="G182" t="s">
        <v>27</v>
      </c>
      <c r="H182" t="s">
        <v>593</v>
      </c>
      <c r="I182" t="s">
        <v>594</v>
      </c>
      <c r="J182" t="s">
        <v>595</v>
      </c>
      <c r="L182" s="212" t="str">
        <f>IFERROR(VLOOKUP($H182,PARAMETERS!$M$3:$M$493,1,0),"---")</f>
        <v>---</v>
      </c>
    </row>
    <row r="183" spans="1:12" x14ac:dyDescent="0.3">
      <c r="A183" t="s">
        <v>9</v>
      </c>
      <c r="B183" t="s">
        <v>9</v>
      </c>
      <c r="C183"/>
      <c r="D183" t="s">
        <v>9</v>
      </c>
      <c r="E183"/>
      <c r="F183" t="s">
        <v>44</v>
      </c>
      <c r="G183" t="s">
        <v>27</v>
      </c>
      <c r="H183" t="s">
        <v>596</v>
      </c>
      <c r="I183" t="s">
        <v>594</v>
      </c>
      <c r="J183">
        <v>1</v>
      </c>
      <c r="L183" s="212" t="str">
        <f>IFERROR(VLOOKUP($H183,PARAMETERS!$M$3:$M$493,1,0),"---")</f>
        <v>---</v>
      </c>
    </row>
    <row r="184" spans="1:12" x14ac:dyDescent="0.3">
      <c r="A184" t="s">
        <v>9</v>
      </c>
      <c r="B184"/>
      <c r="C184"/>
      <c r="D184" t="s">
        <v>9</v>
      </c>
      <c r="E184"/>
      <c r="F184" t="s">
        <v>53</v>
      </c>
      <c r="G184" t="s">
        <v>27</v>
      </c>
      <c r="H184" t="s">
        <v>1353</v>
      </c>
      <c r="I184" t="s">
        <v>1354</v>
      </c>
      <c r="J184">
        <v>1</v>
      </c>
      <c r="L184" s="212" t="str">
        <f>IFERROR(VLOOKUP($H184,PARAMETERS!$M$3:$M$493,1,0),"---")</f>
        <v>penSIASymbolText</v>
      </c>
    </row>
    <row r="185" spans="1:12" x14ac:dyDescent="0.3">
      <c r="A185" t="s">
        <v>9</v>
      </c>
      <c r="B185"/>
      <c r="C185"/>
      <c r="D185" t="s">
        <v>9</v>
      </c>
      <c r="E185"/>
      <c r="F185" t="s">
        <v>53</v>
      </c>
      <c r="G185" t="s">
        <v>27</v>
      </c>
      <c r="H185" t="s">
        <v>1355</v>
      </c>
      <c r="I185" t="s">
        <v>1356</v>
      </c>
      <c r="J185">
        <v>1</v>
      </c>
      <c r="L185" s="212" t="str">
        <f>IFERROR(VLOOKUP($H185,PARAMETERS!$M$3:$M$493,1,0),"---")</f>
        <v>penSIASymbolLine</v>
      </c>
    </row>
    <row r="186" spans="1:12" x14ac:dyDescent="0.3">
      <c r="A186" t="s">
        <v>9</v>
      </c>
      <c r="B186"/>
      <c r="C186"/>
      <c r="D186" t="s">
        <v>9</v>
      </c>
      <c r="E186"/>
      <c r="F186" t="s">
        <v>18</v>
      </c>
      <c r="G186" t="s">
        <v>27</v>
      </c>
      <c r="H186" t="s">
        <v>1357</v>
      </c>
      <c r="I186" t="s">
        <v>1358</v>
      </c>
      <c r="J186" t="s">
        <v>1359</v>
      </c>
      <c r="L186" s="212" t="str">
        <f>IFERROR(VLOOKUP($H186,PARAMETERS!$M$3:$M$493,1,0),"---")</f>
        <v>SIASymbolFontStyle</v>
      </c>
    </row>
    <row r="187" spans="1:12" x14ac:dyDescent="0.3">
      <c r="A187" t="s">
        <v>9</v>
      </c>
      <c r="B187"/>
      <c r="C187"/>
      <c r="D187" t="s">
        <v>9</v>
      </c>
      <c r="E187"/>
      <c r="F187" t="s">
        <v>36</v>
      </c>
      <c r="G187" t="s">
        <v>27</v>
      </c>
      <c r="H187" t="s">
        <v>1360</v>
      </c>
      <c r="I187" t="s">
        <v>1361</v>
      </c>
      <c r="J187">
        <v>1</v>
      </c>
      <c r="L187" s="212" t="str">
        <f>IFERROR(VLOOKUP($H187,PARAMETERS!$M$3:$M$493,1,0),"---")</f>
        <v>SIASymbolFontSize</v>
      </c>
    </row>
    <row r="188" spans="1:12" x14ac:dyDescent="0.3">
      <c r="A188" t="s">
        <v>9</v>
      </c>
      <c r="B188"/>
      <c r="C188" t="s">
        <v>9</v>
      </c>
      <c r="D188"/>
      <c r="E188"/>
      <c r="F188" t="s">
        <v>47</v>
      </c>
      <c r="G188" t="s">
        <v>27</v>
      </c>
      <c r="H188" t="s">
        <v>1362</v>
      </c>
      <c r="I188" t="s">
        <v>1363</v>
      </c>
      <c r="J188">
        <v>0</v>
      </c>
      <c r="L188" s="212" t="str">
        <f>IFERROR(VLOOKUP($H188,PARAMETERS!$M$3:$M$493,1,0),"---")</f>
        <v>gs_trim_outside</v>
      </c>
    </row>
    <row r="189" spans="1:12" x14ac:dyDescent="0.3">
      <c r="A189" t="s">
        <v>9</v>
      </c>
      <c r="B189" t="s">
        <v>9</v>
      </c>
      <c r="C189"/>
      <c r="D189" t="s">
        <v>9</v>
      </c>
      <c r="E189"/>
      <c r="F189" t="s">
        <v>18</v>
      </c>
      <c r="G189" t="s">
        <v>27</v>
      </c>
      <c r="H189" t="s">
        <v>1364</v>
      </c>
      <c r="I189" t="s">
        <v>1365</v>
      </c>
      <c r="J189" t="s">
        <v>1297</v>
      </c>
      <c r="L189" s="212" t="str">
        <f>IFERROR(VLOOKUP($H189,PARAMETERS!$M$3:$M$493,1,0),"---")</f>
        <v>gs_trimtype_out</v>
      </c>
    </row>
    <row r="190" spans="1:12" x14ac:dyDescent="0.3">
      <c r="A190" t="s">
        <v>9</v>
      </c>
      <c r="B190" t="s">
        <v>9</v>
      </c>
      <c r="C190"/>
      <c r="D190" t="s">
        <v>9</v>
      </c>
      <c r="E190"/>
      <c r="F190" t="s">
        <v>44</v>
      </c>
      <c r="G190" t="s">
        <v>27</v>
      </c>
      <c r="H190" t="s">
        <v>1366</v>
      </c>
      <c r="I190" t="s">
        <v>1365</v>
      </c>
      <c r="J190">
        <v>1</v>
      </c>
      <c r="L190" s="212" t="str">
        <f>IFERROR(VLOOKUP($H190,PARAMETERS!$M$3:$M$493,1,0),"---")</f>
        <v>gs_trimtype_out_int</v>
      </c>
    </row>
    <row r="191" spans="1:12" x14ac:dyDescent="0.3">
      <c r="A191" t="s">
        <v>9</v>
      </c>
      <c r="B191"/>
      <c r="C191"/>
      <c r="D191" t="s">
        <v>9</v>
      </c>
      <c r="E191"/>
      <c r="F191" t="s">
        <v>44</v>
      </c>
      <c r="G191" t="s">
        <v>27</v>
      </c>
      <c r="H191" t="s">
        <v>1367</v>
      </c>
      <c r="I191" t="s">
        <v>1368</v>
      </c>
      <c r="J191">
        <v>1</v>
      </c>
      <c r="L191" s="212" t="str">
        <f>IFERROR(VLOOKUP($H191,PARAMETERS!$M$3:$M$493,1,0),"---")</f>
        <v>iCasingHeadTypeOut</v>
      </c>
    </row>
    <row r="192" spans="1:12" x14ac:dyDescent="0.3">
      <c r="A192" t="s">
        <v>9</v>
      </c>
      <c r="B192"/>
      <c r="C192"/>
      <c r="D192" t="s">
        <v>9</v>
      </c>
      <c r="E192"/>
      <c r="F192" t="s">
        <v>47</v>
      </c>
      <c r="G192" t="s">
        <v>27</v>
      </c>
      <c r="H192" t="s">
        <v>1369</v>
      </c>
      <c r="I192" t="s">
        <v>1370</v>
      </c>
      <c r="J192">
        <v>1</v>
      </c>
      <c r="L192" s="212" t="str">
        <f>IFERROR(VLOOKUP($H192,PARAMETERS!$M$3:$M$493,1,0),"---")</f>
        <v>bArchitraveCapital</v>
      </c>
    </row>
    <row r="193" spans="1:12" x14ac:dyDescent="0.3">
      <c r="A193" t="s">
        <v>9</v>
      </c>
      <c r="B193"/>
      <c r="C193"/>
      <c r="D193" t="s">
        <v>9</v>
      </c>
      <c r="E193"/>
      <c r="F193" t="s">
        <v>44</v>
      </c>
      <c r="G193" t="s">
        <v>27</v>
      </c>
      <c r="H193" t="s">
        <v>1371</v>
      </c>
      <c r="I193" t="s">
        <v>1372</v>
      </c>
      <c r="J193">
        <v>1</v>
      </c>
      <c r="L193" s="212" t="str">
        <f>IFERROR(VLOOKUP($H193,PARAMETERS!$M$3:$M$493,1,0),"---")</f>
        <v>iArchitraveCapitalType</v>
      </c>
    </row>
    <row r="194" spans="1:12" x14ac:dyDescent="0.3">
      <c r="A194" t="s">
        <v>9</v>
      </c>
      <c r="B194"/>
      <c r="C194"/>
      <c r="D194" t="s">
        <v>9</v>
      </c>
      <c r="E194"/>
      <c r="F194" t="s">
        <v>24</v>
      </c>
      <c r="G194" t="s">
        <v>27</v>
      </c>
      <c r="H194" t="s">
        <v>1373</v>
      </c>
      <c r="I194" t="s">
        <v>1374</v>
      </c>
      <c r="J194">
        <v>0.02</v>
      </c>
      <c r="L194" s="212" t="str">
        <f>IFERROR(VLOOKUP($H194,PARAMETERS!$M$3:$M$493,1,0),"---")</f>
        <v>architraveCapitalWidth</v>
      </c>
    </row>
    <row r="195" spans="1:12" x14ac:dyDescent="0.3">
      <c r="A195" t="s">
        <v>9</v>
      </c>
      <c r="B195"/>
      <c r="C195"/>
      <c r="D195" t="s">
        <v>9</v>
      </c>
      <c r="E195"/>
      <c r="F195" t="s">
        <v>47</v>
      </c>
      <c r="G195" t="s">
        <v>27</v>
      </c>
      <c r="H195" t="s">
        <v>1375</v>
      </c>
      <c r="I195" t="s">
        <v>1376</v>
      </c>
      <c r="J195">
        <v>1</v>
      </c>
      <c r="L195" s="212" t="str">
        <f>IFERROR(VLOOKUP($H195,PARAMETERS!$M$3:$M$493,1,0),"---")</f>
        <v>gs_trim_show_cover_out</v>
      </c>
    </row>
    <row r="196" spans="1:12" x14ac:dyDescent="0.3">
      <c r="A196" t="s">
        <v>9</v>
      </c>
      <c r="B196"/>
      <c r="C196"/>
      <c r="D196" t="s">
        <v>9</v>
      </c>
      <c r="E196"/>
      <c r="F196" t="s">
        <v>47</v>
      </c>
      <c r="G196" t="s">
        <v>27</v>
      </c>
      <c r="H196" t="s">
        <v>1377</v>
      </c>
      <c r="I196" t="s">
        <v>1378</v>
      </c>
      <c r="J196">
        <v>1</v>
      </c>
      <c r="L196" s="212" t="str">
        <f>IFERROR(VLOOKUP($H196,PARAMETERS!$M$3:$M$493,1,0),"---")</f>
        <v>gs_trim_outside_uniform</v>
      </c>
    </row>
    <row r="197" spans="1:12" x14ac:dyDescent="0.3">
      <c r="A197" t="s">
        <v>9</v>
      </c>
      <c r="B197"/>
      <c r="C197"/>
      <c r="D197" t="s">
        <v>9</v>
      </c>
      <c r="E197"/>
      <c r="F197" t="s">
        <v>24</v>
      </c>
      <c r="G197" t="s">
        <v>27</v>
      </c>
      <c r="H197" t="s">
        <v>1379</v>
      </c>
      <c r="I197" t="s">
        <v>1380</v>
      </c>
      <c r="J197">
        <v>0.05</v>
      </c>
      <c r="L197" s="212" t="str">
        <f>IFERROR(VLOOKUP($H197,PARAMETERS!$M$3:$M$493,1,0),"---")</f>
        <v>gs_tw_right_out</v>
      </c>
    </row>
    <row r="198" spans="1:12" x14ac:dyDescent="0.3">
      <c r="A198" t="s">
        <v>9</v>
      </c>
      <c r="B198"/>
      <c r="C198"/>
      <c r="D198" t="s">
        <v>9</v>
      </c>
      <c r="E198"/>
      <c r="F198" t="s">
        <v>24</v>
      </c>
      <c r="G198" t="s">
        <v>27</v>
      </c>
      <c r="H198" t="s">
        <v>1381</v>
      </c>
      <c r="I198" t="s">
        <v>1382</v>
      </c>
      <c r="J198">
        <v>0.05</v>
      </c>
      <c r="L198" s="212" t="str">
        <f>IFERROR(VLOOKUP($H198,PARAMETERS!$M$3:$M$493,1,0),"---")</f>
        <v>gs_tw_left_out</v>
      </c>
    </row>
    <row r="199" spans="1:12" x14ac:dyDescent="0.3">
      <c r="A199" t="s">
        <v>9</v>
      </c>
      <c r="B199"/>
      <c r="C199"/>
      <c r="D199" t="s">
        <v>9</v>
      </c>
      <c r="E199"/>
      <c r="F199" t="s">
        <v>24</v>
      </c>
      <c r="G199" t="s">
        <v>27</v>
      </c>
      <c r="H199" t="s">
        <v>1383</v>
      </c>
      <c r="I199" t="s">
        <v>1295</v>
      </c>
      <c r="J199">
        <v>0.05</v>
      </c>
      <c r="L199" s="212" t="str">
        <f>IFERROR(VLOOKUP($H199,PARAMETERS!$M$3:$M$493,1,0),"---")</f>
        <v>gs_tw_top_out</v>
      </c>
    </row>
    <row r="200" spans="1:12" x14ac:dyDescent="0.3">
      <c r="A200" t="s">
        <v>9</v>
      </c>
      <c r="B200"/>
      <c r="C200"/>
      <c r="D200" t="s">
        <v>9</v>
      </c>
      <c r="E200"/>
      <c r="F200" t="s">
        <v>24</v>
      </c>
      <c r="G200" t="s">
        <v>27</v>
      </c>
      <c r="H200" t="s">
        <v>1384</v>
      </c>
      <c r="I200" t="s">
        <v>1385</v>
      </c>
      <c r="J200">
        <v>1.9E-2</v>
      </c>
      <c r="L200" s="212" t="str">
        <f>IFERROR(VLOOKUP($H200,PARAMETERS!$M$3:$M$493,1,0),"---")</f>
        <v>gs_trim_thk_out</v>
      </c>
    </row>
    <row r="201" spans="1:12" x14ac:dyDescent="0.3">
      <c r="A201" t="s">
        <v>9</v>
      </c>
      <c r="B201"/>
      <c r="C201"/>
      <c r="D201" t="s">
        <v>9</v>
      </c>
      <c r="E201"/>
      <c r="F201" t="s">
        <v>24</v>
      </c>
      <c r="G201" t="s">
        <v>27</v>
      </c>
      <c r="H201" t="s">
        <v>1386</v>
      </c>
      <c r="I201" t="s">
        <v>1387</v>
      </c>
      <c r="J201">
        <v>2.5000000000000001E-2</v>
      </c>
      <c r="L201" s="212" t="str">
        <f>IFERROR(VLOOKUP($H201,PARAMETERS!$M$3:$M$493,1,0),"---")</f>
        <v>gs_trim_width_out</v>
      </c>
    </row>
    <row r="202" spans="1:12" x14ac:dyDescent="0.3">
      <c r="A202" t="s">
        <v>9</v>
      </c>
      <c r="B202"/>
      <c r="C202"/>
      <c r="D202" t="s">
        <v>9</v>
      </c>
      <c r="E202"/>
      <c r="F202" t="s">
        <v>24</v>
      </c>
      <c r="G202" t="s">
        <v>27</v>
      </c>
      <c r="H202" t="s">
        <v>1388</v>
      </c>
      <c r="I202" t="s">
        <v>1389</v>
      </c>
      <c r="J202">
        <v>0</v>
      </c>
      <c r="L202" s="212" t="str">
        <f>IFERROR(VLOOKUP($H202,PARAMETERS!$M$3:$M$493,1,0),"---")</f>
        <v>gs_trim_offs_out</v>
      </c>
    </row>
    <row r="203" spans="1:12" x14ac:dyDescent="0.3">
      <c r="A203" t="s">
        <v>9</v>
      </c>
      <c r="B203"/>
      <c r="C203"/>
      <c r="D203" t="s">
        <v>9</v>
      </c>
      <c r="E203"/>
      <c r="F203" t="s">
        <v>24</v>
      </c>
      <c r="G203" t="s">
        <v>27</v>
      </c>
      <c r="H203" t="s">
        <v>1390</v>
      </c>
      <c r="I203" t="s">
        <v>1391</v>
      </c>
      <c r="J203">
        <v>0.05</v>
      </c>
      <c r="L203" s="212" t="str">
        <f>IFERROR(VLOOKUP($H203,PARAMETERS!$M$3:$M$493,1,0),"---")</f>
        <v>gs_trim_jambext_nosing_out</v>
      </c>
    </row>
    <row r="204" spans="1:12" x14ac:dyDescent="0.3">
      <c r="A204" t="s">
        <v>9</v>
      </c>
      <c r="B204"/>
      <c r="C204"/>
      <c r="D204" t="s">
        <v>9</v>
      </c>
      <c r="E204"/>
      <c r="F204" t="s">
        <v>24</v>
      </c>
      <c r="G204" t="s">
        <v>27</v>
      </c>
      <c r="H204" t="s">
        <v>1392</v>
      </c>
      <c r="I204" t="s">
        <v>1393</v>
      </c>
      <c r="J204">
        <v>0.1</v>
      </c>
      <c r="L204" s="212" t="str">
        <f>IFERROR(VLOOKUP($H204,PARAMETERS!$M$3:$M$493,1,0),"---")</f>
        <v>gs_trimov_top_right_out</v>
      </c>
    </row>
    <row r="205" spans="1:12" x14ac:dyDescent="0.3">
      <c r="A205" t="s">
        <v>9</v>
      </c>
      <c r="B205"/>
      <c r="C205"/>
      <c r="D205" t="s">
        <v>9</v>
      </c>
      <c r="E205"/>
      <c r="F205" t="s">
        <v>53</v>
      </c>
      <c r="G205" t="s">
        <v>27</v>
      </c>
      <c r="H205" t="s">
        <v>1394</v>
      </c>
      <c r="I205" t="s">
        <v>1395</v>
      </c>
      <c r="J205">
        <v>1</v>
      </c>
      <c r="L205" s="212" t="str">
        <f>IFERROR(VLOOKUP($H205,PARAMETERS!$M$3:$M$493,1,0),"---")</f>
        <v>gs_trim_pen_cont</v>
      </c>
    </row>
    <row r="206" spans="1:12" x14ac:dyDescent="0.3">
      <c r="A206" t="s">
        <v>9</v>
      </c>
      <c r="B206"/>
      <c r="C206"/>
      <c r="D206" t="s">
        <v>9</v>
      </c>
      <c r="E206"/>
      <c r="F206" t="s">
        <v>52</v>
      </c>
      <c r="G206" t="s">
        <v>27</v>
      </c>
      <c r="H206" t="s">
        <v>1396</v>
      </c>
      <c r="I206" t="s">
        <v>1397</v>
      </c>
      <c r="J206">
        <v>65</v>
      </c>
      <c r="L206" s="212" t="str">
        <f>IFERROR(VLOOKUP($H206,PARAMETERS!$M$3:$M$493,1,0),"---")</f>
        <v>gs_trim_fill_out</v>
      </c>
    </row>
    <row r="207" spans="1:12" x14ac:dyDescent="0.3">
      <c r="A207" t="s">
        <v>9</v>
      </c>
      <c r="B207"/>
      <c r="C207"/>
      <c r="D207" t="s">
        <v>9</v>
      </c>
      <c r="E207"/>
      <c r="F207" t="s">
        <v>53</v>
      </c>
      <c r="G207" t="s">
        <v>27</v>
      </c>
      <c r="H207" t="s">
        <v>1398</v>
      </c>
      <c r="I207" t="s">
        <v>1399</v>
      </c>
      <c r="J207">
        <v>19</v>
      </c>
      <c r="L207" s="212" t="str">
        <f>IFERROR(VLOOKUP($H207,PARAMETERS!$M$3:$M$493,1,0),"---")</f>
        <v>gs_trim_pen_fg_out</v>
      </c>
    </row>
    <row r="208" spans="1:12" x14ac:dyDescent="0.3">
      <c r="A208" t="s">
        <v>9</v>
      </c>
      <c r="B208"/>
      <c r="C208"/>
      <c r="D208" t="s">
        <v>9</v>
      </c>
      <c r="E208"/>
      <c r="F208" t="s">
        <v>53</v>
      </c>
      <c r="G208" t="s">
        <v>27</v>
      </c>
      <c r="H208" t="s">
        <v>1400</v>
      </c>
      <c r="I208" t="s">
        <v>1401</v>
      </c>
      <c r="J208">
        <v>19</v>
      </c>
      <c r="L208" s="212" t="str">
        <f>IFERROR(VLOOKUP($H208,PARAMETERS!$M$3:$M$493,1,0),"---")</f>
        <v>gs_trim_pen_bg_out</v>
      </c>
    </row>
    <row r="209" spans="1:12" x14ac:dyDescent="0.3">
      <c r="A209" t="s">
        <v>9</v>
      </c>
      <c r="B209"/>
      <c r="C209" t="s">
        <v>9</v>
      </c>
      <c r="D209"/>
      <c r="E209"/>
      <c r="F209" t="s">
        <v>47</v>
      </c>
      <c r="G209" t="s">
        <v>27</v>
      </c>
      <c r="H209" t="s">
        <v>1402</v>
      </c>
      <c r="I209" t="s">
        <v>1403</v>
      </c>
      <c r="J209">
        <v>0</v>
      </c>
      <c r="L209" s="212" t="str">
        <f>IFERROR(VLOOKUP($H209,PARAMETERS!$M$3:$M$493,1,0),"---")</f>
        <v>gs_trim_inside</v>
      </c>
    </row>
    <row r="210" spans="1:12" x14ac:dyDescent="0.3">
      <c r="A210" t="s">
        <v>9</v>
      </c>
      <c r="B210" t="s">
        <v>9</v>
      </c>
      <c r="C210"/>
      <c r="D210" t="s">
        <v>9</v>
      </c>
      <c r="E210"/>
      <c r="F210" t="s">
        <v>18</v>
      </c>
      <c r="G210" t="s">
        <v>27</v>
      </c>
      <c r="H210" t="s">
        <v>1404</v>
      </c>
      <c r="I210" t="s">
        <v>1405</v>
      </c>
      <c r="J210" t="s">
        <v>1297</v>
      </c>
      <c r="L210" s="212" t="str">
        <f>IFERROR(VLOOKUP($H210,PARAMETERS!$M$3:$M$493,1,0),"---")</f>
        <v>gs_trimtype_in</v>
      </c>
    </row>
    <row r="211" spans="1:12" x14ac:dyDescent="0.3">
      <c r="A211" t="s">
        <v>9</v>
      </c>
      <c r="B211" t="s">
        <v>9</v>
      </c>
      <c r="C211"/>
      <c r="D211" t="s">
        <v>9</v>
      </c>
      <c r="E211"/>
      <c r="F211" t="s">
        <v>44</v>
      </c>
      <c r="G211" t="s">
        <v>27</v>
      </c>
      <c r="H211" t="s">
        <v>1406</v>
      </c>
      <c r="I211" t="s">
        <v>1405</v>
      </c>
      <c r="J211">
        <v>1</v>
      </c>
      <c r="L211" s="212" t="str">
        <f>IFERROR(VLOOKUP($H211,PARAMETERS!$M$3:$M$493,1,0),"---")</f>
        <v>gs_trimtype_in_int</v>
      </c>
    </row>
    <row r="212" spans="1:12" x14ac:dyDescent="0.3">
      <c r="A212" t="s">
        <v>9</v>
      </c>
      <c r="B212"/>
      <c r="C212"/>
      <c r="D212" t="s">
        <v>9</v>
      </c>
      <c r="E212"/>
      <c r="F212" t="s">
        <v>47</v>
      </c>
      <c r="G212" t="s">
        <v>27</v>
      </c>
      <c r="H212" t="s">
        <v>1407</v>
      </c>
      <c r="I212" t="s">
        <v>1376</v>
      </c>
      <c r="J212">
        <v>1</v>
      </c>
      <c r="L212" s="212" t="str">
        <f>IFERROR(VLOOKUP($H212,PARAMETERS!$M$3:$M$493,1,0),"---")</f>
        <v>gs_trim_show_cover_in</v>
      </c>
    </row>
    <row r="213" spans="1:12" x14ac:dyDescent="0.3">
      <c r="A213" t="s">
        <v>9</v>
      </c>
      <c r="B213"/>
      <c r="C213"/>
      <c r="D213" t="s">
        <v>9</v>
      </c>
      <c r="E213"/>
      <c r="F213" t="s">
        <v>47</v>
      </c>
      <c r="G213" t="s">
        <v>27</v>
      </c>
      <c r="H213" t="s">
        <v>1408</v>
      </c>
      <c r="I213" t="s">
        <v>1378</v>
      </c>
      <c r="J213">
        <v>1</v>
      </c>
      <c r="L213" s="212" t="str">
        <f>IFERROR(VLOOKUP($H213,PARAMETERS!$M$3:$M$493,1,0),"---")</f>
        <v>gs_trim_inside_uniform</v>
      </c>
    </row>
    <row r="214" spans="1:12" x14ac:dyDescent="0.3">
      <c r="A214" t="s">
        <v>9</v>
      </c>
      <c r="B214"/>
      <c r="C214"/>
      <c r="D214" t="s">
        <v>9</v>
      </c>
      <c r="E214"/>
      <c r="F214" t="s">
        <v>24</v>
      </c>
      <c r="G214" t="s">
        <v>27</v>
      </c>
      <c r="H214" t="s">
        <v>1409</v>
      </c>
      <c r="I214" t="s">
        <v>1380</v>
      </c>
      <c r="J214">
        <v>0.05</v>
      </c>
      <c r="L214" s="212" t="str">
        <f>IFERROR(VLOOKUP($H214,PARAMETERS!$M$3:$M$493,1,0),"---")</f>
        <v>gs_tw_right_in</v>
      </c>
    </row>
    <row r="215" spans="1:12" x14ac:dyDescent="0.3">
      <c r="A215" t="s">
        <v>9</v>
      </c>
      <c r="B215"/>
      <c r="C215"/>
      <c r="D215" t="s">
        <v>9</v>
      </c>
      <c r="E215"/>
      <c r="F215" t="s">
        <v>24</v>
      </c>
      <c r="G215" t="s">
        <v>27</v>
      </c>
      <c r="H215" t="s">
        <v>1410</v>
      </c>
      <c r="I215" t="s">
        <v>1382</v>
      </c>
      <c r="J215">
        <v>0.05</v>
      </c>
      <c r="L215" s="212" t="str">
        <f>IFERROR(VLOOKUP($H215,PARAMETERS!$M$3:$M$493,1,0),"---")</f>
        <v>gs_tw_left_in</v>
      </c>
    </row>
    <row r="216" spans="1:12" x14ac:dyDescent="0.3">
      <c r="A216" t="s">
        <v>9</v>
      </c>
      <c r="B216"/>
      <c r="C216"/>
      <c r="D216" t="s">
        <v>9</v>
      </c>
      <c r="E216"/>
      <c r="F216" t="s">
        <v>24</v>
      </c>
      <c r="G216" t="s">
        <v>27</v>
      </c>
      <c r="H216" t="s">
        <v>1411</v>
      </c>
      <c r="I216" t="s">
        <v>1295</v>
      </c>
      <c r="J216">
        <v>0.05</v>
      </c>
      <c r="L216" s="212" t="str">
        <f>IFERROR(VLOOKUP($H216,PARAMETERS!$M$3:$M$493,1,0),"---")</f>
        <v>gs_tw_top_in</v>
      </c>
    </row>
    <row r="217" spans="1:12" x14ac:dyDescent="0.3">
      <c r="A217" t="s">
        <v>9</v>
      </c>
      <c r="B217"/>
      <c r="C217"/>
      <c r="D217" t="s">
        <v>9</v>
      </c>
      <c r="E217"/>
      <c r="F217" t="s">
        <v>24</v>
      </c>
      <c r="G217" t="s">
        <v>27</v>
      </c>
      <c r="H217" t="s">
        <v>1412</v>
      </c>
      <c r="I217" t="s">
        <v>1385</v>
      </c>
      <c r="J217">
        <v>1.9E-2</v>
      </c>
      <c r="L217" s="212" t="str">
        <f>IFERROR(VLOOKUP($H217,PARAMETERS!$M$3:$M$493,1,0),"---")</f>
        <v>gs_trim_thk_in</v>
      </c>
    </row>
    <row r="218" spans="1:12" x14ac:dyDescent="0.3">
      <c r="A218" t="s">
        <v>9</v>
      </c>
      <c r="B218"/>
      <c r="C218"/>
      <c r="D218" t="s">
        <v>9</v>
      </c>
      <c r="E218"/>
      <c r="F218" t="s">
        <v>24</v>
      </c>
      <c r="G218" t="s">
        <v>27</v>
      </c>
      <c r="H218" t="s">
        <v>1413</v>
      </c>
      <c r="I218" t="s">
        <v>1387</v>
      </c>
      <c r="J218">
        <v>2.5000000000000001E-2</v>
      </c>
      <c r="L218" s="212" t="str">
        <f>IFERROR(VLOOKUP($H218,PARAMETERS!$M$3:$M$493,1,0),"---")</f>
        <v>gs_trim_width_in</v>
      </c>
    </row>
    <row r="219" spans="1:12" x14ac:dyDescent="0.3">
      <c r="A219" t="s">
        <v>9</v>
      </c>
      <c r="B219"/>
      <c r="C219"/>
      <c r="D219" t="s">
        <v>9</v>
      </c>
      <c r="E219"/>
      <c r="F219" t="s">
        <v>24</v>
      </c>
      <c r="G219" t="s">
        <v>27</v>
      </c>
      <c r="H219" t="s">
        <v>1414</v>
      </c>
      <c r="I219" t="s">
        <v>1389</v>
      </c>
      <c r="J219">
        <v>0</v>
      </c>
      <c r="L219" s="212" t="str">
        <f>IFERROR(VLOOKUP($H219,PARAMETERS!$M$3:$M$493,1,0),"---")</f>
        <v>gs_trim_offs_in</v>
      </c>
    </row>
    <row r="220" spans="1:12" x14ac:dyDescent="0.3">
      <c r="A220" t="s">
        <v>9</v>
      </c>
      <c r="B220"/>
      <c r="C220"/>
      <c r="D220" t="s">
        <v>9</v>
      </c>
      <c r="E220"/>
      <c r="F220" t="s">
        <v>24</v>
      </c>
      <c r="G220" t="s">
        <v>27</v>
      </c>
      <c r="H220" t="s">
        <v>1415</v>
      </c>
      <c r="I220" t="s">
        <v>1391</v>
      </c>
      <c r="J220">
        <v>0.03</v>
      </c>
      <c r="L220" s="212" t="str">
        <f>IFERROR(VLOOKUP($H220,PARAMETERS!$M$3:$M$493,1,0),"---")</f>
        <v>gs_trim_jambext_nosing_in</v>
      </c>
    </row>
    <row r="221" spans="1:12" x14ac:dyDescent="0.3">
      <c r="A221" t="s">
        <v>9</v>
      </c>
      <c r="B221"/>
      <c r="C221"/>
      <c r="D221" t="s">
        <v>9</v>
      </c>
      <c r="E221"/>
      <c r="F221" t="s">
        <v>24</v>
      </c>
      <c r="G221" t="s">
        <v>27</v>
      </c>
      <c r="H221" t="s">
        <v>1416</v>
      </c>
      <c r="I221" t="s">
        <v>1393</v>
      </c>
      <c r="J221">
        <v>0.1</v>
      </c>
      <c r="L221" s="212" t="str">
        <f>IFERROR(VLOOKUP($H221,PARAMETERS!$M$3:$M$493,1,0),"---")</f>
        <v>gs_trimov_top_right_in</v>
      </c>
    </row>
    <row r="222" spans="1:12" x14ac:dyDescent="0.3">
      <c r="A222" t="s">
        <v>9</v>
      </c>
      <c r="B222"/>
      <c r="C222"/>
      <c r="D222" t="s">
        <v>9</v>
      </c>
      <c r="E222"/>
      <c r="F222" t="s">
        <v>52</v>
      </c>
      <c r="G222" t="s">
        <v>27</v>
      </c>
      <c r="H222" t="s">
        <v>1417</v>
      </c>
      <c r="I222" t="s">
        <v>1418</v>
      </c>
      <c r="J222">
        <v>65</v>
      </c>
      <c r="L222" s="212" t="str">
        <f>IFERROR(VLOOKUP($H222,PARAMETERS!$M$3:$M$493,1,0),"---")</f>
        <v>gs_trim_fill_in</v>
      </c>
    </row>
    <row r="223" spans="1:12" x14ac:dyDescent="0.3">
      <c r="A223" t="s">
        <v>9</v>
      </c>
      <c r="B223"/>
      <c r="C223"/>
      <c r="D223" t="s">
        <v>9</v>
      </c>
      <c r="E223"/>
      <c r="F223" t="s">
        <v>53</v>
      </c>
      <c r="G223" t="s">
        <v>27</v>
      </c>
      <c r="H223" t="s">
        <v>1419</v>
      </c>
      <c r="I223" t="s">
        <v>1420</v>
      </c>
      <c r="J223">
        <v>19</v>
      </c>
      <c r="L223" s="212" t="str">
        <f>IFERROR(VLOOKUP($H223,PARAMETERS!$M$3:$M$493,1,0),"---")</f>
        <v>gs_trim_pen_fg_in</v>
      </c>
    </row>
    <row r="224" spans="1:12" x14ac:dyDescent="0.3">
      <c r="A224" t="s">
        <v>9</v>
      </c>
      <c r="B224"/>
      <c r="C224"/>
      <c r="D224" t="s">
        <v>9</v>
      </c>
      <c r="E224"/>
      <c r="F224" t="s">
        <v>53</v>
      </c>
      <c r="G224" t="s">
        <v>27</v>
      </c>
      <c r="H224" t="s">
        <v>1421</v>
      </c>
      <c r="I224" t="s">
        <v>1422</v>
      </c>
      <c r="J224">
        <v>19</v>
      </c>
      <c r="L224" s="212" t="str">
        <f>IFERROR(VLOOKUP($H224,PARAMETERS!$M$3:$M$493,1,0),"---")</f>
        <v>gs_trim_pen_bg_in</v>
      </c>
    </row>
    <row r="225" spans="1:12" x14ac:dyDescent="0.3">
      <c r="A225" t="s">
        <v>9</v>
      </c>
      <c r="B225"/>
      <c r="C225" t="s">
        <v>9</v>
      </c>
      <c r="D225"/>
      <c r="E225"/>
      <c r="F225" t="s">
        <v>47</v>
      </c>
      <c r="G225" t="s">
        <v>27</v>
      </c>
      <c r="H225" t="s">
        <v>462</v>
      </c>
      <c r="I225" t="s">
        <v>1820</v>
      </c>
      <c r="J225">
        <v>0</v>
      </c>
      <c r="L225" s="212" t="str">
        <f>IFERROR(VLOOKUP($H225,PARAMETERS!$M$3:$M$493,1,0),"---")</f>
        <v>gs_sill_outside</v>
      </c>
    </row>
    <row r="226" spans="1:12" x14ac:dyDescent="0.3">
      <c r="A226" t="s">
        <v>9</v>
      </c>
      <c r="B226"/>
      <c r="C226"/>
      <c r="D226" t="s">
        <v>9</v>
      </c>
      <c r="E226"/>
      <c r="F226" t="s">
        <v>47</v>
      </c>
      <c r="G226" t="s">
        <v>27</v>
      </c>
      <c r="H226" t="s">
        <v>603</v>
      </c>
      <c r="I226" t="s">
        <v>604</v>
      </c>
      <c r="J226">
        <v>0</v>
      </c>
      <c r="L226" s="212" t="str">
        <f>IFERROR(VLOOKUP($H226,PARAMETERS!$M$3:$M$493,1,0),"---")</f>
        <v>---</v>
      </c>
    </row>
    <row r="227" spans="1:12" x14ac:dyDescent="0.3">
      <c r="A227" t="s">
        <v>9</v>
      </c>
      <c r="B227"/>
      <c r="C227"/>
      <c r="D227" t="s">
        <v>9</v>
      </c>
      <c r="E227"/>
      <c r="F227" t="s">
        <v>44</v>
      </c>
      <c r="G227" t="s">
        <v>27</v>
      </c>
      <c r="H227" t="s">
        <v>605</v>
      </c>
      <c r="I227" t="s">
        <v>606</v>
      </c>
      <c r="J227">
        <v>2</v>
      </c>
      <c r="L227" s="212" t="str">
        <f>IFERROR(VLOOKUP($H227,PARAMETERS!$M$3:$M$493,1,0),"---")</f>
        <v>---</v>
      </c>
    </row>
    <row r="228" spans="1:12" x14ac:dyDescent="0.3">
      <c r="A228" t="s">
        <v>9</v>
      </c>
      <c r="B228"/>
      <c r="C228"/>
      <c r="D228" t="s">
        <v>9</v>
      </c>
      <c r="E228" t="s">
        <v>9</v>
      </c>
      <c r="F228" t="s">
        <v>24</v>
      </c>
      <c r="G228" t="s">
        <v>27</v>
      </c>
      <c r="H228" t="s">
        <v>607</v>
      </c>
      <c r="I228" t="s">
        <v>608</v>
      </c>
      <c r="J228">
        <v>0</v>
      </c>
      <c r="L228" s="212" t="str">
        <f>IFERROR(VLOOKUP($H228,PARAMETERS!$M$3:$M$493,1,0),"---")</f>
        <v>---</v>
      </c>
    </row>
    <row r="229" spans="1:12" x14ac:dyDescent="0.3">
      <c r="A229" t="s">
        <v>9</v>
      </c>
      <c r="B229"/>
      <c r="C229"/>
      <c r="D229" t="s">
        <v>9</v>
      </c>
      <c r="E229"/>
      <c r="F229" t="s">
        <v>24</v>
      </c>
      <c r="G229" t="s">
        <v>27</v>
      </c>
      <c r="H229" t="s">
        <v>609</v>
      </c>
      <c r="I229" t="s">
        <v>610</v>
      </c>
      <c r="J229">
        <v>0.01</v>
      </c>
      <c r="L229" s="212" t="str">
        <f>IFERROR(VLOOKUP($H229,PARAMETERS!$M$3:$M$493,1,0),"---")</f>
        <v>---</v>
      </c>
    </row>
    <row r="230" spans="1:12" x14ac:dyDescent="0.3">
      <c r="A230" t="s">
        <v>9</v>
      </c>
      <c r="B230"/>
      <c r="C230"/>
      <c r="D230" t="s">
        <v>9</v>
      </c>
      <c r="E230"/>
      <c r="F230" t="s">
        <v>24</v>
      </c>
      <c r="G230" t="s">
        <v>27</v>
      </c>
      <c r="H230" t="s">
        <v>611</v>
      </c>
      <c r="I230" t="s">
        <v>612</v>
      </c>
      <c r="J230">
        <v>0.01</v>
      </c>
      <c r="L230" s="212" t="str">
        <f>IFERROR(VLOOKUP($H230,PARAMETERS!$M$3:$M$493,1,0),"---")</f>
        <v>---</v>
      </c>
    </row>
    <row r="231" spans="1:12" x14ac:dyDescent="0.3">
      <c r="A231" t="s">
        <v>9</v>
      </c>
      <c r="B231"/>
      <c r="C231"/>
      <c r="D231" t="s">
        <v>9</v>
      </c>
      <c r="E231"/>
      <c r="F231" t="s">
        <v>24</v>
      </c>
      <c r="G231" t="s">
        <v>27</v>
      </c>
      <c r="H231" t="s">
        <v>613</v>
      </c>
      <c r="I231" t="s">
        <v>614</v>
      </c>
      <c r="J231">
        <v>2.5000000000000001E-2</v>
      </c>
      <c r="L231" s="212" t="str">
        <f>IFERROR(VLOOKUP($H231,PARAMETERS!$M$3:$M$493,1,0),"---")</f>
        <v>---</v>
      </c>
    </row>
    <row r="232" spans="1:12" x14ac:dyDescent="0.3">
      <c r="A232" t="s">
        <v>9</v>
      </c>
      <c r="B232"/>
      <c r="C232"/>
      <c r="D232" t="s">
        <v>9</v>
      </c>
      <c r="E232"/>
      <c r="F232" t="s">
        <v>24</v>
      </c>
      <c r="G232" t="s">
        <v>27</v>
      </c>
      <c r="H232" t="s">
        <v>615</v>
      </c>
      <c r="I232" t="s">
        <v>616</v>
      </c>
      <c r="J232">
        <v>1.4999999999999999E-2</v>
      </c>
      <c r="L232" s="212" t="str">
        <f>IFERROR(VLOOKUP($H232,PARAMETERS!$M$3:$M$493,1,0),"---")</f>
        <v>---</v>
      </c>
    </row>
    <row r="233" spans="1:12" x14ac:dyDescent="0.3">
      <c r="A233" t="s">
        <v>9</v>
      </c>
      <c r="B233"/>
      <c r="C233"/>
      <c r="D233" t="s">
        <v>9</v>
      </c>
      <c r="E233"/>
      <c r="F233" t="s">
        <v>24</v>
      </c>
      <c r="G233" t="s">
        <v>27</v>
      </c>
      <c r="H233" t="s">
        <v>617</v>
      </c>
      <c r="I233" t="s">
        <v>618</v>
      </c>
      <c r="J233">
        <v>5.0000000000000001E-3</v>
      </c>
      <c r="L233" s="212" t="str">
        <f>IFERROR(VLOOKUP($H233,PARAMETERS!$M$3:$M$493,1,0),"---")</f>
        <v>---</v>
      </c>
    </row>
    <row r="234" spans="1:12" x14ac:dyDescent="0.3">
      <c r="A234" t="s">
        <v>9</v>
      </c>
      <c r="B234"/>
      <c r="C234"/>
      <c r="D234" t="s">
        <v>9</v>
      </c>
      <c r="E234"/>
      <c r="F234" t="s">
        <v>24</v>
      </c>
      <c r="G234" t="s">
        <v>27</v>
      </c>
      <c r="H234" t="s">
        <v>619</v>
      </c>
      <c r="I234" t="s">
        <v>620</v>
      </c>
      <c r="J234">
        <v>0.02</v>
      </c>
      <c r="L234" s="212" t="str">
        <f>IFERROR(VLOOKUP($H234,PARAMETERS!$M$3:$M$493,1,0),"---")</f>
        <v>---</v>
      </c>
    </row>
    <row r="235" spans="1:12" x14ac:dyDescent="0.3">
      <c r="A235" t="s">
        <v>9</v>
      </c>
      <c r="B235"/>
      <c r="C235"/>
      <c r="D235" t="s">
        <v>9</v>
      </c>
      <c r="E235"/>
      <c r="F235" t="s">
        <v>24</v>
      </c>
      <c r="G235" t="s">
        <v>27</v>
      </c>
      <c r="H235" t="s">
        <v>621</v>
      </c>
      <c r="I235" t="s">
        <v>622</v>
      </c>
      <c r="J235">
        <v>0.03</v>
      </c>
      <c r="L235" s="212" t="str">
        <f>IFERROR(VLOOKUP($H235,PARAMETERS!$M$3:$M$493,1,0),"---")</f>
        <v>---</v>
      </c>
    </row>
    <row r="236" spans="1:12" x14ac:dyDescent="0.3">
      <c r="A236" t="s">
        <v>9</v>
      </c>
      <c r="B236"/>
      <c r="C236"/>
      <c r="D236" t="s">
        <v>9</v>
      </c>
      <c r="E236"/>
      <c r="F236" t="s">
        <v>24</v>
      </c>
      <c r="G236" t="s">
        <v>27</v>
      </c>
      <c r="H236" t="s">
        <v>623</v>
      </c>
      <c r="I236" t="s">
        <v>624</v>
      </c>
      <c r="J236">
        <v>0.03</v>
      </c>
      <c r="L236" s="212" t="str">
        <f>IFERROR(VLOOKUP($H236,PARAMETERS!$M$3:$M$493,1,0),"---")</f>
        <v>---</v>
      </c>
    </row>
    <row r="237" spans="1:12" x14ac:dyDescent="0.3">
      <c r="A237" t="s">
        <v>9</v>
      </c>
      <c r="B237"/>
      <c r="C237"/>
      <c r="D237" t="s">
        <v>9</v>
      </c>
      <c r="E237"/>
      <c r="F237" t="s">
        <v>31</v>
      </c>
      <c r="G237" t="s">
        <v>27</v>
      </c>
      <c r="H237" t="s">
        <v>625</v>
      </c>
      <c r="I237" t="s">
        <v>626</v>
      </c>
      <c r="J237">
        <v>3</v>
      </c>
      <c r="L237" s="212" t="str">
        <f>IFERROR(VLOOKUP($H237,PARAMETERS!$M$3:$M$493,1,0),"---")</f>
        <v>---</v>
      </c>
    </row>
    <row r="238" spans="1:12" x14ac:dyDescent="0.3">
      <c r="A238" t="s">
        <v>9</v>
      </c>
      <c r="B238"/>
      <c r="C238"/>
      <c r="D238" t="s">
        <v>9</v>
      </c>
      <c r="E238"/>
      <c r="F238" t="s">
        <v>24</v>
      </c>
      <c r="G238" t="s">
        <v>27</v>
      </c>
      <c r="H238" t="s">
        <v>627</v>
      </c>
      <c r="I238" t="s">
        <v>628</v>
      </c>
      <c r="J238">
        <v>0</v>
      </c>
      <c r="L238" s="212" t="str">
        <f>IFERROR(VLOOKUP($H238,PARAMETERS!$M$3:$M$493,1,0),"---")</f>
        <v>---</v>
      </c>
    </row>
    <row r="239" spans="1:12" x14ac:dyDescent="0.3">
      <c r="A239" t="s">
        <v>9</v>
      </c>
      <c r="B239"/>
      <c r="C239"/>
      <c r="D239" t="s">
        <v>9</v>
      </c>
      <c r="E239"/>
      <c r="F239" t="s">
        <v>24</v>
      </c>
      <c r="G239" t="s">
        <v>27</v>
      </c>
      <c r="H239" t="s">
        <v>629</v>
      </c>
      <c r="I239" t="s">
        <v>630</v>
      </c>
      <c r="J239">
        <v>0</v>
      </c>
      <c r="L239" s="212" t="str">
        <f>IFERROR(VLOOKUP($H239,PARAMETERS!$M$3:$M$493,1,0),"---")</f>
        <v>---</v>
      </c>
    </row>
    <row r="240" spans="1:12" x14ac:dyDescent="0.3">
      <c r="A240" t="s">
        <v>9</v>
      </c>
      <c r="B240"/>
      <c r="C240"/>
      <c r="D240" t="s">
        <v>9</v>
      </c>
      <c r="E240"/>
      <c r="F240" t="s">
        <v>24</v>
      </c>
      <c r="G240" t="s">
        <v>27</v>
      </c>
      <c r="H240" t="s">
        <v>631</v>
      </c>
      <c r="I240" t="s">
        <v>632</v>
      </c>
      <c r="J240">
        <v>0.02</v>
      </c>
      <c r="L240" s="212" t="str">
        <f>IFERROR(VLOOKUP($H240,PARAMETERS!$M$3:$M$493,1,0),"---")</f>
        <v>---</v>
      </c>
    </row>
    <row r="241" spans="1:12" x14ac:dyDescent="0.3">
      <c r="A241" t="s">
        <v>9</v>
      </c>
      <c r="B241"/>
      <c r="C241"/>
      <c r="D241" t="s">
        <v>9</v>
      </c>
      <c r="E241"/>
      <c r="F241" t="s">
        <v>24</v>
      </c>
      <c r="G241" t="s">
        <v>27</v>
      </c>
      <c r="H241" t="s">
        <v>633</v>
      </c>
      <c r="I241" t="s">
        <v>634</v>
      </c>
      <c r="J241">
        <v>0</v>
      </c>
      <c r="L241" s="212" t="str">
        <f>IFERROR(VLOOKUP($H241,PARAMETERS!$M$3:$M$493,1,0),"---")</f>
        <v>---</v>
      </c>
    </row>
    <row r="242" spans="1:12" x14ac:dyDescent="0.3">
      <c r="A242" t="s">
        <v>9</v>
      </c>
      <c r="B242"/>
      <c r="C242"/>
      <c r="D242" t="s">
        <v>9</v>
      </c>
      <c r="E242"/>
      <c r="F242" t="s">
        <v>24</v>
      </c>
      <c r="G242" t="s">
        <v>27</v>
      </c>
      <c r="H242" t="s">
        <v>635</v>
      </c>
      <c r="I242" t="s">
        <v>636</v>
      </c>
      <c r="J242">
        <v>0</v>
      </c>
      <c r="L242" s="212" t="str">
        <f>IFERROR(VLOOKUP($H242,PARAMETERS!$M$3:$M$493,1,0),"---")</f>
        <v>---</v>
      </c>
    </row>
    <row r="243" spans="1:12" x14ac:dyDescent="0.3">
      <c r="A243" t="s">
        <v>9</v>
      </c>
      <c r="B243"/>
      <c r="C243"/>
      <c r="D243" t="s">
        <v>9</v>
      </c>
      <c r="E243"/>
      <c r="F243" t="s">
        <v>47</v>
      </c>
      <c r="G243" t="s">
        <v>27</v>
      </c>
      <c r="H243" t="s">
        <v>637</v>
      </c>
      <c r="I243" t="s">
        <v>638</v>
      </c>
      <c r="J243">
        <v>1</v>
      </c>
      <c r="L243" s="212" t="str">
        <f>IFERROR(VLOOKUP($H243,PARAMETERS!$M$3:$M$493,1,0),"---")</f>
        <v>---</v>
      </c>
    </row>
    <row r="244" spans="1:12" x14ac:dyDescent="0.3">
      <c r="A244" t="s">
        <v>9</v>
      </c>
      <c r="B244"/>
      <c r="C244"/>
      <c r="D244" t="s">
        <v>9</v>
      </c>
      <c r="E244"/>
      <c r="F244" t="s">
        <v>47</v>
      </c>
      <c r="G244" t="s">
        <v>27</v>
      </c>
      <c r="H244" t="s">
        <v>639</v>
      </c>
      <c r="I244" t="s">
        <v>640</v>
      </c>
      <c r="J244">
        <v>1</v>
      </c>
      <c r="L244" s="212" t="str">
        <f>IFERROR(VLOOKUP($H244,PARAMETERS!$M$3:$M$493,1,0),"---")</f>
        <v>---</v>
      </c>
    </row>
    <row r="245" spans="1:12" x14ac:dyDescent="0.3">
      <c r="A245" t="s">
        <v>9</v>
      </c>
      <c r="B245"/>
      <c r="C245"/>
      <c r="D245" t="s">
        <v>9</v>
      </c>
      <c r="E245"/>
      <c r="F245" t="s">
        <v>47</v>
      </c>
      <c r="G245" t="s">
        <v>27</v>
      </c>
      <c r="H245" t="s">
        <v>641</v>
      </c>
      <c r="I245" t="s">
        <v>642</v>
      </c>
      <c r="J245">
        <v>0</v>
      </c>
      <c r="L245" s="212" t="str">
        <f>IFERROR(VLOOKUP($H245,PARAMETERS!$M$3:$M$493,1,0),"---")</f>
        <v>---</v>
      </c>
    </row>
    <row r="246" spans="1:12" x14ac:dyDescent="0.3">
      <c r="A246" t="s">
        <v>9</v>
      </c>
      <c r="B246"/>
      <c r="C246"/>
      <c r="D246" t="s">
        <v>9</v>
      </c>
      <c r="E246"/>
      <c r="F246" t="s">
        <v>44</v>
      </c>
      <c r="G246" t="s">
        <v>27</v>
      </c>
      <c r="H246" t="s">
        <v>643</v>
      </c>
      <c r="I246" t="s">
        <v>644</v>
      </c>
      <c r="J246">
        <v>1</v>
      </c>
      <c r="L246" s="212" t="str">
        <f>IFERROR(VLOOKUP($H246,PARAMETERS!$M$3:$M$493,1,0),"---")</f>
        <v>---</v>
      </c>
    </row>
    <row r="247" spans="1:12" x14ac:dyDescent="0.3">
      <c r="A247" t="s">
        <v>9</v>
      </c>
      <c r="B247"/>
      <c r="C247"/>
      <c r="D247" t="s">
        <v>9</v>
      </c>
      <c r="E247"/>
      <c r="F247" t="s">
        <v>24</v>
      </c>
      <c r="G247" t="s">
        <v>27</v>
      </c>
      <c r="H247" t="s">
        <v>645</v>
      </c>
      <c r="I247" t="s">
        <v>646</v>
      </c>
      <c r="J247">
        <v>6.5000000000000002E-2</v>
      </c>
      <c r="L247" s="212" t="str">
        <f>IFERROR(VLOOKUP($H247,PARAMETERS!$M$3:$M$493,1,0),"---")</f>
        <v>---</v>
      </c>
    </row>
    <row r="248" spans="1:12" x14ac:dyDescent="0.3">
      <c r="A248" t="s">
        <v>9</v>
      </c>
      <c r="B248"/>
      <c r="C248"/>
      <c r="D248" t="s">
        <v>9</v>
      </c>
      <c r="E248"/>
      <c r="F248" t="s">
        <v>24</v>
      </c>
      <c r="G248" t="s">
        <v>27</v>
      </c>
      <c r="H248" t="s">
        <v>647</v>
      </c>
      <c r="I248" t="s">
        <v>479</v>
      </c>
      <c r="J248">
        <v>1.4999999999999999E-2</v>
      </c>
      <c r="L248" s="212" t="str">
        <f>IFERROR(VLOOKUP($H248,PARAMETERS!$M$3:$M$493,1,0),"---")</f>
        <v>---</v>
      </c>
    </row>
    <row r="249" spans="1:12" x14ac:dyDescent="0.3">
      <c r="A249" t="s">
        <v>9</v>
      </c>
      <c r="B249"/>
      <c r="C249"/>
      <c r="D249" t="s">
        <v>9</v>
      </c>
      <c r="E249"/>
      <c r="F249" t="s">
        <v>53</v>
      </c>
      <c r="G249" t="s">
        <v>27</v>
      </c>
      <c r="H249" t="s">
        <v>648</v>
      </c>
      <c r="I249" t="s">
        <v>649</v>
      </c>
      <c r="J249">
        <v>1</v>
      </c>
      <c r="L249" s="212" t="str">
        <f>IFERROR(VLOOKUP($H249,PARAMETERS!$M$3:$M$493,1,0),"---")</f>
        <v>---</v>
      </c>
    </row>
    <row r="250" spans="1:12" x14ac:dyDescent="0.3">
      <c r="A250" t="s">
        <v>9</v>
      </c>
      <c r="B250"/>
      <c r="C250"/>
      <c r="D250" t="s">
        <v>9</v>
      </c>
      <c r="E250"/>
      <c r="F250" t="s">
        <v>53</v>
      </c>
      <c r="G250" t="s">
        <v>27</v>
      </c>
      <c r="H250" t="s">
        <v>650</v>
      </c>
      <c r="I250" t="s">
        <v>651</v>
      </c>
      <c r="J250">
        <v>1</v>
      </c>
      <c r="L250" s="212" t="str">
        <f>IFERROR(VLOOKUP($H250,PARAMETERS!$M$3:$M$493,1,0),"---")</f>
        <v>---</v>
      </c>
    </row>
    <row r="251" spans="1:12" x14ac:dyDescent="0.3">
      <c r="A251" t="s">
        <v>9</v>
      </c>
      <c r="B251"/>
      <c r="C251"/>
      <c r="D251" t="s">
        <v>9</v>
      </c>
      <c r="E251"/>
      <c r="F251" t="s">
        <v>52</v>
      </c>
      <c r="G251" t="s">
        <v>27</v>
      </c>
      <c r="H251" t="s">
        <v>652</v>
      </c>
      <c r="I251" t="s">
        <v>653</v>
      </c>
      <c r="J251">
        <v>65</v>
      </c>
      <c r="L251" s="212" t="str">
        <f>IFERROR(VLOOKUP($H251,PARAMETERS!$M$3:$M$493,1,0),"---")</f>
        <v>---</v>
      </c>
    </row>
    <row r="252" spans="1:12" x14ac:dyDescent="0.3">
      <c r="A252" t="s">
        <v>9</v>
      </c>
      <c r="B252"/>
      <c r="C252"/>
      <c r="D252" t="s">
        <v>9</v>
      </c>
      <c r="E252"/>
      <c r="F252" t="s">
        <v>53</v>
      </c>
      <c r="G252" t="s">
        <v>27</v>
      </c>
      <c r="H252" t="s">
        <v>654</v>
      </c>
      <c r="I252" t="s">
        <v>655</v>
      </c>
      <c r="J252">
        <v>19</v>
      </c>
      <c r="L252" s="212" t="str">
        <f>IFERROR(VLOOKUP($H252,PARAMETERS!$M$3:$M$493,1,0),"---")</f>
        <v>---</v>
      </c>
    </row>
    <row r="253" spans="1:12" x14ac:dyDescent="0.3">
      <c r="A253" t="s">
        <v>9</v>
      </c>
      <c r="B253"/>
      <c r="C253"/>
      <c r="D253" t="s">
        <v>9</v>
      </c>
      <c r="E253"/>
      <c r="F253" t="s">
        <v>53</v>
      </c>
      <c r="G253" t="s">
        <v>27</v>
      </c>
      <c r="H253" t="s">
        <v>656</v>
      </c>
      <c r="I253" t="s">
        <v>657</v>
      </c>
      <c r="J253">
        <v>19</v>
      </c>
      <c r="L253" s="212" t="str">
        <f>IFERROR(VLOOKUP($H253,PARAMETERS!$M$3:$M$493,1,0),"---")</f>
        <v>---</v>
      </c>
    </row>
    <row r="254" spans="1:12" x14ac:dyDescent="0.3">
      <c r="A254" t="s">
        <v>9</v>
      </c>
      <c r="B254"/>
      <c r="C254"/>
      <c r="D254" t="s">
        <v>9</v>
      </c>
      <c r="E254"/>
      <c r="F254" t="s">
        <v>53</v>
      </c>
      <c r="G254" t="s">
        <v>27</v>
      </c>
      <c r="H254" t="s">
        <v>658</v>
      </c>
      <c r="I254" t="s">
        <v>659</v>
      </c>
      <c r="J254">
        <v>1</v>
      </c>
      <c r="L254" s="212" t="str">
        <f>IFERROR(VLOOKUP($H254,PARAMETERS!$M$3:$M$493,1,0),"---")</f>
        <v>---</v>
      </c>
    </row>
    <row r="255" spans="1:12" x14ac:dyDescent="0.3">
      <c r="A255" t="s">
        <v>9</v>
      </c>
      <c r="B255"/>
      <c r="C255"/>
      <c r="D255" t="s">
        <v>9</v>
      </c>
      <c r="E255"/>
      <c r="F255" t="s">
        <v>52</v>
      </c>
      <c r="G255" t="s">
        <v>27</v>
      </c>
      <c r="H255" t="s">
        <v>660</v>
      </c>
      <c r="I255" t="s">
        <v>661</v>
      </c>
      <c r="J255">
        <v>17</v>
      </c>
      <c r="L255" s="212" t="str">
        <f>IFERROR(VLOOKUP($H255,PARAMETERS!$M$3:$M$493,1,0),"---")</f>
        <v>---</v>
      </c>
    </row>
    <row r="256" spans="1:12" x14ac:dyDescent="0.3">
      <c r="A256" t="s">
        <v>9</v>
      </c>
      <c r="B256"/>
      <c r="C256"/>
      <c r="D256" t="s">
        <v>9</v>
      </c>
      <c r="E256"/>
      <c r="F256" t="s">
        <v>53</v>
      </c>
      <c r="G256" t="s">
        <v>27</v>
      </c>
      <c r="H256" t="s">
        <v>662</v>
      </c>
      <c r="I256" t="s">
        <v>663</v>
      </c>
      <c r="J256">
        <v>1</v>
      </c>
      <c r="L256" s="212" t="str">
        <f>IFERROR(VLOOKUP($H256,PARAMETERS!$M$3:$M$493,1,0),"---")</f>
        <v>---</v>
      </c>
    </row>
    <row r="257" spans="1:12" x14ac:dyDescent="0.3">
      <c r="A257" t="s">
        <v>9</v>
      </c>
      <c r="B257"/>
      <c r="C257"/>
      <c r="D257" t="s">
        <v>9</v>
      </c>
      <c r="E257"/>
      <c r="F257" t="s">
        <v>53</v>
      </c>
      <c r="G257" t="s">
        <v>27</v>
      </c>
      <c r="H257" t="s">
        <v>664</v>
      </c>
      <c r="I257" t="s">
        <v>665</v>
      </c>
      <c r="J257">
        <v>19</v>
      </c>
      <c r="L257" s="212" t="str">
        <f>IFERROR(VLOOKUP($H257,PARAMETERS!$M$3:$M$493,1,0),"---")</f>
        <v>---</v>
      </c>
    </row>
    <row r="258" spans="1:12" x14ac:dyDescent="0.3">
      <c r="A258" t="s">
        <v>9</v>
      </c>
      <c r="B258"/>
      <c r="C258"/>
      <c r="D258" t="s">
        <v>9</v>
      </c>
      <c r="E258"/>
      <c r="F258" t="s">
        <v>50</v>
      </c>
      <c r="G258" t="s">
        <v>27</v>
      </c>
      <c r="H258" t="s">
        <v>666</v>
      </c>
      <c r="I258" t="s">
        <v>667</v>
      </c>
      <c r="J258">
        <v>1</v>
      </c>
      <c r="L258" s="212" t="str">
        <f>IFERROR(VLOOKUP($H258,PARAMETERS!$M$3:$M$493,1,0),"---")</f>
        <v>---</v>
      </c>
    </row>
    <row r="259" spans="1:12" x14ac:dyDescent="0.3">
      <c r="A259" t="s">
        <v>9</v>
      </c>
      <c r="B259"/>
      <c r="C259"/>
      <c r="D259" t="s">
        <v>9</v>
      </c>
      <c r="E259"/>
      <c r="F259" t="s">
        <v>50</v>
      </c>
      <c r="G259" t="s">
        <v>27</v>
      </c>
      <c r="H259" t="s">
        <v>668</v>
      </c>
      <c r="I259" t="s">
        <v>669</v>
      </c>
      <c r="J259">
        <v>2</v>
      </c>
      <c r="L259" s="212" t="str">
        <f>IFERROR(VLOOKUP($H259,PARAMETERS!$M$3:$M$493,1,0),"---")</f>
        <v>---</v>
      </c>
    </row>
    <row r="260" spans="1:12" x14ac:dyDescent="0.3">
      <c r="A260" t="s">
        <v>9</v>
      </c>
      <c r="B260"/>
      <c r="C260" t="s">
        <v>9</v>
      </c>
      <c r="D260"/>
      <c r="E260"/>
      <c r="F260" t="s">
        <v>47</v>
      </c>
      <c r="G260" t="s">
        <v>27</v>
      </c>
      <c r="H260" t="s">
        <v>1050</v>
      </c>
      <c r="I260" t="s">
        <v>1051</v>
      </c>
      <c r="J260">
        <v>0</v>
      </c>
      <c r="L260" s="212" t="str">
        <f>IFERROR(VLOOKUP($H260,PARAMETERS!$M$3:$M$493,1,0),"---")</f>
        <v>---</v>
      </c>
    </row>
    <row r="261" spans="1:12" x14ac:dyDescent="0.3">
      <c r="A261" t="s">
        <v>9</v>
      </c>
      <c r="B261"/>
      <c r="C261"/>
      <c r="D261" t="s">
        <v>9</v>
      </c>
      <c r="E261"/>
      <c r="F261" t="s">
        <v>44</v>
      </c>
      <c r="G261" t="s">
        <v>27</v>
      </c>
      <c r="H261" t="s">
        <v>1052</v>
      </c>
      <c r="I261" t="s">
        <v>1051</v>
      </c>
      <c r="J261">
        <v>2</v>
      </c>
      <c r="L261" s="212" t="str">
        <f>IFERROR(VLOOKUP($H261,PARAMETERS!$M$3:$M$493,1,0),"---")</f>
        <v>---</v>
      </c>
    </row>
    <row r="262" spans="1:12" x14ac:dyDescent="0.3">
      <c r="A262" t="s">
        <v>9</v>
      </c>
      <c r="B262"/>
      <c r="C262"/>
      <c r="D262" t="s">
        <v>9</v>
      </c>
      <c r="E262"/>
      <c r="F262" t="s">
        <v>18</v>
      </c>
      <c r="G262" t="s">
        <v>27</v>
      </c>
      <c r="H262" t="s">
        <v>1053</v>
      </c>
      <c r="I262" t="s">
        <v>1054</v>
      </c>
      <c r="J262" t="s">
        <v>1055</v>
      </c>
      <c r="L262" s="212" t="str">
        <f>IFERROR(VLOOKUP($H262,PARAMETERS!$M$3:$M$493,1,0),"---")</f>
        <v>---</v>
      </c>
    </row>
    <row r="263" spans="1:12" x14ac:dyDescent="0.3">
      <c r="A263" t="s">
        <v>9</v>
      </c>
      <c r="B263" t="s">
        <v>9</v>
      </c>
      <c r="C263"/>
      <c r="D263" t="s">
        <v>9</v>
      </c>
      <c r="E263"/>
      <c r="F263" t="s">
        <v>44</v>
      </c>
      <c r="G263" t="s">
        <v>27</v>
      </c>
      <c r="H263" t="s">
        <v>1056</v>
      </c>
      <c r="I263" t="s">
        <v>1054</v>
      </c>
      <c r="J263">
        <v>1</v>
      </c>
      <c r="L263" s="212" t="str">
        <f>IFERROR(VLOOKUP($H263,PARAMETERS!$M$3:$M$493,1,0),"---")</f>
        <v>---</v>
      </c>
    </row>
    <row r="264" spans="1:12" x14ac:dyDescent="0.3">
      <c r="A264" t="s">
        <v>9</v>
      </c>
      <c r="B264"/>
      <c r="C264"/>
      <c r="D264" t="s">
        <v>9</v>
      </c>
      <c r="E264"/>
      <c r="F264" t="s">
        <v>47</v>
      </c>
      <c r="G264" t="s">
        <v>27</v>
      </c>
      <c r="H264" t="s">
        <v>1057</v>
      </c>
      <c r="I264" t="s">
        <v>1058</v>
      </c>
      <c r="J264">
        <v>1</v>
      </c>
      <c r="L264" s="212" t="str">
        <f>IFERROR(VLOOKUP($H264,PARAMETERS!$M$3:$M$493,1,0),"---")</f>
        <v>---</v>
      </c>
    </row>
    <row r="265" spans="1:12" x14ac:dyDescent="0.3">
      <c r="A265" t="s">
        <v>9</v>
      </c>
      <c r="B265"/>
      <c r="C265"/>
      <c r="D265" t="s">
        <v>9</v>
      </c>
      <c r="E265"/>
      <c r="F265" t="s">
        <v>24</v>
      </c>
      <c r="G265" t="s">
        <v>27</v>
      </c>
      <c r="H265" t="s">
        <v>1059</v>
      </c>
      <c r="I265" t="s">
        <v>1060</v>
      </c>
      <c r="J265">
        <v>0</v>
      </c>
      <c r="L265" s="212" t="str">
        <f>IFERROR(VLOOKUP($H265,PARAMETERS!$M$3:$M$493,1,0),"---")</f>
        <v>---</v>
      </c>
    </row>
    <row r="266" spans="1:12" x14ac:dyDescent="0.3">
      <c r="A266" t="s">
        <v>9</v>
      </c>
      <c r="B266"/>
      <c r="C266"/>
      <c r="D266" t="s">
        <v>9</v>
      </c>
      <c r="E266"/>
      <c r="F266" t="s">
        <v>47</v>
      </c>
      <c r="G266" t="s">
        <v>27</v>
      </c>
      <c r="H266" t="s">
        <v>1061</v>
      </c>
      <c r="I266" t="s">
        <v>1062</v>
      </c>
      <c r="J266">
        <v>1</v>
      </c>
      <c r="L266" s="212" t="str">
        <f>IFERROR(VLOOKUP($H266,PARAMETERS!$M$3:$M$493,1,0),"---")</f>
        <v>---</v>
      </c>
    </row>
    <row r="267" spans="1:12" x14ac:dyDescent="0.3">
      <c r="A267" t="s">
        <v>9</v>
      </c>
      <c r="B267"/>
      <c r="C267"/>
      <c r="D267" t="s">
        <v>9</v>
      </c>
      <c r="E267"/>
      <c r="F267" t="s">
        <v>24</v>
      </c>
      <c r="G267" t="s">
        <v>27</v>
      </c>
      <c r="H267" t="s">
        <v>1063</v>
      </c>
      <c r="I267" t="s">
        <v>1064</v>
      </c>
      <c r="J267">
        <v>0</v>
      </c>
      <c r="L267" s="212" t="str">
        <f>IFERROR(VLOOKUP($H267,PARAMETERS!$M$3:$M$493,1,0),"---")</f>
        <v>---</v>
      </c>
    </row>
    <row r="268" spans="1:12" x14ac:dyDescent="0.3">
      <c r="A268" t="s">
        <v>9</v>
      </c>
      <c r="B268"/>
      <c r="C268"/>
      <c r="D268" t="s">
        <v>9</v>
      </c>
      <c r="E268"/>
      <c r="F268" t="s">
        <v>24</v>
      </c>
      <c r="G268" t="s">
        <v>27</v>
      </c>
      <c r="H268" t="s">
        <v>1065</v>
      </c>
      <c r="I268" t="s">
        <v>1066</v>
      </c>
      <c r="J268">
        <v>0</v>
      </c>
      <c r="L268" s="212" t="str">
        <f>IFERROR(VLOOKUP($H268,PARAMETERS!$M$3:$M$493,1,0),"---")</f>
        <v>---</v>
      </c>
    </row>
    <row r="269" spans="1:12" x14ac:dyDescent="0.3">
      <c r="A269" t="s">
        <v>9</v>
      </c>
      <c r="B269"/>
      <c r="C269"/>
      <c r="D269" t="s">
        <v>9</v>
      </c>
      <c r="E269"/>
      <c r="F269" t="s">
        <v>24</v>
      </c>
      <c r="G269" t="s">
        <v>27</v>
      </c>
      <c r="H269" t="s">
        <v>1067</v>
      </c>
      <c r="I269" t="s">
        <v>1068</v>
      </c>
      <c r="J269">
        <v>0.03</v>
      </c>
      <c r="L269" s="212" t="str">
        <f>IFERROR(VLOOKUP($H269,PARAMETERS!$M$3:$M$493,1,0),"---")</f>
        <v>---</v>
      </c>
    </row>
    <row r="270" spans="1:12" x14ac:dyDescent="0.3">
      <c r="A270" t="s">
        <v>9</v>
      </c>
      <c r="B270"/>
      <c r="C270"/>
      <c r="D270" t="s">
        <v>9</v>
      </c>
      <c r="E270"/>
      <c r="F270" t="s">
        <v>31</v>
      </c>
      <c r="G270" t="s">
        <v>27</v>
      </c>
      <c r="H270" t="s">
        <v>1069</v>
      </c>
      <c r="I270" t="s">
        <v>1070</v>
      </c>
      <c r="J270">
        <v>75</v>
      </c>
      <c r="L270" s="212" t="str">
        <f>IFERROR(VLOOKUP($H270,PARAMETERS!$M$3:$M$493,1,0),"---")</f>
        <v>---</v>
      </c>
    </row>
    <row r="271" spans="1:12" x14ac:dyDescent="0.3">
      <c r="A271" t="s">
        <v>9</v>
      </c>
      <c r="B271"/>
      <c r="C271"/>
      <c r="D271" t="s">
        <v>9</v>
      </c>
      <c r="E271"/>
      <c r="F271" t="s">
        <v>24</v>
      </c>
      <c r="G271" t="s">
        <v>27</v>
      </c>
      <c r="H271" t="s">
        <v>1071</v>
      </c>
      <c r="I271" t="s">
        <v>1821</v>
      </c>
      <c r="J271">
        <v>0</v>
      </c>
      <c r="L271" s="212" t="str">
        <f>IFERROR(VLOOKUP($H271,PARAMETERS!$M$3:$M$493,1,0),"---")</f>
        <v>---</v>
      </c>
    </row>
    <row r="272" spans="1:12" x14ac:dyDescent="0.3">
      <c r="A272" t="s">
        <v>9</v>
      </c>
      <c r="B272"/>
      <c r="C272"/>
      <c r="D272" t="s">
        <v>9</v>
      </c>
      <c r="E272"/>
      <c r="F272" t="s">
        <v>24</v>
      </c>
      <c r="G272" t="s">
        <v>27</v>
      </c>
      <c r="H272" t="s">
        <v>1072</v>
      </c>
      <c r="I272" t="s">
        <v>1073</v>
      </c>
      <c r="J272">
        <v>0.24</v>
      </c>
      <c r="L272" s="212" t="str">
        <f>IFERROR(VLOOKUP($H272,PARAMETERS!$M$3:$M$493,1,0),"---")</f>
        <v>---</v>
      </c>
    </row>
    <row r="273" spans="1:12" x14ac:dyDescent="0.3">
      <c r="A273" t="s">
        <v>9</v>
      </c>
      <c r="B273"/>
      <c r="C273"/>
      <c r="D273" t="s">
        <v>9</v>
      </c>
      <c r="E273"/>
      <c r="F273" t="s">
        <v>24</v>
      </c>
      <c r="G273" t="s">
        <v>27</v>
      </c>
      <c r="H273" t="s">
        <v>1074</v>
      </c>
      <c r="I273" t="s">
        <v>1075</v>
      </c>
      <c r="J273">
        <v>0.115</v>
      </c>
      <c r="L273" s="212" t="str">
        <f>IFERROR(VLOOKUP($H273,PARAMETERS!$M$3:$M$493,1,0),"---")</f>
        <v>---</v>
      </c>
    </row>
    <row r="274" spans="1:12" x14ac:dyDescent="0.3">
      <c r="A274" t="s">
        <v>9</v>
      </c>
      <c r="B274"/>
      <c r="C274"/>
      <c r="D274" t="s">
        <v>9</v>
      </c>
      <c r="E274"/>
      <c r="F274" t="s">
        <v>24</v>
      </c>
      <c r="G274" t="s">
        <v>27</v>
      </c>
      <c r="H274" t="s">
        <v>1076</v>
      </c>
      <c r="I274" t="s">
        <v>636</v>
      </c>
      <c r="J274">
        <v>0</v>
      </c>
      <c r="L274" s="212" t="str">
        <f>IFERROR(VLOOKUP($H274,PARAMETERS!$M$3:$M$493,1,0),"---")</f>
        <v>---</v>
      </c>
    </row>
    <row r="275" spans="1:12" x14ac:dyDescent="0.3">
      <c r="A275" t="s">
        <v>9</v>
      </c>
      <c r="B275"/>
      <c r="C275"/>
      <c r="D275" t="s">
        <v>9</v>
      </c>
      <c r="E275"/>
      <c r="F275" t="s">
        <v>24</v>
      </c>
      <c r="G275" t="s">
        <v>27</v>
      </c>
      <c r="H275" t="s">
        <v>1077</v>
      </c>
      <c r="I275" t="s">
        <v>646</v>
      </c>
      <c r="J275">
        <v>5.2000000000000005E-2</v>
      </c>
      <c r="L275" s="212" t="str">
        <f>IFERROR(VLOOKUP($H275,PARAMETERS!$M$3:$M$493,1,0),"---")</f>
        <v>---</v>
      </c>
    </row>
    <row r="276" spans="1:12" x14ac:dyDescent="0.3">
      <c r="A276" t="s">
        <v>9</v>
      </c>
      <c r="B276"/>
      <c r="C276"/>
      <c r="D276" t="s">
        <v>9</v>
      </c>
      <c r="E276"/>
      <c r="F276" t="s">
        <v>24</v>
      </c>
      <c r="G276" t="s">
        <v>27</v>
      </c>
      <c r="H276" t="s">
        <v>1078</v>
      </c>
      <c r="I276" t="s">
        <v>479</v>
      </c>
      <c r="J276">
        <v>0.01</v>
      </c>
      <c r="L276" s="212" t="str">
        <f>IFERROR(VLOOKUP($H276,PARAMETERS!$M$3:$M$493,1,0),"---")</f>
        <v>---</v>
      </c>
    </row>
    <row r="277" spans="1:12" x14ac:dyDescent="0.3">
      <c r="A277" t="s">
        <v>9</v>
      </c>
      <c r="B277"/>
      <c r="C277"/>
      <c r="D277" t="s">
        <v>9</v>
      </c>
      <c r="E277"/>
      <c r="F277" t="s">
        <v>24</v>
      </c>
      <c r="G277" t="s">
        <v>27</v>
      </c>
      <c r="H277" t="s">
        <v>1079</v>
      </c>
      <c r="I277" t="s">
        <v>1822</v>
      </c>
      <c r="J277">
        <v>0.1</v>
      </c>
      <c r="L277" s="212" t="str">
        <f>IFERROR(VLOOKUP($H277,PARAMETERS!$M$3:$M$493,1,0),"---")</f>
        <v>---</v>
      </c>
    </row>
    <row r="278" spans="1:12" x14ac:dyDescent="0.3">
      <c r="A278" t="s">
        <v>9</v>
      </c>
      <c r="B278"/>
      <c r="C278"/>
      <c r="D278" t="s">
        <v>9</v>
      </c>
      <c r="E278"/>
      <c r="F278" t="s">
        <v>24</v>
      </c>
      <c r="G278" t="s">
        <v>27</v>
      </c>
      <c r="H278" t="s">
        <v>1080</v>
      </c>
      <c r="I278" t="s">
        <v>1823</v>
      </c>
      <c r="J278">
        <v>0</v>
      </c>
      <c r="L278" s="212" t="str">
        <f>IFERROR(VLOOKUP($H278,PARAMETERS!$M$3:$M$493,1,0),"---")</f>
        <v>---</v>
      </c>
    </row>
    <row r="279" spans="1:12" x14ac:dyDescent="0.3">
      <c r="A279" t="s">
        <v>9</v>
      </c>
      <c r="B279"/>
      <c r="C279"/>
      <c r="D279" t="s">
        <v>9</v>
      </c>
      <c r="E279"/>
      <c r="F279" t="s">
        <v>24</v>
      </c>
      <c r="G279" t="s">
        <v>27</v>
      </c>
      <c r="H279" t="s">
        <v>1081</v>
      </c>
      <c r="I279" t="s">
        <v>1824</v>
      </c>
      <c r="J279">
        <v>0.01</v>
      </c>
      <c r="L279" s="212" t="str">
        <f>IFERROR(VLOOKUP($H279,PARAMETERS!$M$3:$M$493,1,0),"---")</f>
        <v>---</v>
      </c>
    </row>
    <row r="280" spans="1:12" x14ac:dyDescent="0.3">
      <c r="A280" t="s">
        <v>9</v>
      </c>
      <c r="B280"/>
      <c r="C280"/>
      <c r="D280" t="s">
        <v>9</v>
      </c>
      <c r="E280"/>
      <c r="F280" t="s">
        <v>47</v>
      </c>
      <c r="G280" t="s">
        <v>27</v>
      </c>
      <c r="H280" t="s">
        <v>1082</v>
      </c>
      <c r="I280" t="s">
        <v>1083</v>
      </c>
      <c r="J280">
        <v>0</v>
      </c>
      <c r="L280" s="212" t="str">
        <f>IFERROR(VLOOKUP($H280,PARAMETERS!$M$3:$M$493,1,0),"---")</f>
        <v>---</v>
      </c>
    </row>
    <row r="281" spans="1:12" x14ac:dyDescent="0.3">
      <c r="A281" t="s">
        <v>9</v>
      </c>
      <c r="B281"/>
      <c r="C281"/>
      <c r="D281" t="s">
        <v>9</v>
      </c>
      <c r="E281"/>
      <c r="F281" t="s">
        <v>52</v>
      </c>
      <c r="G281" t="s">
        <v>27</v>
      </c>
      <c r="H281" t="s">
        <v>1084</v>
      </c>
      <c r="I281" t="s">
        <v>1085</v>
      </c>
      <c r="J281">
        <v>7</v>
      </c>
      <c r="L281" s="212" t="str">
        <f>IFERROR(VLOOKUP($H281,PARAMETERS!$M$3:$M$493,1,0),"---")</f>
        <v>---</v>
      </c>
    </row>
    <row r="282" spans="1:12" x14ac:dyDescent="0.3">
      <c r="A282" t="s">
        <v>9</v>
      </c>
      <c r="B282"/>
      <c r="C282"/>
      <c r="D282" t="s">
        <v>9</v>
      </c>
      <c r="E282"/>
      <c r="F282" t="s">
        <v>53</v>
      </c>
      <c r="G282" t="s">
        <v>27</v>
      </c>
      <c r="H282" t="s">
        <v>1086</v>
      </c>
      <c r="I282" t="s">
        <v>1087</v>
      </c>
      <c r="J282">
        <v>3</v>
      </c>
      <c r="L282" s="212" t="str">
        <f>IFERROR(VLOOKUP($H282,PARAMETERS!$M$3:$M$493,1,0),"---")</f>
        <v>---</v>
      </c>
    </row>
    <row r="283" spans="1:12" x14ac:dyDescent="0.3">
      <c r="A283" t="s">
        <v>9</v>
      </c>
      <c r="B283"/>
      <c r="C283"/>
      <c r="D283" t="s">
        <v>9</v>
      </c>
      <c r="E283"/>
      <c r="F283" t="s">
        <v>53</v>
      </c>
      <c r="G283" t="s">
        <v>27</v>
      </c>
      <c r="H283" t="s">
        <v>1088</v>
      </c>
      <c r="I283" t="s">
        <v>1089</v>
      </c>
      <c r="J283">
        <v>91</v>
      </c>
      <c r="L283" s="212" t="str">
        <f>IFERROR(VLOOKUP($H283,PARAMETERS!$M$3:$M$493,1,0),"---")</f>
        <v>---</v>
      </c>
    </row>
    <row r="284" spans="1:12" x14ac:dyDescent="0.3">
      <c r="A284" t="s">
        <v>9</v>
      </c>
      <c r="B284"/>
      <c r="C284"/>
      <c r="D284" t="s">
        <v>9</v>
      </c>
      <c r="E284"/>
      <c r="F284" t="s">
        <v>53</v>
      </c>
      <c r="G284" t="s">
        <v>27</v>
      </c>
      <c r="H284" t="s">
        <v>1090</v>
      </c>
      <c r="I284" t="s">
        <v>1091</v>
      </c>
      <c r="J284">
        <v>10</v>
      </c>
      <c r="L284" s="212" t="str">
        <f>IFERROR(VLOOKUP($H284,PARAMETERS!$M$3:$M$493,1,0),"---")</f>
        <v>---</v>
      </c>
    </row>
    <row r="285" spans="1:12" x14ac:dyDescent="0.3">
      <c r="A285" t="s">
        <v>9</v>
      </c>
      <c r="B285"/>
      <c r="C285"/>
      <c r="D285" t="s">
        <v>9</v>
      </c>
      <c r="E285"/>
      <c r="F285" t="s">
        <v>50</v>
      </c>
      <c r="G285" t="s">
        <v>27</v>
      </c>
      <c r="H285" t="s">
        <v>1092</v>
      </c>
      <c r="I285" t="s">
        <v>1093</v>
      </c>
      <c r="J285">
        <v>35</v>
      </c>
      <c r="L285" s="212" t="str">
        <f>IFERROR(VLOOKUP($H285,PARAMETERS!$M$3:$M$493,1,0),"---")</f>
        <v>---</v>
      </c>
    </row>
    <row r="286" spans="1:12" x14ac:dyDescent="0.3">
      <c r="A286" t="s">
        <v>9</v>
      </c>
      <c r="B286"/>
      <c r="C286"/>
      <c r="D286" t="s">
        <v>9</v>
      </c>
      <c r="E286"/>
      <c r="F286" t="s">
        <v>50</v>
      </c>
      <c r="G286" t="s">
        <v>27</v>
      </c>
      <c r="H286" t="s">
        <v>1094</v>
      </c>
      <c r="I286" t="s">
        <v>1095</v>
      </c>
      <c r="J286">
        <v>48</v>
      </c>
      <c r="L286" s="212" t="str">
        <f>IFERROR(VLOOKUP($H286,PARAMETERS!$M$3:$M$493,1,0),"---")</f>
        <v>---</v>
      </c>
    </row>
    <row r="287" spans="1:12" x14ac:dyDescent="0.3">
      <c r="A287" t="s">
        <v>9</v>
      </c>
      <c r="B287"/>
      <c r="C287"/>
      <c r="D287" t="s">
        <v>9</v>
      </c>
      <c r="E287"/>
      <c r="F287" t="s">
        <v>50</v>
      </c>
      <c r="G287" t="s">
        <v>27</v>
      </c>
      <c r="H287" t="s">
        <v>1096</v>
      </c>
      <c r="I287" t="s">
        <v>1097</v>
      </c>
      <c r="J287">
        <v>5</v>
      </c>
      <c r="L287" s="212" t="str">
        <f>IFERROR(VLOOKUP($H287,PARAMETERS!$M$3:$M$493,1,0),"---")</f>
        <v>---</v>
      </c>
    </row>
    <row r="288" spans="1:12" x14ac:dyDescent="0.3">
      <c r="A288" t="s">
        <v>9</v>
      </c>
      <c r="B288"/>
      <c r="C288"/>
      <c r="D288" t="s">
        <v>9</v>
      </c>
      <c r="E288"/>
      <c r="F288" t="s">
        <v>50</v>
      </c>
      <c r="G288" t="s">
        <v>27</v>
      </c>
      <c r="H288" t="s">
        <v>1098</v>
      </c>
      <c r="I288" t="s">
        <v>1099</v>
      </c>
      <c r="J288">
        <v>122</v>
      </c>
      <c r="L288" s="212" t="str">
        <f>IFERROR(VLOOKUP($H288,PARAMETERS!$M$3:$M$493,1,0),"---")</f>
        <v>---</v>
      </c>
    </row>
    <row r="289" spans="1:12" x14ac:dyDescent="0.3">
      <c r="A289" t="s">
        <v>9</v>
      </c>
      <c r="B289"/>
      <c r="C289" t="s">
        <v>9</v>
      </c>
      <c r="D289"/>
      <c r="E289"/>
      <c r="F289" t="s">
        <v>18</v>
      </c>
      <c r="G289" t="s">
        <v>27</v>
      </c>
      <c r="H289" t="s">
        <v>1103</v>
      </c>
      <c r="I289" t="s">
        <v>1104</v>
      </c>
      <c r="J289" t="s">
        <v>1825</v>
      </c>
      <c r="L289" s="212" t="str">
        <f>IFERROR(VLOOKUP($H289,PARAMETERS!$M$3:$M$493,1,0),"---")</f>
        <v>---</v>
      </c>
    </row>
    <row r="290" spans="1:12" x14ac:dyDescent="0.3">
      <c r="A290" t="s">
        <v>9</v>
      </c>
      <c r="B290" t="s">
        <v>9</v>
      </c>
      <c r="C290" t="s">
        <v>9</v>
      </c>
      <c r="D290" t="s">
        <v>9</v>
      </c>
      <c r="E290"/>
      <c r="F290" t="s">
        <v>44</v>
      </c>
      <c r="G290" t="s">
        <v>27</v>
      </c>
      <c r="H290" t="s">
        <v>1105</v>
      </c>
      <c r="I290" t="s">
        <v>1104</v>
      </c>
      <c r="J290">
        <v>1</v>
      </c>
      <c r="L290" s="212" t="str">
        <f>IFERROR(VLOOKUP($H290,PARAMETERS!$M$3:$M$493,1,0),"---")</f>
        <v>---</v>
      </c>
    </row>
    <row r="291" spans="1:12" x14ac:dyDescent="0.3">
      <c r="A291" t="s">
        <v>9</v>
      </c>
      <c r="B291"/>
      <c r="C291"/>
      <c r="D291" t="s">
        <v>9</v>
      </c>
      <c r="E291"/>
      <c r="F291" t="s">
        <v>18</v>
      </c>
      <c r="G291" t="s">
        <v>27</v>
      </c>
      <c r="H291" t="s">
        <v>1106</v>
      </c>
      <c r="I291" t="s">
        <v>1107</v>
      </c>
      <c r="J291" t="s">
        <v>1108</v>
      </c>
      <c r="L291" s="212" t="str">
        <f>IFERROR(VLOOKUP($H291,PARAMETERS!$M$3:$M$493,1,0),"---")</f>
        <v>---</v>
      </c>
    </row>
    <row r="292" spans="1:12" x14ac:dyDescent="0.3">
      <c r="A292" t="s">
        <v>9</v>
      </c>
      <c r="B292" t="s">
        <v>9</v>
      </c>
      <c r="C292"/>
      <c r="D292" t="s">
        <v>9</v>
      </c>
      <c r="E292"/>
      <c r="F292" t="s">
        <v>44</v>
      </c>
      <c r="G292" t="s">
        <v>27</v>
      </c>
      <c r="H292" t="s">
        <v>1109</v>
      </c>
      <c r="I292" t="s">
        <v>1107</v>
      </c>
      <c r="J292">
        <v>2</v>
      </c>
      <c r="L292" s="212" t="str">
        <f>IFERROR(VLOOKUP($H292,PARAMETERS!$M$3:$M$493,1,0),"---")</f>
        <v>---</v>
      </c>
    </row>
    <row r="293" spans="1:12" x14ac:dyDescent="0.3">
      <c r="A293" t="s">
        <v>9</v>
      </c>
      <c r="B293"/>
      <c r="C293"/>
      <c r="D293" t="s">
        <v>9</v>
      </c>
      <c r="E293"/>
      <c r="F293" t="s">
        <v>24</v>
      </c>
      <c r="G293" t="s">
        <v>27</v>
      </c>
      <c r="H293" t="s">
        <v>1110</v>
      </c>
      <c r="I293" t="s">
        <v>1111</v>
      </c>
      <c r="J293">
        <v>0</v>
      </c>
      <c r="L293" s="212" t="str">
        <f>IFERROR(VLOOKUP($H293,PARAMETERS!$M$3:$M$493,1,0),"---")</f>
        <v>---</v>
      </c>
    </row>
    <row r="294" spans="1:12" x14ac:dyDescent="0.3">
      <c r="A294" t="s">
        <v>9</v>
      </c>
      <c r="B294" t="s">
        <v>9</v>
      </c>
      <c r="C294"/>
      <c r="D294" t="s">
        <v>9</v>
      </c>
      <c r="E294"/>
      <c r="F294" t="s">
        <v>24</v>
      </c>
      <c r="G294" t="s">
        <v>27</v>
      </c>
      <c r="H294" t="s">
        <v>1112</v>
      </c>
      <c r="I294" t="s">
        <v>1111</v>
      </c>
      <c r="J294">
        <v>0</v>
      </c>
      <c r="L294" s="212" t="str">
        <f>IFERROR(VLOOKUP($H294,PARAMETERS!$M$3:$M$493,1,0),"---")</f>
        <v>---</v>
      </c>
    </row>
    <row r="295" spans="1:12" x14ac:dyDescent="0.3">
      <c r="A295" t="s">
        <v>9</v>
      </c>
      <c r="B295"/>
      <c r="C295"/>
      <c r="D295" t="s">
        <v>9</v>
      </c>
      <c r="E295"/>
      <c r="F295" t="s">
        <v>18</v>
      </c>
      <c r="G295" t="s">
        <v>27</v>
      </c>
      <c r="H295" t="s">
        <v>1113</v>
      </c>
      <c r="I295" t="s">
        <v>1114</v>
      </c>
      <c r="J295" t="s">
        <v>1108</v>
      </c>
      <c r="L295" s="212" t="str">
        <f>IFERROR(VLOOKUP($H295,PARAMETERS!$M$3:$M$493,1,0),"---")</f>
        <v>---</v>
      </c>
    </row>
    <row r="296" spans="1:12" x14ac:dyDescent="0.3">
      <c r="A296" t="s">
        <v>9</v>
      </c>
      <c r="B296" t="s">
        <v>9</v>
      </c>
      <c r="C296"/>
      <c r="D296" t="s">
        <v>9</v>
      </c>
      <c r="E296"/>
      <c r="F296" t="s">
        <v>44</v>
      </c>
      <c r="G296" t="s">
        <v>27</v>
      </c>
      <c r="H296" t="s">
        <v>1115</v>
      </c>
      <c r="I296" t="s">
        <v>1104</v>
      </c>
      <c r="J296">
        <v>0</v>
      </c>
      <c r="L296" s="212" t="str">
        <f>IFERROR(VLOOKUP($H296,PARAMETERS!$M$3:$M$493,1,0),"---")</f>
        <v>---</v>
      </c>
    </row>
    <row r="297" spans="1:12" x14ac:dyDescent="0.3">
      <c r="A297" t="s">
        <v>9</v>
      </c>
      <c r="B297"/>
      <c r="C297"/>
      <c r="D297" t="s">
        <v>9</v>
      </c>
      <c r="E297"/>
      <c r="F297" t="s">
        <v>18</v>
      </c>
      <c r="G297" t="s">
        <v>27</v>
      </c>
      <c r="H297" t="s">
        <v>1116</v>
      </c>
      <c r="I297" t="s">
        <v>1117</v>
      </c>
      <c r="J297" t="s">
        <v>1108</v>
      </c>
      <c r="L297" s="212" t="str">
        <f>IFERROR(VLOOKUP($H297,PARAMETERS!$M$3:$M$493,1,0),"---")</f>
        <v>---</v>
      </c>
    </row>
    <row r="298" spans="1:12" x14ac:dyDescent="0.3">
      <c r="A298" t="s">
        <v>9</v>
      </c>
      <c r="B298" t="s">
        <v>9</v>
      </c>
      <c r="C298"/>
      <c r="D298" t="s">
        <v>9</v>
      </c>
      <c r="E298"/>
      <c r="F298" t="s">
        <v>44</v>
      </c>
      <c r="G298" t="s">
        <v>27</v>
      </c>
      <c r="H298" t="s">
        <v>1118</v>
      </c>
      <c r="I298" t="s">
        <v>1104</v>
      </c>
      <c r="J298">
        <v>0</v>
      </c>
      <c r="L298" s="212" t="str">
        <f>IFERROR(VLOOKUP($H298,PARAMETERS!$M$3:$M$493,1,0),"---")</f>
        <v>---</v>
      </c>
    </row>
    <row r="299" spans="1:12" x14ac:dyDescent="0.3">
      <c r="A299" t="s">
        <v>9</v>
      </c>
      <c r="B299"/>
      <c r="C299"/>
      <c r="D299" t="s">
        <v>9</v>
      </c>
      <c r="E299"/>
      <c r="F299" t="s">
        <v>47</v>
      </c>
      <c r="G299" t="s">
        <v>27</v>
      </c>
      <c r="H299" t="s">
        <v>1119</v>
      </c>
      <c r="I299" t="s">
        <v>1120</v>
      </c>
      <c r="J299">
        <v>1</v>
      </c>
      <c r="L299" s="212" t="str">
        <f>IFERROR(VLOOKUP($H299,PARAMETERS!$M$3:$M$493,1,0),"---")</f>
        <v>---</v>
      </c>
    </row>
    <row r="300" spans="1:12" x14ac:dyDescent="0.3">
      <c r="A300" t="s">
        <v>9</v>
      </c>
      <c r="B300"/>
      <c r="C300"/>
      <c r="D300" t="s">
        <v>9</v>
      </c>
      <c r="E300"/>
      <c r="F300" t="s">
        <v>24</v>
      </c>
      <c r="G300" t="s">
        <v>27</v>
      </c>
      <c r="H300" t="s">
        <v>1121</v>
      </c>
      <c r="I300" t="s">
        <v>1122</v>
      </c>
      <c r="J300">
        <v>0.05</v>
      </c>
      <c r="L300" s="212" t="str">
        <f>IFERROR(VLOOKUP($H300,PARAMETERS!$M$3:$M$493,1,0),"---")</f>
        <v>---</v>
      </c>
    </row>
    <row r="301" spans="1:12" x14ac:dyDescent="0.3">
      <c r="A301" t="s">
        <v>9</v>
      </c>
      <c r="B301"/>
      <c r="C301"/>
      <c r="D301" t="s">
        <v>9</v>
      </c>
      <c r="E301"/>
      <c r="F301" t="s">
        <v>24</v>
      </c>
      <c r="G301" t="s">
        <v>27</v>
      </c>
      <c r="H301" t="s">
        <v>1123</v>
      </c>
      <c r="I301" t="s">
        <v>1124</v>
      </c>
      <c r="J301">
        <v>0.05</v>
      </c>
      <c r="L301" s="212" t="str">
        <f>IFERROR(VLOOKUP($H301,PARAMETERS!$M$3:$M$493,1,0),"---")</f>
        <v>---</v>
      </c>
    </row>
    <row r="302" spans="1:12" x14ac:dyDescent="0.3">
      <c r="A302" t="s">
        <v>9</v>
      </c>
      <c r="B302"/>
      <c r="C302"/>
      <c r="D302" t="s">
        <v>9</v>
      </c>
      <c r="E302"/>
      <c r="F302" t="s">
        <v>24</v>
      </c>
      <c r="G302" t="s">
        <v>27</v>
      </c>
      <c r="H302" t="s">
        <v>1125</v>
      </c>
      <c r="I302" t="s">
        <v>1126</v>
      </c>
      <c r="J302">
        <v>0.06</v>
      </c>
      <c r="L302" s="212" t="str">
        <f>IFERROR(VLOOKUP($H302,PARAMETERS!$M$3:$M$493,1,0),"---")</f>
        <v>---</v>
      </c>
    </row>
    <row r="303" spans="1:12" x14ac:dyDescent="0.3">
      <c r="A303" t="s">
        <v>9</v>
      </c>
      <c r="B303"/>
      <c r="C303"/>
      <c r="D303" t="s">
        <v>9</v>
      </c>
      <c r="E303"/>
      <c r="F303" t="s">
        <v>24</v>
      </c>
      <c r="G303" t="s">
        <v>27</v>
      </c>
      <c r="H303" t="s">
        <v>1127</v>
      </c>
      <c r="I303" t="s">
        <v>1128</v>
      </c>
      <c r="J303">
        <v>0.06</v>
      </c>
      <c r="L303" s="212" t="str">
        <f>IFERROR(VLOOKUP($H303,PARAMETERS!$M$3:$M$493,1,0),"---")</f>
        <v>---</v>
      </c>
    </row>
    <row r="304" spans="1:12" x14ac:dyDescent="0.3">
      <c r="A304" t="s">
        <v>9</v>
      </c>
      <c r="B304"/>
      <c r="C304"/>
      <c r="D304" t="s">
        <v>9</v>
      </c>
      <c r="E304"/>
      <c r="F304" t="s">
        <v>24</v>
      </c>
      <c r="G304" t="s">
        <v>27</v>
      </c>
      <c r="H304" t="s">
        <v>1129</v>
      </c>
      <c r="I304" t="s">
        <v>1126</v>
      </c>
      <c r="J304">
        <v>0.06</v>
      </c>
      <c r="L304" s="212" t="str">
        <f>IFERROR(VLOOKUP($H304,PARAMETERS!$M$3:$M$493,1,0),"---")</f>
        <v>---</v>
      </c>
    </row>
    <row r="305" spans="1:12" x14ac:dyDescent="0.3">
      <c r="A305" t="s">
        <v>9</v>
      </c>
      <c r="B305"/>
      <c r="C305"/>
      <c r="D305" t="s">
        <v>9</v>
      </c>
      <c r="E305"/>
      <c r="F305" t="s">
        <v>24</v>
      </c>
      <c r="G305" t="s">
        <v>27</v>
      </c>
      <c r="H305" t="s">
        <v>1130</v>
      </c>
      <c r="I305" t="s">
        <v>1128</v>
      </c>
      <c r="J305">
        <v>0.06</v>
      </c>
      <c r="L305" s="212" t="str">
        <f>IFERROR(VLOOKUP($H305,PARAMETERS!$M$3:$M$493,1,0),"---")</f>
        <v>---</v>
      </c>
    </row>
    <row r="306" spans="1:12" x14ac:dyDescent="0.3">
      <c r="A306" t="s">
        <v>9</v>
      </c>
      <c r="B306"/>
      <c r="C306"/>
      <c r="D306" t="s">
        <v>9</v>
      </c>
      <c r="E306"/>
      <c r="F306" t="s">
        <v>24</v>
      </c>
      <c r="G306" t="s">
        <v>27</v>
      </c>
      <c r="H306" t="s">
        <v>1131</v>
      </c>
      <c r="I306" t="s">
        <v>1132</v>
      </c>
      <c r="J306">
        <v>0.05</v>
      </c>
      <c r="L306" s="212" t="str">
        <f>IFERROR(VLOOKUP($H306,PARAMETERS!$M$3:$M$493,1,0),"---")</f>
        <v>---</v>
      </c>
    </row>
    <row r="307" spans="1:12" x14ac:dyDescent="0.3">
      <c r="A307" t="s">
        <v>9</v>
      </c>
      <c r="B307"/>
      <c r="C307"/>
      <c r="D307" t="s">
        <v>9</v>
      </c>
      <c r="E307"/>
      <c r="F307" t="s">
        <v>24</v>
      </c>
      <c r="G307" t="s">
        <v>27</v>
      </c>
      <c r="H307" t="s">
        <v>1133</v>
      </c>
      <c r="I307" t="s">
        <v>1134</v>
      </c>
      <c r="J307">
        <v>0.06</v>
      </c>
      <c r="L307" s="212" t="str">
        <f>IFERROR(VLOOKUP($H307,PARAMETERS!$M$3:$M$493,1,0),"---")</f>
        <v>---</v>
      </c>
    </row>
    <row r="308" spans="1:12" x14ac:dyDescent="0.3">
      <c r="A308" t="s">
        <v>9</v>
      </c>
      <c r="B308"/>
      <c r="C308"/>
      <c r="D308" t="s">
        <v>9</v>
      </c>
      <c r="E308"/>
      <c r="F308" t="s">
        <v>24</v>
      </c>
      <c r="G308" t="s">
        <v>27</v>
      </c>
      <c r="H308" t="s">
        <v>1135</v>
      </c>
      <c r="I308" t="s">
        <v>1136</v>
      </c>
      <c r="J308">
        <v>0.06</v>
      </c>
      <c r="L308" s="212" t="str">
        <f>IFERROR(VLOOKUP($H308,PARAMETERS!$M$3:$M$493,1,0),"---")</f>
        <v>---</v>
      </c>
    </row>
    <row r="309" spans="1:12" x14ac:dyDescent="0.3">
      <c r="A309" t="s">
        <v>9</v>
      </c>
      <c r="B309"/>
      <c r="C309"/>
      <c r="D309" t="s">
        <v>9</v>
      </c>
      <c r="E309"/>
      <c r="F309" t="s">
        <v>24</v>
      </c>
      <c r="G309" t="s">
        <v>27</v>
      </c>
      <c r="H309" t="s">
        <v>1137</v>
      </c>
      <c r="I309" t="s">
        <v>1138</v>
      </c>
      <c r="J309">
        <v>0</v>
      </c>
      <c r="L309" s="212" t="str">
        <f>IFERROR(VLOOKUP($H309,PARAMETERS!$M$3:$M$493,1,0),"---")</f>
        <v>---</v>
      </c>
    </row>
    <row r="310" spans="1:12" x14ac:dyDescent="0.3">
      <c r="A310" t="s">
        <v>9</v>
      </c>
      <c r="B310"/>
      <c r="C310"/>
      <c r="D310" t="s">
        <v>9</v>
      </c>
      <c r="E310"/>
      <c r="F310" t="s">
        <v>24</v>
      </c>
      <c r="G310" t="s">
        <v>27</v>
      </c>
      <c r="H310" t="s">
        <v>1139</v>
      </c>
      <c r="I310" t="s">
        <v>1136</v>
      </c>
      <c r="J310">
        <v>0.06</v>
      </c>
      <c r="L310" s="212" t="str">
        <f>IFERROR(VLOOKUP($H310,PARAMETERS!$M$3:$M$493,1,0),"---")</f>
        <v>---</v>
      </c>
    </row>
    <row r="311" spans="1:12" x14ac:dyDescent="0.3">
      <c r="A311" t="s">
        <v>9</v>
      </c>
      <c r="B311"/>
      <c r="C311"/>
      <c r="D311" t="s">
        <v>9</v>
      </c>
      <c r="E311"/>
      <c r="F311" t="s">
        <v>24</v>
      </c>
      <c r="G311" t="s">
        <v>27</v>
      </c>
      <c r="H311" t="s">
        <v>1140</v>
      </c>
      <c r="I311" t="s">
        <v>1138</v>
      </c>
      <c r="J311">
        <v>0</v>
      </c>
      <c r="L311" s="212" t="str">
        <f>IFERROR(VLOOKUP($H311,PARAMETERS!$M$3:$M$493,1,0),"---")</f>
        <v>---</v>
      </c>
    </row>
    <row r="312" spans="1:12" x14ac:dyDescent="0.3">
      <c r="A312" t="s">
        <v>9</v>
      </c>
      <c r="B312"/>
      <c r="C312"/>
      <c r="D312" t="s">
        <v>9</v>
      </c>
      <c r="E312"/>
      <c r="F312" t="s">
        <v>24</v>
      </c>
      <c r="G312" t="s">
        <v>27</v>
      </c>
      <c r="H312" t="s">
        <v>1141</v>
      </c>
      <c r="I312" t="s">
        <v>1142</v>
      </c>
      <c r="J312">
        <v>0.05</v>
      </c>
      <c r="L312" s="212" t="str">
        <f>IFERROR(VLOOKUP($H312,PARAMETERS!$M$3:$M$493,1,0),"---")</f>
        <v>---</v>
      </c>
    </row>
    <row r="313" spans="1:12" x14ac:dyDescent="0.3">
      <c r="A313" t="s">
        <v>9</v>
      </c>
      <c r="B313"/>
      <c r="C313"/>
      <c r="D313" t="s">
        <v>9</v>
      </c>
      <c r="E313"/>
      <c r="F313" t="s">
        <v>18</v>
      </c>
      <c r="G313" t="s">
        <v>27</v>
      </c>
      <c r="H313" t="s">
        <v>1143</v>
      </c>
      <c r="I313" t="s">
        <v>1144</v>
      </c>
      <c r="J313" t="s">
        <v>1145</v>
      </c>
      <c r="L313" s="212" t="str">
        <f>IFERROR(VLOOKUP($H313,PARAMETERS!$M$3:$M$493,1,0),"---")</f>
        <v>---</v>
      </c>
    </row>
    <row r="314" spans="1:12" x14ac:dyDescent="0.3">
      <c r="A314" t="s">
        <v>9</v>
      </c>
      <c r="B314" t="s">
        <v>9</v>
      </c>
      <c r="C314"/>
      <c r="D314" t="s">
        <v>9</v>
      </c>
      <c r="E314"/>
      <c r="F314" t="s">
        <v>44</v>
      </c>
      <c r="G314" t="s">
        <v>27</v>
      </c>
      <c r="H314" t="s">
        <v>1146</v>
      </c>
      <c r="I314" t="s">
        <v>1144</v>
      </c>
      <c r="J314">
        <v>1</v>
      </c>
      <c r="L314" s="212" t="str">
        <f>IFERROR(VLOOKUP($H314,PARAMETERS!$M$3:$M$493,1,0),"---")</f>
        <v>---</v>
      </c>
    </row>
    <row r="315" spans="1:12" x14ac:dyDescent="0.3">
      <c r="A315" t="s">
        <v>9</v>
      </c>
      <c r="B315"/>
      <c r="C315"/>
      <c r="D315" t="s">
        <v>9</v>
      </c>
      <c r="E315"/>
      <c r="F315" t="s">
        <v>31</v>
      </c>
      <c r="G315" t="s">
        <v>27</v>
      </c>
      <c r="H315" t="s">
        <v>1147</v>
      </c>
      <c r="I315" t="s">
        <v>1148</v>
      </c>
      <c r="J315">
        <v>20</v>
      </c>
      <c r="L315" s="212" t="str">
        <f>IFERROR(VLOOKUP($H315,PARAMETERS!$M$3:$M$493,1,0),"---")</f>
        <v>---</v>
      </c>
    </row>
    <row r="316" spans="1:12" x14ac:dyDescent="0.3">
      <c r="A316" t="s">
        <v>9</v>
      </c>
      <c r="B316"/>
      <c r="C316"/>
      <c r="D316" t="s">
        <v>9</v>
      </c>
      <c r="E316"/>
      <c r="F316" t="s">
        <v>31</v>
      </c>
      <c r="G316" t="s">
        <v>27</v>
      </c>
      <c r="H316" t="s">
        <v>1149</v>
      </c>
      <c r="I316" t="s">
        <v>1150</v>
      </c>
      <c r="J316">
        <v>20</v>
      </c>
      <c r="L316" s="212" t="str">
        <f>IFERROR(VLOOKUP($H316,PARAMETERS!$M$3:$M$493,1,0),"---")</f>
        <v>---</v>
      </c>
    </row>
    <row r="317" spans="1:12" s="114" customFormat="1" x14ac:dyDescent="0.3">
      <c r="A317" t="s">
        <v>9</v>
      </c>
      <c r="B317"/>
      <c r="C317"/>
      <c r="D317" t="s">
        <v>9</v>
      </c>
      <c r="E317"/>
      <c r="F317" t="s">
        <v>31</v>
      </c>
      <c r="G317" t="s">
        <v>27</v>
      </c>
      <c r="H317" t="s">
        <v>1151</v>
      </c>
      <c r="I317" t="s">
        <v>1152</v>
      </c>
      <c r="J317">
        <v>20</v>
      </c>
      <c r="L317" s="213" t="str">
        <f>IFERROR(VLOOKUP($H317,PARAMETERS!$M$3:$M$493,1,0),"---")</f>
        <v>---</v>
      </c>
    </row>
    <row r="318" spans="1:12" x14ac:dyDescent="0.3">
      <c r="A318" t="s">
        <v>9</v>
      </c>
      <c r="B318"/>
      <c r="C318"/>
      <c r="D318" t="s">
        <v>9</v>
      </c>
      <c r="E318"/>
      <c r="F318" t="s">
        <v>31</v>
      </c>
      <c r="G318" t="s">
        <v>27</v>
      </c>
      <c r="H318" t="s">
        <v>1153</v>
      </c>
      <c r="I318" t="s">
        <v>1154</v>
      </c>
      <c r="J318">
        <v>0</v>
      </c>
      <c r="L318" s="212" t="str">
        <f>IFERROR(VLOOKUP($H318,PARAMETERS!$M$3:$M$493,1,0),"---")</f>
        <v>---</v>
      </c>
    </row>
    <row r="319" spans="1:12" x14ac:dyDescent="0.3">
      <c r="A319" t="s">
        <v>9</v>
      </c>
      <c r="B319"/>
      <c r="C319"/>
      <c r="D319" t="s">
        <v>9</v>
      </c>
      <c r="E319"/>
      <c r="F319" t="s">
        <v>24</v>
      </c>
      <c r="G319" t="s">
        <v>27</v>
      </c>
      <c r="H319" t="s">
        <v>1155</v>
      </c>
      <c r="I319" t="s">
        <v>1156</v>
      </c>
      <c r="J319">
        <v>-1</v>
      </c>
      <c r="L319" s="212" t="str">
        <f>IFERROR(VLOOKUP($H319,PARAMETERS!$M$3:$M$493,1,0),"---")</f>
        <v>---</v>
      </c>
    </row>
    <row r="320" spans="1:12" x14ac:dyDescent="0.3">
      <c r="A320" t="s">
        <v>9</v>
      </c>
      <c r="B320"/>
      <c r="C320"/>
      <c r="D320" t="s">
        <v>9</v>
      </c>
      <c r="E320"/>
      <c r="F320" t="s">
        <v>24</v>
      </c>
      <c r="G320" t="s">
        <v>27</v>
      </c>
      <c r="H320" t="s">
        <v>1157</v>
      </c>
      <c r="I320" t="s">
        <v>1158</v>
      </c>
      <c r="J320">
        <v>-1</v>
      </c>
      <c r="L320" s="212" t="str">
        <f>IFERROR(VLOOKUP($H320,PARAMETERS!$M$3:$M$493,1,0),"---")</f>
        <v>---</v>
      </c>
    </row>
    <row r="321" spans="1:12" x14ac:dyDescent="0.3">
      <c r="A321" t="s">
        <v>9</v>
      </c>
      <c r="B321"/>
      <c r="C321"/>
      <c r="D321" t="s">
        <v>9</v>
      </c>
      <c r="E321"/>
      <c r="F321" t="s">
        <v>24</v>
      </c>
      <c r="G321" t="s">
        <v>27</v>
      </c>
      <c r="H321" t="s">
        <v>1159</v>
      </c>
      <c r="I321" t="s">
        <v>1160</v>
      </c>
      <c r="J321">
        <v>-1</v>
      </c>
      <c r="L321" s="212" t="str">
        <f>IFERROR(VLOOKUP($H321,PARAMETERS!$M$3:$M$493,1,0),"---")</f>
        <v>---</v>
      </c>
    </row>
    <row r="322" spans="1:12" x14ac:dyDescent="0.3">
      <c r="A322" t="s">
        <v>9</v>
      </c>
      <c r="B322"/>
      <c r="C322"/>
      <c r="D322" t="s">
        <v>9</v>
      </c>
      <c r="E322"/>
      <c r="F322" t="s">
        <v>24</v>
      </c>
      <c r="G322" t="s">
        <v>27</v>
      </c>
      <c r="H322" t="s">
        <v>1161</v>
      </c>
      <c r="I322" t="s">
        <v>1162</v>
      </c>
      <c r="J322">
        <v>-1</v>
      </c>
      <c r="L322" s="212" t="str">
        <f>IFERROR(VLOOKUP($H322,PARAMETERS!$M$3:$M$493,1,0),"---")</f>
        <v>---</v>
      </c>
    </row>
    <row r="323" spans="1:12" x14ac:dyDescent="0.3">
      <c r="A323" t="s">
        <v>9</v>
      </c>
      <c r="B323"/>
      <c r="C323"/>
      <c r="D323" t="s">
        <v>9</v>
      </c>
      <c r="E323"/>
      <c r="F323" t="s">
        <v>31</v>
      </c>
      <c r="G323" t="s">
        <v>27</v>
      </c>
      <c r="H323" t="s">
        <v>1163</v>
      </c>
      <c r="I323" t="s">
        <v>1164</v>
      </c>
      <c r="J323">
        <v>20</v>
      </c>
      <c r="L323" s="212" t="str">
        <f>IFERROR(VLOOKUP($H323,PARAMETERS!$M$3:$M$493,1,0),"---")</f>
        <v>---</v>
      </c>
    </row>
    <row r="324" spans="1:12" x14ac:dyDescent="0.3">
      <c r="A324" t="s">
        <v>9</v>
      </c>
      <c r="B324"/>
      <c r="C324"/>
      <c r="D324" t="s">
        <v>9</v>
      </c>
      <c r="E324"/>
      <c r="F324" t="s">
        <v>31</v>
      </c>
      <c r="G324" t="s">
        <v>27</v>
      </c>
      <c r="H324" t="s">
        <v>1165</v>
      </c>
      <c r="I324" t="s">
        <v>1166</v>
      </c>
      <c r="J324">
        <v>20</v>
      </c>
      <c r="L324" s="212" t="str">
        <f>IFERROR(VLOOKUP($H324,PARAMETERS!$M$3:$M$493,1,0),"---")</f>
        <v>---</v>
      </c>
    </row>
    <row r="325" spans="1:12" x14ac:dyDescent="0.3">
      <c r="A325" t="s">
        <v>9</v>
      </c>
      <c r="B325"/>
      <c r="C325"/>
      <c r="D325" t="s">
        <v>9</v>
      </c>
      <c r="E325"/>
      <c r="F325" t="s">
        <v>31</v>
      </c>
      <c r="G325" t="s">
        <v>27</v>
      </c>
      <c r="H325" t="s">
        <v>1167</v>
      </c>
      <c r="I325" t="s">
        <v>1168</v>
      </c>
      <c r="J325">
        <v>20</v>
      </c>
      <c r="L325" s="212" t="str">
        <f>IFERROR(VLOOKUP($H325,PARAMETERS!$M$3:$M$493,1,0),"---")</f>
        <v>---</v>
      </c>
    </row>
    <row r="326" spans="1:12" x14ac:dyDescent="0.3">
      <c r="A326" t="s">
        <v>9</v>
      </c>
      <c r="B326"/>
      <c r="C326"/>
      <c r="D326" t="s">
        <v>9</v>
      </c>
      <c r="E326"/>
      <c r="F326" t="s">
        <v>31</v>
      </c>
      <c r="G326" t="s">
        <v>27</v>
      </c>
      <c r="H326" t="s">
        <v>1169</v>
      </c>
      <c r="I326" t="s">
        <v>1170</v>
      </c>
      <c r="J326">
        <v>0</v>
      </c>
      <c r="L326" s="212" t="str">
        <f>IFERROR(VLOOKUP($H326,PARAMETERS!$M$3:$M$493,1,0),"---")</f>
        <v>---</v>
      </c>
    </row>
    <row r="327" spans="1:12" x14ac:dyDescent="0.3">
      <c r="A327" t="s">
        <v>9</v>
      </c>
      <c r="B327" t="s">
        <v>9</v>
      </c>
      <c r="C327"/>
      <c r="D327" t="s">
        <v>9</v>
      </c>
      <c r="E327" t="s">
        <v>9</v>
      </c>
      <c r="F327" t="s">
        <v>47</v>
      </c>
      <c r="G327" t="s">
        <v>27</v>
      </c>
      <c r="H327" t="s">
        <v>1171</v>
      </c>
      <c r="J327">
        <v>0</v>
      </c>
      <c r="L327" s="212" t="str">
        <f>IFERROR(VLOOKUP($H327,PARAMETERS!$M$3:$M$493,1,0),"---")</f>
        <v>---</v>
      </c>
    </row>
    <row r="328" spans="1:12" x14ac:dyDescent="0.3">
      <c r="A328" t="s">
        <v>9</v>
      </c>
      <c r="B328"/>
      <c r="C328"/>
      <c r="D328" t="s">
        <v>9</v>
      </c>
      <c r="E328"/>
      <c r="F328" t="s">
        <v>24</v>
      </c>
      <c r="G328" t="s">
        <v>27</v>
      </c>
      <c r="H328" t="s">
        <v>1172</v>
      </c>
      <c r="I328" t="s">
        <v>1173</v>
      </c>
      <c r="J328">
        <v>-1</v>
      </c>
      <c r="L328" s="212" t="str">
        <f>IFERROR(VLOOKUP($H328,PARAMETERS!$M$3:$M$493,1,0),"---")</f>
        <v>---</v>
      </c>
    </row>
    <row r="329" spans="1:12" x14ac:dyDescent="0.3">
      <c r="A329" t="s">
        <v>9</v>
      </c>
      <c r="B329"/>
      <c r="C329"/>
      <c r="D329" t="s">
        <v>9</v>
      </c>
      <c r="E329"/>
      <c r="F329" t="s">
        <v>24</v>
      </c>
      <c r="G329" t="s">
        <v>27</v>
      </c>
      <c r="H329" t="s">
        <v>1174</v>
      </c>
      <c r="I329" t="s">
        <v>1175</v>
      </c>
      <c r="J329">
        <v>-1</v>
      </c>
      <c r="L329" s="212" t="str">
        <f>IFERROR(VLOOKUP($H329,PARAMETERS!$M$3:$M$493,1,0),"---")</f>
        <v>---</v>
      </c>
    </row>
    <row r="330" spans="1:12" x14ac:dyDescent="0.3">
      <c r="A330" t="s">
        <v>9</v>
      </c>
      <c r="B330"/>
      <c r="C330"/>
      <c r="D330" t="s">
        <v>9</v>
      </c>
      <c r="E330"/>
      <c r="F330" t="s">
        <v>24</v>
      </c>
      <c r="G330" t="s">
        <v>27</v>
      </c>
      <c r="H330" t="s">
        <v>1176</v>
      </c>
      <c r="I330" t="s">
        <v>1177</v>
      </c>
      <c r="J330">
        <v>-1</v>
      </c>
      <c r="L330" s="212" t="str">
        <f>IFERROR(VLOOKUP($H330,PARAMETERS!$M$3:$M$493,1,0),"---")</f>
        <v>---</v>
      </c>
    </row>
    <row r="331" spans="1:12" x14ac:dyDescent="0.3">
      <c r="A331" t="s">
        <v>9</v>
      </c>
      <c r="B331"/>
      <c r="C331"/>
      <c r="D331" t="s">
        <v>9</v>
      </c>
      <c r="E331"/>
      <c r="F331" t="s">
        <v>24</v>
      </c>
      <c r="G331" t="s">
        <v>27</v>
      </c>
      <c r="H331" t="s">
        <v>1178</v>
      </c>
      <c r="I331" t="s">
        <v>1179</v>
      </c>
      <c r="J331">
        <v>-1</v>
      </c>
      <c r="L331" s="212" t="str">
        <f>IFERROR(VLOOKUP($H331,PARAMETERS!$M$3:$M$493,1,0),"---")</f>
        <v>---</v>
      </c>
    </row>
    <row r="332" spans="1:12" x14ac:dyDescent="0.3">
      <c r="A332" t="s">
        <v>9</v>
      </c>
      <c r="B332"/>
      <c r="C332"/>
      <c r="D332"/>
      <c r="E332"/>
      <c r="F332" t="s">
        <v>57</v>
      </c>
      <c r="G332" t="s">
        <v>27</v>
      </c>
      <c r="H332" t="s">
        <v>1180</v>
      </c>
      <c r="I332" t="s">
        <v>1826</v>
      </c>
      <c r="L332" s="212" t="str">
        <f>IFERROR(VLOOKUP($H332,PARAMETERS!$M$3:$M$493,1,0),"---")</f>
        <v>---</v>
      </c>
    </row>
    <row r="333" spans="1:12" x14ac:dyDescent="0.3">
      <c r="A333" t="s">
        <v>9</v>
      </c>
      <c r="B333"/>
      <c r="C333"/>
      <c r="D333" t="s">
        <v>9</v>
      </c>
      <c r="E333"/>
      <c r="F333" t="s">
        <v>47</v>
      </c>
      <c r="G333" t="s">
        <v>27</v>
      </c>
      <c r="H333" t="s">
        <v>1182</v>
      </c>
      <c r="I333" t="s">
        <v>1183</v>
      </c>
      <c r="J333">
        <v>0</v>
      </c>
      <c r="L333" s="212" t="str">
        <f>IFERROR(VLOOKUP($H333,PARAMETERS!$M$3:$M$493,1,0),"---")</f>
        <v>---</v>
      </c>
    </row>
    <row r="334" spans="1:12" x14ac:dyDescent="0.3">
      <c r="A334" t="s">
        <v>9</v>
      </c>
      <c r="B334"/>
      <c r="C334"/>
      <c r="D334" t="s">
        <v>9</v>
      </c>
      <c r="E334"/>
      <c r="F334" t="s">
        <v>24</v>
      </c>
      <c r="G334" t="s">
        <v>27</v>
      </c>
      <c r="H334" t="s">
        <v>1184</v>
      </c>
      <c r="I334" t="s">
        <v>1185</v>
      </c>
      <c r="J334">
        <v>0.04</v>
      </c>
      <c r="L334" s="212" t="str">
        <f>IFERROR(VLOOKUP($H334,PARAMETERS!$M$3:$M$493,1,0),"---")</f>
        <v>---</v>
      </c>
    </row>
    <row r="335" spans="1:12" x14ac:dyDescent="0.3">
      <c r="A335" t="s">
        <v>9</v>
      </c>
      <c r="B335"/>
      <c r="C335"/>
      <c r="D335" t="s">
        <v>9</v>
      </c>
      <c r="E335"/>
      <c r="F335" t="s">
        <v>47</v>
      </c>
      <c r="G335" t="s">
        <v>27</v>
      </c>
      <c r="H335" t="s">
        <v>1186</v>
      </c>
      <c r="I335" t="s">
        <v>1187</v>
      </c>
      <c r="J335">
        <v>1</v>
      </c>
      <c r="L335" s="212" t="str">
        <f>IFERROR(VLOOKUP($H335,PARAMETERS!$M$3:$M$493,1,0),"---")</f>
        <v>---</v>
      </c>
    </row>
    <row r="336" spans="1:12" x14ac:dyDescent="0.3">
      <c r="A336" t="s">
        <v>9</v>
      </c>
      <c r="B336"/>
      <c r="C336"/>
      <c r="D336" t="s">
        <v>9</v>
      </c>
      <c r="E336"/>
      <c r="F336" t="s">
        <v>44</v>
      </c>
      <c r="G336" t="s">
        <v>27</v>
      </c>
      <c r="H336" t="s">
        <v>1188</v>
      </c>
      <c r="I336" t="s">
        <v>1189</v>
      </c>
      <c r="J336">
        <v>0</v>
      </c>
      <c r="L336" s="212" t="str">
        <f>IFERROR(VLOOKUP($H336,PARAMETERS!$M$3:$M$493,1,0),"---")</f>
        <v>---</v>
      </c>
    </row>
    <row r="337" spans="1:12" x14ac:dyDescent="0.3">
      <c r="A337" t="s">
        <v>9</v>
      </c>
      <c r="B337"/>
      <c r="C337"/>
      <c r="D337" t="s">
        <v>9</v>
      </c>
      <c r="E337"/>
      <c r="F337" t="s">
        <v>47</v>
      </c>
      <c r="G337" t="s">
        <v>27</v>
      </c>
      <c r="H337" t="s">
        <v>1190</v>
      </c>
      <c r="I337" t="s">
        <v>1191</v>
      </c>
      <c r="J337">
        <v>1</v>
      </c>
      <c r="L337" s="212" t="str">
        <f>IFERROR(VLOOKUP($H337,PARAMETERS!$M$3:$M$493,1,0),"---")</f>
        <v>---</v>
      </c>
    </row>
    <row r="338" spans="1:12" x14ac:dyDescent="0.3">
      <c r="A338" t="s">
        <v>9</v>
      </c>
      <c r="B338"/>
      <c r="C338"/>
      <c r="D338" t="s">
        <v>9</v>
      </c>
      <c r="E338"/>
      <c r="F338" t="s">
        <v>44</v>
      </c>
      <c r="G338" t="s">
        <v>27</v>
      </c>
      <c r="H338" t="s">
        <v>1192</v>
      </c>
      <c r="I338" t="s">
        <v>1193</v>
      </c>
      <c r="J338">
        <v>0</v>
      </c>
      <c r="L338" s="212" t="str">
        <f>IFERROR(VLOOKUP($H338,PARAMETERS!$M$3:$M$493,1,0),"---")</f>
        <v>---</v>
      </c>
    </row>
    <row r="339" spans="1:12" x14ac:dyDescent="0.3">
      <c r="A339" t="s">
        <v>9</v>
      </c>
      <c r="B339"/>
      <c r="C339"/>
      <c r="D339" t="s">
        <v>9</v>
      </c>
      <c r="E339"/>
      <c r="F339" t="s">
        <v>47</v>
      </c>
      <c r="G339" t="s">
        <v>27</v>
      </c>
      <c r="H339" t="s">
        <v>1194</v>
      </c>
      <c r="I339" t="s">
        <v>1195</v>
      </c>
      <c r="J339">
        <v>0</v>
      </c>
      <c r="L339" s="212" t="str">
        <f>IFERROR(VLOOKUP($H339,PARAMETERS!$M$3:$M$493,1,0),"---")</f>
        <v>---</v>
      </c>
    </row>
    <row r="340" spans="1:12" x14ac:dyDescent="0.3">
      <c r="A340" t="s">
        <v>9</v>
      </c>
      <c r="B340"/>
      <c r="C340"/>
      <c r="D340" t="s">
        <v>9</v>
      </c>
      <c r="E340"/>
      <c r="F340" t="s">
        <v>47</v>
      </c>
      <c r="G340" t="s">
        <v>27</v>
      </c>
      <c r="H340" t="s">
        <v>1196</v>
      </c>
      <c r="I340" t="s">
        <v>1197</v>
      </c>
      <c r="J340">
        <v>0</v>
      </c>
      <c r="L340" s="212" t="str">
        <f>IFERROR(VLOOKUP($H340,PARAMETERS!$M$3:$M$493,1,0),"---")</f>
        <v>---</v>
      </c>
    </row>
    <row r="341" spans="1:12" x14ac:dyDescent="0.3">
      <c r="A341" t="s">
        <v>9</v>
      </c>
      <c r="B341"/>
      <c r="C341" t="s">
        <v>9</v>
      </c>
      <c r="D341"/>
      <c r="E341"/>
      <c r="F341" t="s">
        <v>18</v>
      </c>
      <c r="G341" t="s">
        <v>27</v>
      </c>
      <c r="H341" t="s">
        <v>1198</v>
      </c>
      <c r="I341" t="s">
        <v>1181</v>
      </c>
      <c r="J341" t="s">
        <v>1199</v>
      </c>
      <c r="L341" s="212" t="str">
        <f>IFERROR(VLOOKUP($H341,PARAMETERS!$M$3:$M$493,1,0),"---")</f>
        <v>---</v>
      </c>
    </row>
    <row r="342" spans="1:12" x14ac:dyDescent="0.3">
      <c r="A342" t="s">
        <v>9</v>
      </c>
      <c r="B342" t="s">
        <v>9</v>
      </c>
      <c r="C342" t="s">
        <v>9</v>
      </c>
      <c r="D342" t="s">
        <v>9</v>
      </c>
      <c r="E342"/>
      <c r="F342" t="s">
        <v>44</v>
      </c>
      <c r="G342" t="s">
        <v>27</v>
      </c>
      <c r="H342" t="s">
        <v>1200</v>
      </c>
      <c r="I342" t="s">
        <v>1181</v>
      </c>
      <c r="J342">
        <v>1</v>
      </c>
      <c r="L342" s="212" t="str">
        <f>IFERROR(VLOOKUP($H342,PARAMETERS!$M$3:$M$493,1,0),"---")</f>
        <v>---</v>
      </c>
    </row>
    <row r="343" spans="1:12" x14ac:dyDescent="0.3">
      <c r="A343" t="s">
        <v>9</v>
      </c>
      <c r="B343"/>
      <c r="C343"/>
      <c r="D343" t="s">
        <v>9</v>
      </c>
      <c r="E343"/>
      <c r="F343" t="s">
        <v>18</v>
      </c>
      <c r="G343" t="s">
        <v>27</v>
      </c>
      <c r="H343" t="s">
        <v>1201</v>
      </c>
      <c r="I343" t="s">
        <v>1202</v>
      </c>
      <c r="J343" t="s">
        <v>952</v>
      </c>
      <c r="L343" s="212" t="str">
        <f>IFERROR(VLOOKUP($H343,PARAMETERS!$M$3:$M$493,1,0),"---")</f>
        <v>---</v>
      </c>
    </row>
    <row r="344" spans="1:12" x14ac:dyDescent="0.3">
      <c r="A344" t="s">
        <v>9</v>
      </c>
      <c r="B344" t="s">
        <v>9</v>
      </c>
      <c r="C344"/>
      <c r="D344" t="s">
        <v>9</v>
      </c>
      <c r="E344"/>
      <c r="F344" t="s">
        <v>44</v>
      </c>
      <c r="G344" t="s">
        <v>27</v>
      </c>
      <c r="H344" t="s">
        <v>1203</v>
      </c>
      <c r="I344" t="s">
        <v>1202</v>
      </c>
      <c r="J344">
        <v>1</v>
      </c>
      <c r="L344" s="212" t="str">
        <f>IFERROR(VLOOKUP($H344,PARAMETERS!$M$3:$M$493,1,0),"---")</f>
        <v>---</v>
      </c>
    </row>
    <row r="345" spans="1:12" x14ac:dyDescent="0.3">
      <c r="A345" t="s">
        <v>9</v>
      </c>
      <c r="B345"/>
      <c r="C345"/>
      <c r="D345" t="s">
        <v>9</v>
      </c>
      <c r="E345"/>
      <c r="F345" t="s">
        <v>44</v>
      </c>
      <c r="G345" t="s">
        <v>27</v>
      </c>
      <c r="H345" t="s">
        <v>1204</v>
      </c>
      <c r="I345" t="s">
        <v>1205</v>
      </c>
      <c r="J345">
        <v>1</v>
      </c>
      <c r="L345" s="212" t="str">
        <f>IFERROR(VLOOKUP($H345,PARAMETERS!$M$3:$M$493,1,0),"---")</f>
        <v>---</v>
      </c>
    </row>
    <row r="346" spans="1:12" x14ac:dyDescent="0.3">
      <c r="A346" t="s">
        <v>9</v>
      </c>
      <c r="B346"/>
      <c r="C346"/>
      <c r="D346" t="s">
        <v>9</v>
      </c>
      <c r="E346"/>
      <c r="F346" t="s">
        <v>18</v>
      </c>
      <c r="G346" t="s">
        <v>27</v>
      </c>
      <c r="H346" t="s">
        <v>1206</v>
      </c>
      <c r="I346" t="s">
        <v>1207</v>
      </c>
      <c r="J346" t="s">
        <v>1208</v>
      </c>
      <c r="L346" s="212" t="str">
        <f>IFERROR(VLOOKUP($H346,PARAMETERS!$M$3:$M$493,1,0),"---")</f>
        <v>---</v>
      </c>
    </row>
    <row r="347" spans="1:12" x14ac:dyDescent="0.3">
      <c r="A347" t="s">
        <v>9</v>
      </c>
      <c r="B347" t="s">
        <v>9</v>
      </c>
      <c r="C347"/>
      <c r="D347" t="s">
        <v>9</v>
      </c>
      <c r="E347"/>
      <c r="F347" t="s">
        <v>44</v>
      </c>
      <c r="G347" t="s">
        <v>27</v>
      </c>
      <c r="H347" t="s">
        <v>1209</v>
      </c>
      <c r="I347" t="s">
        <v>1207</v>
      </c>
      <c r="J347">
        <v>1</v>
      </c>
      <c r="L347" s="212" t="str">
        <f>IFERROR(VLOOKUP($H347,PARAMETERS!$M$3:$M$493,1,0),"---")</f>
        <v>---</v>
      </c>
    </row>
    <row r="348" spans="1:12" x14ac:dyDescent="0.3">
      <c r="A348" t="s">
        <v>9</v>
      </c>
      <c r="B348"/>
      <c r="C348"/>
      <c r="D348" t="s">
        <v>9</v>
      </c>
      <c r="E348"/>
      <c r="F348" t="s">
        <v>47</v>
      </c>
      <c r="G348" t="s">
        <v>27</v>
      </c>
      <c r="H348" t="s">
        <v>1210</v>
      </c>
      <c r="I348" t="s">
        <v>1211</v>
      </c>
      <c r="J348">
        <v>1</v>
      </c>
      <c r="L348" s="212" t="str">
        <f>IFERROR(VLOOKUP($H348,PARAMETERS!$M$3:$M$493,1,0),"---")</f>
        <v>---</v>
      </c>
    </row>
    <row r="349" spans="1:12" x14ac:dyDescent="0.3">
      <c r="A349" t="s">
        <v>9</v>
      </c>
      <c r="B349"/>
      <c r="C349"/>
      <c r="D349" t="s">
        <v>9</v>
      </c>
      <c r="E349"/>
      <c r="F349" t="s">
        <v>47</v>
      </c>
      <c r="G349" t="s">
        <v>27</v>
      </c>
      <c r="H349" t="s">
        <v>1212</v>
      </c>
      <c r="I349" t="s">
        <v>1213</v>
      </c>
      <c r="J349">
        <v>1</v>
      </c>
      <c r="L349" s="212" t="str">
        <f>IFERROR(VLOOKUP($H349,PARAMETERS!$M$3:$M$493,1,0),"---")</f>
        <v>---</v>
      </c>
    </row>
    <row r="350" spans="1:12" x14ac:dyDescent="0.3">
      <c r="A350" t="s">
        <v>9</v>
      </c>
      <c r="B350"/>
      <c r="C350"/>
      <c r="D350" t="s">
        <v>9</v>
      </c>
      <c r="E350"/>
      <c r="F350" t="s">
        <v>47</v>
      </c>
      <c r="G350" t="s">
        <v>27</v>
      </c>
      <c r="H350" t="s">
        <v>1214</v>
      </c>
      <c r="I350" t="s">
        <v>1215</v>
      </c>
      <c r="J350">
        <v>0</v>
      </c>
      <c r="L350" s="212" t="str">
        <f>IFERROR(VLOOKUP($H350,PARAMETERS!$M$3:$M$493,1,0),"---")</f>
        <v>---</v>
      </c>
    </row>
    <row r="351" spans="1:12" x14ac:dyDescent="0.3">
      <c r="A351" t="s">
        <v>9</v>
      </c>
      <c r="B351"/>
      <c r="C351"/>
      <c r="D351" t="s">
        <v>9</v>
      </c>
      <c r="E351"/>
      <c r="F351" t="s">
        <v>47</v>
      </c>
      <c r="G351" t="s">
        <v>27</v>
      </c>
      <c r="H351" t="s">
        <v>1216</v>
      </c>
      <c r="I351" t="s">
        <v>1217</v>
      </c>
      <c r="J351">
        <v>0</v>
      </c>
      <c r="L351" s="212" t="str">
        <f>IFERROR(VLOOKUP($H351,PARAMETERS!$M$3:$M$493,1,0),"---")</f>
        <v>---</v>
      </c>
    </row>
    <row r="352" spans="1:12" x14ac:dyDescent="0.3">
      <c r="A352" t="s">
        <v>9</v>
      </c>
      <c r="B352"/>
      <c r="C352"/>
      <c r="D352" t="s">
        <v>9</v>
      </c>
      <c r="E352"/>
      <c r="F352" t="s">
        <v>44</v>
      </c>
      <c r="G352" t="s">
        <v>27</v>
      </c>
      <c r="H352" t="s">
        <v>1218</v>
      </c>
      <c r="I352" t="s">
        <v>1219</v>
      </c>
      <c r="J352">
        <v>1</v>
      </c>
      <c r="L352" s="212" t="str">
        <f>IFERROR(VLOOKUP($H352,PARAMETERS!$M$3:$M$493,1,0),"---")</f>
        <v>---</v>
      </c>
    </row>
    <row r="353" spans="1:12" x14ac:dyDescent="0.3">
      <c r="A353" t="s">
        <v>9</v>
      </c>
      <c r="B353"/>
      <c r="C353"/>
      <c r="D353" t="s">
        <v>9</v>
      </c>
      <c r="E353"/>
      <c r="F353" t="s">
        <v>18</v>
      </c>
      <c r="G353" t="s">
        <v>27</v>
      </c>
      <c r="H353" t="s">
        <v>1220</v>
      </c>
      <c r="I353" t="s">
        <v>1221</v>
      </c>
      <c r="L353" s="212" t="str">
        <f>IFERROR(VLOOKUP($H353,PARAMETERS!$M$3:$M$493,1,0),"---")</f>
        <v>---</v>
      </c>
    </row>
    <row r="354" spans="1:12" x14ac:dyDescent="0.3">
      <c r="A354" t="s">
        <v>9</v>
      </c>
      <c r="B354"/>
      <c r="C354"/>
      <c r="D354" t="s">
        <v>9</v>
      </c>
      <c r="E354"/>
      <c r="F354" t="s">
        <v>44</v>
      </c>
      <c r="G354" t="s">
        <v>27</v>
      </c>
      <c r="H354" t="s">
        <v>1222</v>
      </c>
      <c r="I354" t="s">
        <v>1221</v>
      </c>
      <c r="J354">
        <v>1</v>
      </c>
      <c r="L354" s="212" t="str">
        <f>IFERROR(VLOOKUP($H354,PARAMETERS!$M$3:$M$493,1,0),"---")</f>
        <v>---</v>
      </c>
    </row>
    <row r="355" spans="1:12" x14ac:dyDescent="0.3">
      <c r="A355" t="s">
        <v>9</v>
      </c>
      <c r="B355"/>
      <c r="C355"/>
      <c r="D355" t="s">
        <v>9</v>
      </c>
      <c r="E355"/>
      <c r="F355" t="s">
        <v>47</v>
      </c>
      <c r="G355" t="s">
        <v>27</v>
      </c>
      <c r="H355" t="s">
        <v>1223</v>
      </c>
      <c r="I355" t="s">
        <v>1224</v>
      </c>
      <c r="J355">
        <v>0</v>
      </c>
      <c r="L355" s="212" t="str">
        <f>IFERROR(VLOOKUP($H355,PARAMETERS!$M$3:$M$493,1,0),"---")</f>
        <v>---</v>
      </c>
    </row>
    <row r="356" spans="1:12" x14ac:dyDescent="0.3">
      <c r="A356" t="s">
        <v>9</v>
      </c>
      <c r="B356"/>
      <c r="C356"/>
      <c r="D356" t="s">
        <v>9</v>
      </c>
      <c r="E356"/>
      <c r="F356" t="s">
        <v>24</v>
      </c>
      <c r="G356" t="s">
        <v>27</v>
      </c>
      <c r="H356" t="s">
        <v>1225</v>
      </c>
      <c r="I356" t="s">
        <v>1226</v>
      </c>
      <c r="J356">
        <v>0</v>
      </c>
      <c r="L356" s="212" t="str">
        <f>IFERROR(VLOOKUP($H356,PARAMETERS!$M$3:$M$493,1,0),"---")</f>
        <v>---</v>
      </c>
    </row>
    <row r="357" spans="1:12" x14ac:dyDescent="0.3">
      <c r="A357" t="s">
        <v>9</v>
      </c>
      <c r="B357"/>
      <c r="C357"/>
      <c r="D357" t="s">
        <v>9</v>
      </c>
      <c r="E357"/>
      <c r="F357" t="s">
        <v>24</v>
      </c>
      <c r="G357" t="s">
        <v>27</v>
      </c>
      <c r="H357" t="s">
        <v>1227</v>
      </c>
      <c r="I357" t="s">
        <v>1228</v>
      </c>
      <c r="J357">
        <v>3.7999999999999999E-2</v>
      </c>
      <c r="L357" s="212" t="str">
        <f>IFERROR(VLOOKUP($H357,PARAMETERS!$M$3:$M$493,1,0),"---")</f>
        <v>---</v>
      </c>
    </row>
    <row r="358" spans="1:12" x14ac:dyDescent="0.3">
      <c r="A358" t="s">
        <v>9</v>
      </c>
      <c r="B358"/>
      <c r="C358"/>
      <c r="D358" t="s">
        <v>9</v>
      </c>
      <c r="E358"/>
      <c r="F358" t="s">
        <v>24</v>
      </c>
      <c r="G358" t="s">
        <v>27</v>
      </c>
      <c r="H358" t="s">
        <v>1229</v>
      </c>
      <c r="I358" t="s">
        <v>1230</v>
      </c>
      <c r="J358">
        <v>0.1</v>
      </c>
      <c r="L358" s="212" t="str">
        <f>IFERROR(VLOOKUP($H358,PARAMETERS!$M$3:$M$493,1,0),"---")</f>
        <v>---</v>
      </c>
    </row>
    <row r="359" spans="1:12" x14ac:dyDescent="0.3">
      <c r="A359" t="s">
        <v>9</v>
      </c>
      <c r="B359"/>
      <c r="C359" t="s">
        <v>9</v>
      </c>
      <c r="D359" t="s">
        <v>9</v>
      </c>
      <c r="E359"/>
      <c r="F359" t="s">
        <v>47</v>
      </c>
      <c r="G359" t="s">
        <v>27</v>
      </c>
      <c r="H359" t="s">
        <v>1231</v>
      </c>
      <c r="I359" t="s">
        <v>1232</v>
      </c>
      <c r="J359">
        <v>1</v>
      </c>
      <c r="L359" s="212" t="str">
        <f>IFERROR(VLOOKUP($H359,PARAMETERS!$M$3:$M$493,1,0),"---")</f>
        <v>---</v>
      </c>
    </row>
    <row r="360" spans="1:12" x14ac:dyDescent="0.3">
      <c r="A360" t="s">
        <v>9</v>
      </c>
      <c r="B360"/>
      <c r="C360"/>
      <c r="D360" t="s">
        <v>9</v>
      </c>
      <c r="E360"/>
      <c r="F360" t="s">
        <v>47</v>
      </c>
      <c r="G360" t="s">
        <v>27</v>
      </c>
      <c r="H360" t="s">
        <v>1233</v>
      </c>
      <c r="I360" t="s">
        <v>1234</v>
      </c>
      <c r="J360">
        <v>1</v>
      </c>
      <c r="L360" s="212" t="str">
        <f>IFERROR(VLOOKUP($H360,PARAMETERS!$M$3:$M$493,1,0),"---")</f>
        <v>---</v>
      </c>
    </row>
    <row r="361" spans="1:12" x14ac:dyDescent="0.3">
      <c r="A361" t="s">
        <v>9</v>
      </c>
      <c r="B361"/>
      <c r="C361"/>
      <c r="D361" t="s">
        <v>9</v>
      </c>
      <c r="E361"/>
      <c r="F361" t="s">
        <v>24</v>
      </c>
      <c r="G361" t="s">
        <v>27</v>
      </c>
      <c r="H361" t="s">
        <v>1235</v>
      </c>
      <c r="I361" t="s">
        <v>1236</v>
      </c>
      <c r="J361">
        <v>2.5000000000000001E-2</v>
      </c>
      <c r="L361" s="212" t="str">
        <f>IFERROR(VLOOKUP($H361,PARAMETERS!$M$3:$M$493,1,0),"---")</f>
        <v>---</v>
      </c>
    </row>
    <row r="362" spans="1:12" x14ac:dyDescent="0.3">
      <c r="A362" t="s">
        <v>9</v>
      </c>
      <c r="B362"/>
      <c r="C362"/>
      <c r="D362" t="s">
        <v>9</v>
      </c>
      <c r="E362"/>
      <c r="F362" t="s">
        <v>53</v>
      </c>
      <c r="G362" t="s">
        <v>27</v>
      </c>
      <c r="H362" t="s">
        <v>1237</v>
      </c>
      <c r="I362" t="s">
        <v>1238</v>
      </c>
      <c r="J362">
        <v>100</v>
      </c>
      <c r="L362" s="212" t="str">
        <f>IFERROR(VLOOKUP($H362,PARAMETERS!$M$3:$M$493,1,0),"---")</f>
        <v>---</v>
      </c>
    </row>
    <row r="363" spans="1:12" x14ac:dyDescent="0.3">
      <c r="A363" t="s">
        <v>9</v>
      </c>
      <c r="B363"/>
      <c r="C363"/>
      <c r="D363" t="s">
        <v>9</v>
      </c>
      <c r="E363"/>
      <c r="F363" t="s">
        <v>51</v>
      </c>
      <c r="G363" t="s">
        <v>27</v>
      </c>
      <c r="H363" t="s">
        <v>1239</v>
      </c>
      <c r="I363" t="s">
        <v>1240</v>
      </c>
      <c r="J363">
        <v>1</v>
      </c>
      <c r="L363" s="212" t="str">
        <f>IFERROR(VLOOKUP($H363,PARAMETERS!$M$3:$M$493,1,0),"---")</f>
        <v>---</v>
      </c>
    </row>
    <row r="364" spans="1:12" x14ac:dyDescent="0.3">
      <c r="A364" t="s">
        <v>9</v>
      </c>
      <c r="B364"/>
      <c r="C364"/>
      <c r="D364" t="s">
        <v>9</v>
      </c>
      <c r="E364"/>
      <c r="F364" t="s">
        <v>52</v>
      </c>
      <c r="G364" t="s">
        <v>27</v>
      </c>
      <c r="H364" t="s">
        <v>1241</v>
      </c>
      <c r="I364" t="s">
        <v>1242</v>
      </c>
      <c r="J364">
        <v>65</v>
      </c>
      <c r="L364" s="212" t="str">
        <f>IFERROR(VLOOKUP($H364,PARAMETERS!$M$3:$M$493,1,0),"---")</f>
        <v>---</v>
      </c>
    </row>
    <row r="365" spans="1:12" x14ac:dyDescent="0.3">
      <c r="A365" t="s">
        <v>9</v>
      </c>
      <c r="B365"/>
      <c r="C365"/>
      <c r="D365" t="s">
        <v>9</v>
      </c>
      <c r="E365"/>
      <c r="F365" t="s">
        <v>53</v>
      </c>
      <c r="G365" t="s">
        <v>27</v>
      </c>
      <c r="H365" t="s">
        <v>1243</v>
      </c>
      <c r="I365" t="s">
        <v>1244</v>
      </c>
      <c r="J365">
        <v>1</v>
      </c>
      <c r="L365" s="212" t="str">
        <f>IFERROR(VLOOKUP($H365,PARAMETERS!$M$3:$M$493,1,0),"---")</f>
        <v>---</v>
      </c>
    </row>
    <row r="366" spans="1:12" x14ac:dyDescent="0.3">
      <c r="A366" t="s">
        <v>9</v>
      </c>
      <c r="B366"/>
      <c r="C366"/>
      <c r="D366" t="s">
        <v>9</v>
      </c>
      <c r="E366"/>
      <c r="F366" t="s">
        <v>53</v>
      </c>
      <c r="G366" t="s">
        <v>27</v>
      </c>
      <c r="H366" t="s">
        <v>1245</v>
      </c>
      <c r="I366" t="s">
        <v>1101</v>
      </c>
      <c r="J366">
        <v>93</v>
      </c>
      <c r="L366" s="212" t="str">
        <f>IFERROR(VLOOKUP($H366,PARAMETERS!$M$3:$M$493,1,0),"---")</f>
        <v>---</v>
      </c>
    </row>
    <row r="367" spans="1:12" x14ac:dyDescent="0.3">
      <c r="A367" t="s">
        <v>9</v>
      </c>
      <c r="B367"/>
      <c r="C367"/>
      <c r="D367" t="s">
        <v>9</v>
      </c>
      <c r="E367"/>
      <c r="F367" t="s">
        <v>47</v>
      </c>
      <c r="G367" t="s">
        <v>27</v>
      </c>
      <c r="H367" t="s">
        <v>1246</v>
      </c>
      <c r="I367" t="s">
        <v>1247</v>
      </c>
      <c r="J367">
        <v>0</v>
      </c>
      <c r="L367" s="212" t="str">
        <f>IFERROR(VLOOKUP($H367,PARAMETERS!$M$3:$M$493,1,0),"---")</f>
        <v>---</v>
      </c>
    </row>
    <row r="368" spans="1:12" x14ac:dyDescent="0.3">
      <c r="A368"/>
      <c r="B368"/>
      <c r="C368"/>
      <c r="D368" t="s">
        <v>9</v>
      </c>
      <c r="E368"/>
      <c r="F368" t="s">
        <v>50</v>
      </c>
      <c r="G368" t="s">
        <v>27</v>
      </c>
      <c r="H368" t="s">
        <v>1248</v>
      </c>
      <c r="I368" t="s">
        <v>1249</v>
      </c>
      <c r="J368">
        <v>15</v>
      </c>
      <c r="L368" s="212" t="str">
        <f>IFERROR(VLOOKUP($H368,PARAMETERS!$M$3:$M$493,1,0),"---")</f>
        <v>---</v>
      </c>
    </row>
    <row r="369" spans="1:12" x14ac:dyDescent="0.3">
      <c r="A369" t="s">
        <v>9</v>
      </c>
      <c r="B369"/>
      <c r="C369"/>
      <c r="D369" t="s">
        <v>9</v>
      </c>
      <c r="E369"/>
      <c r="F369" t="s">
        <v>24</v>
      </c>
      <c r="G369" t="s">
        <v>27</v>
      </c>
      <c r="H369" t="s">
        <v>1250</v>
      </c>
      <c r="I369" t="s">
        <v>1251</v>
      </c>
      <c r="J369">
        <v>7.4999999999999997E-2</v>
      </c>
      <c r="L369" s="212" t="str">
        <f>IFERROR(VLOOKUP($H369,PARAMETERS!$M$3:$M$493,1,0),"---")</f>
        <v>---</v>
      </c>
    </row>
    <row r="370" spans="1:12" x14ac:dyDescent="0.3">
      <c r="A370" t="s">
        <v>9</v>
      </c>
      <c r="B370"/>
      <c r="C370"/>
      <c r="D370" t="s">
        <v>9</v>
      </c>
      <c r="E370"/>
      <c r="F370" t="s">
        <v>53</v>
      </c>
      <c r="G370" t="s">
        <v>27</v>
      </c>
      <c r="H370" t="s">
        <v>1252</v>
      </c>
      <c r="I370" t="s">
        <v>1238</v>
      </c>
      <c r="J370">
        <v>100</v>
      </c>
      <c r="L370" s="212" t="str">
        <f>IFERROR(VLOOKUP($H370,PARAMETERS!$M$3:$M$493,1,0),"---")</f>
        <v>---</v>
      </c>
    </row>
    <row r="371" spans="1:12" x14ac:dyDescent="0.3">
      <c r="A371" t="s">
        <v>9</v>
      </c>
      <c r="B371"/>
      <c r="C371"/>
      <c r="D371" t="s">
        <v>9</v>
      </c>
      <c r="E371"/>
      <c r="F371" t="s">
        <v>51</v>
      </c>
      <c r="G371" t="s">
        <v>27</v>
      </c>
      <c r="H371" t="s">
        <v>1253</v>
      </c>
      <c r="I371" t="s">
        <v>1240</v>
      </c>
      <c r="J371">
        <v>1</v>
      </c>
      <c r="L371" s="212" t="str">
        <f>IFERROR(VLOOKUP($H371,PARAMETERS!$M$3:$M$493,1,0),"---")</f>
        <v>---</v>
      </c>
    </row>
    <row r="372" spans="1:12" x14ac:dyDescent="0.3">
      <c r="A372" t="s">
        <v>9</v>
      </c>
      <c r="B372"/>
      <c r="C372"/>
      <c r="D372" t="s">
        <v>9</v>
      </c>
      <c r="E372"/>
      <c r="F372" t="s">
        <v>52</v>
      </c>
      <c r="G372" t="s">
        <v>27</v>
      </c>
      <c r="H372" t="s">
        <v>1254</v>
      </c>
      <c r="I372" t="s">
        <v>1242</v>
      </c>
      <c r="J372">
        <v>65</v>
      </c>
      <c r="L372" s="212" t="str">
        <f>IFERROR(VLOOKUP($H372,PARAMETERS!$M$3:$M$493,1,0),"---")</f>
        <v>---</v>
      </c>
    </row>
    <row r="373" spans="1:12" x14ac:dyDescent="0.3">
      <c r="A373" t="s">
        <v>9</v>
      </c>
      <c r="B373"/>
      <c r="C373"/>
      <c r="D373" t="s">
        <v>9</v>
      </c>
      <c r="E373"/>
      <c r="F373" t="s">
        <v>53</v>
      </c>
      <c r="G373" t="s">
        <v>27</v>
      </c>
      <c r="H373" t="s">
        <v>1255</v>
      </c>
      <c r="I373" t="s">
        <v>1244</v>
      </c>
      <c r="J373">
        <v>1</v>
      </c>
      <c r="L373" s="212" t="str">
        <f>IFERROR(VLOOKUP($H373,PARAMETERS!$M$3:$M$493,1,0),"---")</f>
        <v>---</v>
      </c>
    </row>
    <row r="374" spans="1:12" x14ac:dyDescent="0.3">
      <c r="A374" t="s">
        <v>9</v>
      </c>
      <c r="B374"/>
      <c r="C374"/>
      <c r="D374" t="s">
        <v>9</v>
      </c>
      <c r="E374"/>
      <c r="F374" t="s">
        <v>53</v>
      </c>
      <c r="G374" t="s">
        <v>27</v>
      </c>
      <c r="H374" t="s">
        <v>1256</v>
      </c>
      <c r="I374" t="s">
        <v>1101</v>
      </c>
      <c r="J374">
        <v>93</v>
      </c>
      <c r="L374" s="212" t="str">
        <f>IFERROR(VLOOKUP($H374,PARAMETERS!$M$3:$M$493,1,0),"---")</f>
        <v>---</v>
      </c>
    </row>
    <row r="375" spans="1:12" s="114" customFormat="1" x14ac:dyDescent="0.3">
      <c r="A375" t="s">
        <v>9</v>
      </c>
      <c r="B375" t="s">
        <v>9</v>
      </c>
      <c r="C375"/>
      <c r="D375" t="s">
        <v>9</v>
      </c>
      <c r="E375"/>
      <c r="F375" t="s">
        <v>24</v>
      </c>
      <c r="G375" t="s">
        <v>27</v>
      </c>
      <c r="H375" t="s">
        <v>1257</v>
      </c>
      <c r="I375" t="s">
        <v>1258</v>
      </c>
      <c r="J375" t="s">
        <v>33</v>
      </c>
      <c r="L375" s="213" t="str">
        <f>IFERROR(VLOOKUP($H375,PARAMETERS!$M$3:$M$493,1,0),"---")</f>
        <v>---</v>
      </c>
    </row>
    <row r="376" spans="1:12" x14ac:dyDescent="0.3">
      <c r="A376" t="s">
        <v>9</v>
      </c>
      <c r="B376" t="s">
        <v>9</v>
      </c>
      <c r="C376"/>
      <c r="D376" t="s">
        <v>9</v>
      </c>
      <c r="E376"/>
      <c r="F376" t="s">
        <v>24</v>
      </c>
      <c r="G376" t="s">
        <v>27</v>
      </c>
      <c r="H376" t="s">
        <v>1259</v>
      </c>
      <c r="I376" t="s">
        <v>1260</v>
      </c>
      <c r="J376" t="s">
        <v>33</v>
      </c>
      <c r="L376" s="212" t="str">
        <f>IFERROR(VLOOKUP($H376,PARAMETERS!$M$3:$M$493,1,0),"---")</f>
        <v>---</v>
      </c>
    </row>
    <row r="377" spans="1:12" x14ac:dyDescent="0.3">
      <c r="A377" t="s">
        <v>9</v>
      </c>
      <c r="B377"/>
      <c r="C377"/>
      <c r="D377" t="s">
        <v>9</v>
      </c>
      <c r="E377"/>
      <c r="F377" t="s">
        <v>44</v>
      </c>
      <c r="G377" t="s">
        <v>27</v>
      </c>
      <c r="H377" t="s">
        <v>1261</v>
      </c>
      <c r="I377" t="s">
        <v>1262</v>
      </c>
      <c r="J377">
        <v>1</v>
      </c>
      <c r="L377" s="212" t="str">
        <f>IFERROR(VLOOKUP($H377,PARAMETERS!$M$3:$M$493,1,0),"---")</f>
        <v>---</v>
      </c>
    </row>
    <row r="378" spans="1:12" x14ac:dyDescent="0.3">
      <c r="A378" t="s">
        <v>9</v>
      </c>
      <c r="B378"/>
      <c r="C378"/>
      <c r="D378" t="s">
        <v>9</v>
      </c>
      <c r="E378"/>
      <c r="F378" t="s">
        <v>44</v>
      </c>
      <c r="G378" t="s">
        <v>27</v>
      </c>
      <c r="H378" t="s">
        <v>1263</v>
      </c>
      <c r="I378" t="s">
        <v>1264</v>
      </c>
      <c r="J378">
        <v>1</v>
      </c>
      <c r="L378" s="212" t="str">
        <f>IFERROR(VLOOKUP($H378,PARAMETERS!$M$3:$M$493,1,0),"---")</f>
        <v>---</v>
      </c>
    </row>
    <row r="379" spans="1:12" x14ac:dyDescent="0.3">
      <c r="A379" t="s">
        <v>9</v>
      </c>
      <c r="B379"/>
      <c r="C379"/>
      <c r="D379" t="s">
        <v>9</v>
      </c>
      <c r="E379"/>
      <c r="F379" t="s">
        <v>44</v>
      </c>
      <c r="G379" t="s">
        <v>27</v>
      </c>
      <c r="H379" t="s">
        <v>1265</v>
      </c>
      <c r="I379" t="s">
        <v>1266</v>
      </c>
      <c r="J379">
        <v>1</v>
      </c>
      <c r="L379" s="212" t="str">
        <f>IFERROR(VLOOKUP($H379,PARAMETERS!$M$3:$M$493,1,0),"---")</f>
        <v>---</v>
      </c>
    </row>
    <row r="380" spans="1:12" x14ac:dyDescent="0.3">
      <c r="A380" t="s">
        <v>9</v>
      </c>
      <c r="B380"/>
      <c r="C380"/>
      <c r="D380" t="s">
        <v>9</v>
      </c>
      <c r="E380"/>
      <c r="F380" t="s">
        <v>47</v>
      </c>
      <c r="G380" t="s">
        <v>27</v>
      </c>
      <c r="H380" t="s">
        <v>1267</v>
      </c>
      <c r="I380" t="s">
        <v>1268</v>
      </c>
      <c r="J380">
        <v>0</v>
      </c>
      <c r="L380" s="212" t="str">
        <f>IFERROR(VLOOKUP($H380,PARAMETERS!$M$3:$M$493,1,0),"---")</f>
        <v>---</v>
      </c>
    </row>
    <row r="381" spans="1:12" x14ac:dyDescent="0.3">
      <c r="A381" t="s">
        <v>9</v>
      </c>
      <c r="B381"/>
      <c r="C381"/>
      <c r="D381" t="s">
        <v>9</v>
      </c>
      <c r="E381"/>
      <c r="F381" t="s">
        <v>47</v>
      </c>
      <c r="G381" t="s">
        <v>27</v>
      </c>
      <c r="H381" t="s">
        <v>1269</v>
      </c>
      <c r="I381" t="s">
        <v>1270</v>
      </c>
      <c r="J381">
        <v>0</v>
      </c>
      <c r="L381" s="212" t="str">
        <f>IFERROR(VLOOKUP($H381,PARAMETERS!$M$3:$M$493,1,0),"---")</f>
        <v>---</v>
      </c>
    </row>
    <row r="382" spans="1:12" x14ac:dyDescent="0.3">
      <c r="A382" t="s">
        <v>9</v>
      </c>
      <c r="B382"/>
      <c r="C382"/>
      <c r="D382" t="s">
        <v>9</v>
      </c>
      <c r="E382"/>
      <c r="F382" t="s">
        <v>44</v>
      </c>
      <c r="G382" t="s">
        <v>27</v>
      </c>
      <c r="H382" t="s">
        <v>1271</v>
      </c>
      <c r="I382" t="s">
        <v>1272</v>
      </c>
      <c r="J382">
        <v>1</v>
      </c>
      <c r="L382" s="212" t="str">
        <f>IFERROR(VLOOKUP($H382,PARAMETERS!$M$3:$M$493,1,0),"---")</f>
        <v>---</v>
      </c>
    </row>
    <row r="383" spans="1:12" x14ac:dyDescent="0.3">
      <c r="A383" t="s">
        <v>9</v>
      </c>
      <c r="B383"/>
      <c r="C383"/>
      <c r="D383" t="s">
        <v>9</v>
      </c>
      <c r="E383"/>
      <c r="F383" t="s">
        <v>24</v>
      </c>
      <c r="G383" t="s">
        <v>27</v>
      </c>
      <c r="H383" t="s">
        <v>1273</v>
      </c>
      <c r="I383" t="s">
        <v>1274</v>
      </c>
      <c r="J383">
        <v>1.4999999999999999E-2</v>
      </c>
      <c r="L383" s="212" t="str">
        <f>IFERROR(VLOOKUP($H383,PARAMETERS!$M$3:$M$493,1,0),"---")</f>
        <v>---</v>
      </c>
    </row>
    <row r="384" spans="1:12" x14ac:dyDescent="0.3">
      <c r="A384" t="s">
        <v>9</v>
      </c>
      <c r="B384"/>
      <c r="C384"/>
      <c r="D384" t="s">
        <v>9</v>
      </c>
      <c r="E384"/>
      <c r="F384" t="s">
        <v>44</v>
      </c>
      <c r="G384" t="s">
        <v>27</v>
      </c>
      <c r="H384" t="s">
        <v>1275</v>
      </c>
      <c r="I384" t="s">
        <v>1276</v>
      </c>
      <c r="J384">
        <v>1</v>
      </c>
      <c r="L384" s="212" t="str">
        <f>IFERROR(VLOOKUP($H384,PARAMETERS!$M$3:$M$493,1,0),"---")</f>
        <v>---</v>
      </c>
    </row>
    <row r="385" spans="1:12" x14ac:dyDescent="0.3">
      <c r="A385" t="s">
        <v>9</v>
      </c>
      <c r="B385"/>
      <c r="C385"/>
      <c r="D385" t="s">
        <v>9</v>
      </c>
      <c r="E385"/>
      <c r="F385" t="s">
        <v>47</v>
      </c>
      <c r="G385" t="s">
        <v>27</v>
      </c>
      <c r="H385" t="s">
        <v>1277</v>
      </c>
      <c r="I385" t="s">
        <v>1278</v>
      </c>
      <c r="J385">
        <v>0</v>
      </c>
      <c r="L385" s="212" t="str">
        <f>IFERROR(VLOOKUP($H385,PARAMETERS!$M$3:$M$493,1,0),"---")</f>
        <v>---</v>
      </c>
    </row>
    <row r="386" spans="1:12" x14ac:dyDescent="0.3">
      <c r="A386" t="s">
        <v>9</v>
      </c>
      <c r="B386"/>
      <c r="C386"/>
      <c r="D386" t="s">
        <v>9</v>
      </c>
      <c r="E386"/>
      <c r="F386" t="s">
        <v>53</v>
      </c>
      <c r="G386" t="s">
        <v>27</v>
      </c>
      <c r="H386" t="s">
        <v>1279</v>
      </c>
      <c r="I386" t="s">
        <v>1280</v>
      </c>
      <c r="J386">
        <v>1</v>
      </c>
      <c r="L386" s="212" t="str">
        <f>IFERROR(VLOOKUP($H386,PARAMETERS!$M$3:$M$493,1,0),"---")</f>
        <v>---</v>
      </c>
    </row>
    <row r="387" spans="1:12" x14ac:dyDescent="0.3">
      <c r="A387" t="s">
        <v>9</v>
      </c>
      <c r="B387"/>
      <c r="C387"/>
      <c r="D387" t="s">
        <v>9</v>
      </c>
      <c r="E387"/>
      <c r="F387" t="s">
        <v>24</v>
      </c>
      <c r="G387" t="s">
        <v>27</v>
      </c>
      <c r="H387" t="s">
        <v>1281</v>
      </c>
      <c r="I387" t="s">
        <v>1282</v>
      </c>
      <c r="J387">
        <v>0</v>
      </c>
      <c r="L387" s="212" t="str">
        <f>IFERROR(VLOOKUP($H387,PARAMETERS!$M$3:$M$493,1,0),"---")</f>
        <v>---</v>
      </c>
    </row>
    <row r="388" spans="1:12" x14ac:dyDescent="0.3">
      <c r="A388" t="s">
        <v>9</v>
      </c>
      <c r="B388" t="s">
        <v>9</v>
      </c>
      <c r="C388"/>
      <c r="D388" t="s">
        <v>9</v>
      </c>
      <c r="E388"/>
      <c r="F388" t="s">
        <v>47</v>
      </c>
      <c r="G388" t="s">
        <v>27</v>
      </c>
      <c r="H388" t="s">
        <v>1283</v>
      </c>
      <c r="I388" t="s">
        <v>1284</v>
      </c>
      <c r="J388">
        <v>0</v>
      </c>
      <c r="L388" s="212" t="str">
        <f>IFERROR(VLOOKUP($H388,PARAMETERS!$M$3:$M$493,1,0),"---")</f>
        <v>---</v>
      </c>
    </row>
    <row r="389" spans="1:12" x14ac:dyDescent="0.3">
      <c r="A389" t="s">
        <v>9</v>
      </c>
      <c r="B389" t="s">
        <v>9</v>
      </c>
      <c r="C389"/>
      <c r="D389" t="s">
        <v>9</v>
      </c>
      <c r="E389"/>
      <c r="F389" t="s">
        <v>47</v>
      </c>
      <c r="G389" t="s">
        <v>27</v>
      </c>
      <c r="H389" t="s">
        <v>1285</v>
      </c>
      <c r="I389" t="s">
        <v>1286</v>
      </c>
      <c r="J389">
        <v>0</v>
      </c>
      <c r="L389" s="212" t="str">
        <f>IFERROR(VLOOKUP($H389,PARAMETERS!$M$3:$M$493,1,0),"---")</f>
        <v>---</v>
      </c>
    </row>
    <row r="390" spans="1:12" x14ac:dyDescent="0.3">
      <c r="A390" t="s">
        <v>9</v>
      </c>
      <c r="B390"/>
      <c r="C390"/>
      <c r="D390"/>
      <c r="E390"/>
      <c r="F390" t="s">
        <v>57</v>
      </c>
      <c r="G390" t="s">
        <v>27</v>
      </c>
      <c r="H390" t="s">
        <v>1287</v>
      </c>
      <c r="I390" t="s">
        <v>1288</v>
      </c>
      <c r="L390" s="212" t="str">
        <f>IFERROR(VLOOKUP($H390,PARAMETERS!$M$3:$M$493,1,0),"---")</f>
        <v>---</v>
      </c>
    </row>
    <row r="391" spans="1:12" x14ac:dyDescent="0.3">
      <c r="A391" t="s">
        <v>9</v>
      </c>
      <c r="B391"/>
      <c r="C391"/>
      <c r="D391" t="s">
        <v>9</v>
      </c>
      <c r="E391"/>
      <c r="F391" t="s">
        <v>47</v>
      </c>
      <c r="G391" t="s">
        <v>27</v>
      </c>
      <c r="H391" t="s">
        <v>1289</v>
      </c>
      <c r="I391" t="s">
        <v>1290</v>
      </c>
      <c r="J391">
        <v>0</v>
      </c>
      <c r="L391" s="212" t="str">
        <f>IFERROR(VLOOKUP($H391,PARAMETERS!$M$3:$M$493,1,0),"---")</f>
        <v>---</v>
      </c>
    </row>
    <row r="392" spans="1:12" x14ac:dyDescent="0.3">
      <c r="A392" t="s">
        <v>9</v>
      </c>
      <c r="B392"/>
      <c r="C392"/>
      <c r="D392" t="s">
        <v>9</v>
      </c>
      <c r="E392"/>
      <c r="F392" t="s">
        <v>47</v>
      </c>
      <c r="G392" t="s">
        <v>27</v>
      </c>
      <c r="H392" t="s">
        <v>1291</v>
      </c>
      <c r="I392" t="s">
        <v>1292</v>
      </c>
      <c r="J392">
        <v>0</v>
      </c>
      <c r="L392" s="212" t="str">
        <f>IFERROR(VLOOKUP($H392,PARAMETERS!$M$3:$M$493,1,0),"---")</f>
        <v>---</v>
      </c>
    </row>
    <row r="393" spans="1:12" x14ac:dyDescent="0.3">
      <c r="A393" t="s">
        <v>9</v>
      </c>
      <c r="B393"/>
      <c r="C393"/>
      <c r="D393" t="s">
        <v>9</v>
      </c>
      <c r="E393"/>
      <c r="F393" t="s">
        <v>47</v>
      </c>
      <c r="G393" t="s">
        <v>27</v>
      </c>
      <c r="H393" t="s">
        <v>1293</v>
      </c>
      <c r="I393" t="s">
        <v>1294</v>
      </c>
      <c r="J393">
        <v>0</v>
      </c>
      <c r="L393" s="212" t="str">
        <f>IFERROR(VLOOKUP($H393,PARAMETERS!$M$3:$M$493,1,0),"---")</f>
        <v>---</v>
      </c>
    </row>
    <row r="394" spans="1:12" x14ac:dyDescent="0.3">
      <c r="A394" t="s">
        <v>9</v>
      </c>
      <c r="B394"/>
      <c r="C394"/>
      <c r="D394"/>
      <c r="E394"/>
      <c r="F394" t="s">
        <v>57</v>
      </c>
      <c r="G394" t="s">
        <v>27</v>
      </c>
      <c r="H394" t="s">
        <v>202</v>
      </c>
      <c r="I394" t="s">
        <v>203</v>
      </c>
      <c r="L394" s="212" t="str">
        <f>IFERROR(VLOOKUP($H394,PARAMETERS!$M$3:$M$493,1,0),"---")</f>
        <v>gs_pen_settings</v>
      </c>
    </row>
    <row r="395" spans="1:12" x14ac:dyDescent="0.3">
      <c r="A395" t="s">
        <v>9</v>
      </c>
      <c r="B395"/>
      <c r="C395"/>
      <c r="D395" t="s">
        <v>9</v>
      </c>
      <c r="E395"/>
      <c r="F395" t="s">
        <v>53</v>
      </c>
      <c r="G395" t="s">
        <v>27</v>
      </c>
      <c r="H395" t="s">
        <v>1319</v>
      </c>
      <c r="I395" t="s">
        <v>1320</v>
      </c>
      <c r="J395">
        <v>2</v>
      </c>
      <c r="L395" s="212" t="str">
        <f>IFERROR(VLOOKUP($H395,PARAMETERS!$M$3:$M$493,1,0),"---")</f>
        <v>gs_pen_2D</v>
      </c>
    </row>
    <row r="396" spans="1:12" x14ac:dyDescent="0.3">
      <c r="A396" t="s">
        <v>9</v>
      </c>
      <c r="B396"/>
      <c r="C396"/>
      <c r="D396" t="s">
        <v>9</v>
      </c>
      <c r="E396"/>
      <c r="F396" t="s">
        <v>53</v>
      </c>
      <c r="G396" t="s">
        <v>27</v>
      </c>
      <c r="H396" t="s">
        <v>1321</v>
      </c>
      <c r="I396" t="s">
        <v>1322</v>
      </c>
      <c r="J396">
        <v>2</v>
      </c>
      <c r="L396" s="212" t="str">
        <f>IFERROR(VLOOKUP($H396,PARAMETERS!$M$3:$M$493,1,0),"---")</f>
        <v>gs_frame_pen</v>
      </c>
    </row>
    <row r="397" spans="1:12" x14ac:dyDescent="0.3">
      <c r="A397"/>
      <c r="B397"/>
      <c r="C397"/>
      <c r="D397" t="s">
        <v>9</v>
      </c>
      <c r="E397"/>
      <c r="F397" t="s">
        <v>52</v>
      </c>
      <c r="G397" t="s">
        <v>27</v>
      </c>
      <c r="H397" t="s">
        <v>1323</v>
      </c>
      <c r="I397" t="s">
        <v>1324</v>
      </c>
      <c r="J397">
        <v>65</v>
      </c>
      <c r="L397" s="212" t="str">
        <f>IFERROR(VLOOKUP($H397,PARAMETERS!$M$3:$M$493,1,0),"---")</f>
        <v>gs_fillFr</v>
      </c>
    </row>
    <row r="398" spans="1:12" x14ac:dyDescent="0.3">
      <c r="A398"/>
      <c r="B398"/>
      <c r="C398"/>
      <c r="D398" t="s">
        <v>9</v>
      </c>
      <c r="E398"/>
      <c r="F398" t="s">
        <v>53</v>
      </c>
      <c r="G398" t="s">
        <v>27</v>
      </c>
      <c r="H398" t="s">
        <v>1325</v>
      </c>
      <c r="I398" t="s">
        <v>1326</v>
      </c>
      <c r="J398">
        <v>19</v>
      </c>
      <c r="L398" s="212" t="str">
        <f>IFERROR(VLOOKUP($H398,PARAMETERS!$M$3:$M$493,1,0),"---")</f>
        <v>gs_penFr_fg</v>
      </c>
    </row>
    <row r="399" spans="1:12" x14ac:dyDescent="0.3">
      <c r="A399"/>
      <c r="B399"/>
      <c r="C399"/>
      <c r="D399" t="s">
        <v>9</v>
      </c>
      <c r="E399"/>
      <c r="F399" t="s">
        <v>53</v>
      </c>
      <c r="G399" t="s">
        <v>27</v>
      </c>
      <c r="H399" t="s">
        <v>1327</v>
      </c>
      <c r="I399" t="s">
        <v>1328</v>
      </c>
      <c r="J399">
        <v>19</v>
      </c>
      <c r="L399" s="212" t="str">
        <f>IFERROR(VLOOKUP($H399,PARAMETERS!$M$3:$M$493,1,0),"---")</f>
        <v>gs_penFr_bg</v>
      </c>
    </row>
    <row r="400" spans="1:12" x14ac:dyDescent="0.3">
      <c r="A400" t="s">
        <v>9</v>
      </c>
      <c r="B400"/>
      <c r="C400"/>
      <c r="D400" t="s">
        <v>9</v>
      </c>
      <c r="E400"/>
      <c r="F400" t="s">
        <v>53</v>
      </c>
      <c r="G400" t="s">
        <v>27</v>
      </c>
      <c r="H400" t="s">
        <v>1329</v>
      </c>
      <c r="I400" t="s">
        <v>1330</v>
      </c>
      <c r="J400">
        <v>2</v>
      </c>
      <c r="L400" s="212" t="str">
        <f>IFERROR(VLOOKUP($H400,PARAMETERS!$M$3:$M$493,1,0),"---")</f>
        <v>gs_leaf_pen</v>
      </c>
    </row>
    <row r="401" spans="1:12" x14ac:dyDescent="0.3">
      <c r="A401"/>
      <c r="B401"/>
      <c r="C401"/>
      <c r="D401" t="s">
        <v>9</v>
      </c>
      <c r="E401"/>
      <c r="F401" t="s">
        <v>52</v>
      </c>
      <c r="G401" t="s">
        <v>27</v>
      </c>
      <c r="H401" t="s">
        <v>1331</v>
      </c>
      <c r="I401" t="s">
        <v>1332</v>
      </c>
      <c r="J401">
        <v>16</v>
      </c>
      <c r="L401" s="212" t="str">
        <f>IFERROR(VLOOKUP($H401,PARAMETERS!$M$3:$M$493,1,0),"---")</f>
        <v>gs_fillLeaf</v>
      </c>
    </row>
    <row r="402" spans="1:12" x14ac:dyDescent="0.3">
      <c r="A402"/>
      <c r="B402"/>
      <c r="C402"/>
      <c r="D402" t="s">
        <v>9</v>
      </c>
      <c r="E402"/>
      <c r="F402" t="s">
        <v>53</v>
      </c>
      <c r="G402" t="s">
        <v>27</v>
      </c>
      <c r="H402" t="s">
        <v>1333</v>
      </c>
      <c r="I402" t="s">
        <v>1334</v>
      </c>
      <c r="J402">
        <v>19</v>
      </c>
      <c r="L402" s="212" t="str">
        <f>IFERROR(VLOOKUP($H402,PARAMETERS!$M$3:$M$493,1,0),"---")</f>
        <v>gs_penLeaf_fg</v>
      </c>
    </row>
    <row r="403" spans="1:12" x14ac:dyDescent="0.3">
      <c r="A403"/>
      <c r="B403"/>
      <c r="C403"/>
      <c r="D403" t="s">
        <v>9</v>
      </c>
      <c r="E403"/>
      <c r="F403" t="s">
        <v>53</v>
      </c>
      <c r="G403" t="s">
        <v>27</v>
      </c>
      <c r="H403" t="s">
        <v>1335</v>
      </c>
      <c r="I403" t="s">
        <v>1336</v>
      </c>
      <c r="J403">
        <v>19</v>
      </c>
      <c r="L403" s="212" t="str">
        <f>IFERROR(VLOOKUP($H403,PARAMETERS!$M$3:$M$493,1,0),"---")</f>
        <v>gs_penLeaf_bg</v>
      </c>
    </row>
    <row r="404" spans="1:12" x14ac:dyDescent="0.3">
      <c r="A404"/>
      <c r="B404"/>
      <c r="C404"/>
      <c r="D404" t="s">
        <v>9</v>
      </c>
      <c r="E404"/>
      <c r="F404" t="s">
        <v>53</v>
      </c>
      <c r="G404" t="s">
        <v>27</v>
      </c>
      <c r="H404" t="s">
        <v>1337</v>
      </c>
      <c r="I404" t="s">
        <v>1338</v>
      </c>
      <c r="J404">
        <v>2</v>
      </c>
      <c r="L404" s="212" t="str">
        <f>IFERROR(VLOOKUP($H404,PARAMETERS!$M$3:$M$493,1,0),"---")</f>
        <v>gs_glass_pen</v>
      </c>
    </row>
    <row r="405" spans="1:12" x14ac:dyDescent="0.3">
      <c r="A405"/>
      <c r="B405" t="s">
        <v>9</v>
      </c>
      <c r="C405"/>
      <c r="D405" t="s">
        <v>9</v>
      </c>
      <c r="E405"/>
      <c r="F405" t="s">
        <v>52</v>
      </c>
      <c r="G405" t="s">
        <v>27</v>
      </c>
      <c r="H405" t="s">
        <v>1339</v>
      </c>
      <c r="I405" t="s">
        <v>1340</v>
      </c>
      <c r="J405">
        <v>65</v>
      </c>
      <c r="L405" s="212" t="str">
        <f>IFERROR(VLOOKUP($H405,PARAMETERS!$M$3:$M$493,1,0),"---")</f>
        <v>gs_fillGlass</v>
      </c>
    </row>
    <row r="406" spans="1:12" x14ac:dyDescent="0.3">
      <c r="A406"/>
      <c r="B406" t="s">
        <v>9</v>
      </c>
      <c r="C406"/>
      <c r="D406" t="s">
        <v>9</v>
      </c>
      <c r="E406"/>
      <c r="F406" t="s">
        <v>53</v>
      </c>
      <c r="G406" t="s">
        <v>27</v>
      </c>
      <c r="H406" t="s">
        <v>1341</v>
      </c>
      <c r="I406" t="s">
        <v>1342</v>
      </c>
      <c r="J406">
        <v>19</v>
      </c>
      <c r="L406" s="212" t="str">
        <f>IFERROR(VLOOKUP($H406,PARAMETERS!$M$3:$M$493,1,0),"---")</f>
        <v>gs_penGlass_fg</v>
      </c>
    </row>
    <row r="407" spans="1:12" x14ac:dyDescent="0.3">
      <c r="A407"/>
      <c r="B407" t="s">
        <v>9</v>
      </c>
      <c r="C407"/>
      <c r="D407" t="s">
        <v>9</v>
      </c>
      <c r="E407"/>
      <c r="F407" t="s">
        <v>53</v>
      </c>
      <c r="G407" t="s">
        <v>27</v>
      </c>
      <c r="H407" t="s">
        <v>1343</v>
      </c>
      <c r="I407" t="s">
        <v>1344</v>
      </c>
      <c r="J407">
        <v>19</v>
      </c>
      <c r="L407" s="212" t="str">
        <f>IFERROR(VLOOKUP($H407,PARAMETERS!$M$3:$M$493,1,0),"---")</f>
        <v>gs_penGlass_bg</v>
      </c>
    </row>
    <row r="408" spans="1:12" x14ac:dyDescent="0.3">
      <c r="A408"/>
      <c r="B408"/>
      <c r="C408"/>
      <c r="D408" t="s">
        <v>9</v>
      </c>
      <c r="E408"/>
      <c r="F408" t="s">
        <v>53</v>
      </c>
      <c r="G408" t="s">
        <v>27</v>
      </c>
      <c r="H408" t="s">
        <v>1345</v>
      </c>
      <c r="I408" t="s">
        <v>1346</v>
      </c>
      <c r="J408">
        <v>2</v>
      </c>
      <c r="L408" s="212" t="str">
        <f>IFERROR(VLOOKUP($H408,PARAMETERS!$M$3:$M$493,1,0),"---")</f>
        <v>gs_glass_view_pen</v>
      </c>
    </row>
    <row r="409" spans="1:12" x14ac:dyDescent="0.3">
      <c r="A409"/>
      <c r="B409"/>
      <c r="C409"/>
      <c r="D409" t="s">
        <v>9</v>
      </c>
      <c r="E409"/>
      <c r="F409" t="s">
        <v>52</v>
      </c>
      <c r="G409" t="s">
        <v>27</v>
      </c>
      <c r="H409" t="s">
        <v>1347</v>
      </c>
      <c r="I409" t="s">
        <v>1348</v>
      </c>
      <c r="J409">
        <v>65</v>
      </c>
      <c r="L409" s="212" t="str">
        <f>IFERROR(VLOOKUP($H409,PARAMETERS!$M$3:$M$493,1,0),"---")</f>
        <v>gs_fillShCover</v>
      </c>
    </row>
    <row r="410" spans="1:12" x14ac:dyDescent="0.3">
      <c r="A410"/>
      <c r="B410"/>
      <c r="C410"/>
      <c r="D410" t="s">
        <v>9</v>
      </c>
      <c r="E410"/>
      <c r="F410" t="s">
        <v>53</v>
      </c>
      <c r="G410" t="s">
        <v>27</v>
      </c>
      <c r="H410" t="s">
        <v>1349</v>
      </c>
      <c r="I410" t="s">
        <v>1350</v>
      </c>
      <c r="J410">
        <v>19</v>
      </c>
      <c r="L410" s="212" t="str">
        <f>IFERROR(VLOOKUP($H410,PARAMETERS!$M$3:$M$493,1,0),"---")</f>
        <v>gs_penShCov_fg</v>
      </c>
    </row>
    <row r="411" spans="1:12" x14ac:dyDescent="0.3">
      <c r="A411"/>
      <c r="B411"/>
      <c r="C411"/>
      <c r="D411" t="s">
        <v>9</v>
      </c>
      <c r="E411"/>
      <c r="F411" t="s">
        <v>53</v>
      </c>
      <c r="G411" t="s">
        <v>27</v>
      </c>
      <c r="H411" t="s">
        <v>1423</v>
      </c>
      <c r="I411" t="s">
        <v>1424</v>
      </c>
      <c r="J411">
        <v>19</v>
      </c>
      <c r="L411" s="212" t="str">
        <f>IFERROR(VLOOKUP($H411,PARAMETERS!$M$3:$M$493,1,0),"---")</f>
        <v>gs_penShCov_bg</v>
      </c>
    </row>
    <row r="412" spans="1:12" x14ac:dyDescent="0.3">
      <c r="A412" t="s">
        <v>9</v>
      </c>
      <c r="B412"/>
      <c r="C412"/>
      <c r="D412"/>
      <c r="E412"/>
      <c r="F412" t="s">
        <v>57</v>
      </c>
      <c r="G412" t="s">
        <v>27</v>
      </c>
      <c r="H412" t="s">
        <v>1425</v>
      </c>
      <c r="I412" t="s">
        <v>1426</v>
      </c>
      <c r="L412" s="212" t="str">
        <f>IFERROR(VLOOKUP($H412,PARAMETERS!$M$3:$M$493,1,0),"---")</f>
        <v>gs_door_offnung</v>
      </c>
    </row>
    <row r="413" spans="1:12" x14ac:dyDescent="0.3">
      <c r="A413" t="s">
        <v>9</v>
      </c>
      <c r="B413"/>
      <c r="C413"/>
      <c r="D413" t="s">
        <v>9</v>
      </c>
      <c r="E413"/>
      <c r="F413" t="s">
        <v>44</v>
      </c>
      <c r="G413" t="s">
        <v>27</v>
      </c>
      <c r="H413" t="s">
        <v>1427</v>
      </c>
      <c r="I413" t="s">
        <v>1428</v>
      </c>
      <c r="J413">
        <v>2</v>
      </c>
      <c r="L413" s="212" t="str">
        <f>IFERROR(VLOOKUP($H413,PARAMETERS!$M$3:$M$493,1,0),"---")</f>
        <v>iDrawSimpleLeafTo</v>
      </c>
    </row>
    <row r="414" spans="1:12" x14ac:dyDescent="0.3">
      <c r="A414" t="s">
        <v>9</v>
      </c>
      <c r="B414"/>
      <c r="C414"/>
      <c r="D414" t="s">
        <v>9</v>
      </c>
      <c r="E414"/>
      <c r="F414" t="s">
        <v>31</v>
      </c>
      <c r="G414" t="s">
        <v>27</v>
      </c>
      <c r="H414" t="s">
        <v>1429</v>
      </c>
      <c r="I414" t="s">
        <v>1430</v>
      </c>
      <c r="J414">
        <v>90</v>
      </c>
      <c r="L414" s="212" t="str">
        <f>IFERROR(VLOOKUP($H414,PARAMETERS!$M$3:$M$493,1,0),"---")</f>
        <v>gs_open_2D</v>
      </c>
    </row>
    <row r="415" spans="1:12" x14ac:dyDescent="0.3">
      <c r="A415"/>
      <c r="B415"/>
      <c r="C415"/>
      <c r="D415" t="s">
        <v>9</v>
      </c>
      <c r="E415"/>
      <c r="F415" t="s">
        <v>31</v>
      </c>
      <c r="G415" t="s">
        <v>27</v>
      </c>
      <c r="H415" t="s">
        <v>1431</v>
      </c>
      <c r="I415" t="s">
        <v>1432</v>
      </c>
      <c r="J415">
        <v>90</v>
      </c>
      <c r="L415" s="212" t="str">
        <f>IFERROR(VLOOKUP($H415,PARAMETERS!$M$3:$M$493,1,0),"---")</f>
        <v>gs_open_2D_s</v>
      </c>
    </row>
    <row r="416" spans="1:12" x14ac:dyDescent="0.3">
      <c r="A416" t="s">
        <v>9</v>
      </c>
      <c r="B416"/>
      <c r="C416"/>
      <c r="D416" t="s">
        <v>9</v>
      </c>
      <c r="E416"/>
      <c r="F416" t="s">
        <v>31</v>
      </c>
      <c r="G416" t="s">
        <v>27</v>
      </c>
      <c r="H416" t="s">
        <v>1433</v>
      </c>
      <c r="I416" t="s">
        <v>1434</v>
      </c>
      <c r="J416">
        <v>0</v>
      </c>
      <c r="L416" s="212" t="str">
        <f>IFERROR(VLOOKUP($H416,PARAMETERS!$M$3:$M$493,1,0),"---")</f>
        <v>gs_open_3D</v>
      </c>
    </row>
    <row r="417" spans="1:12" x14ac:dyDescent="0.3">
      <c r="A417"/>
      <c r="B417"/>
      <c r="C417"/>
      <c r="D417" t="s">
        <v>9</v>
      </c>
      <c r="E417"/>
      <c r="F417" t="s">
        <v>31</v>
      </c>
      <c r="G417" t="s">
        <v>27</v>
      </c>
      <c r="H417" t="s">
        <v>1435</v>
      </c>
      <c r="I417" t="s">
        <v>1436</v>
      </c>
      <c r="J417">
        <v>0</v>
      </c>
      <c r="L417" s="212" t="str">
        <f>IFERROR(VLOOKUP($H417,PARAMETERS!$M$3:$M$493,1,0),"---")</f>
        <v>gs_open_3D_s</v>
      </c>
    </row>
    <row r="418" spans="1:12" x14ac:dyDescent="0.3">
      <c r="A418"/>
      <c r="B418"/>
      <c r="C418"/>
      <c r="D418" t="s">
        <v>9</v>
      </c>
      <c r="E418"/>
      <c r="F418" t="s">
        <v>47</v>
      </c>
      <c r="G418" t="s">
        <v>27</v>
      </c>
      <c r="H418" t="s">
        <v>1437</v>
      </c>
      <c r="I418" t="s">
        <v>1438</v>
      </c>
      <c r="J418">
        <v>1</v>
      </c>
      <c r="L418" s="212" t="str">
        <f>IFERROR(VLOOKUP($H418,PARAMETERS!$M$3:$M$493,1,0),"---")</f>
        <v>gs_bSameLineTypeForLeaves</v>
      </c>
    </row>
    <row r="419" spans="1:12" x14ac:dyDescent="0.3">
      <c r="A419" t="s">
        <v>9</v>
      </c>
      <c r="B419"/>
      <c r="C419" t="s">
        <v>9</v>
      </c>
      <c r="D419" t="s">
        <v>9</v>
      </c>
      <c r="E419"/>
      <c r="F419" t="s">
        <v>47</v>
      </c>
      <c r="G419" t="s">
        <v>27</v>
      </c>
      <c r="H419" t="s">
        <v>1439</v>
      </c>
      <c r="I419" t="s">
        <v>1440</v>
      </c>
      <c r="J419">
        <v>0</v>
      </c>
      <c r="L419" s="212" t="str">
        <f>IFERROR(VLOOKUP($H419,PARAMETERS!$M$3:$M$493,1,0),"---")</f>
        <v>bOverride_MVO_2D</v>
      </c>
    </row>
    <row r="420" spans="1:12" x14ac:dyDescent="0.3">
      <c r="A420" t="s">
        <v>9</v>
      </c>
      <c r="B420"/>
      <c r="C420"/>
      <c r="D420" t="s">
        <v>9</v>
      </c>
      <c r="E420"/>
      <c r="F420" t="s">
        <v>47</v>
      </c>
      <c r="G420" t="s">
        <v>27</v>
      </c>
      <c r="H420" t="s">
        <v>1441</v>
      </c>
      <c r="I420" t="s">
        <v>1442</v>
      </c>
      <c r="J420">
        <v>1</v>
      </c>
      <c r="L420" s="212" t="str">
        <f>IFERROR(VLOOKUP($H420,PARAMETERS!$M$3:$M$493,1,0),"---")</f>
        <v>or_bOplines2D</v>
      </c>
    </row>
    <row r="421" spans="1:12" x14ac:dyDescent="0.3">
      <c r="A421" t="s">
        <v>9</v>
      </c>
      <c r="B421"/>
      <c r="C421"/>
      <c r="D421" t="s">
        <v>9</v>
      </c>
      <c r="E421"/>
      <c r="F421" t="s">
        <v>51</v>
      </c>
      <c r="G421" t="s">
        <v>27</v>
      </c>
      <c r="H421" t="s">
        <v>1443</v>
      </c>
      <c r="I421" t="s">
        <v>1444</v>
      </c>
      <c r="J421">
        <v>1</v>
      </c>
      <c r="L421" s="212" t="str">
        <f>IFERROR(VLOOKUP($H421,PARAMETERS!$M$3:$M$493,1,0),"---")</f>
        <v>or_swingLineType</v>
      </c>
    </row>
    <row r="422" spans="1:12" x14ac:dyDescent="0.3">
      <c r="A422" t="s">
        <v>9</v>
      </c>
      <c r="B422"/>
      <c r="C422"/>
      <c r="D422" t="s">
        <v>9</v>
      </c>
      <c r="E422"/>
      <c r="F422" t="s">
        <v>51</v>
      </c>
      <c r="G422" t="s">
        <v>27</v>
      </c>
      <c r="H422" t="s">
        <v>1445</v>
      </c>
      <c r="I422" t="s">
        <v>1446</v>
      </c>
      <c r="J422">
        <v>4</v>
      </c>
      <c r="L422" s="212" t="str">
        <f>IFERROR(VLOOKUP($H422,PARAMETERS!$M$3:$M$493,1,0),"---")</f>
        <v>or_swingLineType2</v>
      </c>
    </row>
    <row r="423" spans="1:12" x14ac:dyDescent="0.3">
      <c r="A423" t="s">
        <v>9</v>
      </c>
      <c r="B423"/>
      <c r="C423"/>
      <c r="D423" t="s">
        <v>9</v>
      </c>
      <c r="E423"/>
      <c r="F423" t="s">
        <v>18</v>
      </c>
      <c r="G423" t="s">
        <v>27</v>
      </c>
      <c r="H423" t="s">
        <v>1447</v>
      </c>
      <c r="I423" t="s">
        <v>1448</v>
      </c>
      <c r="J423" t="s">
        <v>1449</v>
      </c>
      <c r="L423" s="212" t="str">
        <f>IFERROR(VLOOKUP($H423,PARAMETERS!$M$3:$M$493,1,0),"---")</f>
        <v>or_SwingType</v>
      </c>
    </row>
    <row r="424" spans="1:12" x14ac:dyDescent="0.3">
      <c r="A424" t="s">
        <v>9</v>
      </c>
      <c r="B424" t="s">
        <v>9</v>
      </c>
      <c r="C424"/>
      <c r="D424" t="s">
        <v>9</v>
      </c>
      <c r="E424"/>
      <c r="F424" t="s">
        <v>44</v>
      </c>
      <c r="G424" t="s">
        <v>27</v>
      </c>
      <c r="H424" t="s">
        <v>1450</v>
      </c>
      <c r="I424" t="s">
        <v>1448</v>
      </c>
      <c r="J424">
        <v>1</v>
      </c>
      <c r="L424" s="212" t="str">
        <f>IFERROR(VLOOKUP($H424,PARAMETERS!$M$3:$M$493,1,0),"---")</f>
        <v>or_iSwingType</v>
      </c>
    </row>
    <row r="425" spans="1:12" x14ac:dyDescent="0.3">
      <c r="A425" t="s">
        <v>9</v>
      </c>
      <c r="B425"/>
      <c r="C425"/>
      <c r="D425" t="s">
        <v>9</v>
      </c>
      <c r="E425"/>
      <c r="F425" t="s">
        <v>18</v>
      </c>
      <c r="G425" t="s">
        <v>27</v>
      </c>
      <c r="H425" t="s">
        <v>1451</v>
      </c>
      <c r="I425" t="s">
        <v>1448</v>
      </c>
      <c r="J425" t="s">
        <v>1452</v>
      </c>
      <c r="L425" s="212" t="str">
        <f>IFERROR(VLOOKUP($H425,PARAMETERS!$M$3:$M$493,1,0),"---")</f>
        <v>or_SlidingType</v>
      </c>
    </row>
    <row r="426" spans="1:12" x14ac:dyDescent="0.3">
      <c r="A426" t="s">
        <v>9</v>
      </c>
      <c r="B426" t="s">
        <v>9</v>
      </c>
      <c r="C426"/>
      <c r="D426" t="s">
        <v>9</v>
      </c>
      <c r="E426"/>
      <c r="F426" t="s">
        <v>44</v>
      </c>
      <c r="G426" t="s">
        <v>27</v>
      </c>
      <c r="H426" t="s">
        <v>1453</v>
      </c>
      <c r="I426" t="s">
        <v>1448</v>
      </c>
      <c r="J426">
        <v>0</v>
      </c>
      <c r="L426" s="212" t="str">
        <f>IFERROR(VLOOKUP($H426,PARAMETERS!$M$3:$M$493,1,0),"---")</f>
        <v>or_iSlidingType</v>
      </c>
    </row>
    <row r="427" spans="1:12" x14ac:dyDescent="0.3">
      <c r="A427" t="s">
        <v>9</v>
      </c>
      <c r="B427"/>
      <c r="C427"/>
      <c r="D427" t="s">
        <v>9</v>
      </c>
      <c r="E427"/>
      <c r="F427" t="s">
        <v>53</v>
      </c>
      <c r="G427" t="s">
        <v>27</v>
      </c>
      <c r="H427" t="s">
        <v>1454</v>
      </c>
      <c r="I427" t="s">
        <v>1455</v>
      </c>
      <c r="J427">
        <v>1</v>
      </c>
      <c r="L427" s="212" t="str">
        <f>IFERROR(VLOOKUP($H427,PARAMETERS!$M$3:$M$493,1,0),"---")</f>
        <v>or_opLinePen</v>
      </c>
    </row>
    <row r="428" spans="1:12" x14ac:dyDescent="0.3">
      <c r="A428" t="s">
        <v>9</v>
      </c>
      <c r="B428" t="s">
        <v>9</v>
      </c>
      <c r="C428"/>
      <c r="D428" t="s">
        <v>9</v>
      </c>
      <c r="E428"/>
      <c r="F428" t="s">
        <v>44</v>
      </c>
      <c r="G428" t="s">
        <v>27</v>
      </c>
      <c r="H428" t="s">
        <v>1456</v>
      </c>
      <c r="I428" t="s">
        <v>1455</v>
      </c>
      <c r="J428">
        <v>1</v>
      </c>
      <c r="L428" s="212" t="str">
        <f>IFERROR(VLOOKUP($H428,PARAMETERS!$M$3:$M$493,1,0),"---")</f>
        <v>or_iOpLinePen</v>
      </c>
    </row>
    <row r="429" spans="1:12" x14ac:dyDescent="0.3">
      <c r="A429" t="s">
        <v>9</v>
      </c>
      <c r="B429"/>
      <c r="C429" t="s">
        <v>9</v>
      </c>
      <c r="D429" t="s">
        <v>9</v>
      </c>
      <c r="E429"/>
      <c r="F429" t="s">
        <v>47</v>
      </c>
      <c r="G429" t="s">
        <v>27</v>
      </c>
      <c r="H429" t="s">
        <v>1457</v>
      </c>
      <c r="I429" t="s">
        <v>1458</v>
      </c>
      <c r="J429">
        <v>0</v>
      </c>
      <c r="L429" s="212" t="str">
        <f>IFERROR(VLOOKUP($H429,PARAMETERS!$M$3:$M$493,1,0),"---")</f>
        <v>bOverride_MVO_3D</v>
      </c>
    </row>
    <row r="430" spans="1:12" x14ac:dyDescent="0.3">
      <c r="A430" t="s">
        <v>9</v>
      </c>
      <c r="B430"/>
      <c r="C430"/>
      <c r="D430" t="s">
        <v>9</v>
      </c>
      <c r="E430"/>
      <c r="F430" t="s">
        <v>47</v>
      </c>
      <c r="G430" t="s">
        <v>27</v>
      </c>
      <c r="H430" t="s">
        <v>1459</v>
      </c>
      <c r="I430" t="s">
        <v>1460</v>
      </c>
      <c r="J430">
        <v>1</v>
      </c>
      <c r="L430" s="212" t="str">
        <f>IFERROR(VLOOKUP($H430,PARAMETERS!$M$3:$M$493,1,0),"---")</f>
        <v>or_bOplines3d</v>
      </c>
    </row>
    <row r="431" spans="1:12" x14ac:dyDescent="0.3">
      <c r="A431" t="s">
        <v>9</v>
      </c>
      <c r="B431"/>
      <c r="C431"/>
      <c r="D431" t="s">
        <v>9</v>
      </c>
      <c r="E431"/>
      <c r="F431" t="s">
        <v>18</v>
      </c>
      <c r="G431" t="s">
        <v>27</v>
      </c>
      <c r="H431" t="s">
        <v>1461</v>
      </c>
      <c r="I431" t="s">
        <v>1462</v>
      </c>
      <c r="J431" t="s">
        <v>1463</v>
      </c>
      <c r="L431" s="212" t="str">
        <f>IFERROR(VLOOKUP($H431,PARAMETERS!$M$3:$M$493,1,0),"---")</f>
        <v>or_opLineType3dIn</v>
      </c>
    </row>
    <row r="432" spans="1:12" x14ac:dyDescent="0.3">
      <c r="A432" t="s">
        <v>9</v>
      </c>
      <c r="B432" t="s">
        <v>9</v>
      </c>
      <c r="C432"/>
      <c r="D432" t="s">
        <v>9</v>
      </c>
      <c r="E432"/>
      <c r="F432" t="s">
        <v>44</v>
      </c>
      <c r="G432" t="s">
        <v>27</v>
      </c>
      <c r="H432" t="s">
        <v>1464</v>
      </c>
      <c r="I432" t="s">
        <v>1462</v>
      </c>
      <c r="J432">
        <v>0</v>
      </c>
      <c r="L432" s="212" t="str">
        <f>IFERROR(VLOOKUP($H432,PARAMETERS!$M$3:$M$493,1,0),"---")</f>
        <v>or_iOpLineType3dIn</v>
      </c>
    </row>
    <row r="433" spans="1:12" x14ac:dyDescent="0.3">
      <c r="A433" t="s">
        <v>9</v>
      </c>
      <c r="B433"/>
      <c r="C433"/>
      <c r="D433" t="s">
        <v>9</v>
      </c>
      <c r="E433"/>
      <c r="F433" t="s">
        <v>18</v>
      </c>
      <c r="G433" t="s">
        <v>27</v>
      </c>
      <c r="H433" t="s">
        <v>1465</v>
      </c>
      <c r="I433" t="s">
        <v>1466</v>
      </c>
      <c r="J433" t="s">
        <v>1467</v>
      </c>
      <c r="L433" s="212" t="str">
        <f>IFERROR(VLOOKUP($H433,PARAMETERS!$M$3:$M$493,1,0),"---")</f>
        <v>or_opLineType3dOut</v>
      </c>
    </row>
    <row r="434" spans="1:12" x14ac:dyDescent="0.3">
      <c r="A434" t="s">
        <v>9</v>
      </c>
      <c r="B434" t="s">
        <v>9</v>
      </c>
      <c r="C434"/>
      <c r="D434" t="s">
        <v>9</v>
      </c>
      <c r="E434"/>
      <c r="F434" t="s">
        <v>44</v>
      </c>
      <c r="G434" t="s">
        <v>27</v>
      </c>
      <c r="H434" t="s">
        <v>1468</v>
      </c>
      <c r="I434" t="s">
        <v>1466</v>
      </c>
      <c r="J434">
        <v>1</v>
      </c>
      <c r="L434" s="212" t="str">
        <f>IFERROR(VLOOKUP($H434,PARAMETERS!$M$3:$M$493,1,0),"---")</f>
        <v>or_iOpLineType3dOut</v>
      </c>
    </row>
    <row r="435" spans="1:12" x14ac:dyDescent="0.3">
      <c r="A435" t="s">
        <v>9</v>
      </c>
      <c r="B435"/>
      <c r="C435"/>
      <c r="D435" t="s">
        <v>9</v>
      </c>
      <c r="E435"/>
      <c r="F435" t="s">
        <v>18</v>
      </c>
      <c r="G435" t="s">
        <v>27</v>
      </c>
      <c r="H435" t="s">
        <v>1469</v>
      </c>
      <c r="I435" t="s">
        <v>1470</v>
      </c>
      <c r="J435" t="s">
        <v>1467</v>
      </c>
      <c r="L435" s="212" t="str">
        <f>IFERROR(VLOOKUP($H435,PARAMETERS!$M$3:$M$493,1,0),"---")</f>
        <v>or_opLineType3dSecondary</v>
      </c>
    </row>
    <row r="436" spans="1:12" x14ac:dyDescent="0.3">
      <c r="A436" t="s">
        <v>9</v>
      </c>
      <c r="B436" t="s">
        <v>9</v>
      </c>
      <c r="C436"/>
      <c r="D436" t="s">
        <v>9</v>
      </c>
      <c r="E436"/>
      <c r="F436" t="s">
        <v>44</v>
      </c>
      <c r="G436" t="s">
        <v>27</v>
      </c>
      <c r="H436" t="s">
        <v>1471</v>
      </c>
      <c r="I436" t="s">
        <v>1472</v>
      </c>
      <c r="J436">
        <v>1</v>
      </c>
      <c r="L436" s="212" t="str">
        <f>IFERROR(VLOOKUP($H436,PARAMETERS!$M$3:$M$493,1,0),"---")</f>
        <v>or_iOpLineType3dSecondary</v>
      </c>
    </row>
    <row r="437" spans="1:12" x14ac:dyDescent="0.3">
      <c r="A437" t="s">
        <v>9</v>
      </c>
      <c r="B437"/>
      <c r="C437"/>
      <c r="D437" t="s">
        <v>9</v>
      </c>
      <c r="E437"/>
      <c r="F437" t="s">
        <v>18</v>
      </c>
      <c r="G437" t="s">
        <v>27</v>
      </c>
      <c r="H437" t="s">
        <v>1473</v>
      </c>
      <c r="I437" t="s">
        <v>1474</v>
      </c>
      <c r="J437" t="s">
        <v>864</v>
      </c>
      <c r="L437" s="212" t="str">
        <f>IFERROR(VLOOKUP($H437,PARAMETERS!$M$3:$M$493,1,0),"---")</f>
        <v>or_oplineStyle</v>
      </c>
    </row>
    <row r="438" spans="1:12" x14ac:dyDescent="0.3">
      <c r="A438" t="s">
        <v>9</v>
      </c>
      <c r="B438" t="s">
        <v>9</v>
      </c>
      <c r="C438"/>
      <c r="D438" t="s">
        <v>9</v>
      </c>
      <c r="E438"/>
      <c r="F438" t="s">
        <v>44</v>
      </c>
      <c r="G438" t="s">
        <v>27</v>
      </c>
      <c r="H438" t="s">
        <v>1475</v>
      </c>
      <c r="I438" t="s">
        <v>1474</v>
      </c>
      <c r="J438">
        <v>1</v>
      </c>
      <c r="L438" s="212" t="str">
        <f>IFERROR(VLOOKUP($H438,PARAMETERS!$M$3:$M$493,1,0),"---")</f>
        <v>or_iOplineStyle</v>
      </c>
    </row>
    <row r="439" spans="1:12" x14ac:dyDescent="0.3">
      <c r="A439" t="s">
        <v>9</v>
      </c>
      <c r="B439"/>
      <c r="C439"/>
      <c r="D439"/>
      <c r="E439"/>
      <c r="F439" t="s">
        <v>57</v>
      </c>
      <c r="G439" t="s">
        <v>27</v>
      </c>
      <c r="H439" t="s">
        <v>1476</v>
      </c>
      <c r="I439" t="s">
        <v>1477</v>
      </c>
      <c r="L439" s="212" t="str">
        <f>IFERROR(VLOOKUP($H439,PARAMETERS!$M$3:$M$493,1,0),"---")</f>
        <v>gs_detail_level</v>
      </c>
    </row>
    <row r="440" spans="1:12" x14ac:dyDescent="0.3">
      <c r="A440" t="s">
        <v>9</v>
      </c>
      <c r="B440"/>
      <c r="C440"/>
      <c r="D440" t="s">
        <v>9</v>
      </c>
      <c r="E440"/>
      <c r="F440" t="s">
        <v>44</v>
      </c>
      <c r="G440" t="s">
        <v>27</v>
      </c>
      <c r="H440" t="s">
        <v>1478</v>
      </c>
      <c r="I440" t="s">
        <v>1479</v>
      </c>
      <c r="J440">
        <v>1</v>
      </c>
      <c r="L440" s="212" t="str">
        <f>IFERROR(VLOOKUP($H440,PARAMETERS!$M$3:$M$493,1,0),"---")</f>
        <v>iDWDet2D</v>
      </c>
    </row>
    <row r="441" spans="1:12" x14ac:dyDescent="0.3">
      <c r="A441" t="s">
        <v>9</v>
      </c>
      <c r="B441"/>
      <c r="C441"/>
      <c r="D441" t="s">
        <v>9</v>
      </c>
      <c r="E441"/>
      <c r="F441" t="s">
        <v>44</v>
      </c>
      <c r="G441" t="s">
        <v>27</v>
      </c>
      <c r="H441" t="s">
        <v>1480</v>
      </c>
      <c r="I441" t="s">
        <v>1481</v>
      </c>
      <c r="J441">
        <v>2</v>
      </c>
      <c r="L441" s="212" t="str">
        <f>IFERROR(VLOOKUP($H441,PARAMETERS!$M$3:$M$493,1,0),"---")</f>
        <v>iDWDet3D</v>
      </c>
    </row>
    <row r="442" spans="1:12" x14ac:dyDescent="0.3">
      <c r="A442" t="s">
        <v>9</v>
      </c>
      <c r="B442"/>
      <c r="C442"/>
      <c r="D442" t="s">
        <v>9</v>
      </c>
      <c r="E442"/>
      <c r="F442" t="s">
        <v>44</v>
      </c>
      <c r="G442" t="s">
        <v>27</v>
      </c>
      <c r="H442" t="s">
        <v>1482</v>
      </c>
      <c r="I442" t="s">
        <v>1483</v>
      </c>
      <c r="J442">
        <v>1</v>
      </c>
      <c r="L442" s="212" t="str">
        <f>IFERROR(VLOOKUP($H442,PARAMETERS!$M$3:$M$493,1,0),"---")</f>
        <v>iDWDetSE</v>
      </c>
    </row>
    <row r="443" spans="1:12" x14ac:dyDescent="0.3">
      <c r="A443" t="s">
        <v>9</v>
      </c>
      <c r="B443"/>
      <c r="C443"/>
      <c r="D443" t="s">
        <v>9</v>
      </c>
      <c r="E443"/>
      <c r="F443" t="s">
        <v>44</v>
      </c>
      <c r="G443" t="s">
        <v>27</v>
      </c>
      <c r="H443" t="s">
        <v>1484</v>
      </c>
      <c r="I443" t="s">
        <v>1485</v>
      </c>
      <c r="J443">
        <v>1</v>
      </c>
      <c r="L443" s="212" t="str">
        <f>IFERROR(VLOOKUP($H443,PARAMETERS!$M$3:$M$493,1,0),"---")</f>
        <v>iRevealOnSymbol</v>
      </c>
    </row>
    <row r="444" spans="1:12" x14ac:dyDescent="0.3">
      <c r="A444" t="s">
        <v>9</v>
      </c>
      <c r="B444"/>
      <c r="C444" t="s">
        <v>9</v>
      </c>
      <c r="D444"/>
      <c r="E444"/>
      <c r="F444" t="s">
        <v>47</v>
      </c>
      <c r="G444" t="s">
        <v>27</v>
      </c>
      <c r="H444" t="s">
        <v>1486</v>
      </c>
      <c r="I444" t="s">
        <v>1487</v>
      </c>
      <c r="J444">
        <v>0</v>
      </c>
      <c r="L444" s="212" t="str">
        <f>IFERROR(VLOOKUP($H444,PARAMETERS!$M$3:$M$493,1,0),"---")</f>
        <v>gs_bFills_Wallhole</v>
      </c>
    </row>
    <row r="445" spans="1:12" x14ac:dyDescent="0.3">
      <c r="A445" t="s">
        <v>9</v>
      </c>
      <c r="B445"/>
      <c r="C445"/>
      <c r="D445" t="s">
        <v>9</v>
      </c>
      <c r="E445"/>
      <c r="F445" t="s">
        <v>52</v>
      </c>
      <c r="G445" t="s">
        <v>27</v>
      </c>
      <c r="H445" t="s">
        <v>1488</v>
      </c>
      <c r="I445" t="s">
        <v>1242</v>
      </c>
      <c r="J445">
        <v>65</v>
      </c>
      <c r="L445" s="212" t="str">
        <f>IFERROR(VLOOKUP($H445,PARAMETERS!$M$3:$M$493,1,0),"---")</f>
        <v>gs_wallhole_fill</v>
      </c>
    </row>
    <row r="446" spans="1:12" x14ac:dyDescent="0.3">
      <c r="A446" t="s">
        <v>9</v>
      </c>
      <c r="B446"/>
      <c r="C446"/>
      <c r="D446" t="s">
        <v>9</v>
      </c>
      <c r="E446"/>
      <c r="F446" t="s">
        <v>53</v>
      </c>
      <c r="G446" t="s">
        <v>27</v>
      </c>
      <c r="H446" t="s">
        <v>1489</v>
      </c>
      <c r="I446" t="s">
        <v>1244</v>
      </c>
      <c r="J446">
        <v>1</v>
      </c>
      <c r="L446" s="212" t="str">
        <f>IFERROR(VLOOKUP($H446,PARAMETERS!$M$3:$M$493,1,0),"---")</f>
        <v>gs_wallhole_pen_fg</v>
      </c>
    </row>
    <row r="447" spans="1:12" x14ac:dyDescent="0.3">
      <c r="A447" t="s">
        <v>9</v>
      </c>
      <c r="B447"/>
      <c r="C447"/>
      <c r="D447" t="s">
        <v>9</v>
      </c>
      <c r="E447"/>
      <c r="F447" t="s">
        <v>53</v>
      </c>
      <c r="G447" t="s">
        <v>27</v>
      </c>
      <c r="H447" t="s">
        <v>1490</v>
      </c>
      <c r="I447" t="s">
        <v>1101</v>
      </c>
      <c r="J447">
        <v>91</v>
      </c>
      <c r="L447" s="212" t="str">
        <f>IFERROR(VLOOKUP($H447,PARAMETERS!$M$3:$M$493,1,0),"---")</f>
        <v>gs_wallhole_pen_bg</v>
      </c>
    </row>
    <row r="448" spans="1:12" x14ac:dyDescent="0.3">
      <c r="A448" t="s">
        <v>9</v>
      </c>
      <c r="B448"/>
      <c r="C448" t="s">
        <v>9</v>
      </c>
      <c r="D448"/>
      <c r="E448"/>
      <c r="F448" t="s">
        <v>47</v>
      </c>
      <c r="G448" t="s">
        <v>27</v>
      </c>
      <c r="H448" t="s">
        <v>1491</v>
      </c>
      <c r="I448" t="s">
        <v>1492</v>
      </c>
      <c r="J448">
        <v>0</v>
      </c>
      <c r="L448" s="212" t="str">
        <f>IFERROR(VLOOKUP($H448,PARAMETERS!$M$3:$M$493,1,0),"---")</f>
        <v>bEtikett</v>
      </c>
    </row>
    <row r="449" spans="1:12" x14ac:dyDescent="0.3">
      <c r="A449" t="s">
        <v>9</v>
      </c>
      <c r="B449"/>
      <c r="C449"/>
      <c r="D449" t="s">
        <v>9</v>
      </c>
      <c r="E449"/>
      <c r="F449" t="s">
        <v>18</v>
      </c>
      <c r="G449" t="s">
        <v>27</v>
      </c>
      <c r="H449" t="s">
        <v>1493</v>
      </c>
      <c r="I449" t="s">
        <v>1494</v>
      </c>
      <c r="J449" t="s">
        <v>1495</v>
      </c>
      <c r="L449" s="212" t="str">
        <f>IFERROR(VLOOKUP($H449,PARAMETERS!$M$3:$M$493,1,0),"---")</f>
        <v>gs_etikett</v>
      </c>
    </row>
    <row r="450" spans="1:12" x14ac:dyDescent="0.3">
      <c r="A450" t="s">
        <v>9</v>
      </c>
      <c r="B450" t="s">
        <v>9</v>
      </c>
      <c r="C450"/>
      <c r="D450" t="s">
        <v>9</v>
      </c>
      <c r="E450"/>
      <c r="F450" t="s">
        <v>44</v>
      </c>
      <c r="G450" t="s">
        <v>27</v>
      </c>
      <c r="H450" t="s">
        <v>1496</v>
      </c>
      <c r="I450" t="s">
        <v>1494</v>
      </c>
      <c r="J450">
        <v>3</v>
      </c>
      <c r="L450" s="212" t="str">
        <f>IFERROR(VLOOKUP($H450,PARAMETERS!$M$3:$M$493,1,0),"---")</f>
        <v>iEtikett</v>
      </c>
    </row>
    <row r="451" spans="1:12" x14ac:dyDescent="0.3">
      <c r="A451" t="s">
        <v>9</v>
      </c>
      <c r="B451"/>
      <c r="C451"/>
      <c r="D451" t="s">
        <v>9</v>
      </c>
      <c r="E451"/>
      <c r="F451" t="s">
        <v>44</v>
      </c>
      <c r="G451" t="s">
        <v>27</v>
      </c>
      <c r="H451" t="s">
        <v>1497</v>
      </c>
      <c r="I451" t="s">
        <v>1498</v>
      </c>
      <c r="J451">
        <v>1</v>
      </c>
      <c r="L451" s="212" t="str">
        <f>IFERROR(VLOOKUP($H451,PARAMETERS!$M$3:$M$493,1,0),"---")</f>
        <v>iDWDimRawOpening</v>
      </c>
    </row>
    <row r="452" spans="1:12" x14ac:dyDescent="0.3">
      <c r="A452" t="s">
        <v>9</v>
      </c>
      <c r="B452"/>
      <c r="C452"/>
      <c r="D452" t="s">
        <v>9</v>
      </c>
      <c r="E452"/>
      <c r="F452" t="s">
        <v>18</v>
      </c>
      <c r="G452" t="s">
        <v>27</v>
      </c>
      <c r="H452" t="s">
        <v>1499</v>
      </c>
      <c r="I452" t="s">
        <v>1500</v>
      </c>
      <c r="J452" t="s">
        <v>1498</v>
      </c>
      <c r="L452" s="212" t="str">
        <f>IFERROR(VLOOKUP($H452,PARAMETERS!$M$3:$M$493,1,0),"---")</f>
        <v>gs_mtext</v>
      </c>
    </row>
    <row r="453" spans="1:12" x14ac:dyDescent="0.3">
      <c r="A453" t="s">
        <v>9</v>
      </c>
      <c r="B453"/>
      <c r="C453"/>
      <c r="D453" t="s">
        <v>9</v>
      </c>
      <c r="E453"/>
      <c r="F453" t="s">
        <v>24</v>
      </c>
      <c r="G453" t="s">
        <v>27</v>
      </c>
      <c r="H453" t="s">
        <v>1501</v>
      </c>
      <c r="I453" t="s">
        <v>1502</v>
      </c>
      <c r="J453">
        <v>0</v>
      </c>
      <c r="L453" s="212" t="str">
        <f>IFERROR(VLOOKUP($H453,PARAMETERS!$M$3:$M$493,1,0),"---")</f>
        <v>gs_me</v>
      </c>
    </row>
    <row r="454" spans="1:12" x14ac:dyDescent="0.3">
      <c r="A454" t="s">
        <v>9</v>
      </c>
      <c r="B454"/>
      <c r="C454"/>
      <c r="D454" t="s">
        <v>9</v>
      </c>
      <c r="E454"/>
      <c r="F454" t="s">
        <v>44</v>
      </c>
      <c r="G454" t="s">
        <v>27</v>
      </c>
      <c r="H454" t="s">
        <v>1503</v>
      </c>
      <c r="I454" t="s">
        <v>1504</v>
      </c>
      <c r="J454">
        <v>1</v>
      </c>
      <c r="L454" s="212" t="str">
        <f>IFERROR(VLOOKUP($H454,PARAMETERS!$M$3:$M$493,1,0),"---")</f>
        <v>iDWDimFinishedLintel</v>
      </c>
    </row>
    <row r="455" spans="1:12" x14ac:dyDescent="0.3">
      <c r="A455" t="s">
        <v>9</v>
      </c>
      <c r="B455"/>
      <c r="C455"/>
      <c r="D455" t="s">
        <v>9</v>
      </c>
      <c r="E455"/>
      <c r="F455" t="s">
        <v>18</v>
      </c>
      <c r="G455" t="s">
        <v>27</v>
      </c>
      <c r="H455" t="s">
        <v>1505</v>
      </c>
      <c r="I455" t="s">
        <v>1506</v>
      </c>
      <c r="J455" t="s">
        <v>1504</v>
      </c>
      <c r="L455" s="212" t="str">
        <f>IFERROR(VLOOKUP($H455,PARAMETERS!$M$3:$M$493,1,0),"---")</f>
        <v>gs_ntext</v>
      </c>
    </row>
    <row r="456" spans="1:12" x14ac:dyDescent="0.3">
      <c r="A456" t="s">
        <v>9</v>
      </c>
      <c r="B456"/>
      <c r="C456"/>
      <c r="D456" t="s">
        <v>9</v>
      </c>
      <c r="E456"/>
      <c r="F456" t="s">
        <v>24</v>
      </c>
      <c r="G456" t="s">
        <v>27</v>
      </c>
      <c r="H456" t="s">
        <v>1507</v>
      </c>
      <c r="I456" t="s">
        <v>1508</v>
      </c>
      <c r="J456">
        <v>0</v>
      </c>
      <c r="L456" s="212" t="str">
        <f>IFERROR(VLOOKUP($H456,PARAMETERS!$M$3:$M$493,1,0),"---")</f>
        <v>gs_n</v>
      </c>
    </row>
    <row r="457" spans="1:12" x14ac:dyDescent="0.3">
      <c r="A457" t="s">
        <v>9</v>
      </c>
      <c r="B457"/>
      <c r="C457"/>
      <c r="D457" t="s">
        <v>9</v>
      </c>
      <c r="E457"/>
      <c r="F457" t="s">
        <v>44</v>
      </c>
      <c r="G457" t="s">
        <v>27</v>
      </c>
      <c r="H457" t="s">
        <v>1509</v>
      </c>
      <c r="I457" t="s">
        <v>1510</v>
      </c>
      <c r="J457">
        <v>1</v>
      </c>
      <c r="L457" s="212" t="str">
        <f>IFERROR(VLOOKUP($H457,PARAMETERS!$M$3:$M$493,1,0),"---")</f>
        <v>iDWDimFinishedParapet</v>
      </c>
    </row>
    <row r="458" spans="1:12" x14ac:dyDescent="0.3">
      <c r="A458" t="s">
        <v>9</v>
      </c>
      <c r="B458"/>
      <c r="C458"/>
      <c r="D458" t="s">
        <v>9</v>
      </c>
      <c r="E458"/>
      <c r="F458" t="s">
        <v>18</v>
      </c>
      <c r="G458" t="s">
        <v>27</v>
      </c>
      <c r="H458" t="s">
        <v>1511</v>
      </c>
      <c r="I458" t="s">
        <v>1512</v>
      </c>
      <c r="J458" t="s">
        <v>1510</v>
      </c>
      <c r="L458" s="212" t="str">
        <f>IFERROR(VLOOKUP($H458,PARAMETERS!$M$3:$M$493,1,0),"---")</f>
        <v>gs_qtext</v>
      </c>
    </row>
    <row r="459" spans="1:12" x14ac:dyDescent="0.3">
      <c r="A459" t="s">
        <v>9</v>
      </c>
      <c r="B459"/>
      <c r="C459"/>
      <c r="D459" t="s">
        <v>9</v>
      </c>
      <c r="E459"/>
      <c r="F459" t="s">
        <v>24</v>
      </c>
      <c r="G459" t="s">
        <v>27</v>
      </c>
      <c r="H459" t="s">
        <v>1513</v>
      </c>
      <c r="I459" t="s">
        <v>1508</v>
      </c>
      <c r="J459">
        <v>0</v>
      </c>
      <c r="L459" s="212" t="str">
        <f>IFERROR(VLOOKUP($H459,PARAMETERS!$M$3:$M$493,1,0),"---")</f>
        <v>gs_q</v>
      </c>
    </row>
    <row r="460" spans="1:12" x14ac:dyDescent="0.3">
      <c r="A460" t="s">
        <v>9</v>
      </c>
      <c r="B460"/>
      <c r="C460"/>
      <c r="D460" t="s">
        <v>9</v>
      </c>
      <c r="E460"/>
      <c r="F460" t="s">
        <v>44</v>
      </c>
      <c r="G460" t="s">
        <v>27</v>
      </c>
      <c r="H460" t="s">
        <v>1514</v>
      </c>
      <c r="I460" t="s">
        <v>461</v>
      </c>
      <c r="J460">
        <v>1</v>
      </c>
      <c r="L460" s="212" t="str">
        <f>IFERROR(VLOOKUP($H460,PARAMETERS!$M$3:$M$493,1,0),"---")</f>
        <v>iDWDimRawParapet</v>
      </c>
    </row>
    <row r="461" spans="1:12" x14ac:dyDescent="0.3">
      <c r="A461" t="s">
        <v>9</v>
      </c>
      <c r="B461"/>
      <c r="C461"/>
      <c r="D461" t="s">
        <v>9</v>
      </c>
      <c r="E461"/>
      <c r="F461" t="s">
        <v>18</v>
      </c>
      <c r="G461" t="s">
        <v>27</v>
      </c>
      <c r="H461" t="s">
        <v>1515</v>
      </c>
      <c r="I461" t="s">
        <v>1516</v>
      </c>
      <c r="J461" t="s">
        <v>461</v>
      </c>
      <c r="L461" s="212" t="str">
        <f>IFERROR(VLOOKUP($H461,PARAMETERS!$M$3:$M$493,1,0),"---")</f>
        <v>gs_ptext</v>
      </c>
    </row>
    <row r="462" spans="1:12" x14ac:dyDescent="0.3">
      <c r="A462" t="s">
        <v>9</v>
      </c>
      <c r="B462"/>
      <c r="C462"/>
      <c r="D462" t="s">
        <v>9</v>
      </c>
      <c r="E462"/>
      <c r="F462" t="s">
        <v>24</v>
      </c>
      <c r="G462" t="s">
        <v>27</v>
      </c>
      <c r="H462" t="s">
        <v>1517</v>
      </c>
      <c r="I462" t="s">
        <v>1518</v>
      </c>
      <c r="J462">
        <v>0</v>
      </c>
      <c r="L462" s="212" t="str">
        <f>IFERROR(VLOOKUP($H462,PARAMETERS!$M$3:$M$493,1,0),"---")</f>
        <v>gs_P</v>
      </c>
    </row>
    <row r="463" spans="1:12" x14ac:dyDescent="0.3">
      <c r="A463" t="s">
        <v>9</v>
      </c>
      <c r="B463"/>
      <c r="C463"/>
      <c r="D463" t="s">
        <v>9</v>
      </c>
      <c r="E463"/>
      <c r="F463" t="s">
        <v>18</v>
      </c>
      <c r="G463" t="s">
        <v>27</v>
      </c>
      <c r="H463" t="s">
        <v>1519</v>
      </c>
      <c r="I463" t="s">
        <v>1520</v>
      </c>
      <c r="J463" t="s">
        <v>1521</v>
      </c>
      <c r="L463" s="212" t="str">
        <f>IFERROR(VLOOKUP($H463,PARAMETERS!$M$3:$M$493,1,0),"---")</f>
        <v>gs_Etikett_scaleValues</v>
      </c>
    </row>
    <row r="464" spans="1:12" x14ac:dyDescent="0.3">
      <c r="A464" t="s">
        <v>9</v>
      </c>
      <c r="B464" t="s">
        <v>9</v>
      </c>
      <c r="C464"/>
      <c r="D464" t="s">
        <v>9</v>
      </c>
      <c r="E464"/>
      <c r="F464" t="s">
        <v>44</v>
      </c>
      <c r="G464" t="s">
        <v>27</v>
      </c>
      <c r="H464" t="s">
        <v>1522</v>
      </c>
      <c r="I464" t="s">
        <v>1523</v>
      </c>
      <c r="J464">
        <v>2</v>
      </c>
      <c r="L464" s="212" t="str">
        <f>IFERROR(VLOOKUP($H464,PARAMETERS!$M$3:$M$493,1,0),"---")</f>
        <v>gs_Etikett_scaleValues_m</v>
      </c>
    </row>
    <row r="465" spans="1:12" x14ac:dyDescent="0.3">
      <c r="A465" t="s">
        <v>9</v>
      </c>
      <c r="B465"/>
      <c r="C465"/>
      <c r="D465" t="s">
        <v>9</v>
      </c>
      <c r="E465"/>
      <c r="F465" t="s">
        <v>18</v>
      </c>
      <c r="G465" t="s">
        <v>27</v>
      </c>
      <c r="H465" t="s">
        <v>1524</v>
      </c>
      <c r="I465" t="s">
        <v>1525</v>
      </c>
      <c r="J465" t="s">
        <v>1359</v>
      </c>
      <c r="L465" s="212" t="str">
        <f>IFERROR(VLOOKUP($H465,PARAMETERS!$M$3:$M$493,1,0),"---")</f>
        <v>fontType</v>
      </c>
    </row>
    <row r="466" spans="1:12" x14ac:dyDescent="0.3">
      <c r="A466" t="s">
        <v>9</v>
      </c>
      <c r="B466"/>
      <c r="C466"/>
      <c r="D466" t="s">
        <v>9</v>
      </c>
      <c r="E466"/>
      <c r="F466" t="s">
        <v>24</v>
      </c>
      <c r="G466" t="s">
        <v>27</v>
      </c>
      <c r="H466" t="s">
        <v>1526</v>
      </c>
      <c r="I466" t="s">
        <v>1527</v>
      </c>
      <c r="J466">
        <v>7.4999999999999997E-2</v>
      </c>
      <c r="L466" s="212" t="str">
        <f>IFERROR(VLOOKUP($H466,PARAMETERS!$M$3:$M$493,1,0),"---")</f>
        <v>gs_lsize</v>
      </c>
    </row>
    <row r="467" spans="1:12" x14ac:dyDescent="0.3">
      <c r="A467" t="s">
        <v>9</v>
      </c>
      <c r="B467"/>
      <c r="C467"/>
      <c r="D467" t="s">
        <v>9</v>
      </c>
      <c r="E467"/>
      <c r="F467" t="s">
        <v>36</v>
      </c>
      <c r="G467" t="s">
        <v>27</v>
      </c>
      <c r="H467" t="s">
        <v>1528</v>
      </c>
      <c r="I467" t="s">
        <v>1529</v>
      </c>
      <c r="J467">
        <v>1.5</v>
      </c>
      <c r="L467" s="212" t="str">
        <f>IFERROR(VLOOKUP($H467,PARAMETERS!$M$3:$M$493,1,0),"---")</f>
        <v>gs_Etikett_fontSize_mm</v>
      </c>
    </row>
    <row r="468" spans="1:12" x14ac:dyDescent="0.3">
      <c r="A468" t="s">
        <v>9</v>
      </c>
      <c r="B468"/>
      <c r="C468"/>
      <c r="D468" t="s">
        <v>9</v>
      </c>
      <c r="E468"/>
      <c r="F468" t="s">
        <v>53</v>
      </c>
      <c r="G468" t="s">
        <v>27</v>
      </c>
      <c r="H468" t="s">
        <v>1530</v>
      </c>
      <c r="I468" t="s">
        <v>1531</v>
      </c>
      <c r="J468">
        <v>1</v>
      </c>
      <c r="L468" s="212" t="str">
        <f>IFERROR(VLOOKUP($H468,PARAMETERS!$M$3:$M$493,1,0),"---")</f>
        <v>gs_koten_pen</v>
      </c>
    </row>
    <row r="469" spans="1:12" x14ac:dyDescent="0.3">
      <c r="A469" t="s">
        <v>9</v>
      </c>
      <c r="B469"/>
      <c r="C469"/>
      <c r="D469" t="s">
        <v>9</v>
      </c>
      <c r="E469"/>
      <c r="F469" t="s">
        <v>24</v>
      </c>
      <c r="G469" t="s">
        <v>27</v>
      </c>
      <c r="H469" t="s">
        <v>1532</v>
      </c>
      <c r="I469" t="s">
        <v>1533</v>
      </c>
      <c r="J469">
        <v>0</v>
      </c>
      <c r="L469" s="212" t="str">
        <f>IFERROR(VLOOKUP($H469,PARAMETERS!$M$3:$M$493,1,0),"---")</f>
        <v>gs_etx</v>
      </c>
    </row>
    <row r="470" spans="1:12" x14ac:dyDescent="0.3">
      <c r="A470"/>
      <c r="B470" t="s">
        <v>9</v>
      </c>
      <c r="C470"/>
      <c r="D470" t="s">
        <v>9</v>
      </c>
      <c r="E470"/>
      <c r="F470" t="s">
        <v>36</v>
      </c>
      <c r="G470" t="s">
        <v>27</v>
      </c>
      <c r="H470" t="s">
        <v>1534</v>
      </c>
      <c r="I470" t="s">
        <v>1535</v>
      </c>
      <c r="J470">
        <v>0</v>
      </c>
      <c r="L470" s="212" t="str">
        <f>IFERROR(VLOOKUP($H470,PARAMETERS!$M$3:$M$493,1,0),"---")</f>
        <v>gs_Etikett_xTextPos_m</v>
      </c>
    </row>
    <row r="471" spans="1:12" x14ac:dyDescent="0.3">
      <c r="A471" t="s">
        <v>9</v>
      </c>
      <c r="B471"/>
      <c r="C471"/>
      <c r="D471" t="s">
        <v>9</v>
      </c>
      <c r="E471"/>
      <c r="F471" t="s">
        <v>36</v>
      </c>
      <c r="G471" t="s">
        <v>27</v>
      </c>
      <c r="H471" t="s">
        <v>1536</v>
      </c>
      <c r="I471" t="s">
        <v>1537</v>
      </c>
      <c r="J471">
        <v>0</v>
      </c>
      <c r="L471" s="212" t="str">
        <f>IFERROR(VLOOKUP($H471,PARAMETERS!$M$3:$M$493,1,0),"---")</f>
        <v>gs_Etikett_xTextPos_mm</v>
      </c>
    </row>
    <row r="472" spans="1:12" x14ac:dyDescent="0.3">
      <c r="A472" t="s">
        <v>9</v>
      </c>
      <c r="B472"/>
      <c r="C472"/>
      <c r="D472" t="s">
        <v>9</v>
      </c>
      <c r="E472"/>
      <c r="F472" t="s">
        <v>24</v>
      </c>
      <c r="G472" t="s">
        <v>27</v>
      </c>
      <c r="H472" t="s">
        <v>1538</v>
      </c>
      <c r="I472" t="s">
        <v>1539</v>
      </c>
      <c r="J472">
        <v>0.4</v>
      </c>
      <c r="L472" s="212" t="str">
        <f>IFERROR(VLOOKUP($H472,PARAMETERS!$M$3:$M$493,1,0),"---")</f>
        <v>gs_ety</v>
      </c>
    </row>
    <row r="473" spans="1:12" x14ac:dyDescent="0.3">
      <c r="A473"/>
      <c r="B473" t="s">
        <v>9</v>
      </c>
      <c r="C473"/>
      <c r="D473" t="s">
        <v>9</v>
      </c>
      <c r="E473"/>
      <c r="F473" t="s">
        <v>36</v>
      </c>
      <c r="G473" t="s">
        <v>27</v>
      </c>
      <c r="H473" t="s">
        <v>1540</v>
      </c>
      <c r="I473" t="s">
        <v>1541</v>
      </c>
      <c r="J473">
        <v>0</v>
      </c>
      <c r="L473" s="212" t="str">
        <f>IFERROR(VLOOKUP($H473,PARAMETERS!$M$3:$M$493,1,0),"---")</f>
        <v>gs_Etikett_yTextPos_m</v>
      </c>
    </row>
    <row r="474" spans="1:12" x14ac:dyDescent="0.3">
      <c r="A474" t="s">
        <v>9</v>
      </c>
      <c r="B474"/>
      <c r="C474"/>
      <c r="D474" t="s">
        <v>9</v>
      </c>
      <c r="E474"/>
      <c r="F474" t="s">
        <v>36</v>
      </c>
      <c r="G474" t="s">
        <v>27</v>
      </c>
      <c r="H474" t="s">
        <v>1542</v>
      </c>
      <c r="I474" t="s">
        <v>1543</v>
      </c>
      <c r="J474">
        <v>2</v>
      </c>
      <c r="L474" s="212" t="str">
        <f>IFERROR(VLOOKUP($H474,PARAMETERS!$M$3:$M$493,1,0),"---")</f>
        <v>gs_Etikett_yTextPos_mm</v>
      </c>
    </row>
    <row r="475" spans="1:12" x14ac:dyDescent="0.3">
      <c r="A475" t="s">
        <v>9</v>
      </c>
      <c r="B475"/>
      <c r="C475"/>
      <c r="D475" t="s">
        <v>9</v>
      </c>
      <c r="E475"/>
      <c r="F475" t="s">
        <v>47</v>
      </c>
      <c r="G475" t="s">
        <v>27</v>
      </c>
      <c r="H475" t="s">
        <v>1544</v>
      </c>
      <c r="I475" t="s">
        <v>1545</v>
      </c>
      <c r="J475">
        <v>0</v>
      </c>
      <c r="L475" s="212" t="str">
        <f>IFERROR(VLOOKUP($H475,PARAMETERS!$M$3:$M$493,1,0),"---")</f>
        <v>gs_autheight</v>
      </c>
    </row>
    <row r="476" spans="1:12" x14ac:dyDescent="0.3">
      <c r="A476" t="s">
        <v>9</v>
      </c>
      <c r="B476"/>
      <c r="C476"/>
      <c r="D476" t="s">
        <v>9</v>
      </c>
      <c r="E476"/>
      <c r="F476" t="s">
        <v>24</v>
      </c>
      <c r="G476" t="s">
        <v>27</v>
      </c>
      <c r="H476" t="s">
        <v>1546</v>
      </c>
      <c r="I476" t="s">
        <v>1547</v>
      </c>
      <c r="J476">
        <v>0.05</v>
      </c>
      <c r="L476" s="212" t="str">
        <f>IFERROR(VLOOKUP($H476,PARAMETERS!$M$3:$M$493,1,0),"---")</f>
        <v>gs_heightuser</v>
      </c>
    </row>
    <row r="477" spans="1:12" x14ac:dyDescent="0.3">
      <c r="A477" t="s">
        <v>9</v>
      </c>
      <c r="B477"/>
      <c r="C477"/>
      <c r="D477" t="s">
        <v>9</v>
      </c>
      <c r="E477"/>
      <c r="F477" t="s">
        <v>36</v>
      </c>
      <c r="G477" t="s">
        <v>27</v>
      </c>
      <c r="H477" t="s">
        <v>1548</v>
      </c>
      <c r="I477" t="s">
        <v>1549</v>
      </c>
      <c r="J477">
        <v>1</v>
      </c>
      <c r="L477" s="212" t="str">
        <f>IFERROR(VLOOKUP($H477,PARAMETERS!$M$3:$M$493,1,0),"---")</f>
        <v>gs_Etikett_lineSpace_mm</v>
      </c>
    </row>
    <row r="478" spans="1:12" x14ac:dyDescent="0.3">
      <c r="A478" t="s">
        <v>9</v>
      </c>
      <c r="B478"/>
      <c r="C478"/>
      <c r="D478" t="s">
        <v>9</v>
      </c>
      <c r="E478"/>
      <c r="F478" t="s">
        <v>24</v>
      </c>
      <c r="G478" t="s">
        <v>27</v>
      </c>
      <c r="H478" t="s">
        <v>1550</v>
      </c>
      <c r="I478" t="s">
        <v>1551</v>
      </c>
      <c r="J478">
        <v>0</v>
      </c>
      <c r="L478" s="212" t="str">
        <f>IFERROR(VLOOKUP($H478,PARAMETERS!$M$3:$M$493,1,0),"---")</f>
        <v>gs_festb</v>
      </c>
    </row>
    <row r="479" spans="1:12" x14ac:dyDescent="0.3">
      <c r="A479"/>
      <c r="B479" t="s">
        <v>9</v>
      </c>
      <c r="C479"/>
      <c r="D479" t="s">
        <v>9</v>
      </c>
      <c r="E479"/>
      <c r="F479" t="s">
        <v>31</v>
      </c>
      <c r="G479" t="s">
        <v>27</v>
      </c>
      <c r="H479" t="s">
        <v>1552</v>
      </c>
      <c r="I479" t="s">
        <v>1553</v>
      </c>
      <c r="J479">
        <v>0</v>
      </c>
      <c r="L479" s="212" t="str">
        <f>IFERROR(VLOOKUP($H479,PARAMETERS!$M$3:$M$493,1,0),"---")</f>
        <v>angleRotate</v>
      </c>
    </row>
    <row r="480" spans="1:12" x14ac:dyDescent="0.3">
      <c r="A480" t="s">
        <v>9</v>
      </c>
      <c r="B480"/>
      <c r="C480" t="s">
        <v>9</v>
      </c>
      <c r="D480"/>
      <c r="E480"/>
      <c r="F480" t="s">
        <v>47</v>
      </c>
      <c r="G480" t="s">
        <v>27</v>
      </c>
      <c r="H480" t="s">
        <v>1554</v>
      </c>
      <c r="I480" t="s">
        <v>1555</v>
      </c>
      <c r="J480">
        <v>0</v>
      </c>
      <c r="L480" s="212" t="str">
        <f>IFERROR(VLOOKUP($H480,PARAMETERS!$M$3:$M$493,1,0),"---")</f>
        <v>bIDTextDisplayMode</v>
      </c>
    </row>
    <row r="481" spans="1:12" x14ac:dyDescent="0.3">
      <c r="A481" t="s">
        <v>9</v>
      </c>
      <c r="B481"/>
      <c r="C481"/>
      <c r="D481" t="s">
        <v>9</v>
      </c>
      <c r="E481"/>
      <c r="F481" t="s">
        <v>44</v>
      </c>
      <c r="G481" t="s">
        <v>27</v>
      </c>
      <c r="H481" t="s">
        <v>1556</v>
      </c>
      <c r="I481" t="s">
        <v>1557</v>
      </c>
      <c r="J481">
        <v>1</v>
      </c>
      <c r="L481" s="212" t="str">
        <f>IFERROR(VLOOKUP($H481,PARAMETERS!$M$3:$M$493,1,0),"---")</f>
        <v>gs_IDText_displayMode_m</v>
      </c>
    </row>
    <row r="482" spans="1:12" x14ac:dyDescent="0.3">
      <c r="A482" t="s">
        <v>9</v>
      </c>
      <c r="B482"/>
      <c r="C482"/>
      <c r="D482" t="s">
        <v>9</v>
      </c>
      <c r="E482"/>
      <c r="F482" t="s">
        <v>47</v>
      </c>
      <c r="G482" t="s">
        <v>27</v>
      </c>
      <c r="H482" t="s">
        <v>1558</v>
      </c>
      <c r="I482" t="s">
        <v>1559</v>
      </c>
      <c r="J482">
        <v>1</v>
      </c>
      <c r="L482" s="212" t="str">
        <f>IFERROR(VLOOKUP($H482,PARAMETERS!$M$3:$M$493,1,0),"---")</f>
        <v>gs_IDText_bAutoIDNumber</v>
      </c>
    </row>
    <row r="483" spans="1:12" x14ac:dyDescent="0.3">
      <c r="A483" t="s">
        <v>9</v>
      </c>
      <c r="B483"/>
      <c r="C483"/>
      <c r="D483" t="s">
        <v>9</v>
      </c>
      <c r="E483"/>
      <c r="F483" t="s">
        <v>18</v>
      </c>
      <c r="G483" t="s">
        <v>27</v>
      </c>
      <c r="H483" t="s">
        <v>1560</v>
      </c>
      <c r="I483" t="s">
        <v>1561</v>
      </c>
      <c r="J483" t="s">
        <v>1562</v>
      </c>
      <c r="L483" s="212" t="str">
        <f>IFERROR(VLOOKUP($H483,PARAMETERS!$M$3:$M$493,1,0),"---")</f>
        <v>gs_IDText_stCustomText</v>
      </c>
    </row>
    <row r="484" spans="1:12" x14ac:dyDescent="0.3">
      <c r="A484" t="s">
        <v>9</v>
      </c>
      <c r="B484"/>
      <c r="C484"/>
      <c r="D484" t="s">
        <v>9</v>
      </c>
      <c r="E484"/>
      <c r="F484" t="s">
        <v>47</v>
      </c>
      <c r="G484" t="s">
        <v>27</v>
      </c>
      <c r="H484" t="s">
        <v>1563</v>
      </c>
      <c r="I484" t="s">
        <v>1564</v>
      </c>
      <c r="J484">
        <v>1</v>
      </c>
      <c r="L484" s="212" t="str">
        <f>IFERROR(VLOOKUP($H484,PARAMETERS!$M$3:$M$493,1,0),"---")</f>
        <v>gs_IDText_bFlipMarker</v>
      </c>
    </row>
    <row r="485" spans="1:12" x14ac:dyDescent="0.3">
      <c r="A485" t="s">
        <v>9</v>
      </c>
      <c r="B485"/>
      <c r="C485"/>
      <c r="D485" t="s">
        <v>9</v>
      </c>
      <c r="E485"/>
      <c r="F485" t="s">
        <v>47</v>
      </c>
      <c r="G485" t="s">
        <v>27</v>
      </c>
      <c r="H485" t="s">
        <v>1565</v>
      </c>
      <c r="I485" t="s">
        <v>1566</v>
      </c>
      <c r="J485">
        <v>1</v>
      </c>
      <c r="L485" s="212" t="str">
        <f>IFERROR(VLOOKUP($H485,PARAMETERS!$M$3:$M$493,1,0),"---")</f>
        <v>gs_IDText_bAdditionalValues</v>
      </c>
    </row>
    <row r="486" spans="1:12" x14ac:dyDescent="0.3">
      <c r="A486" t="s">
        <v>9</v>
      </c>
      <c r="B486"/>
      <c r="C486"/>
      <c r="D486" t="s">
        <v>9</v>
      </c>
      <c r="E486"/>
      <c r="F486" t="s">
        <v>24</v>
      </c>
      <c r="G486" t="s">
        <v>27</v>
      </c>
      <c r="H486" t="s">
        <v>1567</v>
      </c>
      <c r="I486" t="s">
        <v>1568</v>
      </c>
      <c r="J486">
        <v>0</v>
      </c>
      <c r="L486" s="212" t="str">
        <f>IFERROR(VLOOKUP($H486,PARAMETERS!$M$3:$M$493,1,0),"---")</f>
        <v>gs_IDText_xTextPos</v>
      </c>
    </row>
    <row r="487" spans="1:12" x14ac:dyDescent="0.3">
      <c r="A487" t="s">
        <v>9</v>
      </c>
      <c r="B487"/>
      <c r="C487"/>
      <c r="D487" t="s">
        <v>9</v>
      </c>
      <c r="E487"/>
      <c r="F487" t="s">
        <v>24</v>
      </c>
      <c r="G487" t="s">
        <v>27</v>
      </c>
      <c r="H487" t="s">
        <v>1569</v>
      </c>
      <c r="I487" t="s">
        <v>1570</v>
      </c>
      <c r="J487">
        <v>0.4</v>
      </c>
      <c r="L487" s="212" t="str">
        <f>IFERROR(VLOOKUP($H487,PARAMETERS!$M$3:$M$493,1,0),"---")</f>
        <v>gs_IDText_yTextPos</v>
      </c>
    </row>
    <row r="488" spans="1:12" x14ac:dyDescent="0.3">
      <c r="A488" t="s">
        <v>9</v>
      </c>
      <c r="B488"/>
      <c r="C488"/>
      <c r="D488" t="s">
        <v>9</v>
      </c>
      <c r="E488"/>
      <c r="F488" t="s">
        <v>36</v>
      </c>
      <c r="G488" t="s">
        <v>27</v>
      </c>
      <c r="H488" t="s">
        <v>1571</v>
      </c>
      <c r="I488" t="s">
        <v>1572</v>
      </c>
      <c r="J488">
        <v>0</v>
      </c>
      <c r="L488" s="212" t="str">
        <f>IFERROR(VLOOKUP($H488,PARAMETERS!$M$3:$M$493,1,0),"---")</f>
        <v>gs_IDText_xTextPos_mm</v>
      </c>
    </row>
    <row r="489" spans="1:12" x14ac:dyDescent="0.3">
      <c r="A489" t="s">
        <v>9</v>
      </c>
      <c r="B489"/>
      <c r="C489"/>
      <c r="D489" t="s">
        <v>9</v>
      </c>
      <c r="E489"/>
      <c r="F489" t="s">
        <v>36</v>
      </c>
      <c r="G489" t="s">
        <v>27</v>
      </c>
      <c r="H489" t="s">
        <v>1573</v>
      </c>
      <c r="I489" t="s">
        <v>1574</v>
      </c>
      <c r="J489">
        <v>8</v>
      </c>
      <c r="L489" s="212" t="str">
        <f>IFERROR(VLOOKUP($H489,PARAMETERS!$M$3:$M$493,1,0),"---")</f>
        <v>gs_IDText_yTextPos_mm</v>
      </c>
    </row>
    <row r="490" spans="1:12" x14ac:dyDescent="0.3">
      <c r="A490" t="s">
        <v>9</v>
      </c>
      <c r="B490"/>
      <c r="C490"/>
      <c r="D490" t="s">
        <v>9</v>
      </c>
      <c r="E490"/>
      <c r="F490" t="s">
        <v>18</v>
      </c>
      <c r="G490" t="s">
        <v>27</v>
      </c>
      <c r="H490" t="s">
        <v>1575</v>
      </c>
      <c r="I490" t="s">
        <v>1520</v>
      </c>
      <c r="J490" t="s">
        <v>1521</v>
      </c>
      <c r="L490" s="212" t="str">
        <f>IFERROR(VLOOKUP($H490,PARAMETERS!$M$3:$M$493,1,0),"---")</f>
        <v>gs_IDText_scaleValues</v>
      </c>
    </row>
    <row r="491" spans="1:12" x14ac:dyDescent="0.3">
      <c r="A491" t="s">
        <v>9</v>
      </c>
      <c r="B491" t="s">
        <v>9</v>
      </c>
      <c r="C491"/>
      <c r="D491" t="s">
        <v>9</v>
      </c>
      <c r="E491"/>
      <c r="F491" t="s">
        <v>44</v>
      </c>
      <c r="G491" t="s">
        <v>27</v>
      </c>
      <c r="H491" t="s">
        <v>1576</v>
      </c>
      <c r="I491" t="s">
        <v>1523</v>
      </c>
      <c r="J491">
        <v>2</v>
      </c>
      <c r="L491" s="212" t="str">
        <f>IFERROR(VLOOKUP($H491,PARAMETERS!$M$3:$M$493,1,0),"---")</f>
        <v>gs_IDText_scaleValues_m</v>
      </c>
    </row>
    <row r="492" spans="1:12" x14ac:dyDescent="0.3">
      <c r="A492" t="s">
        <v>9</v>
      </c>
      <c r="B492"/>
      <c r="C492"/>
      <c r="D492" t="s">
        <v>9</v>
      </c>
      <c r="E492"/>
      <c r="F492" t="s">
        <v>36</v>
      </c>
      <c r="G492" t="s">
        <v>27</v>
      </c>
      <c r="H492" t="s">
        <v>1577</v>
      </c>
      <c r="I492" t="s">
        <v>1529</v>
      </c>
      <c r="J492">
        <v>2</v>
      </c>
      <c r="L492" s="212" t="str">
        <f>IFERROR(VLOOKUP($H492,PARAMETERS!$M$3:$M$493,1,0),"---")</f>
        <v>gs_IDText_fontSize_mm</v>
      </c>
    </row>
    <row r="493" spans="1:12" x14ac:dyDescent="0.3">
      <c r="A493" t="s">
        <v>9</v>
      </c>
      <c r="B493"/>
      <c r="C493"/>
      <c r="D493" t="s">
        <v>9</v>
      </c>
      <c r="E493"/>
      <c r="F493" t="s">
        <v>24</v>
      </c>
      <c r="G493" t="s">
        <v>27</v>
      </c>
      <c r="H493" t="s">
        <v>1578</v>
      </c>
      <c r="I493" t="s">
        <v>1527</v>
      </c>
      <c r="J493">
        <v>0.1</v>
      </c>
      <c r="L493" s="212" t="str">
        <f>IFERROR(VLOOKUP($H493,PARAMETERS!$M$3:$M$493,1,0),"---")</f>
        <v>gs_IDText_fontSize_model</v>
      </c>
    </row>
    <row r="494" spans="1:12" x14ac:dyDescent="0.3">
      <c r="A494" t="s">
        <v>9</v>
      </c>
      <c r="B494"/>
      <c r="C494"/>
      <c r="D494" t="s">
        <v>9</v>
      </c>
      <c r="E494"/>
      <c r="F494" t="s">
        <v>18</v>
      </c>
      <c r="G494" t="s">
        <v>27</v>
      </c>
      <c r="H494" t="s">
        <v>1579</v>
      </c>
      <c r="I494" t="s">
        <v>1525</v>
      </c>
      <c r="J494" t="s">
        <v>1359</v>
      </c>
      <c r="L494" s="212" t="str">
        <f>IFERROR(VLOOKUP($H494,PARAMETERS!$M$3:$M$493,1,0),"---")</f>
        <v>gs_IDText_fontType</v>
      </c>
    </row>
    <row r="495" spans="1:12" x14ac:dyDescent="0.3">
      <c r="A495" t="s">
        <v>9</v>
      </c>
      <c r="B495"/>
      <c r="C495"/>
      <c r="D495" t="s">
        <v>9</v>
      </c>
      <c r="E495"/>
      <c r="F495" t="s">
        <v>53</v>
      </c>
      <c r="G495" t="s">
        <v>27</v>
      </c>
      <c r="H495" t="s">
        <v>1580</v>
      </c>
      <c r="I495" t="s">
        <v>1581</v>
      </c>
      <c r="J495">
        <v>1</v>
      </c>
      <c r="L495" s="212" t="str">
        <f>IFERROR(VLOOKUP($H495,PARAMETERS!$M$3:$M$493,1,0),"---")</f>
        <v>gs_IDText_fontPen</v>
      </c>
    </row>
    <row r="496" spans="1:12" x14ac:dyDescent="0.3">
      <c r="A496" t="s">
        <v>9</v>
      </c>
      <c r="B496"/>
      <c r="C496" t="s">
        <v>9</v>
      </c>
      <c r="D496"/>
      <c r="E496"/>
      <c r="F496" t="s">
        <v>47</v>
      </c>
      <c r="G496" t="s">
        <v>27</v>
      </c>
      <c r="H496" t="s">
        <v>1582</v>
      </c>
      <c r="I496" t="s">
        <v>1583</v>
      </c>
      <c r="J496">
        <v>0</v>
      </c>
      <c r="L496" s="212" t="str">
        <f>IFERROR(VLOOKUP($H496,PARAMETERS!$M$3:$M$493,1,0),"---")</f>
        <v>gs_head_symbol</v>
      </c>
    </row>
    <row r="497" spans="1:12" x14ac:dyDescent="0.3">
      <c r="A497" t="s">
        <v>9</v>
      </c>
      <c r="B497"/>
      <c r="C497"/>
      <c r="D497" t="s">
        <v>9</v>
      </c>
      <c r="E497"/>
      <c r="F497" t="s">
        <v>51</v>
      </c>
      <c r="G497" t="s">
        <v>27</v>
      </c>
      <c r="H497" t="s">
        <v>1584</v>
      </c>
      <c r="I497" t="s">
        <v>1585</v>
      </c>
      <c r="J497">
        <v>21</v>
      </c>
      <c r="L497" s="212" t="str">
        <f>IFERROR(VLOOKUP($H497,PARAMETERS!$M$3:$M$493,1,0),"---")</f>
        <v>gs_head_symbol_line</v>
      </c>
    </row>
    <row r="498" spans="1:12" x14ac:dyDescent="0.3">
      <c r="A498" t="s">
        <v>9</v>
      </c>
      <c r="B498"/>
      <c r="C498"/>
      <c r="D498" t="s">
        <v>9</v>
      </c>
      <c r="E498"/>
      <c r="F498" t="s">
        <v>53</v>
      </c>
      <c r="G498" t="s">
        <v>27</v>
      </c>
      <c r="H498" t="s">
        <v>1586</v>
      </c>
      <c r="I498" t="s">
        <v>1587</v>
      </c>
      <c r="J498">
        <v>6</v>
      </c>
      <c r="L498" s="212" t="str">
        <f>IFERROR(VLOOKUP($H498,PARAMETERS!$M$3:$M$493,1,0),"---")</f>
        <v>gs_head_symbol_pen</v>
      </c>
    </row>
    <row r="499" spans="1:12" x14ac:dyDescent="0.3">
      <c r="A499" t="s">
        <v>9</v>
      </c>
      <c r="B499" t="s">
        <v>9</v>
      </c>
      <c r="C499"/>
      <c r="D499"/>
      <c r="E499"/>
      <c r="F499" t="s">
        <v>57</v>
      </c>
      <c r="G499" t="s">
        <v>27</v>
      </c>
      <c r="H499" t="s">
        <v>195</v>
      </c>
      <c r="I499" t="s">
        <v>196</v>
      </c>
      <c r="L499" s="212" t="str">
        <f>IFERROR(VLOOKUP($H499,PARAMETERS!$M$3:$M$493,1,0),"---")</f>
        <v>gs_2D_representation</v>
      </c>
    </row>
    <row r="500" spans="1:12" x14ac:dyDescent="0.3">
      <c r="A500" t="s">
        <v>9</v>
      </c>
      <c r="B500"/>
      <c r="C500"/>
      <c r="D500"/>
      <c r="E500"/>
      <c r="F500" t="s">
        <v>57</v>
      </c>
      <c r="G500" t="s">
        <v>27</v>
      </c>
      <c r="H500" t="s">
        <v>1588</v>
      </c>
      <c r="I500" t="s">
        <v>1589</v>
      </c>
      <c r="L500" s="212" t="str">
        <f>IFERROR(VLOOKUP($H500,PARAMETERS!$M$3:$M$493,1,0),"---")</f>
        <v>---</v>
      </c>
    </row>
    <row r="501" spans="1:12" x14ac:dyDescent="0.3">
      <c r="A501" t="s">
        <v>9</v>
      </c>
      <c r="B501"/>
      <c r="C501"/>
      <c r="D501" t="s">
        <v>9</v>
      </c>
      <c r="E501"/>
      <c r="F501" t="s">
        <v>24</v>
      </c>
      <c r="G501" t="s">
        <v>27</v>
      </c>
      <c r="H501" t="s">
        <v>1591</v>
      </c>
      <c r="I501" t="s">
        <v>1827</v>
      </c>
      <c r="J501">
        <v>0.1</v>
      </c>
      <c r="L501" s="212" t="str">
        <f>IFERROR(VLOOKUP($H501,PARAMETERS!$M$3:$M$493,1,0),"---")</f>
        <v>---</v>
      </c>
    </row>
    <row r="502" spans="1:12" x14ac:dyDescent="0.3">
      <c r="A502" t="s">
        <v>9</v>
      </c>
      <c r="B502"/>
      <c r="C502"/>
      <c r="D502" t="s">
        <v>9</v>
      </c>
      <c r="E502"/>
      <c r="F502" t="s">
        <v>24</v>
      </c>
      <c r="G502" t="s">
        <v>27</v>
      </c>
      <c r="H502" t="s">
        <v>1590</v>
      </c>
      <c r="I502" t="s">
        <v>1828</v>
      </c>
      <c r="J502">
        <v>0.1</v>
      </c>
      <c r="L502" s="212" t="str">
        <f>IFERROR(VLOOKUP($H502,PARAMETERS!$M$3:$M$493,1,0),"---")</f>
        <v>---</v>
      </c>
    </row>
    <row r="503" spans="1:12" x14ac:dyDescent="0.3">
      <c r="A503" t="s">
        <v>9</v>
      </c>
      <c r="B503"/>
      <c r="C503"/>
      <c r="D503" t="s">
        <v>9</v>
      </c>
      <c r="E503"/>
      <c r="F503" t="s">
        <v>24</v>
      </c>
      <c r="G503" t="s">
        <v>27</v>
      </c>
      <c r="H503" t="s">
        <v>1592</v>
      </c>
      <c r="I503" t="s">
        <v>1829</v>
      </c>
      <c r="J503">
        <v>1.8</v>
      </c>
      <c r="L503" s="212" t="str">
        <f>IFERROR(VLOOKUP($H503,PARAMETERS!$M$3:$M$493,1,0),"---")</f>
        <v>---</v>
      </c>
    </row>
    <row r="504" spans="1:12" x14ac:dyDescent="0.3">
      <c r="A504" t="s">
        <v>9</v>
      </c>
      <c r="B504"/>
      <c r="C504"/>
      <c r="D504" t="s">
        <v>9</v>
      </c>
      <c r="E504"/>
      <c r="F504" t="s">
        <v>24</v>
      </c>
      <c r="G504" t="s">
        <v>27</v>
      </c>
      <c r="H504" t="s">
        <v>1594</v>
      </c>
      <c r="I504" t="s">
        <v>1830</v>
      </c>
      <c r="J504">
        <v>0.1</v>
      </c>
      <c r="L504" s="212" t="str">
        <f>IFERROR(VLOOKUP($H504,PARAMETERS!$M$3:$M$493,1,0),"---")</f>
        <v>---</v>
      </c>
    </row>
    <row r="505" spans="1:12" x14ac:dyDescent="0.3">
      <c r="A505" t="s">
        <v>9</v>
      </c>
      <c r="B505"/>
      <c r="C505"/>
      <c r="D505" t="s">
        <v>9</v>
      </c>
      <c r="E505"/>
      <c r="F505" t="s">
        <v>24</v>
      </c>
      <c r="G505" t="s">
        <v>27</v>
      </c>
      <c r="H505" t="s">
        <v>1593</v>
      </c>
      <c r="I505" t="s">
        <v>1831</v>
      </c>
      <c r="J505">
        <v>0.1</v>
      </c>
      <c r="L505" s="212" t="str">
        <f>IFERROR(VLOOKUP($H505,PARAMETERS!$M$3:$M$493,1,0),"---")</f>
        <v>---</v>
      </c>
    </row>
    <row r="506" spans="1:12" x14ac:dyDescent="0.3">
      <c r="A506" t="s">
        <v>9</v>
      </c>
      <c r="B506"/>
      <c r="C506"/>
      <c r="D506" t="s">
        <v>9</v>
      </c>
      <c r="E506"/>
      <c r="F506" t="s">
        <v>24</v>
      </c>
      <c r="G506" t="s">
        <v>27</v>
      </c>
      <c r="H506" t="s">
        <v>1595</v>
      </c>
      <c r="I506" t="s">
        <v>1832</v>
      </c>
      <c r="J506">
        <v>1.2</v>
      </c>
      <c r="L506" s="212" t="str">
        <f>IFERROR(VLOOKUP($H506,PARAMETERS!$M$3:$M$493,1,0),"---")</f>
        <v>---</v>
      </c>
    </row>
    <row r="507" spans="1:12" x14ac:dyDescent="0.3">
      <c r="A507"/>
      <c r="B507" t="s">
        <v>9</v>
      </c>
      <c r="C507"/>
      <c r="D507" t="s">
        <v>9</v>
      </c>
      <c r="E507"/>
      <c r="F507" t="s">
        <v>44</v>
      </c>
      <c r="G507" t="s">
        <v>27</v>
      </c>
      <c r="H507" t="s">
        <v>1596</v>
      </c>
      <c r="I507" t="s">
        <v>1597</v>
      </c>
      <c r="J507">
        <v>0</v>
      </c>
      <c r="L507" s="212" t="str">
        <f>IFERROR(VLOOKUP($H507,PARAMETERS!$M$3:$M$493,1,0),"---")</f>
        <v>---</v>
      </c>
    </row>
    <row r="508" spans="1:12" x14ac:dyDescent="0.3">
      <c r="A508" t="s">
        <v>9</v>
      </c>
      <c r="B508" t="s">
        <v>9</v>
      </c>
      <c r="C508"/>
      <c r="D508"/>
      <c r="E508"/>
      <c r="F508" t="s">
        <v>57</v>
      </c>
      <c r="G508" t="s">
        <v>27</v>
      </c>
      <c r="H508" t="s">
        <v>1598</v>
      </c>
      <c r="I508" t="s">
        <v>1599</v>
      </c>
      <c r="L508" s="212" t="str">
        <f>IFERROR(VLOOKUP($H508,PARAMETERS!$M$3:$M$493,1,0),"---")</f>
        <v>gs_3D_representation</v>
      </c>
    </row>
    <row r="509" spans="1:12" x14ac:dyDescent="0.3">
      <c r="A509" t="s">
        <v>9</v>
      </c>
      <c r="B509"/>
      <c r="C509"/>
      <c r="D509"/>
      <c r="E509"/>
      <c r="F509" t="s">
        <v>57</v>
      </c>
      <c r="G509" t="s">
        <v>27</v>
      </c>
      <c r="H509" t="s">
        <v>948</v>
      </c>
      <c r="I509" t="s">
        <v>949</v>
      </c>
      <c r="L509" s="212" t="str">
        <f>IFERROR(VLOOKUP($H509,PARAMETERS!$M$3:$M$493,1,0),"---")</f>
        <v>---</v>
      </c>
    </row>
    <row r="510" spans="1:12" x14ac:dyDescent="0.3">
      <c r="A510" t="s">
        <v>9</v>
      </c>
      <c r="B510"/>
      <c r="C510"/>
      <c r="D510" t="s">
        <v>9</v>
      </c>
      <c r="E510"/>
      <c r="F510" t="s">
        <v>18</v>
      </c>
      <c r="G510" t="s">
        <v>27</v>
      </c>
      <c r="H510" t="s">
        <v>950</v>
      </c>
      <c r="I510" t="s">
        <v>951</v>
      </c>
      <c r="J510" t="s">
        <v>952</v>
      </c>
      <c r="L510" s="212" t="str">
        <f>IFERROR(VLOOKUP($H510,PARAMETERS!$M$3:$M$493,1,0),"---")</f>
        <v>---</v>
      </c>
    </row>
    <row r="511" spans="1:12" x14ac:dyDescent="0.3">
      <c r="A511" t="s">
        <v>9</v>
      </c>
      <c r="B511" t="s">
        <v>9</v>
      </c>
      <c r="C511"/>
      <c r="D511" t="s">
        <v>9</v>
      </c>
      <c r="E511"/>
      <c r="F511" t="s">
        <v>44</v>
      </c>
      <c r="G511" t="s">
        <v>27</v>
      </c>
      <c r="H511" t="s">
        <v>953</v>
      </c>
      <c r="I511" t="s">
        <v>951</v>
      </c>
      <c r="J511">
        <v>1</v>
      </c>
      <c r="L511" s="212" t="str">
        <f>IFERROR(VLOOKUP($H511,PARAMETERS!$M$3:$M$493,1,0),"---")</f>
        <v>---</v>
      </c>
    </row>
    <row r="512" spans="1:12" x14ac:dyDescent="0.3">
      <c r="A512" t="s">
        <v>9</v>
      </c>
      <c r="B512" t="s">
        <v>9</v>
      </c>
      <c r="C512"/>
      <c r="D512" t="s">
        <v>9</v>
      </c>
      <c r="E512"/>
      <c r="F512" t="s">
        <v>18</v>
      </c>
      <c r="G512" t="s">
        <v>27</v>
      </c>
      <c r="H512" t="s">
        <v>954</v>
      </c>
      <c r="I512" t="s">
        <v>955</v>
      </c>
      <c r="J512" t="s">
        <v>956</v>
      </c>
      <c r="L512" s="212" t="str">
        <f>IFERROR(VLOOKUP($H512,PARAMETERS!$M$3:$M$493,1,0),"---")</f>
        <v>---</v>
      </c>
    </row>
    <row r="513" spans="1:12" x14ac:dyDescent="0.3">
      <c r="A513" t="s">
        <v>9</v>
      </c>
      <c r="B513" t="s">
        <v>9</v>
      </c>
      <c r="C513"/>
      <c r="D513" t="s">
        <v>9</v>
      </c>
      <c r="E513"/>
      <c r="F513" t="s">
        <v>44</v>
      </c>
      <c r="G513" t="s">
        <v>27</v>
      </c>
      <c r="H513" t="s">
        <v>957</v>
      </c>
      <c r="I513" t="s">
        <v>955</v>
      </c>
      <c r="J513">
        <v>4</v>
      </c>
      <c r="L513" s="212" t="str">
        <f>IFERROR(VLOOKUP($H513,PARAMETERS!$M$3:$M$493,1,0),"---")</f>
        <v>---</v>
      </c>
    </row>
    <row r="514" spans="1:12" x14ac:dyDescent="0.3">
      <c r="A514" t="s">
        <v>9</v>
      </c>
      <c r="B514"/>
      <c r="C514"/>
      <c r="D514" t="s">
        <v>9</v>
      </c>
      <c r="E514"/>
      <c r="F514" t="s">
        <v>47</v>
      </c>
      <c r="G514" t="s">
        <v>27</v>
      </c>
      <c r="H514" t="s">
        <v>958</v>
      </c>
      <c r="I514" t="s">
        <v>959</v>
      </c>
      <c r="J514">
        <v>1</v>
      </c>
      <c r="L514" s="212" t="str">
        <f>IFERROR(VLOOKUP($H514,PARAMETERS!$M$3:$M$493,1,0),"---")</f>
        <v>---</v>
      </c>
    </row>
    <row r="515" spans="1:12" x14ac:dyDescent="0.3">
      <c r="A515" t="s">
        <v>9</v>
      </c>
      <c r="B515"/>
      <c r="C515"/>
      <c r="D515" t="s">
        <v>9</v>
      </c>
      <c r="E515"/>
      <c r="F515" t="s">
        <v>47</v>
      </c>
      <c r="G515" t="s">
        <v>27</v>
      </c>
      <c r="H515" t="s">
        <v>960</v>
      </c>
      <c r="I515" t="s">
        <v>961</v>
      </c>
      <c r="J515">
        <v>1</v>
      </c>
      <c r="L515" s="212" t="str">
        <f>IFERROR(VLOOKUP($H515,PARAMETERS!$M$3:$M$493,1,0),"---")</f>
        <v>---</v>
      </c>
    </row>
    <row r="516" spans="1:12" x14ac:dyDescent="0.3">
      <c r="A516" t="s">
        <v>9</v>
      </c>
      <c r="B516"/>
      <c r="C516"/>
      <c r="D516" t="s">
        <v>9</v>
      </c>
      <c r="E516"/>
      <c r="F516" t="s">
        <v>47</v>
      </c>
      <c r="G516" t="s">
        <v>27</v>
      </c>
      <c r="H516" t="s">
        <v>962</v>
      </c>
      <c r="I516" t="s">
        <v>963</v>
      </c>
      <c r="J516">
        <v>1</v>
      </c>
      <c r="L516" s="212" t="str">
        <f>IFERROR(VLOOKUP($H516,PARAMETERS!$M$3:$M$493,1,0),"---")</f>
        <v>---</v>
      </c>
    </row>
    <row r="517" spans="1:12" x14ac:dyDescent="0.3">
      <c r="A517" t="s">
        <v>9</v>
      </c>
      <c r="B517"/>
      <c r="C517"/>
      <c r="D517" t="s">
        <v>9</v>
      </c>
      <c r="E517"/>
      <c r="F517" t="s">
        <v>51</v>
      </c>
      <c r="G517" t="s">
        <v>27</v>
      </c>
      <c r="H517" t="s">
        <v>964</v>
      </c>
      <c r="I517" t="s">
        <v>965</v>
      </c>
      <c r="J517">
        <v>1</v>
      </c>
      <c r="L517" s="212" t="str">
        <f>IFERROR(VLOOKUP($H517,PARAMETERS!$M$3:$M$493,1,0),"---")</f>
        <v>---</v>
      </c>
    </row>
    <row r="518" spans="1:12" x14ac:dyDescent="0.3">
      <c r="A518" t="s">
        <v>9</v>
      </c>
      <c r="B518"/>
      <c r="C518"/>
      <c r="D518" t="s">
        <v>9</v>
      </c>
      <c r="E518"/>
      <c r="F518" t="s">
        <v>51</v>
      </c>
      <c r="G518" t="s">
        <v>27</v>
      </c>
      <c r="H518" t="s">
        <v>966</v>
      </c>
      <c r="I518" t="s">
        <v>967</v>
      </c>
      <c r="J518">
        <v>1</v>
      </c>
      <c r="L518" s="212" t="str">
        <f>IFERROR(VLOOKUP($H518,PARAMETERS!$M$3:$M$493,1,0),"---")</f>
        <v>---</v>
      </c>
    </row>
    <row r="519" spans="1:12" x14ac:dyDescent="0.3">
      <c r="A519" t="s">
        <v>9</v>
      </c>
      <c r="B519"/>
      <c r="C519"/>
      <c r="D519" t="s">
        <v>9</v>
      </c>
      <c r="E519"/>
      <c r="F519" t="s">
        <v>47</v>
      </c>
      <c r="G519" t="s">
        <v>27</v>
      </c>
      <c r="H519" t="s">
        <v>968</v>
      </c>
      <c r="I519" t="s">
        <v>969</v>
      </c>
      <c r="J519">
        <v>1</v>
      </c>
      <c r="L519" s="212" t="str">
        <f>IFERROR(VLOOKUP($H519,PARAMETERS!$M$3:$M$493,1,0),"---")</f>
        <v>---</v>
      </c>
    </row>
    <row r="520" spans="1:12" x14ac:dyDescent="0.3">
      <c r="A520" t="s">
        <v>9</v>
      </c>
      <c r="B520"/>
      <c r="C520"/>
      <c r="D520" t="s">
        <v>9</v>
      </c>
      <c r="E520"/>
      <c r="F520" t="s">
        <v>47</v>
      </c>
      <c r="G520" t="s">
        <v>27</v>
      </c>
      <c r="H520" t="s">
        <v>970</v>
      </c>
      <c r="I520" t="s">
        <v>971</v>
      </c>
      <c r="J520">
        <v>1</v>
      </c>
      <c r="L520" s="212" t="str">
        <f>IFERROR(VLOOKUP($H520,PARAMETERS!$M$3:$M$493,1,0),"---")</f>
        <v>---</v>
      </c>
    </row>
    <row r="521" spans="1:12" x14ac:dyDescent="0.3">
      <c r="A521" t="s">
        <v>9</v>
      </c>
      <c r="B521"/>
      <c r="C521"/>
      <c r="D521" t="s">
        <v>9</v>
      </c>
      <c r="E521"/>
      <c r="F521" t="s">
        <v>51</v>
      </c>
      <c r="G521" t="s">
        <v>27</v>
      </c>
      <c r="H521" t="s">
        <v>972</v>
      </c>
      <c r="I521" t="s">
        <v>973</v>
      </c>
      <c r="J521">
        <v>1</v>
      </c>
      <c r="L521" s="212" t="str">
        <f>IFERROR(VLOOKUP($H521,PARAMETERS!$M$3:$M$493,1,0),"---")</f>
        <v>---</v>
      </c>
    </row>
    <row r="522" spans="1:12" x14ac:dyDescent="0.3">
      <c r="A522" t="s">
        <v>9</v>
      </c>
      <c r="B522"/>
      <c r="C522"/>
      <c r="D522" t="s">
        <v>9</v>
      </c>
      <c r="E522"/>
      <c r="F522" t="s">
        <v>51</v>
      </c>
      <c r="G522" t="s">
        <v>27</v>
      </c>
      <c r="H522" t="s">
        <v>974</v>
      </c>
      <c r="I522" t="s">
        <v>975</v>
      </c>
      <c r="J522">
        <v>1</v>
      </c>
      <c r="L522" s="212" t="str">
        <f>IFERROR(VLOOKUP($H522,PARAMETERS!$M$3:$M$493,1,0),"---")</f>
        <v>---</v>
      </c>
    </row>
    <row r="523" spans="1:12" x14ac:dyDescent="0.3">
      <c r="A523" t="s">
        <v>9</v>
      </c>
      <c r="B523"/>
      <c r="C523"/>
      <c r="D523" t="s">
        <v>9</v>
      </c>
      <c r="E523"/>
      <c r="F523" t="s">
        <v>53</v>
      </c>
      <c r="G523" t="s">
        <v>27</v>
      </c>
      <c r="H523" t="s">
        <v>976</v>
      </c>
      <c r="I523" t="s">
        <v>977</v>
      </c>
      <c r="J523">
        <v>1</v>
      </c>
      <c r="L523" s="212" t="str">
        <f>IFERROR(VLOOKUP($H523,PARAMETERS!$M$3:$M$493,1,0),"---")</f>
        <v>---</v>
      </c>
    </row>
    <row r="524" spans="1:12" x14ac:dyDescent="0.3">
      <c r="A524" t="s">
        <v>9</v>
      </c>
      <c r="B524"/>
      <c r="C524"/>
      <c r="D524" t="s">
        <v>9</v>
      </c>
      <c r="E524"/>
      <c r="F524" t="s">
        <v>53</v>
      </c>
      <c r="G524" t="s">
        <v>27</v>
      </c>
      <c r="H524" t="s">
        <v>978</v>
      </c>
      <c r="I524" t="s">
        <v>979</v>
      </c>
      <c r="J524">
        <v>1</v>
      </c>
      <c r="L524" s="212" t="str">
        <f>IFERROR(VLOOKUP($H524,PARAMETERS!$M$3:$M$493,1,0),"---")</f>
        <v>---</v>
      </c>
    </row>
    <row r="525" spans="1:12" x14ac:dyDescent="0.3">
      <c r="A525" t="s">
        <v>9</v>
      </c>
      <c r="B525"/>
      <c r="C525"/>
      <c r="D525"/>
      <c r="E525"/>
      <c r="F525" t="s">
        <v>57</v>
      </c>
      <c r="G525" t="s">
        <v>27</v>
      </c>
      <c r="H525" t="s">
        <v>980</v>
      </c>
      <c r="I525" t="s">
        <v>981</v>
      </c>
      <c r="L525" s="212" t="str">
        <f>IFERROR(VLOOKUP($H525,PARAMETERS!$M$3:$M$493,1,0),"---")</f>
        <v>---</v>
      </c>
    </row>
    <row r="526" spans="1:12" x14ac:dyDescent="0.3">
      <c r="A526" t="s">
        <v>9</v>
      </c>
      <c r="B526"/>
      <c r="C526"/>
      <c r="D526" t="s">
        <v>9</v>
      </c>
      <c r="E526"/>
      <c r="F526" t="s">
        <v>44</v>
      </c>
      <c r="G526" t="s">
        <v>27</v>
      </c>
      <c r="H526" t="s">
        <v>982</v>
      </c>
      <c r="I526" t="s">
        <v>983</v>
      </c>
      <c r="J526">
        <v>0</v>
      </c>
      <c r="L526" s="212" t="str">
        <f>IFERROR(VLOOKUP($H526,PARAMETERS!$M$3:$M$493,1,0),"---")</f>
        <v>---</v>
      </c>
    </row>
    <row r="527" spans="1:12" x14ac:dyDescent="0.3">
      <c r="A527" t="s">
        <v>9</v>
      </c>
      <c r="B527"/>
      <c r="C527"/>
      <c r="D527" t="s">
        <v>9</v>
      </c>
      <c r="E527"/>
      <c r="F527" t="s">
        <v>44</v>
      </c>
      <c r="G527" t="s">
        <v>27</v>
      </c>
      <c r="H527" t="s">
        <v>984</v>
      </c>
      <c r="I527" t="s">
        <v>985</v>
      </c>
      <c r="J527">
        <v>0</v>
      </c>
      <c r="L527" s="212" t="str">
        <f>IFERROR(VLOOKUP($H527,PARAMETERS!$M$3:$M$493,1,0),"---")</f>
        <v>---</v>
      </c>
    </row>
    <row r="528" spans="1:12" x14ac:dyDescent="0.3">
      <c r="A528" t="s">
        <v>9</v>
      </c>
      <c r="B528"/>
      <c r="C528"/>
      <c r="D528" t="s">
        <v>9</v>
      </c>
      <c r="E528"/>
      <c r="F528" t="s">
        <v>47</v>
      </c>
      <c r="G528" t="s">
        <v>27</v>
      </c>
      <c r="H528" t="s">
        <v>986</v>
      </c>
      <c r="I528" t="s">
        <v>987</v>
      </c>
      <c r="J528">
        <v>1</v>
      </c>
      <c r="L528" s="212" t="str">
        <f>IFERROR(VLOOKUP($H528,PARAMETERS!$M$3:$M$493,1,0),"---")</f>
        <v>---</v>
      </c>
    </row>
    <row r="529" spans="1:12" x14ac:dyDescent="0.3">
      <c r="A529" t="s">
        <v>9</v>
      </c>
      <c r="B529"/>
      <c r="C529"/>
      <c r="D529" t="s">
        <v>9</v>
      </c>
      <c r="E529"/>
      <c r="F529" t="s">
        <v>24</v>
      </c>
      <c r="G529" t="s">
        <v>27</v>
      </c>
      <c r="H529" t="s">
        <v>988</v>
      </c>
      <c r="I529" t="s">
        <v>989</v>
      </c>
      <c r="J529">
        <v>0</v>
      </c>
      <c r="L529" s="212" t="str">
        <f>IFERROR(VLOOKUP($H529,PARAMETERS!$M$3:$M$493,1,0),"---")</f>
        <v>---</v>
      </c>
    </row>
    <row r="530" spans="1:12" x14ac:dyDescent="0.3">
      <c r="A530" t="s">
        <v>9</v>
      </c>
      <c r="B530"/>
      <c r="C530"/>
      <c r="D530" t="s">
        <v>9</v>
      </c>
      <c r="E530"/>
      <c r="F530" t="s">
        <v>24</v>
      </c>
      <c r="G530" t="s">
        <v>27</v>
      </c>
      <c r="H530" t="s">
        <v>990</v>
      </c>
      <c r="I530" t="s">
        <v>991</v>
      </c>
      <c r="J530">
        <v>0</v>
      </c>
      <c r="L530" s="212" t="str">
        <f>IFERROR(VLOOKUP($H530,PARAMETERS!$M$3:$M$493,1,0),"---")</f>
        <v>---</v>
      </c>
    </row>
    <row r="531" spans="1:12" x14ac:dyDescent="0.3">
      <c r="A531" t="s">
        <v>9</v>
      </c>
      <c r="B531"/>
      <c r="C531"/>
      <c r="D531" t="s">
        <v>9</v>
      </c>
      <c r="E531"/>
      <c r="F531" t="s">
        <v>24</v>
      </c>
      <c r="G531" t="s">
        <v>27</v>
      </c>
      <c r="H531" t="s">
        <v>992</v>
      </c>
      <c r="I531" t="s">
        <v>993</v>
      </c>
      <c r="J531">
        <v>0</v>
      </c>
      <c r="L531" s="212" t="str">
        <f>IFERROR(VLOOKUP($H531,PARAMETERS!$M$3:$M$493,1,0),"---")</f>
        <v>---</v>
      </c>
    </row>
    <row r="532" spans="1:12" x14ac:dyDescent="0.3">
      <c r="A532" t="s">
        <v>9</v>
      </c>
      <c r="B532"/>
      <c r="C532"/>
      <c r="D532" t="s">
        <v>9</v>
      </c>
      <c r="E532"/>
      <c r="F532" t="s">
        <v>24</v>
      </c>
      <c r="G532" t="s">
        <v>27</v>
      </c>
      <c r="H532" t="s">
        <v>994</v>
      </c>
      <c r="I532" t="s">
        <v>995</v>
      </c>
      <c r="J532">
        <v>0</v>
      </c>
      <c r="L532" s="212" t="str">
        <f>IFERROR(VLOOKUP($H532,PARAMETERS!$M$3:$M$493,1,0),"---")</f>
        <v>---</v>
      </c>
    </row>
    <row r="533" spans="1:12" x14ac:dyDescent="0.3">
      <c r="A533" t="s">
        <v>9</v>
      </c>
      <c r="B533"/>
      <c r="C533"/>
      <c r="D533" t="s">
        <v>9</v>
      </c>
      <c r="E533"/>
      <c r="F533" t="s">
        <v>24</v>
      </c>
      <c r="G533" t="s">
        <v>27</v>
      </c>
      <c r="H533" t="s">
        <v>996</v>
      </c>
      <c r="I533" t="s">
        <v>997</v>
      </c>
      <c r="J533">
        <v>0.01</v>
      </c>
      <c r="L533" s="212" t="str">
        <f>IFERROR(VLOOKUP($H533,PARAMETERS!$M$3:$M$493,1,0),"---")</f>
        <v>---</v>
      </c>
    </row>
    <row r="534" spans="1:12" x14ac:dyDescent="0.3">
      <c r="A534" t="s">
        <v>9</v>
      </c>
      <c r="B534"/>
      <c r="C534"/>
      <c r="D534" t="s">
        <v>9</v>
      </c>
      <c r="E534"/>
      <c r="F534" t="s">
        <v>24</v>
      </c>
      <c r="G534" t="s">
        <v>27</v>
      </c>
      <c r="H534" t="s">
        <v>998</v>
      </c>
      <c r="I534" t="s">
        <v>999</v>
      </c>
      <c r="J534">
        <v>0.01</v>
      </c>
      <c r="L534" s="212" t="str">
        <f>IFERROR(VLOOKUP($H534,PARAMETERS!$M$3:$M$493,1,0),"---")</f>
        <v>---</v>
      </c>
    </row>
    <row r="535" spans="1:12" x14ac:dyDescent="0.3">
      <c r="A535" t="s">
        <v>9</v>
      </c>
      <c r="B535"/>
      <c r="C535"/>
      <c r="D535" t="s">
        <v>9</v>
      </c>
      <c r="E535"/>
      <c r="F535" t="s">
        <v>53</v>
      </c>
      <c r="G535" t="s">
        <v>27</v>
      </c>
      <c r="H535" t="s">
        <v>1000</v>
      </c>
      <c r="I535" t="s">
        <v>1001</v>
      </c>
      <c r="J535">
        <v>1</v>
      </c>
      <c r="L535" s="212" t="str">
        <f>IFERROR(VLOOKUP($H535,PARAMETERS!$M$3:$M$493,1,0),"---")</f>
        <v>---</v>
      </c>
    </row>
    <row r="536" spans="1:12" x14ac:dyDescent="0.3">
      <c r="A536" t="s">
        <v>9</v>
      </c>
      <c r="B536"/>
      <c r="C536"/>
      <c r="D536" t="s">
        <v>9</v>
      </c>
      <c r="E536"/>
      <c r="F536" t="s">
        <v>51</v>
      </c>
      <c r="G536" t="s">
        <v>27</v>
      </c>
      <c r="H536" t="s">
        <v>1002</v>
      </c>
      <c r="I536" t="s">
        <v>1003</v>
      </c>
      <c r="J536">
        <v>1</v>
      </c>
      <c r="L536" s="212" t="str">
        <f>IFERROR(VLOOKUP($H536,PARAMETERS!$M$3:$M$493,1,0),"---")</f>
        <v>---</v>
      </c>
    </row>
    <row r="537" spans="1:12" x14ac:dyDescent="0.3">
      <c r="A537" t="s">
        <v>9</v>
      </c>
      <c r="B537"/>
      <c r="C537"/>
      <c r="D537" t="s">
        <v>9</v>
      </c>
      <c r="E537"/>
      <c r="F537" t="s">
        <v>52</v>
      </c>
      <c r="G537" t="s">
        <v>27</v>
      </c>
      <c r="H537" t="s">
        <v>1004</v>
      </c>
      <c r="I537" t="s">
        <v>1005</v>
      </c>
      <c r="J537">
        <v>65</v>
      </c>
      <c r="L537" s="212" t="str">
        <f>IFERROR(VLOOKUP($H537,PARAMETERS!$M$3:$M$493,1,0),"---")</f>
        <v>---</v>
      </c>
    </row>
    <row r="538" spans="1:12" x14ac:dyDescent="0.3">
      <c r="A538" t="s">
        <v>9</v>
      </c>
      <c r="B538"/>
      <c r="C538"/>
      <c r="D538" t="s">
        <v>9</v>
      </c>
      <c r="E538"/>
      <c r="F538" t="s">
        <v>53</v>
      </c>
      <c r="G538" t="s">
        <v>27</v>
      </c>
      <c r="H538" t="s">
        <v>1006</v>
      </c>
      <c r="I538" t="s">
        <v>1007</v>
      </c>
      <c r="J538">
        <v>2</v>
      </c>
      <c r="L538" s="212" t="str">
        <f>IFERROR(VLOOKUP($H538,PARAMETERS!$M$3:$M$493,1,0),"---")</f>
        <v>---</v>
      </c>
    </row>
    <row r="539" spans="1:12" x14ac:dyDescent="0.3">
      <c r="A539" t="s">
        <v>9</v>
      </c>
      <c r="B539"/>
      <c r="C539"/>
      <c r="D539" t="s">
        <v>9</v>
      </c>
      <c r="E539"/>
      <c r="F539" t="s">
        <v>53</v>
      </c>
      <c r="G539" t="s">
        <v>27</v>
      </c>
      <c r="H539" t="s">
        <v>1008</v>
      </c>
      <c r="I539" t="s">
        <v>1009</v>
      </c>
      <c r="J539">
        <v>19</v>
      </c>
      <c r="L539" s="212" t="str">
        <f>IFERROR(VLOOKUP($H539,PARAMETERS!$M$3:$M$493,1,0),"---")</f>
        <v>---</v>
      </c>
    </row>
    <row r="540" spans="1:12" x14ac:dyDescent="0.3">
      <c r="A540" t="s">
        <v>9</v>
      </c>
      <c r="B540"/>
      <c r="C540"/>
      <c r="D540" t="s">
        <v>9</v>
      </c>
      <c r="E540"/>
      <c r="F540" t="s">
        <v>53</v>
      </c>
      <c r="G540" t="s">
        <v>27</v>
      </c>
      <c r="H540" t="s">
        <v>1010</v>
      </c>
      <c r="I540" t="s">
        <v>1011</v>
      </c>
      <c r="J540">
        <v>1</v>
      </c>
      <c r="L540" s="212" t="str">
        <f>IFERROR(VLOOKUP($H540,PARAMETERS!$M$3:$M$493,1,0),"---")</f>
        <v>---</v>
      </c>
    </row>
    <row r="541" spans="1:12" x14ac:dyDescent="0.3">
      <c r="A541"/>
      <c r="B541"/>
      <c r="C541"/>
      <c r="D541" t="s">
        <v>9</v>
      </c>
      <c r="E541"/>
      <c r="F541" t="s">
        <v>51</v>
      </c>
      <c r="G541" t="s">
        <v>27</v>
      </c>
      <c r="H541" t="s">
        <v>1012</v>
      </c>
      <c r="I541" t="s">
        <v>1013</v>
      </c>
      <c r="J541">
        <v>1</v>
      </c>
      <c r="L541" s="212" t="str">
        <f>IFERROR(VLOOKUP($H541,PARAMETERS!$M$3:$M$493,1,0),"---")</f>
        <v>---</v>
      </c>
    </row>
    <row r="542" spans="1:12" x14ac:dyDescent="0.3">
      <c r="A542"/>
      <c r="B542"/>
      <c r="C542"/>
      <c r="D542" t="s">
        <v>9</v>
      </c>
      <c r="E542"/>
      <c r="F542" t="s">
        <v>52</v>
      </c>
      <c r="G542" t="s">
        <v>27</v>
      </c>
      <c r="H542" t="s">
        <v>1014</v>
      </c>
      <c r="I542" t="s">
        <v>1015</v>
      </c>
      <c r="J542">
        <v>64</v>
      </c>
      <c r="L542" s="212" t="str">
        <f>IFERROR(VLOOKUP($H542,PARAMETERS!$M$3:$M$493,1,0),"---")</f>
        <v>---</v>
      </c>
    </row>
    <row r="543" spans="1:12" x14ac:dyDescent="0.3">
      <c r="A543" t="s">
        <v>9</v>
      </c>
      <c r="B543"/>
      <c r="C543"/>
      <c r="D543" t="s">
        <v>9</v>
      </c>
      <c r="E543"/>
      <c r="F543" t="s">
        <v>53</v>
      </c>
      <c r="G543" t="s">
        <v>27</v>
      </c>
      <c r="H543" t="s">
        <v>1016</v>
      </c>
      <c r="I543" t="s">
        <v>1011</v>
      </c>
      <c r="J543">
        <v>2</v>
      </c>
      <c r="L543" s="212" t="str">
        <f>IFERROR(VLOOKUP($H543,PARAMETERS!$M$3:$M$493,1,0),"---")</f>
        <v>---</v>
      </c>
    </row>
    <row r="544" spans="1:12" x14ac:dyDescent="0.3">
      <c r="A544"/>
      <c r="B544"/>
      <c r="C544"/>
      <c r="D544" t="s">
        <v>9</v>
      </c>
      <c r="E544"/>
      <c r="F544" t="s">
        <v>53</v>
      </c>
      <c r="G544" t="s">
        <v>27</v>
      </c>
      <c r="H544" t="s">
        <v>1017</v>
      </c>
      <c r="I544" t="s">
        <v>1018</v>
      </c>
      <c r="J544">
        <v>19</v>
      </c>
      <c r="L544" s="212" t="str">
        <f>IFERROR(VLOOKUP($H544,PARAMETERS!$M$3:$M$493,1,0),"---")</f>
        <v>---</v>
      </c>
    </row>
    <row r="545" spans="1:12" x14ac:dyDescent="0.3">
      <c r="A545" t="s">
        <v>9</v>
      </c>
      <c r="B545" t="s">
        <v>9</v>
      </c>
      <c r="C545"/>
      <c r="D545"/>
      <c r="E545"/>
      <c r="F545" t="s">
        <v>57</v>
      </c>
      <c r="G545" t="s">
        <v>27</v>
      </c>
      <c r="H545" t="s">
        <v>1772</v>
      </c>
      <c r="I545" t="s">
        <v>1833</v>
      </c>
      <c r="L545" s="212" t="str">
        <f>IFERROR(VLOOKUP($H545,PARAMETERS!$M$3:$M$493,1,0),"---")</f>
        <v>---</v>
      </c>
    </row>
    <row r="546" spans="1:12" x14ac:dyDescent="0.3">
      <c r="A546" t="s">
        <v>9</v>
      </c>
      <c r="B546" t="s">
        <v>9</v>
      </c>
      <c r="C546"/>
      <c r="D546" t="s">
        <v>9</v>
      </c>
      <c r="E546"/>
      <c r="F546" t="s">
        <v>24</v>
      </c>
      <c r="G546" t="s">
        <v>27</v>
      </c>
      <c r="H546" t="s">
        <v>1773</v>
      </c>
      <c r="I546" t="s">
        <v>1834</v>
      </c>
      <c r="J546">
        <v>0</v>
      </c>
      <c r="L546" s="212" t="str">
        <f>IFERROR(VLOOKUP($H546,PARAMETERS!$M$3:$M$493,1,0),"---")</f>
        <v>---</v>
      </c>
    </row>
    <row r="547" spans="1:12" x14ac:dyDescent="0.3">
      <c r="A547" t="s">
        <v>9</v>
      </c>
      <c r="B547" t="s">
        <v>9</v>
      </c>
      <c r="C547"/>
      <c r="D547" t="s">
        <v>9</v>
      </c>
      <c r="E547"/>
      <c r="F547" t="s">
        <v>24</v>
      </c>
      <c r="G547" t="s">
        <v>27</v>
      </c>
      <c r="H547" t="s">
        <v>1774</v>
      </c>
      <c r="I547" t="s">
        <v>1835</v>
      </c>
      <c r="J547">
        <v>0</v>
      </c>
      <c r="L547" s="212" t="str">
        <f>IFERROR(VLOOKUP($H547,PARAMETERS!$M$3:$M$493,1,0),"---")</f>
        <v>---</v>
      </c>
    </row>
    <row r="548" spans="1:12" x14ac:dyDescent="0.3">
      <c r="A548" t="s">
        <v>9</v>
      </c>
      <c r="B548" t="s">
        <v>9</v>
      </c>
      <c r="C548"/>
      <c r="D548" t="s">
        <v>9</v>
      </c>
      <c r="E548"/>
      <c r="F548" t="s">
        <v>24</v>
      </c>
      <c r="G548" t="s">
        <v>27</v>
      </c>
      <c r="H548" t="s">
        <v>1775</v>
      </c>
      <c r="I548" t="s">
        <v>1836</v>
      </c>
      <c r="J548">
        <v>0</v>
      </c>
      <c r="L548" s="212" t="str">
        <f>IFERROR(VLOOKUP($H548,PARAMETERS!$M$3:$M$493,1,0),"---")</f>
        <v>---</v>
      </c>
    </row>
    <row r="549" spans="1:12" x14ac:dyDescent="0.3">
      <c r="A549" t="s">
        <v>9</v>
      </c>
      <c r="B549" t="s">
        <v>9</v>
      </c>
      <c r="C549"/>
      <c r="D549" t="s">
        <v>9</v>
      </c>
      <c r="E549"/>
      <c r="F549" t="s">
        <v>24</v>
      </c>
      <c r="G549" t="s">
        <v>27</v>
      </c>
      <c r="H549" t="s">
        <v>1776</v>
      </c>
      <c r="I549" t="s">
        <v>1837</v>
      </c>
      <c r="J549">
        <v>0</v>
      </c>
      <c r="L549" s="212" t="str">
        <f>IFERROR(VLOOKUP($H549,PARAMETERS!$M$3:$M$493,1,0),"---")</f>
        <v>---</v>
      </c>
    </row>
    <row r="550" spans="1:12" x14ac:dyDescent="0.3">
      <c r="A550" t="s">
        <v>9</v>
      </c>
      <c r="B550" t="s">
        <v>9</v>
      </c>
      <c r="C550"/>
      <c r="D550" t="s">
        <v>9</v>
      </c>
      <c r="E550"/>
      <c r="F550" t="s">
        <v>47</v>
      </c>
      <c r="G550" t="s">
        <v>27</v>
      </c>
      <c r="H550" t="s">
        <v>241</v>
      </c>
      <c r="I550" t="s">
        <v>1838</v>
      </c>
      <c r="J550">
        <v>1</v>
      </c>
      <c r="L550" s="212" t="str">
        <f>IFERROR(VLOOKUP($H550,PARAMETERS!$M$3:$M$493,1,0),"---")</f>
        <v>gs_full_edit</v>
      </c>
    </row>
    <row r="551" spans="1:12" x14ac:dyDescent="0.3">
      <c r="A551" t="s">
        <v>9</v>
      </c>
      <c r="B551"/>
      <c r="C551"/>
      <c r="D551" t="s">
        <v>9</v>
      </c>
      <c r="E551" t="s">
        <v>9</v>
      </c>
      <c r="F551" t="s">
        <v>18</v>
      </c>
      <c r="G551" t="s">
        <v>27</v>
      </c>
      <c r="H551" t="s">
        <v>1757</v>
      </c>
      <c r="I551" t="s">
        <v>1758</v>
      </c>
      <c r="J551" t="s">
        <v>1759</v>
      </c>
      <c r="L551" s="212" t="str">
        <f>IFERROR(VLOOKUP($H551,PARAMETERS!$M$3:$M$493,1,0),"---")</f>
        <v>---</v>
      </c>
    </row>
    <row r="552" spans="1:12" x14ac:dyDescent="0.3">
      <c r="A552" t="s">
        <v>9</v>
      </c>
      <c r="B552" t="s">
        <v>9</v>
      </c>
      <c r="C552"/>
      <c r="D552" t="s">
        <v>9</v>
      </c>
      <c r="E552" t="s">
        <v>9</v>
      </c>
      <c r="F552" t="s">
        <v>44</v>
      </c>
      <c r="G552" t="s">
        <v>27</v>
      </c>
      <c r="H552" t="s">
        <v>1760</v>
      </c>
      <c r="I552" t="s">
        <v>1758</v>
      </c>
      <c r="J552">
        <v>2</v>
      </c>
      <c r="L552" s="212" t="str">
        <f>IFERROR(VLOOKUP($H552,PARAMETERS!$M$3:$M$493,1,0),"---")</f>
        <v>---</v>
      </c>
    </row>
    <row r="553" spans="1:12" x14ac:dyDescent="0.3">
      <c r="A553" t="s">
        <v>9</v>
      </c>
      <c r="B553" t="s">
        <v>9</v>
      </c>
      <c r="C553"/>
      <c r="D553" t="s">
        <v>9</v>
      </c>
      <c r="E553" t="s">
        <v>9</v>
      </c>
      <c r="F553" t="s">
        <v>24</v>
      </c>
      <c r="G553" t="s">
        <v>27</v>
      </c>
      <c r="H553" t="s">
        <v>1761</v>
      </c>
      <c r="J553">
        <v>0</v>
      </c>
      <c r="L553" s="212" t="str">
        <f>IFERROR(VLOOKUP($H553,PARAMETERS!$M$3:$M$493,1,0),"---")</f>
        <v>---</v>
      </c>
    </row>
    <row r="554" spans="1:12" x14ac:dyDescent="0.3">
      <c r="A554" t="s">
        <v>9</v>
      </c>
      <c r="B554" t="s">
        <v>9</v>
      </c>
      <c r="C554"/>
      <c r="D554" t="s">
        <v>9</v>
      </c>
      <c r="E554" t="s">
        <v>9</v>
      </c>
      <c r="F554" t="s">
        <v>24</v>
      </c>
      <c r="G554" t="s">
        <v>27</v>
      </c>
      <c r="H554" t="s">
        <v>1762</v>
      </c>
      <c r="J554">
        <v>0</v>
      </c>
      <c r="L554" s="212" t="str">
        <f>IFERROR(VLOOKUP($H554,PARAMETERS!$M$3:$M$493,1,0),"---")</f>
        <v>---</v>
      </c>
    </row>
    <row r="555" spans="1:12" x14ac:dyDescent="0.3">
      <c r="A555" t="s">
        <v>9</v>
      </c>
      <c r="B555" t="s">
        <v>9</v>
      </c>
      <c r="C555"/>
      <c r="D555" t="s">
        <v>9</v>
      </c>
      <c r="E555" t="s">
        <v>9</v>
      </c>
      <c r="F555" t="s">
        <v>24</v>
      </c>
      <c r="G555" t="s">
        <v>27</v>
      </c>
      <c r="H555" t="s">
        <v>1763</v>
      </c>
      <c r="J555">
        <v>0</v>
      </c>
      <c r="L555" s="212" t="str">
        <f>IFERROR(VLOOKUP($H555,PARAMETERS!$M$3:$M$493,1,0),"---")</f>
        <v>---</v>
      </c>
    </row>
    <row r="556" spans="1:12" x14ac:dyDescent="0.3">
      <c r="A556" t="s">
        <v>9</v>
      </c>
      <c r="B556" t="s">
        <v>9</v>
      </c>
      <c r="C556"/>
      <c r="D556" t="s">
        <v>9</v>
      </c>
      <c r="E556" t="s">
        <v>9</v>
      </c>
      <c r="F556" t="s">
        <v>24</v>
      </c>
      <c r="G556" t="s">
        <v>27</v>
      </c>
      <c r="H556" t="s">
        <v>1764</v>
      </c>
      <c r="J556">
        <v>0</v>
      </c>
      <c r="L556" s="212" t="str">
        <f>IFERROR(VLOOKUP($H556,PARAMETERS!$M$3:$M$493,1,0),"---")</f>
        <v>---</v>
      </c>
    </row>
    <row r="557" spans="1:12" x14ac:dyDescent="0.3">
      <c r="A557" t="s">
        <v>9</v>
      </c>
      <c r="B557" t="s">
        <v>9</v>
      </c>
      <c r="C557"/>
      <c r="D557" t="s">
        <v>9</v>
      </c>
      <c r="E557" t="s">
        <v>9</v>
      </c>
      <c r="F557" t="s">
        <v>24</v>
      </c>
      <c r="G557" t="s">
        <v>27</v>
      </c>
      <c r="H557" t="s">
        <v>1765</v>
      </c>
      <c r="J557">
        <v>0</v>
      </c>
      <c r="L557" s="212" t="str">
        <f>IFERROR(VLOOKUP($H557,PARAMETERS!$M$3:$M$493,1,0),"---")</f>
        <v>---</v>
      </c>
    </row>
    <row r="558" spans="1:12" x14ac:dyDescent="0.3">
      <c r="A558" t="s">
        <v>9</v>
      </c>
      <c r="B558" t="s">
        <v>9</v>
      </c>
      <c r="C558"/>
      <c r="D558" t="s">
        <v>9</v>
      </c>
      <c r="E558" t="s">
        <v>9</v>
      </c>
      <c r="F558" t="s">
        <v>24</v>
      </c>
      <c r="G558" t="s">
        <v>27</v>
      </c>
      <c r="H558" t="s">
        <v>1766</v>
      </c>
      <c r="J558">
        <v>0</v>
      </c>
      <c r="L558" s="212" t="str">
        <f>IFERROR(VLOOKUP($H558,PARAMETERS!$M$3:$M$493,1,0),"---")</f>
        <v>---</v>
      </c>
    </row>
    <row r="559" spans="1:12" x14ac:dyDescent="0.3">
      <c r="A559" t="s">
        <v>9</v>
      </c>
      <c r="B559" t="s">
        <v>9</v>
      </c>
      <c r="C559"/>
      <c r="D559" t="s">
        <v>9</v>
      </c>
      <c r="E559" t="s">
        <v>9</v>
      </c>
      <c r="F559" t="s">
        <v>24</v>
      </c>
      <c r="G559" t="s">
        <v>27</v>
      </c>
      <c r="H559" t="s">
        <v>1767</v>
      </c>
      <c r="J559">
        <v>0</v>
      </c>
      <c r="L559" s="212" t="str">
        <f>IFERROR(VLOOKUP($H559,PARAMETERS!$M$3:$M$493,1,0),"---")</f>
        <v>---</v>
      </c>
    </row>
    <row r="560" spans="1:12" x14ac:dyDescent="0.3">
      <c r="A560" t="s">
        <v>9</v>
      </c>
      <c r="B560" t="s">
        <v>9</v>
      </c>
      <c r="C560"/>
      <c r="D560" t="s">
        <v>9</v>
      </c>
      <c r="E560" t="s">
        <v>9</v>
      </c>
      <c r="F560" t="s">
        <v>24</v>
      </c>
      <c r="G560" t="s">
        <v>27</v>
      </c>
      <c r="H560" t="s">
        <v>1768</v>
      </c>
      <c r="J560">
        <v>0</v>
      </c>
      <c r="L560" s="212" t="str">
        <f>IFERROR(VLOOKUP($H560,PARAMETERS!$M$3:$M$493,1,0),"---")</f>
        <v>---</v>
      </c>
    </row>
    <row r="561" spans="1:12" x14ac:dyDescent="0.3">
      <c r="A561" t="s">
        <v>9</v>
      </c>
      <c r="B561" t="s">
        <v>9</v>
      </c>
      <c r="C561"/>
      <c r="D561" t="s">
        <v>9</v>
      </c>
      <c r="E561" t="s">
        <v>9</v>
      </c>
      <c r="F561" t="s">
        <v>24</v>
      </c>
      <c r="G561" t="s">
        <v>27</v>
      </c>
      <c r="H561" t="s">
        <v>1769</v>
      </c>
      <c r="J561">
        <v>0</v>
      </c>
      <c r="L561" s="212" t="str">
        <f>IFERROR(VLOOKUP($H561,PARAMETERS!$M$3:$M$493,1,0),"---")</f>
        <v>---</v>
      </c>
    </row>
    <row r="562" spans="1:12" x14ac:dyDescent="0.3">
      <c r="A562" t="s">
        <v>9</v>
      </c>
      <c r="B562" t="s">
        <v>9</v>
      </c>
      <c r="C562"/>
      <c r="D562" t="s">
        <v>9</v>
      </c>
      <c r="E562" t="s">
        <v>9</v>
      </c>
      <c r="F562" t="s">
        <v>24</v>
      </c>
      <c r="G562" t="s">
        <v>27</v>
      </c>
      <c r="H562" t="s">
        <v>1770</v>
      </c>
      <c r="J562">
        <v>0</v>
      </c>
      <c r="L562" s="212" t="str">
        <f>IFERROR(VLOOKUP($H562,PARAMETERS!$M$3:$M$493,1,0),"---")</f>
        <v>---</v>
      </c>
    </row>
    <row r="563" spans="1:12" x14ac:dyDescent="0.3">
      <c r="A563" t="s">
        <v>9</v>
      </c>
      <c r="B563" t="s">
        <v>9</v>
      </c>
      <c r="C563"/>
      <c r="D563" t="s">
        <v>9</v>
      </c>
      <c r="E563" t="s">
        <v>9</v>
      </c>
      <c r="F563" t="s">
        <v>24</v>
      </c>
      <c r="G563" t="s">
        <v>27</v>
      </c>
      <c r="H563" t="s">
        <v>1771</v>
      </c>
      <c r="J563" t="s">
        <v>33</v>
      </c>
      <c r="L563" s="212" t="str">
        <f>IFERROR(VLOOKUP($H563,PARAMETERS!$M$3:$M$493,1,0),"---")</f>
        <v>---</v>
      </c>
    </row>
    <row r="564" spans="1:12" x14ac:dyDescent="0.3">
      <c r="A564" t="s">
        <v>9</v>
      </c>
      <c r="B564" t="s">
        <v>9</v>
      </c>
      <c r="C564"/>
      <c r="D564"/>
      <c r="E564"/>
      <c r="F564" t="s">
        <v>44</v>
      </c>
      <c r="G564" t="s">
        <v>27</v>
      </c>
      <c r="H564" t="s">
        <v>229</v>
      </c>
      <c r="J564">
        <v>10</v>
      </c>
      <c r="L564" s="212" t="str">
        <f>IFERROR(VLOOKUP($H564,PARAMETERS!$M$3:$M$493,1,0),"---")</f>
        <v>gs_ui_current_page</v>
      </c>
    </row>
    <row r="565" spans="1:12" x14ac:dyDescent="0.3">
      <c r="A565" t="s">
        <v>9</v>
      </c>
      <c r="B565" t="s">
        <v>9</v>
      </c>
      <c r="C565"/>
      <c r="D565"/>
      <c r="E565"/>
      <c r="F565" t="s">
        <v>44</v>
      </c>
      <c r="G565" t="s">
        <v>27</v>
      </c>
      <c r="H565" t="s">
        <v>231</v>
      </c>
      <c r="J565">
        <v>1</v>
      </c>
      <c r="L565" s="212" t="str">
        <f>IFERROR(VLOOKUP($H565,PARAMETERS!$M$3:$M$493,1,0),"---")</f>
        <v>gs_ui_sub_tabpage</v>
      </c>
    </row>
    <row r="566" spans="1:12" x14ac:dyDescent="0.3">
      <c r="A566" t="s">
        <v>9</v>
      </c>
      <c r="B566" t="s">
        <v>9</v>
      </c>
      <c r="C566"/>
      <c r="D566"/>
      <c r="E566" t="s">
        <v>9</v>
      </c>
      <c r="F566" t="s">
        <v>44</v>
      </c>
      <c r="G566" t="s">
        <v>27</v>
      </c>
      <c r="H566" t="s">
        <v>233</v>
      </c>
      <c r="J566">
        <v>1</v>
      </c>
      <c r="L566" s="212" t="str">
        <f>IFERROR(VLOOKUP($H566,PARAMETERS!$M$3:$M$493,1,0),"---")</f>
        <v>gs_ui_sub_tabpage_closure</v>
      </c>
    </row>
    <row r="567" spans="1:12" x14ac:dyDescent="0.3">
      <c r="A567" t="s">
        <v>9</v>
      </c>
      <c r="B567" t="s">
        <v>9</v>
      </c>
      <c r="C567"/>
      <c r="D567"/>
      <c r="E567"/>
      <c r="F567" t="s">
        <v>18</v>
      </c>
      <c r="G567" t="s">
        <v>27</v>
      </c>
      <c r="H567" t="s">
        <v>237</v>
      </c>
      <c r="L567" s="212" t="str">
        <f>IFERROR(VLOOKUP($H567,PARAMETERS!$M$3:$M$493,1,0),"---")</f>
        <v>gs_GLOB_MODPAR_NAME</v>
      </c>
    </row>
    <row r="568" spans="1:12" x14ac:dyDescent="0.3">
      <c r="A568" t="s">
        <v>9</v>
      </c>
      <c r="B568" t="s">
        <v>9</v>
      </c>
      <c r="C568" t="s">
        <v>9</v>
      </c>
      <c r="D568"/>
      <c r="E568"/>
      <c r="F568" t="s">
        <v>47</v>
      </c>
      <c r="G568" t="s">
        <v>27</v>
      </c>
      <c r="H568" t="s">
        <v>437</v>
      </c>
      <c r="I568" t="s">
        <v>438</v>
      </c>
      <c r="J568">
        <v>0</v>
      </c>
      <c r="L568" s="212" t="str">
        <f>IFERROR(VLOOKUP($H568,PARAMETERS!$M$3:$M$493,1,0),"---")</f>
        <v>gs_sidelight_left</v>
      </c>
    </row>
    <row r="569" spans="1:12" x14ac:dyDescent="0.3">
      <c r="A569" t="s">
        <v>9</v>
      </c>
      <c r="B569" t="s">
        <v>9</v>
      </c>
      <c r="C569"/>
      <c r="D569" t="s">
        <v>9</v>
      </c>
      <c r="E569"/>
      <c r="F569" t="s">
        <v>24</v>
      </c>
      <c r="G569" t="s">
        <v>27</v>
      </c>
      <c r="H569" t="s">
        <v>744</v>
      </c>
      <c r="I569" t="s">
        <v>1839</v>
      </c>
      <c r="J569">
        <v>0</v>
      </c>
      <c r="L569" s="212" t="str">
        <f>IFERROR(VLOOKUP($H569,PARAMETERS!$M$3:$M$493,1,0),"---")</f>
        <v>---</v>
      </c>
    </row>
    <row r="570" spans="1:12" x14ac:dyDescent="0.3">
      <c r="A570" t="s">
        <v>9</v>
      </c>
      <c r="B570" t="s">
        <v>9</v>
      </c>
      <c r="C570" t="s">
        <v>9</v>
      </c>
      <c r="D570"/>
      <c r="E570"/>
      <c r="F570" t="s">
        <v>47</v>
      </c>
      <c r="G570" t="s">
        <v>27</v>
      </c>
      <c r="H570" t="s">
        <v>440</v>
      </c>
      <c r="I570" t="s">
        <v>441</v>
      </c>
      <c r="J570">
        <v>0</v>
      </c>
      <c r="L570" s="212" t="str">
        <f>IFERROR(VLOOKUP($H570,PARAMETERS!$M$3:$M$493,1,0),"---")</f>
        <v>gs_sidelight_right</v>
      </c>
    </row>
    <row r="571" spans="1:12" s="114" customFormat="1" x14ac:dyDescent="0.3">
      <c r="A571" t="s">
        <v>9</v>
      </c>
      <c r="B571" t="s">
        <v>9</v>
      </c>
      <c r="C571"/>
      <c r="D571" t="s">
        <v>9</v>
      </c>
      <c r="E571"/>
      <c r="F571" t="s">
        <v>24</v>
      </c>
      <c r="G571" t="s">
        <v>27</v>
      </c>
      <c r="H571" t="s">
        <v>745</v>
      </c>
      <c r="I571" t="s">
        <v>1839</v>
      </c>
      <c r="J571">
        <v>0</v>
      </c>
      <c r="L571" s="213" t="str">
        <f>IFERROR(VLOOKUP($H571,PARAMETERS!$M$3:$M$493,1,0),"---")</f>
        <v>---</v>
      </c>
    </row>
    <row r="572" spans="1:12" x14ac:dyDescent="0.3">
      <c r="A572" t="s">
        <v>9</v>
      </c>
      <c r="B572" t="s">
        <v>9</v>
      </c>
      <c r="C572" t="s">
        <v>9</v>
      </c>
      <c r="D572"/>
      <c r="E572"/>
      <c r="F572" t="s">
        <v>47</v>
      </c>
      <c r="G572" t="s">
        <v>27</v>
      </c>
      <c r="H572" t="s">
        <v>758</v>
      </c>
      <c r="I572" t="s">
        <v>431</v>
      </c>
      <c r="J572">
        <v>0</v>
      </c>
      <c r="L572" s="212" t="str">
        <f>IFERROR(VLOOKUP($H572,PARAMETERS!$M$3:$M$493,1,0),"---")</f>
        <v>---</v>
      </c>
    </row>
    <row r="573" spans="1:12" x14ac:dyDescent="0.3">
      <c r="A573"/>
      <c r="B573" t="s">
        <v>9</v>
      </c>
      <c r="C573"/>
      <c r="D573" t="s">
        <v>9</v>
      </c>
      <c r="E573"/>
      <c r="F573" t="s">
        <v>24</v>
      </c>
      <c r="G573" t="s">
        <v>27</v>
      </c>
      <c r="H573" t="s">
        <v>759</v>
      </c>
      <c r="I573" t="s">
        <v>762</v>
      </c>
      <c r="J573">
        <v>0</v>
      </c>
      <c r="L573" s="212" t="str">
        <f>IFERROR(VLOOKUP($H573,PARAMETERS!$M$3:$M$493,1,0),"---")</f>
        <v>---</v>
      </c>
    </row>
    <row r="574" spans="1:12" x14ac:dyDescent="0.3">
      <c r="A574" t="s">
        <v>9</v>
      </c>
      <c r="B574" t="s">
        <v>9</v>
      </c>
      <c r="C574"/>
      <c r="D574"/>
      <c r="E574" t="s">
        <v>9</v>
      </c>
      <c r="F574" t="s">
        <v>44</v>
      </c>
      <c r="G574" t="s">
        <v>27</v>
      </c>
      <c r="H574" t="s">
        <v>239</v>
      </c>
      <c r="I574" t="s">
        <v>1840</v>
      </c>
      <c r="J574">
        <v>2</v>
      </c>
      <c r="L574" s="212" t="str">
        <f>IFERROR(VLOOKUP($H574,PARAMETERS!$M$3:$M$493,1,0),"---")</f>
        <v>iUIPictIndex</v>
      </c>
    </row>
    <row r="575" spans="1:12" x14ac:dyDescent="0.3">
      <c r="A575"/>
      <c r="B575" t="s">
        <v>9</v>
      </c>
      <c r="C575"/>
      <c r="D575"/>
      <c r="E575"/>
      <c r="F575" t="s">
        <v>18</v>
      </c>
      <c r="G575" t="s">
        <v>27</v>
      </c>
      <c r="H575" t="s">
        <v>224</v>
      </c>
      <c r="J575" t="s">
        <v>226</v>
      </c>
      <c r="L575" s="212" t="str">
        <f>IFERROR(VLOOKUP($H575,PARAMETERS!$M$3:$M$493,1,0),"---")</f>
        <v>LibraryLangCode</v>
      </c>
    </row>
    <row r="576" spans="1:12" x14ac:dyDescent="0.3">
      <c r="A576" t="s">
        <v>9</v>
      </c>
      <c r="B576"/>
      <c r="C576"/>
      <c r="D576"/>
      <c r="E576"/>
      <c r="F576" t="s">
        <v>57</v>
      </c>
      <c r="G576" t="s">
        <v>27</v>
      </c>
      <c r="H576" t="s">
        <v>1629</v>
      </c>
      <c r="I576" t="s">
        <v>1841</v>
      </c>
      <c r="L576" s="212" t="str">
        <f>IFERROR(VLOOKUP($H576,PARAMETERS!$M$3:$M$493,1,0),"---")</f>
        <v>---</v>
      </c>
    </row>
    <row r="577" spans="1:12" x14ac:dyDescent="0.3">
      <c r="A577" t="s">
        <v>9</v>
      </c>
      <c r="B577"/>
      <c r="C577"/>
      <c r="D577" t="s">
        <v>9</v>
      </c>
      <c r="E577"/>
      <c r="F577" t="s">
        <v>47</v>
      </c>
      <c r="G577" t="s">
        <v>27</v>
      </c>
      <c r="H577" t="s">
        <v>1022</v>
      </c>
      <c r="I577" t="s">
        <v>1023</v>
      </c>
      <c r="J577">
        <v>1</v>
      </c>
      <c r="L577" s="212" t="str">
        <f>IFERROR(VLOOKUP($H577,PARAMETERS!$M$3:$M$493,1,0),"---")</f>
        <v>---</v>
      </c>
    </row>
    <row r="578" spans="1:12" x14ac:dyDescent="0.3">
      <c r="A578" t="s">
        <v>9</v>
      </c>
      <c r="B578"/>
      <c r="C578"/>
      <c r="D578" t="s">
        <v>9</v>
      </c>
      <c r="E578"/>
      <c r="F578" t="s">
        <v>36</v>
      </c>
      <c r="G578" t="s">
        <v>27</v>
      </c>
      <c r="H578" t="s">
        <v>1606</v>
      </c>
      <c r="I578" t="s">
        <v>1607</v>
      </c>
      <c r="J578">
        <v>0</v>
      </c>
      <c r="L578" s="212" t="str">
        <f>IFERROR(VLOOKUP($H578,PARAMETERS!$M$3:$M$493,1,0),"---")</f>
        <v>---</v>
      </c>
    </row>
    <row r="579" spans="1:12" x14ac:dyDescent="0.3">
      <c r="A579" t="s">
        <v>9</v>
      </c>
      <c r="B579"/>
      <c r="C579"/>
      <c r="D579" t="s">
        <v>9</v>
      </c>
      <c r="E579"/>
      <c r="F579" t="s">
        <v>18</v>
      </c>
      <c r="G579" t="s">
        <v>27</v>
      </c>
      <c r="H579" t="s">
        <v>1619</v>
      </c>
      <c r="I579" t="s">
        <v>865</v>
      </c>
      <c r="L579" s="212" t="str">
        <f>IFERROR(VLOOKUP($H579,PARAMETERS!$M$3:$M$493,1,0),"---")</f>
        <v>---</v>
      </c>
    </row>
    <row r="580" spans="1:12" x14ac:dyDescent="0.3">
      <c r="A580" t="s">
        <v>9</v>
      </c>
      <c r="B580"/>
      <c r="C580"/>
      <c r="D580" t="s">
        <v>9</v>
      </c>
      <c r="E580"/>
      <c r="F580" t="s">
        <v>18</v>
      </c>
      <c r="G580" t="s">
        <v>27</v>
      </c>
      <c r="H580" t="s">
        <v>1622</v>
      </c>
      <c r="I580" t="s">
        <v>1623</v>
      </c>
      <c r="L580" s="212" t="str">
        <f>IFERROR(VLOOKUP($H580,PARAMETERS!$M$3:$M$493,1,0),"---")</f>
        <v>---</v>
      </c>
    </row>
    <row r="581" spans="1:12" x14ac:dyDescent="0.3">
      <c r="A581" t="s">
        <v>9</v>
      </c>
      <c r="B581"/>
      <c r="C581"/>
      <c r="D581" t="s">
        <v>9</v>
      </c>
      <c r="E581"/>
      <c r="F581" t="s">
        <v>18</v>
      </c>
      <c r="G581" t="s">
        <v>27</v>
      </c>
      <c r="H581" t="s">
        <v>1019</v>
      </c>
      <c r="I581" t="s">
        <v>1842</v>
      </c>
      <c r="L581" s="212" t="str">
        <f>IFERROR(VLOOKUP($H581,PARAMETERS!$M$3:$M$493,1,0),"---")</f>
        <v>---</v>
      </c>
    </row>
    <row r="582" spans="1:12" x14ac:dyDescent="0.3">
      <c r="A582" t="s">
        <v>9</v>
      </c>
      <c r="B582"/>
      <c r="C582"/>
      <c r="D582" t="s">
        <v>9</v>
      </c>
      <c r="E582"/>
      <c r="F582" t="s">
        <v>18</v>
      </c>
      <c r="G582" t="s">
        <v>27</v>
      </c>
      <c r="H582" t="s">
        <v>1299</v>
      </c>
      <c r="I582" t="s">
        <v>1300</v>
      </c>
      <c r="L582" s="212" t="str">
        <f>IFERROR(VLOOKUP($H582,PARAMETERS!$M$3:$M$493,1,0),"---")</f>
        <v>gs_list_accessories</v>
      </c>
    </row>
    <row r="583" spans="1:12" x14ac:dyDescent="0.3">
      <c r="A583" t="s">
        <v>9</v>
      </c>
      <c r="B583"/>
      <c r="C583"/>
      <c r="D583" t="s">
        <v>9</v>
      </c>
      <c r="E583"/>
      <c r="F583" t="s">
        <v>18</v>
      </c>
      <c r="G583" t="s">
        <v>27</v>
      </c>
      <c r="H583" t="s">
        <v>1630</v>
      </c>
      <c r="I583" t="s">
        <v>1318</v>
      </c>
      <c r="L583" s="212" t="str">
        <f>IFERROR(VLOOKUP($H583,PARAMETERS!$M$3:$M$493,1,0),"---")</f>
        <v>---</v>
      </c>
    </row>
    <row r="584" spans="1:12" x14ac:dyDescent="0.3">
      <c r="A584" t="s">
        <v>9</v>
      </c>
      <c r="B584"/>
      <c r="C584"/>
      <c r="D584" t="s">
        <v>9</v>
      </c>
      <c r="E584"/>
      <c r="F584" t="s">
        <v>18</v>
      </c>
      <c r="G584" t="s">
        <v>27</v>
      </c>
      <c r="H584" t="s">
        <v>1600</v>
      </c>
      <c r="I584" t="s">
        <v>1601</v>
      </c>
      <c r="L584" s="212" t="str">
        <f>IFERROR(VLOOKUP($H584,PARAMETERS!$M$3:$M$493,1,0),"---")</f>
        <v>---</v>
      </c>
    </row>
    <row r="585" spans="1:12" x14ac:dyDescent="0.3">
      <c r="A585" t="s">
        <v>9</v>
      </c>
      <c r="B585"/>
      <c r="C585"/>
      <c r="D585" t="s">
        <v>9</v>
      </c>
      <c r="E585"/>
      <c r="F585" t="s">
        <v>18</v>
      </c>
      <c r="G585" t="s">
        <v>27</v>
      </c>
      <c r="H585" t="s">
        <v>1602</v>
      </c>
      <c r="I585" t="s">
        <v>1603</v>
      </c>
      <c r="L585" s="212" t="str">
        <f>IFERROR(VLOOKUP($H585,PARAMETERS!$M$3:$M$493,1,0),"---")</f>
        <v>---</v>
      </c>
    </row>
    <row r="586" spans="1:12" x14ac:dyDescent="0.3">
      <c r="A586" t="s">
        <v>9</v>
      </c>
      <c r="B586"/>
      <c r="C586"/>
      <c r="D586" t="s">
        <v>9</v>
      </c>
      <c r="E586"/>
      <c r="F586" t="s">
        <v>18</v>
      </c>
      <c r="G586" t="s">
        <v>27</v>
      </c>
      <c r="H586" t="s">
        <v>1604</v>
      </c>
      <c r="I586" t="s">
        <v>1605</v>
      </c>
      <c r="L586" s="212" t="str">
        <f>IFERROR(VLOOKUP($H586,PARAMETERS!$M$3:$M$493,1,0),"---")</f>
        <v>---</v>
      </c>
    </row>
    <row r="587" spans="1:12" x14ac:dyDescent="0.3">
      <c r="A587" t="s">
        <v>9</v>
      </c>
      <c r="B587"/>
      <c r="C587"/>
      <c r="D587" t="s">
        <v>9</v>
      </c>
      <c r="E587"/>
      <c r="F587" t="s">
        <v>18</v>
      </c>
      <c r="G587" t="s">
        <v>27</v>
      </c>
      <c r="H587" t="s">
        <v>1631</v>
      </c>
      <c r="I587" t="s">
        <v>1632</v>
      </c>
      <c r="L587" s="212" t="str">
        <f>IFERROR(VLOOKUP($H587,PARAMETERS!$M$3:$M$493,1,0),"---")</f>
        <v>---</v>
      </c>
    </row>
    <row r="588" spans="1:12" x14ac:dyDescent="0.3">
      <c r="A588" t="s">
        <v>9</v>
      </c>
      <c r="B588"/>
      <c r="C588"/>
      <c r="D588" t="s">
        <v>9</v>
      </c>
      <c r="E588"/>
      <c r="F588" t="s">
        <v>18</v>
      </c>
      <c r="G588" t="s">
        <v>27</v>
      </c>
      <c r="H588" t="s">
        <v>1633</v>
      </c>
      <c r="I588" t="s">
        <v>1634</v>
      </c>
      <c r="L588" s="212" t="str">
        <f>IFERROR(VLOOKUP($H588,PARAMETERS!$M$3:$M$493,1,0),"---")</f>
        <v>---</v>
      </c>
    </row>
    <row r="589" spans="1:12" x14ac:dyDescent="0.3">
      <c r="A589" t="s">
        <v>9</v>
      </c>
      <c r="B589"/>
      <c r="C589"/>
      <c r="D589" t="s">
        <v>9</v>
      </c>
      <c r="E589"/>
      <c r="F589" t="s">
        <v>18</v>
      </c>
      <c r="G589" t="s">
        <v>27</v>
      </c>
      <c r="H589" t="s">
        <v>1635</v>
      </c>
      <c r="I589" t="s">
        <v>1636</v>
      </c>
      <c r="L589" s="212" t="str">
        <f>IFERROR(VLOOKUP($H589,PARAMETERS!$M$3:$M$493,1,0),"---")</f>
        <v>---</v>
      </c>
    </row>
    <row r="590" spans="1:12" x14ac:dyDescent="0.3">
      <c r="A590" t="s">
        <v>9</v>
      </c>
      <c r="B590"/>
      <c r="C590"/>
      <c r="D590" t="s">
        <v>9</v>
      </c>
      <c r="E590"/>
      <c r="F590" t="s">
        <v>18</v>
      </c>
      <c r="G590" t="s">
        <v>27</v>
      </c>
      <c r="H590" t="s">
        <v>1637</v>
      </c>
      <c r="I590" t="s">
        <v>1638</v>
      </c>
      <c r="L590" s="212" t="str">
        <f>IFERROR(VLOOKUP($H590,PARAMETERS!$M$3:$M$493,1,0),"---")</f>
        <v>---</v>
      </c>
    </row>
    <row r="591" spans="1:12" x14ac:dyDescent="0.3">
      <c r="A591" t="s">
        <v>9</v>
      </c>
      <c r="B591"/>
      <c r="C591"/>
      <c r="D591" t="s">
        <v>9</v>
      </c>
      <c r="E591"/>
      <c r="F591" t="s">
        <v>18</v>
      </c>
      <c r="G591" t="s">
        <v>27</v>
      </c>
      <c r="H591" t="s">
        <v>1639</v>
      </c>
      <c r="I591" t="s">
        <v>1640</v>
      </c>
      <c r="L591" s="212" t="str">
        <f>IFERROR(VLOOKUP($H591,PARAMETERS!$M$3:$M$493,1,0),"---")</f>
        <v>---</v>
      </c>
    </row>
    <row r="592" spans="1:12" x14ac:dyDescent="0.3">
      <c r="A592" t="s">
        <v>9</v>
      </c>
      <c r="B592"/>
      <c r="C592"/>
      <c r="D592" t="s">
        <v>9</v>
      </c>
      <c r="E592"/>
      <c r="F592" t="s">
        <v>18</v>
      </c>
      <c r="G592" t="s">
        <v>27</v>
      </c>
      <c r="H592" t="s">
        <v>1641</v>
      </c>
      <c r="I592" t="s">
        <v>1642</v>
      </c>
      <c r="L592" s="212" t="str">
        <f>IFERROR(VLOOKUP($H592,PARAMETERS!$M$3:$M$493,1,0),"---")</f>
        <v>---</v>
      </c>
    </row>
    <row r="593" spans="1:12" x14ac:dyDescent="0.3">
      <c r="A593" t="s">
        <v>9</v>
      </c>
      <c r="B593"/>
      <c r="C593"/>
      <c r="D593" t="s">
        <v>9</v>
      </c>
      <c r="E593"/>
      <c r="F593" t="s">
        <v>18</v>
      </c>
      <c r="G593" t="s">
        <v>27</v>
      </c>
      <c r="H593" t="s">
        <v>1643</v>
      </c>
      <c r="I593" t="s">
        <v>1644</v>
      </c>
      <c r="L593" s="212" t="str">
        <f>IFERROR(VLOOKUP($H593,PARAMETERS!$M$3:$M$493,1,0),"---")</f>
        <v>---</v>
      </c>
    </row>
    <row r="594" spans="1:12" x14ac:dyDescent="0.3">
      <c r="A594" t="s">
        <v>9</v>
      </c>
      <c r="B594"/>
      <c r="C594"/>
      <c r="D594" t="s">
        <v>9</v>
      </c>
      <c r="E594"/>
      <c r="F594" t="s">
        <v>36</v>
      </c>
      <c r="G594" t="s">
        <v>27</v>
      </c>
      <c r="H594" t="s">
        <v>1608</v>
      </c>
      <c r="I594" t="s">
        <v>1609</v>
      </c>
      <c r="J594">
        <v>0</v>
      </c>
      <c r="L594" s="212" t="str">
        <f>IFERROR(VLOOKUP($H594,PARAMETERS!$M$3:$M$493,1,0),"---")</f>
        <v>---</v>
      </c>
    </row>
    <row r="595" spans="1:12" x14ac:dyDescent="0.3">
      <c r="A595" t="s">
        <v>9</v>
      </c>
      <c r="B595"/>
      <c r="C595"/>
      <c r="D595" t="s">
        <v>9</v>
      </c>
      <c r="E595"/>
      <c r="F595" t="s">
        <v>36</v>
      </c>
      <c r="G595" t="s">
        <v>27</v>
      </c>
      <c r="H595" t="s">
        <v>1610</v>
      </c>
      <c r="I595" t="s">
        <v>1611</v>
      </c>
      <c r="J595">
        <v>0</v>
      </c>
      <c r="L595" s="212" t="str">
        <f>IFERROR(VLOOKUP($H595,PARAMETERS!$M$3:$M$493,1,0),"---")</f>
        <v>---</v>
      </c>
    </row>
    <row r="596" spans="1:12" x14ac:dyDescent="0.3">
      <c r="A596" t="s">
        <v>9</v>
      </c>
      <c r="B596"/>
      <c r="C596"/>
      <c r="D596" t="s">
        <v>9</v>
      </c>
      <c r="E596"/>
      <c r="F596" t="s">
        <v>18</v>
      </c>
      <c r="G596" t="s">
        <v>27</v>
      </c>
      <c r="H596" t="s">
        <v>1655</v>
      </c>
      <c r="I596" t="s">
        <v>1656</v>
      </c>
      <c r="L596" s="212" t="str">
        <f>IFERROR(VLOOKUP($H596,PARAMETERS!$M$3:$M$493,1,0),"---")</f>
        <v>---</v>
      </c>
    </row>
    <row r="597" spans="1:12" x14ac:dyDescent="0.3">
      <c r="A597" t="s">
        <v>9</v>
      </c>
      <c r="B597"/>
      <c r="C597"/>
      <c r="D597" t="s">
        <v>9</v>
      </c>
      <c r="E597"/>
      <c r="F597" t="s">
        <v>18</v>
      </c>
      <c r="G597" t="s">
        <v>27</v>
      </c>
      <c r="H597" t="s">
        <v>1653</v>
      </c>
      <c r="I597" t="s">
        <v>95</v>
      </c>
      <c r="L597" s="212" t="str">
        <f>IFERROR(VLOOKUP($H597,PARAMETERS!$M$3:$M$493,1,0),"---")</f>
        <v>---</v>
      </c>
    </row>
    <row r="598" spans="1:12" x14ac:dyDescent="0.3">
      <c r="A598" t="s">
        <v>9</v>
      </c>
      <c r="B598"/>
      <c r="C598"/>
      <c r="D598" t="s">
        <v>9</v>
      </c>
      <c r="E598"/>
      <c r="F598" t="s">
        <v>47</v>
      </c>
      <c r="G598" t="s">
        <v>27</v>
      </c>
      <c r="H598" t="s">
        <v>1645</v>
      </c>
      <c r="I598" t="s">
        <v>1100</v>
      </c>
      <c r="J598">
        <v>0</v>
      </c>
      <c r="L598" s="212" t="str">
        <f>IFERROR(VLOOKUP($H598,PARAMETERS!$M$3:$M$493,1,0),"---")</f>
        <v>---</v>
      </c>
    </row>
    <row r="599" spans="1:12" x14ac:dyDescent="0.3">
      <c r="A599" t="s">
        <v>9</v>
      </c>
      <c r="B599"/>
      <c r="C599"/>
      <c r="D599" t="s">
        <v>9</v>
      </c>
      <c r="E599"/>
      <c r="F599" t="s">
        <v>47</v>
      </c>
      <c r="G599" t="s">
        <v>27</v>
      </c>
      <c r="H599" t="s">
        <v>1646</v>
      </c>
      <c r="I599" t="s">
        <v>327</v>
      </c>
      <c r="J599">
        <v>0</v>
      </c>
      <c r="L599" s="212" t="str">
        <f>IFERROR(VLOOKUP($H599,PARAMETERS!$M$3:$M$493,1,0),"---")</f>
        <v>---</v>
      </c>
    </row>
    <row r="600" spans="1:12" x14ac:dyDescent="0.3">
      <c r="A600"/>
      <c r="B600"/>
      <c r="C600"/>
      <c r="D600" t="s">
        <v>9</v>
      </c>
      <c r="E600"/>
      <c r="F600" t="s">
        <v>47</v>
      </c>
      <c r="G600" t="s">
        <v>27</v>
      </c>
      <c r="H600" t="s">
        <v>1647</v>
      </c>
      <c r="I600" t="s">
        <v>1648</v>
      </c>
      <c r="J600">
        <v>0</v>
      </c>
      <c r="L600" s="212" t="str">
        <f>IFERROR(VLOOKUP($H600,PARAMETERS!$M$3:$M$493,1,0),"---")</f>
        <v>---</v>
      </c>
    </row>
    <row r="601" spans="1:12" x14ac:dyDescent="0.3">
      <c r="A601" t="s">
        <v>9</v>
      </c>
      <c r="B601"/>
      <c r="C601"/>
      <c r="D601" t="s">
        <v>9</v>
      </c>
      <c r="E601"/>
      <c r="F601" t="s">
        <v>18</v>
      </c>
      <c r="G601" t="s">
        <v>27</v>
      </c>
      <c r="H601" t="s">
        <v>1649</v>
      </c>
      <c r="I601" t="s">
        <v>1650</v>
      </c>
      <c r="J601">
        <v>200</v>
      </c>
      <c r="L601" s="212" t="str">
        <f>IFERROR(VLOOKUP($H601,PARAMETERS!$M$3:$M$493,1,0),"---")</f>
        <v>---</v>
      </c>
    </row>
    <row r="602" spans="1:12" x14ac:dyDescent="0.3">
      <c r="A602" t="s">
        <v>9</v>
      </c>
      <c r="B602"/>
      <c r="C602"/>
      <c r="D602" t="s">
        <v>9</v>
      </c>
      <c r="E602"/>
      <c r="F602" t="s">
        <v>18</v>
      </c>
      <c r="G602" t="s">
        <v>27</v>
      </c>
      <c r="H602" t="s">
        <v>1651</v>
      </c>
      <c r="I602" t="s">
        <v>1652</v>
      </c>
      <c r="J602">
        <v>2</v>
      </c>
      <c r="L602" s="212" t="str">
        <f>IFERROR(VLOOKUP($H602,PARAMETERS!$M$3:$M$493,1,0),"---")</f>
        <v>---</v>
      </c>
    </row>
    <row r="603" spans="1:12" x14ac:dyDescent="0.3">
      <c r="A603" t="s">
        <v>9</v>
      </c>
      <c r="B603"/>
      <c r="C603"/>
      <c r="D603" t="s">
        <v>9</v>
      </c>
      <c r="E603"/>
      <c r="F603" t="s">
        <v>18</v>
      </c>
      <c r="G603" t="s">
        <v>27</v>
      </c>
      <c r="H603" t="s">
        <v>1657</v>
      </c>
      <c r="I603" t="s">
        <v>1658</v>
      </c>
      <c r="L603" s="212" t="str">
        <f>IFERROR(VLOOKUP($H603,PARAMETERS!$M$3:$M$493,1,0),"---")</f>
        <v>---</v>
      </c>
    </row>
    <row r="604" spans="1:12" x14ac:dyDescent="0.3">
      <c r="A604" t="s">
        <v>9</v>
      </c>
      <c r="B604"/>
      <c r="C604"/>
      <c r="D604" t="s">
        <v>9</v>
      </c>
      <c r="E604"/>
      <c r="F604" t="s">
        <v>18</v>
      </c>
      <c r="G604" t="s">
        <v>27</v>
      </c>
      <c r="H604" t="s">
        <v>1654</v>
      </c>
      <c r="I604" t="s">
        <v>277</v>
      </c>
      <c r="L604" s="212" t="str">
        <f>IFERROR(VLOOKUP($H604,PARAMETERS!$M$3:$M$493,1,0),"---")</f>
        <v>---</v>
      </c>
    </row>
    <row r="605" spans="1:12" x14ac:dyDescent="0.3">
      <c r="A605" t="s">
        <v>9</v>
      </c>
      <c r="B605"/>
      <c r="C605"/>
      <c r="D605" t="s">
        <v>9</v>
      </c>
      <c r="E605"/>
      <c r="F605" t="s">
        <v>18</v>
      </c>
      <c r="G605" t="s">
        <v>27</v>
      </c>
      <c r="H605" t="s">
        <v>1612</v>
      </c>
      <c r="I605" t="s">
        <v>190</v>
      </c>
      <c r="J605" t="s">
        <v>1613</v>
      </c>
      <c r="L605" s="212" t="str">
        <f>IFERROR(VLOOKUP($H605,PARAMETERS!$M$3:$M$493,1,0),"---")</f>
        <v>---</v>
      </c>
    </row>
    <row r="606" spans="1:12" x14ac:dyDescent="0.3">
      <c r="A606" t="s">
        <v>9</v>
      </c>
      <c r="B606" t="s">
        <v>9</v>
      </c>
      <c r="C606"/>
      <c r="D606" t="s">
        <v>9</v>
      </c>
      <c r="E606"/>
      <c r="F606" t="s">
        <v>44</v>
      </c>
      <c r="G606" t="s">
        <v>27</v>
      </c>
      <c r="H606" t="s">
        <v>1614</v>
      </c>
      <c r="I606" t="s">
        <v>190</v>
      </c>
      <c r="J606">
        <v>999</v>
      </c>
      <c r="L606" s="212" t="str">
        <f>IFERROR(VLOOKUP($H606,PARAMETERS!$M$3:$M$493,1,0),"---")</f>
        <v>---</v>
      </c>
    </row>
    <row r="607" spans="1:12" x14ac:dyDescent="0.3">
      <c r="A607" t="s">
        <v>9</v>
      </c>
      <c r="B607"/>
      <c r="C607"/>
      <c r="D607" t="s">
        <v>9</v>
      </c>
      <c r="E607"/>
      <c r="F607" t="s">
        <v>18</v>
      </c>
      <c r="G607" t="s">
        <v>27</v>
      </c>
      <c r="H607" t="s">
        <v>1615</v>
      </c>
      <c r="I607" t="s">
        <v>1616</v>
      </c>
      <c r="L607" s="212" t="str">
        <f>IFERROR(VLOOKUP($H607,PARAMETERS!$M$3:$M$493,1,0),"---")</f>
        <v>---</v>
      </c>
    </row>
    <row r="608" spans="1:12" x14ac:dyDescent="0.3">
      <c r="A608" t="s">
        <v>9</v>
      </c>
      <c r="B608"/>
      <c r="C608"/>
      <c r="D608" t="s">
        <v>9</v>
      </c>
      <c r="E608"/>
      <c r="F608" t="s">
        <v>18</v>
      </c>
      <c r="G608" t="s">
        <v>27</v>
      </c>
      <c r="H608" t="s">
        <v>1617</v>
      </c>
      <c r="I608" t="s">
        <v>1618</v>
      </c>
      <c r="L608" s="212" t="str">
        <f>IFERROR(VLOOKUP($H608,PARAMETERS!$M$3:$M$493,1,0),"---")</f>
        <v>---</v>
      </c>
    </row>
    <row r="609" spans="1:12" x14ac:dyDescent="0.3">
      <c r="A609" t="s">
        <v>9</v>
      </c>
      <c r="B609"/>
      <c r="C609"/>
      <c r="D609" t="s">
        <v>9</v>
      </c>
      <c r="E609"/>
      <c r="F609" t="s">
        <v>18</v>
      </c>
      <c r="G609" t="s">
        <v>27</v>
      </c>
      <c r="H609" t="s">
        <v>1620</v>
      </c>
      <c r="I609" t="s">
        <v>1621</v>
      </c>
      <c r="L609" s="212" t="str">
        <f>IFERROR(VLOOKUP($H609,PARAMETERS!$M$3:$M$493,1,0),"---")</f>
        <v>---</v>
      </c>
    </row>
    <row r="610" spans="1:12" x14ac:dyDescent="0.3">
      <c r="A610"/>
      <c r="B610"/>
      <c r="C610"/>
      <c r="D610" t="s">
        <v>9</v>
      </c>
      <c r="E610"/>
      <c r="F610" t="s">
        <v>36</v>
      </c>
      <c r="G610" t="s">
        <v>27</v>
      </c>
      <c r="H610" t="s">
        <v>1624</v>
      </c>
      <c r="I610" t="s">
        <v>1625</v>
      </c>
      <c r="J610">
        <v>0</v>
      </c>
      <c r="L610" s="212" t="str">
        <f>IFERROR(VLOOKUP($H610,PARAMETERS!$M$3:$M$493,1,0),"---")</f>
        <v>---</v>
      </c>
    </row>
    <row r="611" spans="1:12" x14ac:dyDescent="0.3">
      <c r="A611" t="s">
        <v>9</v>
      </c>
      <c r="B611"/>
      <c r="C611"/>
      <c r="D611" t="s">
        <v>9</v>
      </c>
      <c r="E611"/>
      <c r="F611" t="s">
        <v>18</v>
      </c>
      <c r="G611" t="s">
        <v>27</v>
      </c>
      <c r="H611" t="s">
        <v>1626</v>
      </c>
      <c r="I611" t="s">
        <v>1627</v>
      </c>
      <c r="J611" t="s">
        <v>1628</v>
      </c>
      <c r="L611" s="212" t="str">
        <f>IFERROR(VLOOKUP($H611,PARAMETERS!$M$3:$M$493,1,0),"---")</f>
        <v>---</v>
      </c>
    </row>
    <row r="612" spans="1:12" x14ac:dyDescent="0.3">
      <c r="A612"/>
      <c r="B612"/>
      <c r="C612"/>
      <c r="D612" t="s">
        <v>9</v>
      </c>
      <c r="E612"/>
      <c r="F612" t="s">
        <v>44</v>
      </c>
      <c r="G612" t="s">
        <v>27</v>
      </c>
      <c r="H612" t="s">
        <v>449</v>
      </c>
      <c r="I612" t="s">
        <v>450</v>
      </c>
      <c r="J612">
        <v>0</v>
      </c>
      <c r="L612" s="212" t="str">
        <f>IFERROR(VLOOKUP($H612,PARAMETERS!$M$3:$M$493,1,0),"---")</f>
        <v>gs_list_orientationDef_m</v>
      </c>
    </row>
    <row r="613" spans="1:12" x14ac:dyDescent="0.3">
      <c r="A613" t="s">
        <v>9</v>
      </c>
      <c r="B613"/>
      <c r="C613"/>
      <c r="D613" t="s">
        <v>9</v>
      </c>
      <c r="E613" t="s">
        <v>9</v>
      </c>
      <c r="F613" t="s">
        <v>18</v>
      </c>
      <c r="G613" t="s">
        <v>27</v>
      </c>
      <c r="H613" t="s">
        <v>451</v>
      </c>
      <c r="I613" t="s">
        <v>1843</v>
      </c>
      <c r="J613" t="s">
        <v>453</v>
      </c>
      <c r="L613" s="212" t="str">
        <f>IFERROR(VLOOKUP($H613,PARAMETERS!$M$3:$M$493,1,0),"---")</f>
        <v>ac_OpeningSide</v>
      </c>
    </row>
    <row r="614" spans="1:12" x14ac:dyDescent="0.3">
      <c r="A614" t="s">
        <v>9</v>
      </c>
      <c r="B614"/>
      <c r="C614"/>
      <c r="D614" t="s">
        <v>9</v>
      </c>
      <c r="E614"/>
      <c r="F614" t="s">
        <v>18</v>
      </c>
      <c r="G614" t="s">
        <v>27</v>
      </c>
      <c r="H614" t="s">
        <v>1659</v>
      </c>
      <c r="I614" t="s">
        <v>1660</v>
      </c>
      <c r="L614" s="212" t="str">
        <f>IFERROR(VLOOKUP($H614,PARAMETERS!$M$3:$M$493,1,0),"---")</f>
        <v>---</v>
      </c>
    </row>
    <row r="615" spans="1:12" x14ac:dyDescent="0.3">
      <c r="A615" t="s">
        <v>9</v>
      </c>
      <c r="B615"/>
      <c r="C615"/>
      <c r="D615" t="s">
        <v>9</v>
      </c>
      <c r="E615"/>
      <c r="F615" t="s">
        <v>18</v>
      </c>
      <c r="G615" t="s">
        <v>27</v>
      </c>
      <c r="H615" t="s">
        <v>1661</v>
      </c>
      <c r="I615" t="s">
        <v>1662</v>
      </c>
      <c r="L615" s="212" t="str">
        <f>IFERROR(VLOOKUP($H615,PARAMETERS!$M$3:$M$493,1,0),"---")</f>
        <v>---</v>
      </c>
    </row>
    <row r="616" spans="1:12" x14ac:dyDescent="0.3">
      <c r="A616" t="s">
        <v>9</v>
      </c>
      <c r="B616"/>
      <c r="C616"/>
      <c r="D616" t="s">
        <v>9</v>
      </c>
      <c r="E616"/>
      <c r="F616" t="s">
        <v>18</v>
      </c>
      <c r="G616" t="s">
        <v>27</v>
      </c>
      <c r="H616" t="s">
        <v>1663</v>
      </c>
      <c r="I616" t="s">
        <v>555</v>
      </c>
      <c r="L616" s="212" t="str">
        <f>IFERROR(VLOOKUP($H616,PARAMETERS!$M$3:$M$493,1,0),"---")</f>
        <v>---</v>
      </c>
    </row>
    <row r="617" spans="1:12" x14ac:dyDescent="0.3">
      <c r="A617" t="s">
        <v>9</v>
      </c>
      <c r="B617"/>
      <c r="C617"/>
      <c r="D617" t="s">
        <v>9</v>
      </c>
      <c r="E617"/>
      <c r="F617" t="s">
        <v>18</v>
      </c>
      <c r="G617" t="s">
        <v>27</v>
      </c>
      <c r="H617" t="s">
        <v>1664</v>
      </c>
      <c r="I617" t="s">
        <v>1665</v>
      </c>
      <c r="L617" s="212" t="str">
        <f>IFERROR(VLOOKUP($H617,PARAMETERS!$M$3:$M$493,1,0),"---")</f>
        <v>---</v>
      </c>
    </row>
    <row r="618" spans="1:12" x14ac:dyDescent="0.3">
      <c r="A618" t="s">
        <v>9</v>
      </c>
      <c r="B618"/>
      <c r="C618"/>
      <c r="D618" t="s">
        <v>9</v>
      </c>
      <c r="E618"/>
      <c r="F618" t="s">
        <v>18</v>
      </c>
      <c r="G618" t="s">
        <v>27</v>
      </c>
      <c r="H618" t="s">
        <v>1666</v>
      </c>
      <c r="I618" t="s">
        <v>1667</v>
      </c>
      <c r="L618" s="212" t="str">
        <f>IFERROR(VLOOKUP($H618,PARAMETERS!$M$3:$M$493,1,0),"---")</f>
        <v>---</v>
      </c>
    </row>
    <row r="619" spans="1:12" x14ac:dyDescent="0.3">
      <c r="A619" t="s">
        <v>9</v>
      </c>
      <c r="B619"/>
      <c r="C619"/>
      <c r="D619" t="s">
        <v>9</v>
      </c>
      <c r="E619"/>
      <c r="F619" t="s">
        <v>18</v>
      </c>
      <c r="G619" t="s">
        <v>27</v>
      </c>
      <c r="H619" t="s">
        <v>1316</v>
      </c>
      <c r="I619" t="s">
        <v>1317</v>
      </c>
      <c r="L619" s="212" t="str">
        <f>IFERROR(VLOOKUP($H619,PARAMETERS!$M$3:$M$493,1,0),"---")</f>
        <v>gs_list_nameplate</v>
      </c>
    </row>
    <row r="620" spans="1:12" x14ac:dyDescent="0.3">
      <c r="A620" t="s">
        <v>9</v>
      </c>
      <c r="B620"/>
      <c r="C620"/>
      <c r="D620" t="s">
        <v>9</v>
      </c>
      <c r="E620"/>
      <c r="F620" t="s">
        <v>18</v>
      </c>
      <c r="G620" t="s">
        <v>27</v>
      </c>
      <c r="H620" t="s">
        <v>1668</v>
      </c>
      <c r="I620" t="s">
        <v>1669</v>
      </c>
      <c r="L620" s="212" t="str">
        <f>IFERROR(VLOOKUP($H620,PARAMETERS!$M$3:$M$493,1,0),"---")</f>
        <v>---</v>
      </c>
    </row>
    <row r="621" spans="1:12" x14ac:dyDescent="0.3">
      <c r="A621" t="s">
        <v>9</v>
      </c>
      <c r="B621"/>
      <c r="C621"/>
      <c r="D621" t="s">
        <v>9</v>
      </c>
      <c r="E621"/>
      <c r="F621" t="s">
        <v>18</v>
      </c>
      <c r="G621" t="s">
        <v>27</v>
      </c>
      <c r="H621" t="s">
        <v>417</v>
      </c>
      <c r="I621" t="s">
        <v>418</v>
      </c>
      <c r="L621" s="212" t="str">
        <f>IFERROR(VLOOKUP($H621,PARAMETERS!$M$3:$M$493,1,0),"---")</f>
        <v>gs_list_doortype</v>
      </c>
    </row>
    <row r="622" spans="1:12" x14ac:dyDescent="0.3">
      <c r="A622" t="s">
        <v>9</v>
      </c>
      <c r="B622"/>
      <c r="C622"/>
      <c r="D622" t="s">
        <v>9</v>
      </c>
      <c r="E622"/>
      <c r="F622" t="s">
        <v>18</v>
      </c>
      <c r="G622" t="s">
        <v>27</v>
      </c>
      <c r="H622" t="s">
        <v>1670</v>
      </c>
      <c r="I622" t="s">
        <v>1671</v>
      </c>
      <c r="L622" s="212" t="str">
        <f>IFERROR(VLOOKUP($H622,PARAMETERS!$M$3:$M$493,1,0),"---")</f>
        <v>---</v>
      </c>
    </row>
    <row r="623" spans="1:12" x14ac:dyDescent="0.3">
      <c r="A623" t="s">
        <v>9</v>
      </c>
      <c r="B623"/>
      <c r="C623"/>
      <c r="D623" t="s">
        <v>9</v>
      </c>
      <c r="E623"/>
      <c r="F623" t="s">
        <v>18</v>
      </c>
      <c r="G623" t="s">
        <v>27</v>
      </c>
      <c r="H623" t="s">
        <v>1020</v>
      </c>
      <c r="I623" t="s">
        <v>1021</v>
      </c>
      <c r="L623" s="212" t="str">
        <f>IFERROR(VLOOKUP($H623,PARAMETERS!$M$3:$M$493,1,0),"---")</f>
        <v>---</v>
      </c>
    </row>
    <row r="624" spans="1:12" x14ac:dyDescent="0.3">
      <c r="A624" t="s">
        <v>9</v>
      </c>
      <c r="B624"/>
      <c r="C624"/>
      <c r="D624" t="s">
        <v>9</v>
      </c>
      <c r="E624"/>
      <c r="F624" t="s">
        <v>18</v>
      </c>
      <c r="G624" t="s">
        <v>27</v>
      </c>
      <c r="H624" t="s">
        <v>1672</v>
      </c>
      <c r="I624" t="s">
        <v>1673</v>
      </c>
      <c r="L624" s="212" t="str">
        <f>IFERROR(VLOOKUP($H624,PARAMETERS!$M$3:$M$493,1,0),"---")</f>
        <v>---</v>
      </c>
    </row>
    <row r="625" spans="1:12" x14ac:dyDescent="0.3">
      <c r="A625" t="s">
        <v>9</v>
      </c>
      <c r="B625"/>
      <c r="C625"/>
      <c r="D625" t="s">
        <v>9</v>
      </c>
      <c r="E625"/>
      <c r="F625" t="s">
        <v>18</v>
      </c>
      <c r="G625" t="s">
        <v>27</v>
      </c>
      <c r="H625" t="s">
        <v>1674</v>
      </c>
      <c r="I625" t="s">
        <v>1675</v>
      </c>
      <c r="L625" s="212" t="str">
        <f>IFERROR(VLOOKUP($H625,PARAMETERS!$M$3:$M$493,1,0),"---")</f>
        <v>---</v>
      </c>
    </row>
    <row r="626" spans="1:12" x14ac:dyDescent="0.3">
      <c r="A626" t="s">
        <v>9</v>
      </c>
      <c r="B626"/>
      <c r="C626"/>
      <c r="D626" t="s">
        <v>9</v>
      </c>
      <c r="E626"/>
      <c r="F626" t="s">
        <v>18</v>
      </c>
      <c r="G626" t="s">
        <v>27</v>
      </c>
      <c r="H626" t="s">
        <v>1678</v>
      </c>
      <c r="I626" t="s">
        <v>1729</v>
      </c>
      <c r="L626" s="212" t="str">
        <f>IFERROR(VLOOKUP($H626,PARAMETERS!$M$3:$M$493,1,0),"---")</f>
        <v>---</v>
      </c>
    </row>
    <row r="627" spans="1:12" x14ac:dyDescent="0.3">
      <c r="A627" t="s">
        <v>9</v>
      </c>
      <c r="B627"/>
      <c r="C627"/>
      <c r="D627" t="s">
        <v>9</v>
      </c>
      <c r="E627"/>
      <c r="F627" t="s">
        <v>18</v>
      </c>
      <c r="G627" t="s">
        <v>27</v>
      </c>
      <c r="H627" t="s">
        <v>1676</v>
      </c>
      <c r="I627" t="s">
        <v>1677</v>
      </c>
      <c r="L627" s="212" t="str">
        <f>IFERROR(VLOOKUP($H627,PARAMETERS!$M$3:$M$493,1,0),"---")</f>
        <v>---</v>
      </c>
    </row>
    <row r="628" spans="1:12" x14ac:dyDescent="0.3">
      <c r="A628" t="s">
        <v>9</v>
      </c>
      <c r="B628"/>
      <c r="C628"/>
      <c r="D628" t="s">
        <v>9</v>
      </c>
      <c r="E628"/>
      <c r="F628" t="s">
        <v>18</v>
      </c>
      <c r="G628" t="s">
        <v>27</v>
      </c>
      <c r="H628" t="s">
        <v>1679</v>
      </c>
      <c r="I628" t="s">
        <v>1680</v>
      </c>
      <c r="L628" s="212" t="str">
        <f>IFERROR(VLOOKUP($H628,PARAMETERS!$M$3:$M$493,1,0),"---")</f>
        <v>---</v>
      </c>
    </row>
    <row r="629" spans="1:12" x14ac:dyDescent="0.3">
      <c r="A629" t="s">
        <v>9</v>
      </c>
      <c r="B629"/>
      <c r="C629"/>
      <c r="D629" t="s">
        <v>9</v>
      </c>
      <c r="E629"/>
      <c r="F629" t="s">
        <v>18</v>
      </c>
      <c r="G629" t="s">
        <v>27</v>
      </c>
      <c r="H629" t="s">
        <v>1681</v>
      </c>
      <c r="I629" t="s">
        <v>1682</v>
      </c>
      <c r="L629" s="212" t="str">
        <f>IFERROR(VLOOKUP($H629,PARAMETERS!$M$3:$M$493,1,0),"---")</f>
        <v>---</v>
      </c>
    </row>
    <row r="630" spans="1:12" x14ac:dyDescent="0.3">
      <c r="A630" t="s">
        <v>9</v>
      </c>
      <c r="B630"/>
      <c r="C630"/>
      <c r="D630" t="s">
        <v>9</v>
      </c>
      <c r="E630"/>
      <c r="F630" t="s">
        <v>18</v>
      </c>
      <c r="G630" t="s">
        <v>27</v>
      </c>
      <c r="H630" t="s">
        <v>1683</v>
      </c>
      <c r="I630" t="s">
        <v>1684</v>
      </c>
      <c r="L630" s="212" t="str">
        <f>IFERROR(VLOOKUP($H630,PARAMETERS!$M$3:$M$493,1,0),"---")</f>
        <v>---</v>
      </c>
    </row>
    <row r="631" spans="1:12" x14ac:dyDescent="0.3">
      <c r="A631" t="s">
        <v>9</v>
      </c>
      <c r="B631"/>
      <c r="C631"/>
      <c r="D631" t="s">
        <v>9</v>
      </c>
      <c r="E631"/>
      <c r="F631" t="s">
        <v>18</v>
      </c>
      <c r="G631" t="s">
        <v>27</v>
      </c>
      <c r="H631" t="s">
        <v>1685</v>
      </c>
      <c r="I631" t="s">
        <v>1686</v>
      </c>
      <c r="L631" s="212" t="str">
        <f>IFERROR(VLOOKUP($H631,PARAMETERS!$M$3:$M$493,1,0),"---")</f>
        <v>---</v>
      </c>
    </row>
    <row r="632" spans="1:12" x14ac:dyDescent="0.3">
      <c r="A632" t="s">
        <v>9</v>
      </c>
      <c r="B632"/>
      <c r="C632"/>
      <c r="D632" t="s">
        <v>9</v>
      </c>
      <c r="E632"/>
      <c r="F632" t="s">
        <v>18</v>
      </c>
      <c r="G632" t="s">
        <v>27</v>
      </c>
      <c r="H632" t="s">
        <v>1687</v>
      </c>
      <c r="I632" t="s">
        <v>1688</v>
      </c>
      <c r="L632" s="212" t="str">
        <f>IFERROR(VLOOKUP($H632,PARAMETERS!$M$3:$M$493,1,0),"---")</f>
        <v>---</v>
      </c>
    </row>
    <row r="633" spans="1:12" x14ac:dyDescent="0.3">
      <c r="A633" t="s">
        <v>9</v>
      </c>
      <c r="B633"/>
      <c r="C633"/>
      <c r="D633" t="s">
        <v>9</v>
      </c>
      <c r="E633"/>
      <c r="F633" t="s">
        <v>18</v>
      </c>
      <c r="G633" t="s">
        <v>27</v>
      </c>
      <c r="H633" t="s">
        <v>1689</v>
      </c>
      <c r="I633" t="s">
        <v>1690</v>
      </c>
      <c r="L633" s="212" t="str">
        <f>IFERROR(VLOOKUP($H633,PARAMETERS!$M$3:$M$493,1,0),"---")</f>
        <v>---</v>
      </c>
    </row>
    <row r="634" spans="1:12" x14ac:dyDescent="0.3">
      <c r="A634" t="s">
        <v>9</v>
      </c>
      <c r="B634"/>
      <c r="C634"/>
      <c r="D634" t="s">
        <v>9</v>
      </c>
      <c r="E634"/>
      <c r="F634" t="s">
        <v>18</v>
      </c>
      <c r="G634" t="s">
        <v>27</v>
      </c>
      <c r="H634" t="s">
        <v>1844</v>
      </c>
      <c r="I634" t="s">
        <v>1845</v>
      </c>
      <c r="L634" s="212" t="str">
        <f>IFERROR(VLOOKUP($H634,PARAMETERS!$M$3:$M$493,1,0),"---")</f>
        <v>---</v>
      </c>
    </row>
    <row r="635" spans="1:12" x14ac:dyDescent="0.3">
      <c r="A635"/>
      <c r="B635"/>
      <c r="C635"/>
      <c r="D635"/>
      <c r="E635"/>
      <c r="F635" t="s">
        <v>57</v>
      </c>
      <c r="G635" t="s">
        <v>27</v>
      </c>
      <c r="H635" t="s">
        <v>1691</v>
      </c>
      <c r="I635" t="s">
        <v>1846</v>
      </c>
      <c r="L635" s="212" t="str">
        <f>IFERROR(VLOOKUP($H635,PARAMETERS!$M$3:$M$493,1,0),"---")</f>
        <v>---</v>
      </c>
    </row>
    <row r="636" spans="1:12" x14ac:dyDescent="0.3">
      <c r="A636" t="s">
        <v>9</v>
      </c>
      <c r="B636"/>
      <c r="C636"/>
      <c r="D636" t="s">
        <v>9</v>
      </c>
      <c r="E636"/>
      <c r="F636" t="s">
        <v>18</v>
      </c>
      <c r="G636" t="s">
        <v>27</v>
      </c>
      <c r="H636" t="s">
        <v>1692</v>
      </c>
      <c r="I636" t="s">
        <v>1693</v>
      </c>
      <c r="J636" t="s">
        <v>520</v>
      </c>
      <c r="L636" s="212" t="str">
        <f>IFERROR(VLOOKUP($H636,PARAMETERS!$M$3:$M$493,1,0),"---")</f>
        <v>---</v>
      </c>
    </row>
    <row r="637" spans="1:12" x14ac:dyDescent="0.3">
      <c r="A637" t="s">
        <v>9</v>
      </c>
      <c r="B637"/>
      <c r="C637"/>
      <c r="D637" t="s">
        <v>9</v>
      </c>
      <c r="E637" t="s">
        <v>9</v>
      </c>
      <c r="F637" t="s">
        <v>18</v>
      </c>
      <c r="G637" t="s">
        <v>27</v>
      </c>
      <c r="H637" t="s">
        <v>1694</v>
      </c>
      <c r="I637" t="s">
        <v>143</v>
      </c>
      <c r="J637">
        <v>130</v>
      </c>
      <c r="L637" s="212" t="str">
        <f>IFERROR(VLOOKUP($H637,PARAMETERS!$M$3:$M$493,1,0),"---")</f>
        <v>---</v>
      </c>
    </row>
    <row r="638" spans="1:12" x14ac:dyDescent="0.3">
      <c r="A638" t="s">
        <v>9</v>
      </c>
      <c r="B638"/>
      <c r="C638"/>
      <c r="D638" t="s">
        <v>9</v>
      </c>
      <c r="E638"/>
      <c r="F638" t="s">
        <v>18</v>
      </c>
      <c r="G638" t="s">
        <v>27</v>
      </c>
      <c r="H638" t="s">
        <v>1695</v>
      </c>
      <c r="I638" t="s">
        <v>1696</v>
      </c>
      <c r="J638" t="s">
        <v>523</v>
      </c>
      <c r="L638" s="212" t="str">
        <f>IFERROR(VLOOKUP($H638,PARAMETERS!$M$3:$M$493,1,0),"---")</f>
        <v>---</v>
      </c>
    </row>
    <row r="639" spans="1:12" x14ac:dyDescent="0.3">
      <c r="A639" t="s">
        <v>9</v>
      </c>
      <c r="B639"/>
      <c r="C639"/>
      <c r="D639" t="s">
        <v>9</v>
      </c>
      <c r="E639"/>
      <c r="F639" t="s">
        <v>18</v>
      </c>
      <c r="G639" t="s">
        <v>27</v>
      </c>
      <c r="H639" t="s">
        <v>1697</v>
      </c>
      <c r="I639" t="s">
        <v>189</v>
      </c>
      <c r="J639">
        <v>201</v>
      </c>
      <c r="L639" s="212" t="str">
        <f>IFERROR(VLOOKUP($H639,PARAMETERS!$M$3:$M$493,1,0),"---")</f>
        <v>---</v>
      </c>
    </row>
    <row r="640" spans="1:12" x14ac:dyDescent="0.3">
      <c r="A640" t="s">
        <v>9</v>
      </c>
      <c r="B640"/>
      <c r="C640"/>
      <c r="D640" t="s">
        <v>9</v>
      </c>
      <c r="E640"/>
      <c r="F640" t="s">
        <v>18</v>
      </c>
      <c r="G640" t="s">
        <v>27</v>
      </c>
      <c r="H640" t="s">
        <v>1698</v>
      </c>
      <c r="I640" t="s">
        <v>95</v>
      </c>
      <c r="L640" s="212" t="str">
        <f>IFERROR(VLOOKUP($H640,PARAMETERS!$M$3:$M$493,1,0),"---")</f>
        <v>---</v>
      </c>
    </row>
    <row r="641" spans="1:12" x14ac:dyDescent="0.3">
      <c r="A641" t="s">
        <v>9</v>
      </c>
      <c r="B641"/>
      <c r="C641"/>
      <c r="D641" t="s">
        <v>9</v>
      </c>
      <c r="E641"/>
      <c r="F641" t="s">
        <v>18</v>
      </c>
      <c r="G641" t="s">
        <v>27</v>
      </c>
      <c r="H641" t="s">
        <v>1699</v>
      </c>
      <c r="I641" t="s">
        <v>1700</v>
      </c>
      <c r="L641" s="212" t="str">
        <f>IFERROR(VLOOKUP($H641,PARAMETERS!$M$3:$M$493,1,0),"---")</f>
        <v>---</v>
      </c>
    </row>
    <row r="642" spans="1:12" x14ac:dyDescent="0.3">
      <c r="A642" t="s">
        <v>9</v>
      </c>
      <c r="B642"/>
      <c r="C642"/>
      <c r="D642" t="s">
        <v>9</v>
      </c>
      <c r="E642"/>
      <c r="F642" t="s">
        <v>18</v>
      </c>
      <c r="G642" t="s">
        <v>27</v>
      </c>
      <c r="H642" t="s">
        <v>1701</v>
      </c>
      <c r="I642" t="s">
        <v>1702</v>
      </c>
      <c r="L642" s="212" t="str">
        <f>IFERROR(VLOOKUP($H642,PARAMETERS!$M$3:$M$493,1,0),"---")</f>
        <v>---</v>
      </c>
    </row>
    <row r="643" spans="1:12" x14ac:dyDescent="0.3">
      <c r="A643" t="s">
        <v>9</v>
      </c>
      <c r="B643"/>
      <c r="C643"/>
      <c r="D643" t="s">
        <v>9</v>
      </c>
      <c r="E643"/>
      <c r="F643" t="s">
        <v>18</v>
      </c>
      <c r="G643" t="s">
        <v>27</v>
      </c>
      <c r="H643" t="s">
        <v>1703</v>
      </c>
      <c r="I643" t="s">
        <v>1704</v>
      </c>
      <c r="L643" s="212" t="str">
        <f>IFERROR(VLOOKUP($H643,PARAMETERS!$M$3:$M$493,1,0),"---")</f>
        <v>---</v>
      </c>
    </row>
    <row r="644" spans="1:12" x14ac:dyDescent="0.3">
      <c r="A644" t="s">
        <v>9</v>
      </c>
      <c r="B644"/>
      <c r="C644"/>
      <c r="D644" t="s">
        <v>9</v>
      </c>
      <c r="E644"/>
      <c r="F644" t="s">
        <v>18</v>
      </c>
      <c r="G644" t="s">
        <v>27</v>
      </c>
      <c r="H644" t="s">
        <v>1705</v>
      </c>
      <c r="I644" t="s">
        <v>1706</v>
      </c>
      <c r="L644" s="212" t="str">
        <f>IFERROR(VLOOKUP($H644,PARAMETERS!$M$3:$M$493,1,0),"---")</f>
        <v>---</v>
      </c>
    </row>
    <row r="645" spans="1:12" x14ac:dyDescent="0.3">
      <c r="A645" t="s">
        <v>9</v>
      </c>
      <c r="B645"/>
      <c r="C645"/>
      <c r="D645" t="s">
        <v>9</v>
      </c>
      <c r="E645"/>
      <c r="F645" t="s">
        <v>18</v>
      </c>
      <c r="G645" t="s">
        <v>27</v>
      </c>
      <c r="H645" t="s">
        <v>1707</v>
      </c>
      <c r="I645" t="s">
        <v>1708</v>
      </c>
      <c r="L645" s="212" t="str">
        <f>IFERROR(VLOOKUP($H645,PARAMETERS!$M$3:$M$493,1,0),"---")</f>
        <v>---</v>
      </c>
    </row>
    <row r="646" spans="1:12" x14ac:dyDescent="0.3">
      <c r="A646" t="s">
        <v>9</v>
      </c>
      <c r="B646"/>
      <c r="C646"/>
      <c r="D646" t="s">
        <v>9</v>
      </c>
      <c r="E646"/>
      <c r="F646" t="s">
        <v>18</v>
      </c>
      <c r="G646" t="s">
        <v>27</v>
      </c>
      <c r="H646" t="s">
        <v>1709</v>
      </c>
      <c r="I646" t="s">
        <v>1710</v>
      </c>
      <c r="L646" s="212" t="str">
        <f>IFERROR(VLOOKUP($H646,PARAMETERS!$M$3:$M$493,1,0),"---")</f>
        <v>---</v>
      </c>
    </row>
    <row r="647" spans="1:12" x14ac:dyDescent="0.3">
      <c r="A647" t="s">
        <v>9</v>
      </c>
      <c r="B647"/>
      <c r="C647"/>
      <c r="D647" t="s">
        <v>9</v>
      </c>
      <c r="E647"/>
      <c r="F647" t="s">
        <v>18</v>
      </c>
      <c r="G647" t="s">
        <v>27</v>
      </c>
      <c r="H647" t="s">
        <v>1711</v>
      </c>
      <c r="I647" t="s">
        <v>1712</v>
      </c>
      <c r="L647" s="212" t="str">
        <f>IFERROR(VLOOKUP($H647,PARAMETERS!$M$3:$M$493,1,0),"---")</f>
        <v>---</v>
      </c>
    </row>
    <row r="648" spans="1:12" x14ac:dyDescent="0.3">
      <c r="A648" t="s">
        <v>9</v>
      </c>
      <c r="B648"/>
      <c r="C648"/>
      <c r="D648" t="s">
        <v>9</v>
      </c>
      <c r="E648"/>
      <c r="F648" t="s">
        <v>18</v>
      </c>
      <c r="G648" t="s">
        <v>27</v>
      </c>
      <c r="H648" t="s">
        <v>1713</v>
      </c>
      <c r="I648" t="s">
        <v>1714</v>
      </c>
      <c r="L648" s="212" t="str">
        <f>IFERROR(VLOOKUP($H648,PARAMETERS!$M$3:$M$493,1,0),"---")</f>
        <v>---</v>
      </c>
    </row>
    <row r="649" spans="1:12" x14ac:dyDescent="0.3">
      <c r="A649" t="s">
        <v>9</v>
      </c>
      <c r="B649"/>
      <c r="C649"/>
      <c r="D649" t="s">
        <v>9</v>
      </c>
      <c r="E649"/>
      <c r="F649" t="s">
        <v>18</v>
      </c>
      <c r="G649" t="s">
        <v>27</v>
      </c>
      <c r="H649" t="s">
        <v>1715</v>
      </c>
      <c r="I649" t="s">
        <v>1102</v>
      </c>
      <c r="L649" s="212" t="str">
        <f>IFERROR(VLOOKUP($H649,PARAMETERS!$M$3:$M$493,1,0),"---")</f>
        <v>---</v>
      </c>
    </row>
    <row r="650" spans="1:12" x14ac:dyDescent="0.3">
      <c r="A650" t="s">
        <v>9</v>
      </c>
      <c r="B650"/>
      <c r="C650"/>
      <c r="D650" t="s">
        <v>9</v>
      </c>
      <c r="E650"/>
      <c r="F650" t="s">
        <v>18</v>
      </c>
      <c r="G650" t="s">
        <v>27</v>
      </c>
      <c r="H650" t="s">
        <v>1716</v>
      </c>
      <c r="I650" t="s">
        <v>673</v>
      </c>
      <c r="L650" s="212" t="str">
        <f>IFERROR(VLOOKUP($H650,PARAMETERS!$M$3:$M$493,1,0),"---")</f>
        <v>---</v>
      </c>
    </row>
    <row r="651" spans="1:12" x14ac:dyDescent="0.3">
      <c r="A651" t="s">
        <v>9</v>
      </c>
      <c r="B651"/>
      <c r="C651"/>
      <c r="D651" t="s">
        <v>9</v>
      </c>
      <c r="E651"/>
      <c r="F651" t="s">
        <v>18</v>
      </c>
      <c r="G651" t="s">
        <v>27</v>
      </c>
      <c r="H651" t="s">
        <v>1717</v>
      </c>
      <c r="I651" t="s">
        <v>865</v>
      </c>
      <c r="L651" s="212" t="str">
        <f>IFERROR(VLOOKUP($H651,PARAMETERS!$M$3:$M$493,1,0),"---")</f>
        <v>---</v>
      </c>
    </row>
    <row r="652" spans="1:12" x14ac:dyDescent="0.3">
      <c r="A652" t="s">
        <v>9</v>
      </c>
      <c r="B652"/>
      <c r="C652"/>
      <c r="D652" t="s">
        <v>9</v>
      </c>
      <c r="E652"/>
      <c r="F652" t="s">
        <v>18</v>
      </c>
      <c r="G652" t="s">
        <v>27</v>
      </c>
      <c r="H652" t="s">
        <v>1718</v>
      </c>
      <c r="I652" t="s">
        <v>1719</v>
      </c>
      <c r="J652" t="s">
        <v>1847</v>
      </c>
      <c r="L652" s="212" t="str">
        <f>IFERROR(VLOOKUP($H652,PARAMETERS!$M$3:$M$493,1,0),"---")</f>
        <v>---</v>
      </c>
    </row>
    <row r="653" spans="1:12" x14ac:dyDescent="0.3">
      <c r="A653" t="s">
        <v>9</v>
      </c>
      <c r="B653"/>
      <c r="C653"/>
      <c r="D653" t="s">
        <v>9</v>
      </c>
      <c r="E653"/>
      <c r="F653" t="s">
        <v>18</v>
      </c>
      <c r="G653" t="s">
        <v>27</v>
      </c>
      <c r="H653" t="s">
        <v>1720</v>
      </c>
      <c r="I653" t="s">
        <v>1721</v>
      </c>
      <c r="L653" s="212" t="str">
        <f>IFERROR(VLOOKUP($H653,PARAMETERS!$M$3:$M$493,1,0),"---")</f>
        <v>---</v>
      </c>
    </row>
    <row r="654" spans="1:12" x14ac:dyDescent="0.3">
      <c r="A654" t="s">
        <v>9</v>
      </c>
      <c r="B654"/>
      <c r="C654"/>
      <c r="D654" t="s">
        <v>9</v>
      </c>
      <c r="E654"/>
      <c r="F654" t="s">
        <v>18</v>
      </c>
      <c r="G654" t="s">
        <v>27</v>
      </c>
      <c r="H654" t="s">
        <v>1722</v>
      </c>
      <c r="I654" t="s">
        <v>1723</v>
      </c>
      <c r="L654" s="212" t="str">
        <f>IFERROR(VLOOKUP($H654,PARAMETERS!$M$3:$M$493,1,0),"---")</f>
        <v>---</v>
      </c>
    </row>
    <row r="655" spans="1:12" x14ac:dyDescent="0.3">
      <c r="A655" t="s">
        <v>9</v>
      </c>
      <c r="B655"/>
      <c r="C655"/>
      <c r="D655" t="s">
        <v>9</v>
      </c>
      <c r="E655"/>
      <c r="F655" t="s">
        <v>18</v>
      </c>
      <c r="G655" t="s">
        <v>27</v>
      </c>
      <c r="H655" t="s">
        <v>1724</v>
      </c>
      <c r="I655" t="s">
        <v>1725</v>
      </c>
      <c r="L655" s="212" t="str">
        <f>IFERROR(VLOOKUP($H655,PARAMETERS!$M$3:$M$493,1,0),"---")</f>
        <v>---</v>
      </c>
    </row>
    <row r="656" spans="1:12" x14ac:dyDescent="0.3">
      <c r="A656" t="s">
        <v>9</v>
      </c>
      <c r="B656"/>
      <c r="C656"/>
      <c r="D656" t="s">
        <v>9</v>
      </c>
      <c r="E656"/>
      <c r="F656" t="s">
        <v>18</v>
      </c>
      <c r="G656" t="s">
        <v>27</v>
      </c>
      <c r="H656" t="s">
        <v>1726</v>
      </c>
      <c r="I656" t="s">
        <v>1727</v>
      </c>
      <c r="L656" s="212" t="str">
        <f>IFERROR(VLOOKUP($H656,PARAMETERS!$M$3:$M$493,1,0),"---")</f>
        <v>---</v>
      </c>
    </row>
    <row r="657" spans="1:12" x14ac:dyDescent="0.3">
      <c r="A657" t="s">
        <v>9</v>
      </c>
      <c r="B657"/>
      <c r="C657"/>
      <c r="D657" t="s">
        <v>9</v>
      </c>
      <c r="E657"/>
      <c r="F657" t="s">
        <v>18</v>
      </c>
      <c r="G657" t="s">
        <v>27</v>
      </c>
      <c r="H657" t="s">
        <v>1728</v>
      </c>
      <c r="I657" t="s">
        <v>1729</v>
      </c>
      <c r="L657" s="212" t="str">
        <f>IFERROR(VLOOKUP($H657,PARAMETERS!$M$3:$M$493,1,0),"---")</f>
        <v>---</v>
      </c>
    </row>
    <row r="658" spans="1:12" x14ac:dyDescent="0.3">
      <c r="A658" t="s">
        <v>9</v>
      </c>
      <c r="B658"/>
      <c r="C658"/>
      <c r="D658" t="s">
        <v>9</v>
      </c>
      <c r="E658"/>
      <c r="F658" t="s">
        <v>18</v>
      </c>
      <c r="G658" t="s">
        <v>27</v>
      </c>
      <c r="H658" t="s">
        <v>1730</v>
      </c>
      <c r="I658" t="s">
        <v>1731</v>
      </c>
      <c r="L658" s="212" t="str">
        <f>IFERROR(VLOOKUP($H658,PARAMETERS!$M$3:$M$493,1,0),"---")</f>
        <v>---</v>
      </c>
    </row>
    <row r="659" spans="1:12" x14ac:dyDescent="0.3">
      <c r="A659" t="s">
        <v>9</v>
      </c>
      <c r="B659"/>
      <c r="C659"/>
      <c r="D659" t="s">
        <v>9</v>
      </c>
      <c r="E659"/>
      <c r="F659" t="s">
        <v>18</v>
      </c>
      <c r="G659" t="s">
        <v>27</v>
      </c>
      <c r="H659" t="s">
        <v>1732</v>
      </c>
      <c r="I659" t="s">
        <v>96</v>
      </c>
      <c r="L659" s="212" t="str">
        <f>IFERROR(VLOOKUP($H659,PARAMETERS!$M$3:$M$493,1,0),"---")</f>
        <v>---</v>
      </c>
    </row>
    <row r="660" spans="1:12" x14ac:dyDescent="0.3">
      <c r="A660" t="s">
        <v>9</v>
      </c>
      <c r="B660"/>
      <c r="C660"/>
      <c r="D660" t="s">
        <v>9</v>
      </c>
      <c r="E660"/>
      <c r="F660" t="s">
        <v>18</v>
      </c>
      <c r="G660" t="s">
        <v>27</v>
      </c>
      <c r="H660" t="s">
        <v>1733</v>
      </c>
      <c r="I660" t="s">
        <v>1734</v>
      </c>
      <c r="L660" s="212" t="str">
        <f>IFERROR(VLOOKUP($H660,PARAMETERS!$M$3:$M$493,1,0),"---")</f>
        <v>---</v>
      </c>
    </row>
    <row r="661" spans="1:12" x14ac:dyDescent="0.3">
      <c r="A661" t="s">
        <v>9</v>
      </c>
      <c r="B661"/>
      <c r="C661"/>
      <c r="D661" t="s">
        <v>9</v>
      </c>
      <c r="E661"/>
      <c r="F661" t="s">
        <v>18</v>
      </c>
      <c r="G661" t="s">
        <v>27</v>
      </c>
      <c r="H661" t="s">
        <v>1735</v>
      </c>
      <c r="I661" t="s">
        <v>1736</v>
      </c>
      <c r="L661" s="212" t="str">
        <f>IFERROR(VLOOKUP($H661,PARAMETERS!$M$3:$M$493,1,0),"---")</f>
        <v>---</v>
      </c>
    </row>
    <row r="662" spans="1:12" x14ac:dyDescent="0.3">
      <c r="A662" t="s">
        <v>9</v>
      </c>
      <c r="B662"/>
      <c r="C662"/>
      <c r="D662" t="s">
        <v>9</v>
      </c>
      <c r="E662"/>
      <c r="F662" t="s">
        <v>18</v>
      </c>
      <c r="G662" t="s">
        <v>27</v>
      </c>
      <c r="H662" t="s">
        <v>1737</v>
      </c>
      <c r="I662" t="s">
        <v>1738</v>
      </c>
      <c r="L662" s="212" t="str">
        <f>IFERROR(VLOOKUP($H662,PARAMETERS!$M$3:$M$493,1,0),"---")</f>
        <v>---</v>
      </c>
    </row>
    <row r="663" spans="1:12" x14ac:dyDescent="0.3">
      <c r="A663" t="s">
        <v>9</v>
      </c>
      <c r="B663"/>
      <c r="C663"/>
      <c r="D663" t="s">
        <v>9</v>
      </c>
      <c r="E663"/>
      <c r="F663" t="s">
        <v>18</v>
      </c>
      <c r="G663" t="s">
        <v>27</v>
      </c>
      <c r="H663" t="s">
        <v>1739</v>
      </c>
      <c r="I663" t="s">
        <v>1740</v>
      </c>
      <c r="L663" s="212" t="str">
        <f>IFERROR(VLOOKUP($H663,PARAMETERS!$M$3:$M$493,1,0),"---")</f>
        <v>---</v>
      </c>
    </row>
    <row r="664" spans="1:12" x14ac:dyDescent="0.3">
      <c r="A664" t="s">
        <v>9</v>
      </c>
      <c r="B664"/>
      <c r="C664"/>
      <c r="D664" t="s">
        <v>9</v>
      </c>
      <c r="E664"/>
      <c r="F664" t="s">
        <v>18</v>
      </c>
      <c r="G664" t="s">
        <v>27</v>
      </c>
      <c r="H664" t="s">
        <v>1741</v>
      </c>
      <c r="I664" t="s">
        <v>1742</v>
      </c>
      <c r="L664" s="212" t="str">
        <f>IFERROR(VLOOKUP($H664,PARAMETERS!$M$3:$M$493,1,0),"---")</f>
        <v>---</v>
      </c>
    </row>
    <row r="665" spans="1:12" x14ac:dyDescent="0.3">
      <c r="A665" t="s">
        <v>9</v>
      </c>
      <c r="B665"/>
      <c r="C665"/>
      <c r="D665" t="s">
        <v>9</v>
      </c>
      <c r="E665"/>
      <c r="F665" t="s">
        <v>18</v>
      </c>
      <c r="G665" t="s">
        <v>27</v>
      </c>
      <c r="H665" t="s">
        <v>1743</v>
      </c>
      <c r="I665" t="s">
        <v>1656</v>
      </c>
      <c r="L665" s="212" t="str">
        <f>IFERROR(VLOOKUP($H665,PARAMETERS!$M$3:$M$493,1,0),"---")</f>
        <v>---</v>
      </c>
    </row>
    <row r="666" spans="1:12" x14ac:dyDescent="0.3">
      <c r="A666" t="s">
        <v>9</v>
      </c>
      <c r="B666"/>
      <c r="C666"/>
      <c r="D666" t="s">
        <v>9</v>
      </c>
      <c r="E666"/>
      <c r="F666" t="s">
        <v>18</v>
      </c>
      <c r="G666" t="s">
        <v>27</v>
      </c>
      <c r="H666" t="s">
        <v>1744</v>
      </c>
      <c r="I666" t="s">
        <v>1745</v>
      </c>
      <c r="L666" s="212" t="str">
        <f>IFERROR(VLOOKUP($H666,PARAMETERS!$M$3:$M$493,1,0),"---")</f>
        <v>---</v>
      </c>
    </row>
    <row r="667" spans="1:12" x14ac:dyDescent="0.3">
      <c r="A667" t="s">
        <v>9</v>
      </c>
      <c r="B667"/>
      <c r="C667"/>
      <c r="D667" t="s">
        <v>9</v>
      </c>
      <c r="E667"/>
      <c r="F667" t="s">
        <v>18</v>
      </c>
      <c r="G667" t="s">
        <v>27</v>
      </c>
      <c r="H667" t="s">
        <v>1746</v>
      </c>
      <c r="I667" t="s">
        <v>1747</v>
      </c>
      <c r="L667" s="212" t="str">
        <f>IFERROR(VLOOKUP($H667,PARAMETERS!$M$3:$M$493,1,0),"---")</f>
        <v>---</v>
      </c>
    </row>
    <row r="668" spans="1:12" x14ac:dyDescent="0.3">
      <c r="A668" t="s">
        <v>9</v>
      </c>
      <c r="B668"/>
      <c r="C668"/>
      <c r="D668" t="s">
        <v>9</v>
      </c>
      <c r="E668"/>
      <c r="F668" t="s">
        <v>18</v>
      </c>
      <c r="G668" t="s">
        <v>27</v>
      </c>
      <c r="H668" t="s">
        <v>1748</v>
      </c>
      <c r="I668" t="s">
        <v>1749</v>
      </c>
      <c r="J668" t="s">
        <v>1750</v>
      </c>
      <c r="L668" s="212" t="str">
        <f>IFERROR(VLOOKUP($H668,PARAMETERS!$M$3:$M$493,1,0),"---")</f>
        <v>---</v>
      </c>
    </row>
    <row r="669" spans="1:12" x14ac:dyDescent="0.3">
      <c r="A669" t="s">
        <v>9</v>
      </c>
      <c r="B669"/>
      <c r="C669"/>
      <c r="D669" t="s">
        <v>9</v>
      </c>
      <c r="E669"/>
      <c r="F669" t="s">
        <v>18</v>
      </c>
      <c r="G669" t="s">
        <v>27</v>
      </c>
      <c r="H669" t="s">
        <v>1751</v>
      </c>
      <c r="I669" t="s">
        <v>1752</v>
      </c>
      <c r="L669" s="212" t="str">
        <f>IFERROR(VLOOKUP($H669,PARAMETERS!$M$3:$M$493,1,0),"---")</f>
        <v>---</v>
      </c>
    </row>
    <row r="670" spans="1:12" x14ac:dyDescent="0.3">
      <c r="A670" t="s">
        <v>9</v>
      </c>
      <c r="B670"/>
      <c r="C670"/>
      <c r="D670" t="s">
        <v>9</v>
      </c>
      <c r="E670"/>
      <c r="F670" t="s">
        <v>18</v>
      </c>
      <c r="G670" t="s">
        <v>27</v>
      </c>
      <c r="H670" t="s">
        <v>1753</v>
      </c>
      <c r="I670" t="s">
        <v>1754</v>
      </c>
      <c r="J670" t="s">
        <v>1750</v>
      </c>
      <c r="L670" s="212" t="str">
        <f>IFERROR(VLOOKUP($H670,PARAMETERS!$M$3:$M$493,1,0),"---")</f>
        <v>---</v>
      </c>
    </row>
    <row r="671" spans="1:12" x14ac:dyDescent="0.3">
      <c r="A671"/>
      <c r="B671"/>
      <c r="C671"/>
      <c r="D671" t="s">
        <v>9</v>
      </c>
      <c r="E671"/>
      <c r="F671" t="s">
        <v>18</v>
      </c>
      <c r="G671" t="s">
        <v>27</v>
      </c>
      <c r="H671" t="s">
        <v>1755</v>
      </c>
      <c r="I671" t="s">
        <v>1756</v>
      </c>
      <c r="L671" s="212" t="str">
        <f>IFERROR(VLOOKUP($H671,PARAMETERS!$M$3:$M$493,1,0),"---")</f>
        <v>---</v>
      </c>
    </row>
    <row r="672" spans="1:12" x14ac:dyDescent="0.3">
      <c r="L672" s="212" t="str">
        <f>IFERROR(VLOOKUP($H672,PARAMETERS!$M$3:$M$493,1,0),"---")</f>
        <v>---</v>
      </c>
    </row>
    <row r="673" spans="12:12" x14ac:dyDescent="0.3">
      <c r="L673" s="212" t="str">
        <f>IFERROR(VLOOKUP($H673,PARAMETERS!$M$3:$M$493,1,0),"---")</f>
        <v>---</v>
      </c>
    </row>
    <row r="674" spans="12:12" x14ac:dyDescent="0.3">
      <c r="L674" s="212" t="str">
        <f>IFERROR(VLOOKUP($H674,PARAMETERS!$M$3:$M$493,1,0),"---")</f>
        <v>---</v>
      </c>
    </row>
    <row r="675" spans="12:12" x14ac:dyDescent="0.3">
      <c r="L675" s="212" t="str">
        <f>IFERROR(VLOOKUP($H675,PARAMETERS!$M$3:$M$493,1,0),"---")</f>
        <v>---</v>
      </c>
    </row>
    <row r="676" spans="12:12" x14ac:dyDescent="0.3">
      <c r="L676" s="212" t="str">
        <f>IFERROR(VLOOKUP($H676,PARAMETERS!$M$3:$M$493,1,0),"---")</f>
        <v>---</v>
      </c>
    </row>
    <row r="677" spans="12:12" x14ac:dyDescent="0.3">
      <c r="L677" s="212" t="str">
        <f>IFERROR(VLOOKUP($H677,PARAMETERS!$M$3:$M$493,1,0),"---")</f>
        <v>---</v>
      </c>
    </row>
    <row r="678" spans="12:12" x14ac:dyDescent="0.3">
      <c r="L678" s="212" t="str">
        <f>IFERROR(VLOOKUP($H678,PARAMETERS!$M$3:$M$493,1,0),"---")</f>
        <v>---</v>
      </c>
    </row>
    <row r="679" spans="12:12" x14ac:dyDescent="0.3">
      <c r="L679" s="212" t="str">
        <f>IFERROR(VLOOKUP($H679,PARAMETERS!$M$3:$M$493,1,0),"---")</f>
        <v>---</v>
      </c>
    </row>
    <row r="680" spans="12:12" x14ac:dyDescent="0.3">
      <c r="L680" s="212" t="str">
        <f>IFERROR(VLOOKUP($H680,PARAMETERS!$M$3:$M$493,1,0),"---")</f>
        <v>---</v>
      </c>
    </row>
    <row r="681" spans="12:12" x14ac:dyDescent="0.3">
      <c r="L681" s="212" t="str">
        <f>IFERROR(VLOOKUP($H681,PARAMETERS!$M$3:$M$493,1,0),"---")</f>
        <v>---</v>
      </c>
    </row>
    <row r="682" spans="12:12" x14ac:dyDescent="0.3">
      <c r="L682" s="212" t="str">
        <f>IFERROR(VLOOKUP($H682,PARAMETERS!$M$3:$M$493,1,0),"---")</f>
        <v>---</v>
      </c>
    </row>
    <row r="683" spans="12:12" x14ac:dyDescent="0.3">
      <c r="L683" s="212" t="str">
        <f>IFERROR(VLOOKUP($H683,PARAMETERS!$M$3:$M$493,1,0),"---")</f>
        <v>---</v>
      </c>
    </row>
    <row r="684" spans="12:12" x14ac:dyDescent="0.3">
      <c r="L684" s="212" t="str">
        <f>IFERROR(VLOOKUP($H684,PARAMETERS!$M$3:$M$493,1,0),"---")</f>
        <v>---</v>
      </c>
    </row>
    <row r="685" spans="12:12" x14ac:dyDescent="0.3">
      <c r="L685" s="212" t="str">
        <f>IFERROR(VLOOKUP($H685,PARAMETERS!$M$3:$M$493,1,0),"---")</f>
        <v>---</v>
      </c>
    </row>
    <row r="686" spans="12:12" x14ac:dyDescent="0.3">
      <c r="L686" s="212" t="str">
        <f>IFERROR(VLOOKUP($H686,PARAMETERS!$M$3:$M$493,1,0),"---")</f>
        <v>---</v>
      </c>
    </row>
    <row r="687" spans="12:12" x14ac:dyDescent="0.3">
      <c r="L687" s="212" t="str">
        <f>IFERROR(VLOOKUP($H687,PARAMETERS!$M$3:$M$493,1,0),"---")</f>
        <v>---</v>
      </c>
    </row>
    <row r="688" spans="12:12" x14ac:dyDescent="0.3">
      <c r="L688" s="212" t="str">
        <f>IFERROR(VLOOKUP($H688,PARAMETERS!$M$3:$M$493,1,0),"---")</f>
        <v>---</v>
      </c>
    </row>
    <row r="689" spans="12:12" x14ac:dyDescent="0.3">
      <c r="L689" s="212" t="str">
        <f>IFERROR(VLOOKUP($H689,PARAMETERS!$M$3:$M$493,1,0),"---")</f>
        <v>---</v>
      </c>
    </row>
    <row r="690" spans="12:12" x14ac:dyDescent="0.3">
      <c r="L690" s="212" t="str">
        <f>IFERROR(VLOOKUP($H690,PARAMETERS!$M$3:$M$493,1,0),"---")</f>
        <v>---</v>
      </c>
    </row>
    <row r="691" spans="12:12" x14ac:dyDescent="0.3">
      <c r="L691" s="212" t="str">
        <f>IFERROR(VLOOKUP($H691,PARAMETERS!$M$3:$M$493,1,0),"---")</f>
        <v>---</v>
      </c>
    </row>
    <row r="692" spans="12:12" x14ac:dyDescent="0.3">
      <c r="L692" s="212" t="str">
        <f>IFERROR(VLOOKUP($H692,PARAMETERS!$M$3:$M$493,1,0),"---")</f>
        <v>---</v>
      </c>
    </row>
    <row r="693" spans="12:12" x14ac:dyDescent="0.3">
      <c r="L693" s="212" t="str">
        <f>IFERROR(VLOOKUP($H693,PARAMETERS!$M$3:$M$493,1,0),"---")</f>
        <v>---</v>
      </c>
    </row>
    <row r="694" spans="12:12" x14ac:dyDescent="0.3">
      <c r="L694" s="212" t="str">
        <f>IFERROR(VLOOKUP($H694,PARAMETERS!$M$3:$M$493,1,0),"---")</f>
        <v>---</v>
      </c>
    </row>
    <row r="695" spans="12:12" x14ac:dyDescent="0.3">
      <c r="L695" s="212" t="str">
        <f>IFERROR(VLOOKUP($H695,PARAMETERS!$M$3:$M$493,1,0),"---")</f>
        <v>---</v>
      </c>
    </row>
    <row r="696" spans="12:12" x14ac:dyDescent="0.3">
      <c r="L696" s="212" t="str">
        <f>IFERROR(VLOOKUP($H696,PARAMETERS!$M$3:$M$493,1,0),"---")</f>
        <v>---</v>
      </c>
    </row>
    <row r="697" spans="12:12" x14ac:dyDescent="0.3">
      <c r="L697" s="212" t="str">
        <f>IFERROR(VLOOKUP($H697,PARAMETERS!$M$3:$M$493,1,0),"---")</f>
        <v>---</v>
      </c>
    </row>
    <row r="698" spans="12:12" x14ac:dyDescent="0.3">
      <c r="L698" s="212" t="str">
        <f>IFERROR(VLOOKUP($H698,PARAMETERS!$M$3:$M$493,1,0),"---")</f>
        <v>---</v>
      </c>
    </row>
    <row r="699" spans="12:12" x14ac:dyDescent="0.3">
      <c r="L699" s="212" t="str">
        <f>IFERROR(VLOOKUP($H699,PARAMETERS!$M$3:$M$493,1,0),"---")</f>
        <v>---</v>
      </c>
    </row>
    <row r="700" spans="12:12" x14ac:dyDescent="0.3">
      <c r="L700" s="212" t="str">
        <f>IFERROR(VLOOKUP($H700,PARAMETERS!$M$3:$M$493,1,0),"---")</f>
        <v>---</v>
      </c>
    </row>
    <row r="701" spans="12:12" x14ac:dyDescent="0.3">
      <c r="L701" s="212" t="str">
        <f>IFERROR(VLOOKUP($H701,PARAMETERS!$M$3:$M$493,1,0),"---")</f>
        <v>---</v>
      </c>
    </row>
    <row r="702" spans="12:12" x14ac:dyDescent="0.3">
      <c r="L702" s="212" t="str">
        <f>IFERROR(VLOOKUP($H702,PARAMETERS!$M$3:$M$493,1,0),"---")</f>
        <v>---</v>
      </c>
    </row>
    <row r="703" spans="12:12" x14ac:dyDescent="0.3">
      <c r="L703" s="212" t="str">
        <f>IFERROR(VLOOKUP($H703,PARAMETERS!$M$3:$M$493,1,0),"---")</f>
        <v>---</v>
      </c>
    </row>
    <row r="704" spans="12:12" x14ac:dyDescent="0.3">
      <c r="L704" s="212" t="str">
        <f>IFERROR(VLOOKUP($H704,PARAMETERS!$M$3:$M$493,1,0),"---")</f>
        <v>---</v>
      </c>
    </row>
    <row r="705" spans="12:12" x14ac:dyDescent="0.3">
      <c r="L705" s="212" t="str">
        <f>IFERROR(VLOOKUP($H705,PARAMETERS!$M$3:$M$493,1,0),"---")</f>
        <v>---</v>
      </c>
    </row>
    <row r="706" spans="12:12" x14ac:dyDescent="0.3">
      <c r="L706" s="212" t="str">
        <f>IFERROR(VLOOKUP($H706,PARAMETERS!$M$3:$M$493,1,0),"---")</f>
        <v>---</v>
      </c>
    </row>
    <row r="707" spans="12:12" x14ac:dyDescent="0.3">
      <c r="L707" s="212" t="str">
        <f>IFERROR(VLOOKUP($H707,PARAMETERS!$M$3:$M$493,1,0),"---")</f>
        <v>---</v>
      </c>
    </row>
    <row r="708" spans="12:12" x14ac:dyDescent="0.3">
      <c r="L708" s="212" t="str">
        <f>IFERROR(VLOOKUP($H708,PARAMETERS!$M$3:$M$493,1,0),"---")</f>
        <v>---</v>
      </c>
    </row>
    <row r="709" spans="12:12" x14ac:dyDescent="0.3">
      <c r="L709" s="212" t="str">
        <f>IFERROR(VLOOKUP($H709,PARAMETERS!$M$3:$M$493,1,0),"---")</f>
        <v>---</v>
      </c>
    </row>
    <row r="710" spans="12:12" x14ac:dyDescent="0.3">
      <c r="L710" s="212" t="str">
        <f>IFERROR(VLOOKUP($H710,PARAMETERS!$M$3:$M$493,1,0),"---")</f>
        <v>---</v>
      </c>
    </row>
    <row r="711" spans="12:12" x14ac:dyDescent="0.3">
      <c r="L711" s="212" t="str">
        <f>IFERROR(VLOOKUP($H711,PARAMETERS!$M$3:$M$493,1,0),"---")</f>
        <v>---</v>
      </c>
    </row>
    <row r="712" spans="12:12" x14ac:dyDescent="0.3">
      <c r="L712" s="212" t="str">
        <f>IFERROR(VLOOKUP($H712,PARAMETERS!$M$3:$M$493,1,0),"---")</f>
        <v>---</v>
      </c>
    </row>
    <row r="713" spans="12:12" x14ac:dyDescent="0.3">
      <c r="L713" s="212" t="str">
        <f>IFERROR(VLOOKUP($H713,PARAMETERS!$M$3:$M$493,1,0),"---")</f>
        <v>---</v>
      </c>
    </row>
    <row r="714" spans="12:12" x14ac:dyDescent="0.3">
      <c r="L714" s="212" t="str">
        <f>IFERROR(VLOOKUP($H714,PARAMETERS!$M$3:$M$493,1,0),"---")</f>
        <v>---</v>
      </c>
    </row>
    <row r="715" spans="12:12" x14ac:dyDescent="0.3">
      <c r="L715" s="212" t="str">
        <f>IFERROR(VLOOKUP($H715,PARAMETERS!$M$3:$M$493,1,0),"---")</f>
        <v>---</v>
      </c>
    </row>
    <row r="716" spans="12:12" x14ac:dyDescent="0.3">
      <c r="L716" s="212" t="str">
        <f>IFERROR(VLOOKUP($H716,PARAMETERS!$M$3:$M$493,1,0),"---")</f>
        <v>---</v>
      </c>
    </row>
    <row r="717" spans="12:12" x14ac:dyDescent="0.3">
      <c r="L717" s="212" t="str">
        <f>IFERROR(VLOOKUP($H717,PARAMETERS!$M$3:$M$493,1,0),"---")</f>
        <v>---</v>
      </c>
    </row>
    <row r="718" spans="12:12" x14ac:dyDescent="0.3">
      <c r="L718" s="212" t="str">
        <f>IFERROR(VLOOKUP($H718,PARAMETERS!$M$3:$M$493,1,0),"---")</f>
        <v>---</v>
      </c>
    </row>
    <row r="719" spans="12:12" x14ac:dyDescent="0.3">
      <c r="L719" s="212" t="str">
        <f>IFERROR(VLOOKUP($H719,PARAMETERS!$M$3:$M$493,1,0),"---")</f>
        <v>---</v>
      </c>
    </row>
    <row r="720" spans="12:12" x14ac:dyDescent="0.3">
      <c r="L720" s="212" t="str">
        <f>IFERROR(VLOOKUP($H720,PARAMETERS!$M$3:$M$493,1,0),"---")</f>
        <v>---</v>
      </c>
    </row>
    <row r="721" spans="12:12" x14ac:dyDescent="0.3">
      <c r="L721" s="212" t="str">
        <f>IFERROR(VLOOKUP($H721,PARAMETERS!$M$3:$M$493,1,0),"---")</f>
        <v>---</v>
      </c>
    </row>
    <row r="722" spans="12:12" x14ac:dyDescent="0.3">
      <c r="L722" s="212" t="str">
        <f>IFERROR(VLOOKUP($H722,PARAMETERS!$M$3:$M$493,1,0),"---")</f>
        <v>---</v>
      </c>
    </row>
    <row r="723" spans="12:12" x14ac:dyDescent="0.3">
      <c r="L723" s="212" t="str">
        <f>IFERROR(VLOOKUP($H723,PARAMETERS!$M$3:$M$493,1,0),"---")</f>
        <v>---</v>
      </c>
    </row>
    <row r="724" spans="12:12" x14ac:dyDescent="0.3">
      <c r="L724" s="212" t="str">
        <f>IFERROR(VLOOKUP($H724,PARAMETERS!$M$3:$M$493,1,0),"---")</f>
        <v>---</v>
      </c>
    </row>
    <row r="725" spans="12:12" x14ac:dyDescent="0.3">
      <c r="L725" s="212" t="str">
        <f>IFERROR(VLOOKUP($H725,PARAMETERS!$M$3:$M$493,1,0),"---")</f>
        <v>---</v>
      </c>
    </row>
    <row r="726" spans="12:12" x14ac:dyDescent="0.3">
      <c r="L726" s="212" t="str">
        <f>IFERROR(VLOOKUP($H726,PARAMETERS!$M$3:$M$493,1,0),"---")</f>
        <v>---</v>
      </c>
    </row>
    <row r="727" spans="12:12" x14ac:dyDescent="0.3">
      <c r="L727" s="212" t="str">
        <f>IFERROR(VLOOKUP($H727,PARAMETERS!$M$3:$M$493,1,0),"---")</f>
        <v>---</v>
      </c>
    </row>
    <row r="728" spans="12:12" x14ac:dyDescent="0.3">
      <c r="L728" s="212" t="str">
        <f>IFERROR(VLOOKUP($H728,PARAMETERS!$M$3:$M$493,1,0),"---")</f>
        <v>---</v>
      </c>
    </row>
    <row r="729" spans="12:12" x14ac:dyDescent="0.3">
      <c r="L729" s="212" t="str">
        <f>IFERROR(VLOOKUP($H729,PARAMETERS!$M$3:$M$493,1,0),"---")</f>
        <v>---</v>
      </c>
    </row>
    <row r="730" spans="12:12" x14ac:dyDescent="0.3">
      <c r="L730" s="212" t="str">
        <f>IFERROR(VLOOKUP($H730,PARAMETERS!$M$3:$M$493,1,0),"---")</f>
        <v>---</v>
      </c>
    </row>
    <row r="731" spans="12:12" x14ac:dyDescent="0.3">
      <c r="L731" s="212" t="str">
        <f>IFERROR(VLOOKUP($H731,PARAMETERS!$M$3:$M$493,1,0),"---")</f>
        <v>---</v>
      </c>
    </row>
    <row r="732" spans="12:12" x14ac:dyDescent="0.3">
      <c r="L732" s="212" t="str">
        <f>IFERROR(VLOOKUP($H732,PARAMETERS!$M$3:$M$493,1,0),"---")</f>
        <v>---</v>
      </c>
    </row>
    <row r="733" spans="12:12" x14ac:dyDescent="0.3">
      <c r="L733" s="212" t="str">
        <f>IFERROR(VLOOKUP($H733,PARAMETERS!$M$3:$M$493,1,0),"---")</f>
        <v>---</v>
      </c>
    </row>
    <row r="734" spans="12:12" x14ac:dyDescent="0.3">
      <c r="L734" s="212" t="str">
        <f>IFERROR(VLOOKUP($H734,PARAMETERS!$M$3:$M$493,1,0),"---")</f>
        <v>---</v>
      </c>
    </row>
    <row r="735" spans="12:12" x14ac:dyDescent="0.3">
      <c r="L735" s="212" t="str">
        <f>IFERROR(VLOOKUP($H735,PARAMETERS!$M$3:$M$493,1,0),"---")</f>
        <v>---</v>
      </c>
    </row>
    <row r="736" spans="12:12" x14ac:dyDescent="0.3">
      <c r="L736" s="212" t="str">
        <f>IFERROR(VLOOKUP($H736,PARAMETERS!$M$3:$M$493,1,0),"---")</f>
        <v>---</v>
      </c>
    </row>
    <row r="737" spans="12:12" x14ac:dyDescent="0.3">
      <c r="L737" s="212" t="str">
        <f>IFERROR(VLOOKUP($H737,PARAMETERS!$M$3:$M$493,1,0),"---")</f>
        <v>---</v>
      </c>
    </row>
    <row r="738" spans="12:12" x14ac:dyDescent="0.3">
      <c r="L738" s="212" t="str">
        <f>IFERROR(VLOOKUP($H738,PARAMETERS!$M$3:$M$493,1,0),"---")</f>
        <v>---</v>
      </c>
    </row>
    <row r="739" spans="12:12" x14ac:dyDescent="0.3">
      <c r="L739" s="212" t="str">
        <f>IFERROR(VLOOKUP($H739,PARAMETERS!$M$3:$M$493,1,0),"---")</f>
        <v>---</v>
      </c>
    </row>
    <row r="740" spans="12:12" x14ac:dyDescent="0.3">
      <c r="L740" s="212" t="str">
        <f>IFERROR(VLOOKUP($H740,PARAMETERS!$M$3:$M$493,1,0),"---")</f>
        <v>---</v>
      </c>
    </row>
    <row r="741" spans="12:12" x14ac:dyDescent="0.3">
      <c r="L741" s="212" t="str">
        <f>IFERROR(VLOOKUP($H741,PARAMETERS!$M$3:$M$493,1,0),"---")</f>
        <v>---</v>
      </c>
    </row>
    <row r="742" spans="12:12" x14ac:dyDescent="0.3">
      <c r="L742" s="212" t="str">
        <f>IFERROR(VLOOKUP($H742,PARAMETERS!$M$3:$M$493,1,0),"---")</f>
        <v>---</v>
      </c>
    </row>
    <row r="743" spans="12:12" x14ac:dyDescent="0.3">
      <c r="L743" s="212" t="str">
        <f>IFERROR(VLOOKUP($H743,PARAMETERS!$M$3:$M$493,1,0),"---")</f>
        <v>---</v>
      </c>
    </row>
    <row r="744" spans="12:12" x14ac:dyDescent="0.3">
      <c r="L744" s="212" t="str">
        <f>IFERROR(VLOOKUP($H744,PARAMETERS!$M$3:$M$493,1,0),"---")</f>
        <v>---</v>
      </c>
    </row>
    <row r="745" spans="12:12" x14ac:dyDescent="0.3">
      <c r="L745" s="212" t="str">
        <f>IFERROR(VLOOKUP($H745,PARAMETERS!$M$3:$M$493,1,0),"---")</f>
        <v>---</v>
      </c>
    </row>
    <row r="746" spans="12:12" x14ac:dyDescent="0.3">
      <c r="L746" s="212" t="str">
        <f>IFERROR(VLOOKUP($H746,PARAMETERS!$M$3:$M$493,1,0),"---")</f>
        <v>---</v>
      </c>
    </row>
    <row r="747" spans="12:12" x14ac:dyDescent="0.3">
      <c r="L747" s="212" t="str">
        <f>IFERROR(VLOOKUP($H747,PARAMETERS!$M$3:$M$493,1,0),"---")</f>
        <v>---</v>
      </c>
    </row>
    <row r="748" spans="12:12" x14ac:dyDescent="0.3">
      <c r="L748" s="212" t="str">
        <f>IFERROR(VLOOKUP($H748,PARAMETERS!$M$3:$M$493,1,0),"---")</f>
        <v>---</v>
      </c>
    </row>
    <row r="749" spans="12:12" x14ac:dyDescent="0.3">
      <c r="L749" s="212" t="str">
        <f>IFERROR(VLOOKUP($H749,PARAMETERS!$M$3:$M$493,1,0),"---")</f>
        <v>---</v>
      </c>
    </row>
    <row r="750" spans="12:12" x14ac:dyDescent="0.3">
      <c r="L750" s="212" t="str">
        <f>IFERROR(VLOOKUP($H750,PARAMETERS!$M$3:$M$493,1,0),"---")</f>
        <v>---</v>
      </c>
    </row>
    <row r="751" spans="12:12" x14ac:dyDescent="0.3">
      <c r="L751" s="212" t="str">
        <f>IFERROR(VLOOKUP($H751,PARAMETERS!$M$3:$M$493,1,0),"---")</f>
        <v>---</v>
      </c>
    </row>
    <row r="752" spans="12:12" x14ac:dyDescent="0.3">
      <c r="L752" s="212" t="str">
        <f>IFERROR(VLOOKUP($H752,PARAMETERS!$M$3:$M$493,1,0),"---")</f>
        <v>---</v>
      </c>
    </row>
    <row r="753" spans="12:12" x14ac:dyDescent="0.3">
      <c r="L753" s="212" t="str">
        <f>IFERROR(VLOOKUP($H753,PARAMETERS!$M$3:$M$493,1,0),"---")</f>
        <v>---</v>
      </c>
    </row>
    <row r="754" spans="12:12" x14ac:dyDescent="0.3">
      <c r="L754" s="212" t="str">
        <f>IFERROR(VLOOKUP($H754,PARAMETERS!$M$3:$M$493,1,0),"---")</f>
        <v>---</v>
      </c>
    </row>
    <row r="755" spans="12:12" x14ac:dyDescent="0.3">
      <c r="L755" s="212" t="str">
        <f>IFERROR(VLOOKUP($H755,PARAMETERS!$M$3:$M$493,1,0),"---")</f>
        <v>---</v>
      </c>
    </row>
    <row r="756" spans="12:12" x14ac:dyDescent="0.3">
      <c r="L756" s="212" t="str">
        <f>IFERROR(VLOOKUP($H756,PARAMETERS!$M$3:$M$493,1,0),"---")</f>
        <v>---</v>
      </c>
    </row>
    <row r="757" spans="12:12" x14ac:dyDescent="0.3">
      <c r="L757" s="212" t="str">
        <f>IFERROR(VLOOKUP($H757,PARAMETERS!$M$3:$M$493,1,0),"---")</f>
        <v>---</v>
      </c>
    </row>
    <row r="758" spans="12:12" x14ac:dyDescent="0.3">
      <c r="L758" s="212" t="str">
        <f>IFERROR(VLOOKUP($H758,PARAMETERS!$M$3:$M$493,1,0),"---")</f>
        <v>---</v>
      </c>
    </row>
    <row r="759" spans="12:12" x14ac:dyDescent="0.3">
      <c r="L759" s="212" t="str">
        <f>IFERROR(VLOOKUP($H759,PARAMETERS!$M$3:$M$493,1,0),"---")</f>
        <v>---</v>
      </c>
    </row>
    <row r="760" spans="12:12" x14ac:dyDescent="0.3">
      <c r="L760" s="212" t="str">
        <f>IFERROR(VLOOKUP($H760,PARAMETERS!$M$3:$M$493,1,0),"---")</f>
        <v>---</v>
      </c>
    </row>
    <row r="761" spans="12:12" x14ac:dyDescent="0.3">
      <c r="L761" s="212" t="str">
        <f>IFERROR(VLOOKUP($H761,PARAMETERS!$M$3:$M$493,1,0),"---")</f>
        <v>---</v>
      </c>
    </row>
    <row r="762" spans="12:12" x14ac:dyDescent="0.3">
      <c r="L762" s="212" t="str">
        <f>IFERROR(VLOOKUP($H762,PARAMETERS!$M$3:$M$493,1,0),"---")</f>
        <v>---</v>
      </c>
    </row>
    <row r="763" spans="12:12" x14ac:dyDescent="0.3">
      <c r="L763" s="212" t="str">
        <f>IFERROR(VLOOKUP($H763,PARAMETERS!$M$3:$M$493,1,0),"---")</f>
        <v>---</v>
      </c>
    </row>
    <row r="764" spans="12:12" x14ac:dyDescent="0.3">
      <c r="L764" s="212" t="str">
        <f>IFERROR(VLOOKUP($H764,PARAMETERS!$M$3:$M$493,1,0),"---")</f>
        <v>---</v>
      </c>
    </row>
    <row r="765" spans="12:12" x14ac:dyDescent="0.3">
      <c r="L765" s="212" t="str">
        <f>IFERROR(VLOOKUP($H765,PARAMETERS!$M$3:$M$493,1,0),"---")</f>
        <v>---</v>
      </c>
    </row>
    <row r="766" spans="12:12" x14ac:dyDescent="0.3">
      <c r="L766" s="212" t="str">
        <f>IFERROR(VLOOKUP($H766,PARAMETERS!$M$3:$M$493,1,0),"---")</f>
        <v>---</v>
      </c>
    </row>
    <row r="767" spans="12:12" x14ac:dyDescent="0.3">
      <c r="L767" s="212" t="str">
        <f>IFERROR(VLOOKUP($H767,PARAMETERS!$M$3:$M$493,1,0),"---")</f>
        <v>---</v>
      </c>
    </row>
    <row r="768" spans="12:12" x14ac:dyDescent="0.3">
      <c r="L768" s="212" t="str">
        <f>IFERROR(VLOOKUP($H768,PARAMETERS!$M$3:$M$493,1,0),"---")</f>
        <v>---</v>
      </c>
    </row>
    <row r="769" spans="12:12" x14ac:dyDescent="0.3">
      <c r="L769" s="212" t="str">
        <f>IFERROR(VLOOKUP($H769,PARAMETERS!$M$3:$M$493,1,0),"---")</f>
        <v>---</v>
      </c>
    </row>
    <row r="770" spans="12:12" x14ac:dyDescent="0.3">
      <c r="L770" s="212" t="str">
        <f>IFERROR(VLOOKUP($H770,PARAMETERS!$M$3:$M$493,1,0),"---")</f>
        <v>---</v>
      </c>
    </row>
    <row r="771" spans="12:12" x14ac:dyDescent="0.3">
      <c r="L771" s="212" t="str">
        <f>IFERROR(VLOOKUP($H771,PARAMETERS!$M$3:$M$493,1,0),"---")</f>
        <v>---</v>
      </c>
    </row>
    <row r="772" spans="12:12" x14ac:dyDescent="0.3">
      <c r="L772" s="212" t="str">
        <f>IFERROR(VLOOKUP($H772,PARAMETERS!$M$3:$M$493,1,0),"---")</f>
        <v>---</v>
      </c>
    </row>
    <row r="773" spans="12:12" x14ac:dyDescent="0.3">
      <c r="L773" s="212" t="str">
        <f>IFERROR(VLOOKUP($H773,PARAMETERS!$M$3:$M$493,1,0),"---")</f>
        <v>---</v>
      </c>
    </row>
    <row r="774" spans="12:12" x14ac:dyDescent="0.3">
      <c r="L774" s="212" t="str">
        <f>IFERROR(VLOOKUP($H774,PARAMETERS!$M$3:$M$493,1,0),"---")</f>
        <v>---</v>
      </c>
    </row>
    <row r="775" spans="12:12" x14ac:dyDescent="0.3">
      <c r="L775" s="212" t="str">
        <f>IFERROR(VLOOKUP($H775,PARAMETERS!$M$3:$M$493,1,0),"---")</f>
        <v>---</v>
      </c>
    </row>
    <row r="776" spans="12:12" x14ac:dyDescent="0.3">
      <c r="L776" s="212" t="str">
        <f>IFERROR(VLOOKUP($H776,PARAMETERS!$M$3:$M$493,1,0),"---")</f>
        <v>---</v>
      </c>
    </row>
    <row r="777" spans="12:12" x14ac:dyDescent="0.3">
      <c r="L777" s="212" t="str">
        <f>IFERROR(VLOOKUP($H777,PARAMETERS!$M$3:$M$493,1,0),"---")</f>
        <v>---</v>
      </c>
    </row>
    <row r="778" spans="12:12" x14ac:dyDescent="0.3">
      <c r="L778" s="212" t="str">
        <f>IFERROR(VLOOKUP($H778,PARAMETERS!$M$3:$M$493,1,0),"---")</f>
        <v>---</v>
      </c>
    </row>
    <row r="779" spans="12:12" x14ac:dyDescent="0.3">
      <c r="L779" s="212" t="str">
        <f>IFERROR(VLOOKUP($H779,PARAMETERS!$M$3:$M$493,1,0),"---")</f>
        <v>---</v>
      </c>
    </row>
    <row r="780" spans="12:12" x14ac:dyDescent="0.3">
      <c r="L780" s="212" t="str">
        <f>IFERROR(VLOOKUP($H780,PARAMETERS!$M$3:$M$493,1,0),"---")</f>
        <v>---</v>
      </c>
    </row>
    <row r="781" spans="12:12" x14ac:dyDescent="0.3">
      <c r="L781" s="212" t="str">
        <f>IFERROR(VLOOKUP($H781,PARAMETERS!$M$3:$M$493,1,0),"---")</f>
        <v>---</v>
      </c>
    </row>
    <row r="782" spans="12:12" x14ac:dyDescent="0.3">
      <c r="L782" s="212" t="str">
        <f>IFERROR(VLOOKUP($H782,PARAMETERS!$M$3:$M$493,1,0),"---")</f>
        <v>---</v>
      </c>
    </row>
    <row r="783" spans="12:12" x14ac:dyDescent="0.3">
      <c r="L783" s="212" t="str">
        <f>IFERROR(VLOOKUP($H783,PARAMETERS!$M$3:$M$493,1,0),"---")</f>
        <v>---</v>
      </c>
    </row>
    <row r="784" spans="12:12" x14ac:dyDescent="0.3">
      <c r="L784" s="212" t="str">
        <f>IFERROR(VLOOKUP($H784,PARAMETERS!$M$3:$M$493,1,0),"---")</f>
        <v>---</v>
      </c>
    </row>
    <row r="785" spans="12:12" x14ac:dyDescent="0.3">
      <c r="L785" s="212" t="str">
        <f>IFERROR(VLOOKUP($H785,PARAMETERS!$M$3:$M$493,1,0),"---")</f>
        <v>---</v>
      </c>
    </row>
    <row r="786" spans="12:12" x14ac:dyDescent="0.3">
      <c r="L786" s="212" t="str">
        <f>IFERROR(VLOOKUP($H786,PARAMETERS!$M$3:$M$493,1,0),"---")</f>
        <v>---</v>
      </c>
    </row>
    <row r="787" spans="12:12" x14ac:dyDescent="0.3">
      <c r="L787" s="212" t="str">
        <f>IFERROR(VLOOKUP($H787,PARAMETERS!$M$3:$M$493,1,0),"---")</f>
        <v>---</v>
      </c>
    </row>
    <row r="788" spans="12:12" x14ac:dyDescent="0.3">
      <c r="L788" s="212" t="str">
        <f>IFERROR(VLOOKUP($H788,PARAMETERS!$M$3:$M$493,1,0),"---")</f>
        <v>---</v>
      </c>
    </row>
    <row r="789" spans="12:12" x14ac:dyDescent="0.3">
      <c r="L789" s="212" t="str">
        <f>IFERROR(VLOOKUP($H789,PARAMETERS!$M$3:$M$493,1,0),"---")</f>
        <v>---</v>
      </c>
    </row>
    <row r="790" spans="12:12" x14ac:dyDescent="0.3">
      <c r="L790" s="212" t="str">
        <f>IFERROR(VLOOKUP($H790,PARAMETERS!$M$3:$M$493,1,0),"---")</f>
        <v>---</v>
      </c>
    </row>
    <row r="791" spans="12:12" x14ac:dyDescent="0.3">
      <c r="L791" s="212" t="str">
        <f>IFERROR(VLOOKUP($H791,PARAMETERS!$M$3:$M$493,1,0),"---")</f>
        <v>---</v>
      </c>
    </row>
    <row r="792" spans="12:12" x14ac:dyDescent="0.3">
      <c r="L792" s="212" t="str">
        <f>IFERROR(VLOOKUP($H792,PARAMETERS!$M$3:$M$493,1,0),"---")</f>
        <v>---</v>
      </c>
    </row>
    <row r="793" spans="12:12" x14ac:dyDescent="0.3">
      <c r="L793" s="212" t="str">
        <f>IFERROR(VLOOKUP($H793,PARAMETERS!$M$3:$M$493,1,0),"---")</f>
        <v>---</v>
      </c>
    </row>
    <row r="794" spans="12:12" x14ac:dyDescent="0.3">
      <c r="L794" s="212" t="str">
        <f>IFERROR(VLOOKUP($H794,PARAMETERS!$M$3:$M$493,1,0),"---")</f>
        <v>---</v>
      </c>
    </row>
    <row r="795" spans="12:12" x14ac:dyDescent="0.3">
      <c r="L795" s="212" t="str">
        <f>IFERROR(VLOOKUP($H795,PARAMETERS!$M$3:$M$493,1,0),"---")</f>
        <v>---</v>
      </c>
    </row>
    <row r="796" spans="12:12" x14ac:dyDescent="0.3">
      <c r="L796" s="212" t="str">
        <f>IFERROR(VLOOKUP($H796,PARAMETERS!$M$3:$M$493,1,0),"---")</f>
        <v>---</v>
      </c>
    </row>
    <row r="797" spans="12:12" x14ac:dyDescent="0.3">
      <c r="L797" s="212" t="str">
        <f>IFERROR(VLOOKUP($H797,PARAMETERS!$M$3:$M$493,1,0),"---")</f>
        <v>---</v>
      </c>
    </row>
    <row r="798" spans="12:12" x14ac:dyDescent="0.3">
      <c r="L798" s="212" t="str">
        <f>IFERROR(VLOOKUP($H798,PARAMETERS!$M$3:$M$493,1,0),"---")</f>
        <v>---</v>
      </c>
    </row>
    <row r="799" spans="12:12" x14ac:dyDescent="0.3">
      <c r="L799" s="212" t="str">
        <f>IFERROR(VLOOKUP($H799,PARAMETERS!$M$3:$M$493,1,0),"---")</f>
        <v>---</v>
      </c>
    </row>
    <row r="800" spans="12:12" x14ac:dyDescent="0.3">
      <c r="L800" s="212" t="str">
        <f>IFERROR(VLOOKUP($H800,PARAMETERS!$M$3:$M$493,1,0),"---")</f>
        <v>---</v>
      </c>
    </row>
    <row r="801" spans="12:12" x14ac:dyDescent="0.3">
      <c r="L801" s="212" t="str">
        <f>IFERROR(VLOOKUP($H801,PARAMETERS!$M$3:$M$493,1,0),"---")</f>
        <v>---</v>
      </c>
    </row>
    <row r="802" spans="12:12" x14ac:dyDescent="0.3">
      <c r="L802" s="212" t="str">
        <f>IFERROR(VLOOKUP($H802,PARAMETERS!$M$3:$M$493,1,0),"---")</f>
        <v>---</v>
      </c>
    </row>
    <row r="803" spans="12:12" x14ac:dyDescent="0.3">
      <c r="L803" s="212" t="str">
        <f>IFERROR(VLOOKUP($H803,PARAMETERS!$M$3:$M$493,1,0),"---")</f>
        <v>---</v>
      </c>
    </row>
    <row r="804" spans="12:12" x14ac:dyDescent="0.3">
      <c r="L804" s="212" t="str">
        <f>IFERROR(VLOOKUP($H804,PARAMETERS!$M$3:$M$493,1,0),"---")</f>
        <v>---</v>
      </c>
    </row>
    <row r="805" spans="12:12" x14ac:dyDescent="0.3">
      <c r="L805" s="212" t="str">
        <f>IFERROR(VLOOKUP($H805,PARAMETERS!$M$3:$M$493,1,0),"---")</f>
        <v>---</v>
      </c>
    </row>
    <row r="806" spans="12:12" x14ac:dyDescent="0.3">
      <c r="L806" s="212" t="str">
        <f>IFERROR(VLOOKUP($H806,PARAMETERS!$M$3:$M$493,1,0),"---")</f>
        <v>---</v>
      </c>
    </row>
    <row r="807" spans="12:12" x14ac:dyDescent="0.3">
      <c r="L807" s="212" t="str">
        <f>IFERROR(VLOOKUP($H807,PARAMETERS!$M$3:$M$493,1,0),"---")</f>
        <v>---</v>
      </c>
    </row>
    <row r="808" spans="12:12" x14ac:dyDescent="0.3">
      <c r="L808" s="212" t="str">
        <f>IFERROR(VLOOKUP($H808,PARAMETERS!$M$3:$M$493,1,0),"---")</f>
        <v>---</v>
      </c>
    </row>
    <row r="809" spans="12:12" x14ac:dyDescent="0.3">
      <c r="L809" s="212" t="str">
        <f>IFERROR(VLOOKUP($H809,PARAMETERS!$M$3:$M$493,1,0),"---")</f>
        <v>---</v>
      </c>
    </row>
    <row r="810" spans="12:12" x14ac:dyDescent="0.3">
      <c r="L810" s="212" t="str">
        <f>IFERROR(VLOOKUP($H810,PARAMETERS!$M$3:$M$493,1,0),"---")</f>
        <v>---</v>
      </c>
    </row>
    <row r="811" spans="12:12" x14ac:dyDescent="0.3">
      <c r="L811" s="212" t="str">
        <f>IFERROR(VLOOKUP($H811,PARAMETERS!$M$3:$M$493,1,0),"---")</f>
        <v>---</v>
      </c>
    </row>
    <row r="812" spans="12:12" x14ac:dyDescent="0.3">
      <c r="L812" s="212" t="str">
        <f>IFERROR(VLOOKUP($H812,PARAMETERS!$M$3:$M$493,1,0),"---")</f>
        <v>---</v>
      </c>
    </row>
    <row r="813" spans="12:12" x14ac:dyDescent="0.3">
      <c r="L813" s="212" t="str">
        <f>IFERROR(VLOOKUP($H813,PARAMETERS!$M$3:$M$493,1,0),"---")</f>
        <v>---</v>
      </c>
    </row>
    <row r="814" spans="12:12" x14ac:dyDescent="0.3">
      <c r="L814" s="212" t="str">
        <f>IFERROR(VLOOKUP($H814,PARAMETERS!$M$3:$M$493,1,0),"---")</f>
        <v>---</v>
      </c>
    </row>
    <row r="815" spans="12:12" x14ac:dyDescent="0.3">
      <c r="L815" s="212" t="str">
        <f>IFERROR(VLOOKUP($H815,PARAMETERS!$M$3:$M$493,1,0),"---")</f>
        <v>---</v>
      </c>
    </row>
    <row r="816" spans="12:12" x14ac:dyDescent="0.3">
      <c r="L816" s="212" t="str">
        <f>IFERROR(VLOOKUP($H816,PARAMETERS!$M$3:$M$493,1,0),"---")</f>
        <v>---</v>
      </c>
    </row>
    <row r="817" spans="12:12" x14ac:dyDescent="0.3">
      <c r="L817" s="212" t="str">
        <f>IFERROR(VLOOKUP($H817,PARAMETERS!$M$3:$M$493,1,0),"---")</f>
        <v>---</v>
      </c>
    </row>
    <row r="818" spans="12:12" x14ac:dyDescent="0.3">
      <c r="L818" s="212" t="str">
        <f>IFERROR(VLOOKUP($H818,PARAMETERS!$M$3:$M$493,1,0),"---")</f>
        <v>---</v>
      </c>
    </row>
    <row r="819" spans="12:12" x14ac:dyDescent="0.3">
      <c r="L819" s="212" t="str">
        <f>IFERROR(VLOOKUP($H819,PARAMETERS!$M$3:$M$493,1,0),"---")</f>
        <v>---</v>
      </c>
    </row>
    <row r="820" spans="12:12" x14ac:dyDescent="0.3">
      <c r="L820" s="212" t="str">
        <f>IFERROR(VLOOKUP($H820,PARAMETERS!$M$3:$M$493,1,0),"---")</f>
        <v>---</v>
      </c>
    </row>
    <row r="821" spans="12:12" x14ac:dyDescent="0.3">
      <c r="L821" s="212" t="str">
        <f>IFERROR(VLOOKUP($H821,PARAMETERS!$M$3:$M$493,1,0),"---")</f>
        <v>---</v>
      </c>
    </row>
    <row r="822" spans="12:12" x14ac:dyDescent="0.3">
      <c r="L822" s="212" t="str">
        <f>IFERROR(VLOOKUP($H822,PARAMETERS!$M$3:$M$493,1,0),"---")</f>
        <v>---</v>
      </c>
    </row>
    <row r="823" spans="12:12" x14ac:dyDescent="0.3">
      <c r="L823" s="212" t="str">
        <f>IFERROR(VLOOKUP($H823,PARAMETERS!$M$3:$M$493,1,0),"---")</f>
        <v>---</v>
      </c>
    </row>
    <row r="824" spans="12:12" x14ac:dyDescent="0.3">
      <c r="L824" s="212" t="str">
        <f>IFERROR(VLOOKUP($H824,PARAMETERS!$M$3:$M$493,1,0),"---")</f>
        <v>---</v>
      </c>
    </row>
    <row r="825" spans="12:12" x14ac:dyDescent="0.3">
      <c r="L825" s="212" t="str">
        <f>IFERROR(VLOOKUP($H825,PARAMETERS!$M$3:$M$493,1,0),"---")</f>
        <v>---</v>
      </c>
    </row>
    <row r="826" spans="12:12" x14ac:dyDescent="0.3">
      <c r="L826" s="212" t="str">
        <f>IFERROR(VLOOKUP($H826,PARAMETERS!$M$3:$M$493,1,0),"---")</f>
        <v>---</v>
      </c>
    </row>
    <row r="827" spans="12:12" x14ac:dyDescent="0.3">
      <c r="L827" s="212" t="str">
        <f>IFERROR(VLOOKUP($H827,PARAMETERS!$M$3:$M$493,1,0),"---")</f>
        <v>---</v>
      </c>
    </row>
    <row r="828" spans="12:12" x14ac:dyDescent="0.3">
      <c r="L828" s="212" t="str">
        <f>IFERROR(VLOOKUP($H828,PARAMETERS!$M$3:$M$493,1,0),"---")</f>
        <v>---</v>
      </c>
    </row>
    <row r="829" spans="12:12" x14ac:dyDescent="0.3">
      <c r="L829" s="212" t="str">
        <f>IFERROR(VLOOKUP($H829,PARAMETERS!$M$3:$M$493,1,0),"---")</f>
        <v>---</v>
      </c>
    </row>
    <row r="830" spans="12:12" x14ac:dyDescent="0.3">
      <c r="L830" s="212" t="str">
        <f>IFERROR(VLOOKUP($H830,PARAMETERS!$M$3:$M$493,1,0),"---")</f>
        <v>---</v>
      </c>
    </row>
    <row r="831" spans="12:12" x14ac:dyDescent="0.3">
      <c r="L831" s="212" t="str">
        <f>IFERROR(VLOOKUP($H831,PARAMETERS!$M$3:$M$493,1,0),"---")</f>
        <v>---</v>
      </c>
    </row>
    <row r="832" spans="12:12" x14ac:dyDescent="0.3">
      <c r="L832" s="212" t="str">
        <f>IFERROR(VLOOKUP($H832,PARAMETERS!$M$3:$M$493,1,0),"---")</f>
        <v>---</v>
      </c>
    </row>
    <row r="833" spans="12:12" x14ac:dyDescent="0.3">
      <c r="L833" s="212" t="str">
        <f>IFERROR(VLOOKUP($H833,PARAMETERS!$M$3:$M$493,1,0),"---")</f>
        <v>---</v>
      </c>
    </row>
    <row r="834" spans="12:12" x14ac:dyDescent="0.3">
      <c r="L834" s="212" t="str">
        <f>IFERROR(VLOOKUP($H834,PARAMETERS!$M$3:$M$493,1,0),"---")</f>
        <v>---</v>
      </c>
    </row>
    <row r="835" spans="12:12" x14ac:dyDescent="0.3">
      <c r="L835" s="212" t="str">
        <f>IFERROR(VLOOKUP($H835,PARAMETERS!$M$3:$M$493,1,0),"---")</f>
        <v>---</v>
      </c>
    </row>
    <row r="836" spans="12:12" x14ac:dyDescent="0.3">
      <c r="L836" s="212" t="str">
        <f>IFERROR(VLOOKUP($H836,PARAMETERS!$M$3:$M$493,1,0),"---")</f>
        <v>---</v>
      </c>
    </row>
    <row r="837" spans="12:12" x14ac:dyDescent="0.3">
      <c r="L837" s="212" t="str">
        <f>IFERROR(VLOOKUP($H837,PARAMETERS!$M$3:$M$493,1,0),"---")</f>
        <v>---</v>
      </c>
    </row>
    <row r="838" spans="12:12" x14ac:dyDescent="0.3">
      <c r="L838" s="212" t="str">
        <f>IFERROR(VLOOKUP($H838,PARAMETERS!$M$3:$M$493,1,0),"---")</f>
        <v>---</v>
      </c>
    </row>
    <row r="839" spans="12:12" x14ac:dyDescent="0.3">
      <c r="L839" s="212" t="str">
        <f>IFERROR(VLOOKUP($H839,PARAMETERS!$M$3:$M$493,1,0),"---")</f>
        <v>---</v>
      </c>
    </row>
    <row r="840" spans="12:12" x14ac:dyDescent="0.3">
      <c r="L840" s="212" t="str">
        <f>IFERROR(VLOOKUP($H840,PARAMETERS!$M$3:$M$493,1,0),"---")</f>
        <v>---</v>
      </c>
    </row>
    <row r="841" spans="12:12" x14ac:dyDescent="0.3">
      <c r="L841" s="212" t="str">
        <f>IFERROR(VLOOKUP($H841,PARAMETERS!$M$3:$M$493,1,0),"---")</f>
        <v>---</v>
      </c>
    </row>
    <row r="842" spans="12:12" x14ac:dyDescent="0.3">
      <c r="L842" s="212" t="str">
        <f>IFERROR(VLOOKUP($H842,PARAMETERS!$M$3:$M$493,1,0),"---")</f>
        <v>---</v>
      </c>
    </row>
    <row r="843" spans="12:12" x14ac:dyDescent="0.3">
      <c r="L843" s="212" t="str">
        <f>IFERROR(VLOOKUP($H843,PARAMETERS!$M$3:$M$493,1,0),"---")</f>
        <v>---</v>
      </c>
    </row>
    <row r="844" spans="12:12" x14ac:dyDescent="0.3">
      <c r="L844" s="212" t="str">
        <f>IFERROR(VLOOKUP($H844,PARAMETERS!$M$3:$M$493,1,0),"---")</f>
        <v>---</v>
      </c>
    </row>
    <row r="845" spans="12:12" x14ac:dyDescent="0.3">
      <c r="L845" s="212" t="str">
        <f>IFERROR(VLOOKUP($H845,PARAMETERS!$M$3:$M$493,1,0),"---")</f>
        <v>---</v>
      </c>
    </row>
    <row r="846" spans="12:12" x14ac:dyDescent="0.3">
      <c r="L846" s="212" t="str">
        <f>IFERROR(VLOOKUP($H846,PARAMETERS!$M$3:$M$493,1,0),"---")</f>
        <v>---</v>
      </c>
    </row>
    <row r="847" spans="12:12" x14ac:dyDescent="0.3">
      <c r="L847" s="212" t="str">
        <f>IFERROR(VLOOKUP($H847,PARAMETERS!$M$3:$M$493,1,0),"---")</f>
        <v>---</v>
      </c>
    </row>
    <row r="848" spans="12:12" x14ac:dyDescent="0.3">
      <c r="L848" s="212" t="str">
        <f>IFERROR(VLOOKUP($H848,PARAMETERS!$M$3:$M$493,1,0),"---")</f>
        <v>---</v>
      </c>
    </row>
    <row r="849" spans="12:12" x14ac:dyDescent="0.3">
      <c r="L849" s="212" t="str">
        <f>IFERROR(VLOOKUP($H849,PARAMETERS!$M$3:$M$493,1,0),"---")</f>
        <v>---</v>
      </c>
    </row>
    <row r="850" spans="12:12" x14ac:dyDescent="0.3">
      <c r="L850" s="212" t="str">
        <f>IFERROR(VLOOKUP($H850,PARAMETERS!$M$3:$M$493,1,0),"---")</f>
        <v>---</v>
      </c>
    </row>
    <row r="851" spans="12:12" x14ac:dyDescent="0.3">
      <c r="L851" s="212" t="str">
        <f>IFERROR(VLOOKUP($H851,PARAMETERS!$M$3:$M$493,1,0),"---")</f>
        <v>---</v>
      </c>
    </row>
    <row r="852" spans="12:12" x14ac:dyDescent="0.3">
      <c r="L852" s="212" t="str">
        <f>IFERROR(VLOOKUP($H852,PARAMETERS!$M$3:$M$493,1,0),"---")</f>
        <v>---</v>
      </c>
    </row>
    <row r="853" spans="12:12" x14ac:dyDescent="0.3">
      <c r="L853" s="212" t="str">
        <f>IFERROR(VLOOKUP($H853,PARAMETERS!$M$3:$M$493,1,0),"---")</f>
        <v>---</v>
      </c>
    </row>
    <row r="854" spans="12:12" x14ac:dyDescent="0.3">
      <c r="L854" s="212" t="str">
        <f>IFERROR(VLOOKUP($H854,PARAMETERS!$M$3:$M$493,1,0),"---")</f>
        <v>---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10</vt:i4>
      </vt:variant>
      <vt:variant>
        <vt:lpstr>Benannte Bereiche</vt:lpstr>
      </vt:variant>
      <vt:variant>
        <vt:i4>42</vt:i4>
      </vt:variant>
    </vt:vector>
  </HeadingPairs>
  <TitlesOfParts>
    <vt:vector size="52" baseType="lpstr">
      <vt:lpstr>PROJECT SETTINGS</vt:lpstr>
      <vt:lpstr>PARAMETERS</vt:lpstr>
      <vt:lpstr>DEFAULT</vt:lpstr>
      <vt:lpstr>VALUES</vt:lpstr>
      <vt:lpstr>TEXT</vt:lpstr>
      <vt:lpstr>base</vt:lpstr>
      <vt:lpstr>SORT IMPORT</vt:lpstr>
      <vt:lpstr>RAW IMPORT</vt:lpstr>
      <vt:lpstr>IMPORT AUFBEREITET</vt:lpstr>
      <vt:lpstr>IMPORT GS-Tür OL FL 2S2 20</vt:lpstr>
      <vt:lpstr>ARRAY</vt:lpstr>
      <vt:lpstr>ARRAYval</vt:lpstr>
      <vt:lpstr>checkbox</vt:lpstr>
      <vt:lpstr>CRLF</vt:lpstr>
      <vt:lpstr>DefaultValue</vt:lpstr>
      <vt:lpstr>digits</vt:lpstr>
      <vt:lpstr>DV</vt:lpstr>
      <vt:lpstr>Filenames</vt:lpstr>
      <vt:lpstr>GDL_Version</vt:lpstr>
      <vt:lpstr>HK</vt:lpstr>
      <vt:lpstr>IMPORT</vt:lpstr>
      <vt:lpstr>ImportTranslation</vt:lpstr>
      <vt:lpstr>INDEXNAMEN</vt:lpstr>
      <vt:lpstr>InterfaceLanguage</vt:lpstr>
      <vt:lpstr>makeGUID</vt:lpstr>
      <vt:lpstr>MLtextDivisions</vt:lpstr>
      <vt:lpstr>NK</vt:lpstr>
      <vt:lpstr>OBJEKTNAME</vt:lpstr>
      <vt:lpstr>ParameterClass</vt:lpstr>
      <vt:lpstr>ParameterDefault</vt:lpstr>
      <vt:lpstr>PARAMETERLISTE</vt:lpstr>
      <vt:lpstr>preIndex</vt:lpstr>
      <vt:lpstr>PriorityValues</vt:lpstr>
      <vt:lpstr>prodArrayNames</vt:lpstr>
      <vt:lpstr>prodIndex</vt:lpstr>
      <vt:lpstr>prodRowOffset</vt:lpstr>
      <vt:lpstr>PRODUKTE</vt:lpstr>
      <vt:lpstr>PRODUKTINDIZES</vt:lpstr>
      <vt:lpstr>read_write</vt:lpstr>
      <vt:lpstr>Stakeholder</vt:lpstr>
      <vt:lpstr>TB</vt:lpstr>
      <vt:lpstr>TypeClass</vt:lpstr>
      <vt:lpstr>TypeClassValues</vt:lpstr>
      <vt:lpstr>UIpicIdxArray</vt:lpstr>
      <vt:lpstr>UItextArray</vt:lpstr>
      <vt:lpstr>UIvaluesArray</vt:lpstr>
      <vt:lpstr>VALUES</vt:lpstr>
      <vt:lpstr>VALUES1dim</vt:lpstr>
      <vt:lpstr>VALUESdim</vt:lpstr>
      <vt:lpstr>VALUESLIST</vt:lpstr>
      <vt:lpstr>VALUESnames</vt:lpstr>
      <vt:lpstr>VALUESval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Frank Beister</dc:creator>
  <cp:lastModifiedBy>Beister, Frank</cp:lastModifiedBy>
  <dcterms:created xsi:type="dcterms:W3CDTF">2016-09-21T11:06:10Z</dcterms:created>
  <dcterms:modified xsi:type="dcterms:W3CDTF">2025-09-08T06:52:07Z</dcterms:modified>
</cp:coreProperties>
</file>