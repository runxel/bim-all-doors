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3 BAD panel\BAD03.parameters\"/>
    </mc:Choice>
  </mc:AlternateContent>
  <bookViews>
    <workbookView xWindow="-12" yWindow="-12" windowWidth="6000" windowHeight="7968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externalReferences>
    <externalReference r:id="rId9"/>
  </externalReferences>
  <definedNames>
    <definedName name="ARRAY">PARAMETERS!$Z$2:$Z$629</definedName>
    <definedName name="ARRAYval">DEFAULT!$B$5:$CG$156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SETTINGS'!$E$14:$E$28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base!$W$2:$W$6</definedName>
    <definedName name="NK">base!$N$3</definedName>
    <definedName name="OBJEKTNAME">'PROJECT SETTINGS'!$B$1</definedName>
    <definedName name="ParameterClass">base!$J$2:$J$3</definedName>
    <definedName name="ParameterDefault">PARAMETERS!$O$2:$O$630</definedName>
    <definedName name="PARAMETERLISTE">PARAMETERS!$A$2:$Q$630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PARAMETERS!$AA$2:$AA$629</definedName>
    <definedName name="VALUES1dim">VALUES!$B$6:$CD$35</definedName>
    <definedName name="VALUESdim">VALUES!$B$1:$CD$1</definedName>
    <definedName name="VALUESLIST">VALUES!$B$5:$CC$96</definedName>
    <definedName name="VALUESnames">VALUES!$B$5:$CE$5</definedName>
    <definedName name="valuesPROP">#REF!</definedName>
    <definedName name="VALUESval">VALUES!$B$6:$CD$96</definedName>
  </definedNames>
  <calcPr calcId="162913" concurrentCalc="0"/>
</workbook>
</file>

<file path=xl/calcChain.xml><?xml version="1.0" encoding="utf-8"?>
<calcChain xmlns="http://schemas.openxmlformats.org/spreadsheetml/2006/main">
  <c r="A202" i="15" l="1"/>
  <c r="A200" i="15"/>
  <c r="A81" i="15"/>
  <c r="A4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5" i="15"/>
  <c r="E76" i="15"/>
  <c r="E77" i="15"/>
  <c r="E78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8" i="15"/>
  <c r="E139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90" i="15"/>
  <c r="E191" i="15"/>
  <c r="E192" i="15"/>
  <c r="E193" i="15"/>
  <c r="E194" i="15"/>
  <c r="E195" i="15"/>
  <c r="E196" i="15"/>
  <c r="E197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6" i="15"/>
  <c r="E217" i="15"/>
  <c r="E218" i="15"/>
  <c r="E219" i="15"/>
  <c r="E220" i="15"/>
  <c r="E4" i="15"/>
  <c r="E5" i="15"/>
  <c r="A216" i="15"/>
  <c r="B8" i="1"/>
  <c r="AA223" i="6"/>
  <c r="AB223" i="6"/>
  <c r="AC223" i="6"/>
  <c r="AA224" i="6"/>
  <c r="AB224" i="6"/>
  <c r="B224" i="6"/>
  <c r="A8" i="5"/>
  <c r="BG1" i="8"/>
  <c r="AC224" i="6"/>
  <c r="AA225" i="6"/>
  <c r="AB225" i="6"/>
  <c r="AC225" i="6"/>
  <c r="AA226" i="6"/>
  <c r="AB226" i="6"/>
  <c r="AC226" i="6"/>
  <c r="AA227" i="6"/>
  <c r="AB227" i="6"/>
  <c r="AC227" i="6"/>
  <c r="AA228" i="6"/>
  <c r="AB228" i="6"/>
  <c r="AC228" i="6"/>
  <c r="AA229" i="6"/>
  <c r="AB229" i="6"/>
  <c r="AC229" i="6"/>
  <c r="AA230" i="6"/>
  <c r="AB230" i="6"/>
  <c r="AC230" i="6"/>
  <c r="C224" i="6"/>
  <c r="Z224" i="6"/>
  <c r="C82" i="6"/>
  <c r="B82" i="6"/>
  <c r="I1" i="8"/>
  <c r="J1" i="8"/>
  <c r="K1" i="8"/>
  <c r="K3" i="8"/>
  <c r="K2" i="8"/>
  <c r="U12" i="8"/>
  <c r="V12" i="8"/>
  <c r="U13" i="8"/>
  <c r="V13" i="8"/>
  <c r="U14" i="8"/>
  <c r="V14" i="8"/>
  <c r="U15" i="8"/>
  <c r="V15" i="8"/>
  <c r="T12" i="8"/>
  <c r="S12" i="8"/>
  <c r="R12" i="8"/>
  <c r="Q12" i="8"/>
  <c r="T11" i="8"/>
  <c r="S11" i="8"/>
  <c r="T10" i="8"/>
  <c r="S10" i="8"/>
  <c r="T9" i="8"/>
  <c r="S9" i="8"/>
  <c r="T8" i="8"/>
  <c r="S8" i="8"/>
  <c r="T7" i="8"/>
  <c r="S7" i="8"/>
  <c r="T6" i="8"/>
  <c r="S6" i="8"/>
  <c r="R11" i="8"/>
  <c r="Q11" i="8"/>
  <c r="R10" i="8"/>
  <c r="Q10" i="8"/>
  <c r="R9" i="8"/>
  <c r="Q9" i="8"/>
  <c r="R8" i="8"/>
  <c r="Q8" i="8"/>
  <c r="R7" i="8"/>
  <c r="Q7" i="8"/>
  <c r="R6" i="8"/>
  <c r="Q6" i="8"/>
  <c r="P11" i="8"/>
  <c r="V11" i="8"/>
  <c r="O11" i="8"/>
  <c r="U11" i="8"/>
  <c r="P10" i="8"/>
  <c r="V10" i="8"/>
  <c r="O10" i="8"/>
  <c r="U10" i="8"/>
  <c r="P9" i="8"/>
  <c r="V9" i="8"/>
  <c r="O9" i="8"/>
  <c r="U9" i="8"/>
  <c r="P8" i="8"/>
  <c r="V8" i="8"/>
  <c r="O8" i="8"/>
  <c r="U8" i="8"/>
  <c r="P7" i="8"/>
  <c r="V7" i="8"/>
  <c r="O7" i="8"/>
  <c r="U7" i="8"/>
  <c r="P6" i="8"/>
  <c r="V6" i="8"/>
  <c r="O6" i="8"/>
  <c r="U6" i="8"/>
  <c r="M7" i="8"/>
  <c r="N7" i="8"/>
  <c r="M8" i="8"/>
  <c r="N8" i="8"/>
  <c r="M9" i="8"/>
  <c r="N9" i="8"/>
  <c r="M10" i="8"/>
  <c r="N10" i="8"/>
  <c r="L1" i="8"/>
  <c r="N1" i="8"/>
  <c r="M3" i="8"/>
  <c r="N3" i="8"/>
  <c r="N2" i="8"/>
  <c r="H1" i="8"/>
  <c r="H3" i="8"/>
  <c r="I3" i="8"/>
  <c r="T1" i="8"/>
  <c r="V1" i="8"/>
  <c r="W1" i="8"/>
  <c r="X1" i="8"/>
  <c r="U3" i="8"/>
  <c r="U2" i="8"/>
  <c r="W3" i="8"/>
  <c r="X3" i="8"/>
  <c r="X2" i="8"/>
  <c r="O1" i="8"/>
  <c r="P1" i="8"/>
  <c r="R1" i="8"/>
  <c r="O3" i="8"/>
  <c r="O2" i="8"/>
  <c r="Q3" i="8"/>
  <c r="R3" i="8"/>
  <c r="R2" i="8"/>
  <c r="Z228" i="6"/>
  <c r="B228" i="6"/>
  <c r="C228" i="6"/>
  <c r="AB222" i="6"/>
  <c r="AA222" i="6"/>
  <c r="B222" i="6"/>
  <c r="Z222" i="6"/>
  <c r="C222" i="6"/>
  <c r="AB240" i="6"/>
  <c r="AA240" i="6"/>
  <c r="B240" i="6"/>
  <c r="Z240" i="6"/>
  <c r="C240" i="6"/>
  <c r="AB243" i="6"/>
  <c r="AA243" i="6"/>
  <c r="Z243" i="6"/>
  <c r="B243" i="6"/>
  <c r="C243" i="6"/>
  <c r="J3" i="8"/>
  <c r="J2" i="8"/>
  <c r="I2" i="8"/>
  <c r="U1" i="8"/>
  <c r="AC240" i="6"/>
  <c r="M2" i="8"/>
  <c r="L3" i="8"/>
  <c r="L2" i="8"/>
  <c r="W2" i="8"/>
  <c r="H2" i="8"/>
  <c r="V3" i="8"/>
  <c r="V2" i="8"/>
  <c r="Q2" i="8"/>
  <c r="P3" i="8"/>
  <c r="P2" i="8"/>
  <c r="AC243" i="6"/>
  <c r="AC222" i="6"/>
  <c r="C265" i="6"/>
  <c r="Z265" i="6"/>
  <c r="AA265" i="6"/>
  <c r="AB265" i="6"/>
  <c r="C270" i="6"/>
  <c r="W270" i="6"/>
  <c r="Z270" i="6"/>
  <c r="AA270" i="6"/>
  <c r="AB270" i="6"/>
  <c r="C131" i="6"/>
  <c r="B265" i="6"/>
  <c r="AC265" i="6"/>
  <c r="B270" i="6"/>
  <c r="AC270" i="6"/>
  <c r="B131" i="6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F3" i="8"/>
  <c r="AF2" i="8"/>
  <c r="AI3" i="8"/>
  <c r="AI2" i="8"/>
  <c r="AL3" i="8"/>
  <c r="AL2" i="8"/>
  <c r="AO3" i="8"/>
  <c r="AO2" i="8"/>
  <c r="AR3" i="8"/>
  <c r="AR2" i="8"/>
  <c r="Q1" i="8"/>
  <c r="M6" i="8"/>
  <c r="N6" i="8"/>
  <c r="M11" i="8"/>
  <c r="N11" i="8"/>
  <c r="N12" i="8"/>
  <c r="M12" i="8"/>
  <c r="M1" i="8"/>
  <c r="G1" i="8"/>
  <c r="Y1" i="8"/>
  <c r="Z1" i="8"/>
  <c r="G3" i="8"/>
  <c r="G2" i="8"/>
  <c r="S3" i="8"/>
  <c r="Z3" i="8"/>
  <c r="AA3" i="8"/>
  <c r="AA2" i="8"/>
  <c r="B244" i="6"/>
  <c r="C244" i="6"/>
  <c r="B245" i="6"/>
  <c r="C245" i="6"/>
  <c r="C505" i="6"/>
  <c r="B505" i="6"/>
  <c r="AA111" i="6"/>
  <c r="AB111" i="6"/>
  <c r="Z111" i="6"/>
  <c r="C111" i="6"/>
  <c r="AA110" i="6"/>
  <c r="AC110" i="6"/>
  <c r="AB110" i="6"/>
  <c r="Z110" i="6"/>
  <c r="C110" i="6"/>
  <c r="AA394" i="6"/>
  <c r="AC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BO3" i="8"/>
  <c r="BO2" i="8"/>
  <c r="BN3" i="8"/>
  <c r="BN2" i="8"/>
  <c r="BM3" i="8"/>
  <c r="BM2" i="8"/>
  <c r="BL3" i="8"/>
  <c r="BL2" i="8"/>
  <c r="BK3" i="8"/>
  <c r="BK2" i="8"/>
  <c r="BO1" i="8"/>
  <c r="BN1" i="8"/>
  <c r="BM1" i="8"/>
  <c r="BL1" i="8"/>
  <c r="BK1" i="8"/>
  <c r="C1" i="8"/>
  <c r="D1" i="8"/>
  <c r="E1" i="8"/>
  <c r="B3" i="8"/>
  <c r="C3" i="8"/>
  <c r="C2" i="8"/>
  <c r="D3" i="8"/>
  <c r="D2" i="8"/>
  <c r="E3" i="8"/>
  <c r="E2" i="8"/>
  <c r="BX28" i="8"/>
  <c r="CA28" i="8"/>
  <c r="BX29" i="8"/>
  <c r="CA29" i="8"/>
  <c r="BX30" i="8"/>
  <c r="CA30" i="8"/>
  <c r="BX31" i="8"/>
  <c r="CA31" i="8"/>
  <c r="BX27" i="8"/>
  <c r="BX26" i="8"/>
  <c r="BX25" i="8"/>
  <c r="BX24" i="8"/>
  <c r="BX23" i="8"/>
  <c r="BX22" i="8"/>
  <c r="BX21" i="8"/>
  <c r="BX20" i="8"/>
  <c r="BX19" i="8"/>
  <c r="BX18" i="8"/>
  <c r="BX17" i="8"/>
  <c r="BX16" i="8"/>
  <c r="BX15" i="8"/>
  <c r="BX14" i="8"/>
  <c r="BX13" i="8"/>
  <c r="BX12" i="8"/>
  <c r="BX11" i="8"/>
  <c r="BX10" i="8"/>
  <c r="BX9" i="8"/>
  <c r="BX8" i="8"/>
  <c r="BX7" i="8"/>
  <c r="BX6" i="8"/>
  <c r="CA7" i="8"/>
  <c r="CA8" i="8"/>
  <c r="CA9" i="8"/>
  <c r="CA10" i="8"/>
  <c r="CA11" i="8"/>
  <c r="CA12" i="8"/>
  <c r="CA13" i="8"/>
  <c r="CA14" i="8"/>
  <c r="CA15" i="8"/>
  <c r="CA16" i="8"/>
  <c r="CA17" i="8"/>
  <c r="CA18" i="8"/>
  <c r="CA19" i="8"/>
  <c r="CA20" i="8"/>
  <c r="CA21" i="8"/>
  <c r="CA22" i="8"/>
  <c r="CA23" i="8"/>
  <c r="CA24" i="8"/>
  <c r="CA25" i="8"/>
  <c r="CA26" i="8"/>
  <c r="CA27" i="8"/>
  <c r="CA6" i="8"/>
  <c r="BZ3" i="8"/>
  <c r="BZ2" i="8"/>
  <c r="BZ1" i="8"/>
  <c r="C624" i="6"/>
  <c r="AA624" i="6"/>
  <c r="AB624" i="6"/>
  <c r="Z624" i="6"/>
  <c r="AA161" i="6"/>
  <c r="AC161" i="6"/>
  <c r="Z161" i="6"/>
  <c r="C161" i="6"/>
  <c r="AB161" i="6"/>
  <c r="C130" i="6"/>
  <c r="AA130" i="6"/>
  <c r="Z130" i="6"/>
  <c r="C153" i="6"/>
  <c r="AA153" i="6"/>
  <c r="Z153" i="6"/>
  <c r="C152" i="6"/>
  <c r="AA152" i="6"/>
  <c r="AC152" i="6"/>
  <c r="Z152" i="6"/>
  <c r="C151" i="6"/>
  <c r="AA151" i="6"/>
  <c r="Z151" i="6"/>
  <c r="C150" i="6"/>
  <c r="AA150" i="6"/>
  <c r="AC150" i="6"/>
  <c r="Z150" i="6"/>
  <c r="AA148" i="6"/>
  <c r="Z148" i="6"/>
  <c r="C148" i="6"/>
  <c r="AB148" i="6"/>
  <c r="AA149" i="6"/>
  <c r="AC149" i="6"/>
  <c r="Z149" i="6"/>
  <c r="C149" i="6"/>
  <c r="AB149" i="6"/>
  <c r="AA147" i="6"/>
  <c r="AB147" i="6"/>
  <c r="Z147" i="6"/>
  <c r="C147" i="6"/>
  <c r="AA146" i="6"/>
  <c r="AC146" i="6"/>
  <c r="AB146" i="6"/>
  <c r="Z146" i="6"/>
  <c r="C146" i="6"/>
  <c r="AA145" i="6"/>
  <c r="AB145" i="6"/>
  <c r="Z145" i="6"/>
  <c r="C145" i="6"/>
  <c r="AA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94" i="6"/>
  <c r="AC194" i="6"/>
  <c r="AB194" i="6"/>
  <c r="Z194" i="6"/>
  <c r="C194" i="6"/>
  <c r="AA193" i="6"/>
  <c r="AB193" i="6"/>
  <c r="Z193" i="6"/>
  <c r="C193" i="6"/>
  <c r="AA192" i="6"/>
  <c r="AC192" i="6"/>
  <c r="AB192" i="6"/>
  <c r="Z192" i="6"/>
  <c r="C192" i="6"/>
  <c r="AA191" i="6"/>
  <c r="AC191" i="6"/>
  <c r="AB191" i="6"/>
  <c r="Z191" i="6"/>
  <c r="C191" i="6"/>
  <c r="AA190" i="6"/>
  <c r="AB190" i="6"/>
  <c r="Z190" i="6"/>
  <c r="C190" i="6"/>
  <c r="AA202" i="6"/>
  <c r="AB202" i="6"/>
  <c r="Z202" i="6"/>
  <c r="C202" i="6"/>
  <c r="AA258" i="6"/>
  <c r="AC258" i="6"/>
  <c r="AB258" i="6"/>
  <c r="Z258" i="6"/>
  <c r="C258" i="6"/>
  <c r="AA163" i="6"/>
  <c r="AC163" i="6"/>
  <c r="AB163" i="6"/>
  <c r="Z163" i="6"/>
  <c r="C163" i="6"/>
  <c r="AA257" i="6"/>
  <c r="AB257" i="6"/>
  <c r="Z257" i="6"/>
  <c r="C257" i="6"/>
  <c r="AA255" i="6"/>
  <c r="AB255" i="6"/>
  <c r="Z255" i="6"/>
  <c r="C255" i="6"/>
  <c r="C617" i="6"/>
  <c r="AA617" i="6"/>
  <c r="AC617" i="6"/>
  <c r="Z617" i="6"/>
  <c r="AB617" i="6"/>
  <c r="W617" i="6"/>
  <c r="AA504" i="6"/>
  <c r="B504" i="6"/>
  <c r="BC1" i="8"/>
  <c r="AB504" i="6"/>
  <c r="Z504" i="6"/>
  <c r="W504" i="6"/>
  <c r="C504" i="6"/>
  <c r="BJ1" i="8"/>
  <c r="BP1" i="8"/>
  <c r="BQ1" i="8"/>
  <c r="BR1" i="8"/>
  <c r="BS1" i="8"/>
  <c r="BI3" i="8"/>
  <c r="BI2" i="8"/>
  <c r="BJ3" i="8"/>
  <c r="BJ2" i="8"/>
  <c r="BP3" i="8"/>
  <c r="BQ3" i="8"/>
  <c r="BQ2" i="8"/>
  <c r="BR3" i="8"/>
  <c r="BR2" i="8"/>
  <c r="BS3" i="8"/>
  <c r="BS2" i="8"/>
  <c r="AA517" i="6"/>
  <c r="AB517" i="6"/>
  <c r="Z517" i="6"/>
  <c r="C517" i="6"/>
  <c r="AA516" i="6"/>
  <c r="AC516" i="6"/>
  <c r="Z516" i="6"/>
  <c r="AB516" i="6"/>
  <c r="C516" i="6"/>
  <c r="AA515" i="6"/>
  <c r="AC515" i="6"/>
  <c r="Z515" i="6"/>
  <c r="AB515" i="6"/>
  <c r="C515" i="6"/>
  <c r="BI1" i="8"/>
  <c r="BF3" i="8"/>
  <c r="BF2" i="8"/>
  <c r="BG3" i="8"/>
  <c r="BG2" i="8"/>
  <c r="BH3" i="8"/>
  <c r="BH2" i="8"/>
  <c r="BH1" i="8"/>
  <c r="BF1" i="8"/>
  <c r="AA497" i="6"/>
  <c r="Z497" i="6"/>
  <c r="BE1" i="8"/>
  <c r="AB497" i="6"/>
  <c r="W497" i="6"/>
  <c r="C497" i="6"/>
  <c r="AA498" i="6"/>
  <c r="Z498" i="6"/>
  <c r="AB498" i="6"/>
  <c r="W498" i="6"/>
  <c r="C498" i="6"/>
  <c r="AV1" i="8"/>
  <c r="AW1" i="8"/>
  <c r="AT3" i="8"/>
  <c r="AU3" i="8"/>
  <c r="AV3" i="8"/>
  <c r="AV2" i="8"/>
  <c r="AW3" i="8"/>
  <c r="AW2" i="8"/>
  <c r="AD3" i="8"/>
  <c r="AD2" i="8"/>
  <c r="AB3" i="8"/>
  <c r="AE3" i="8"/>
  <c r="AH3" i="8"/>
  <c r="BT1" i="8"/>
  <c r="BU1" i="8"/>
  <c r="BV1" i="8"/>
  <c r="BW1" i="8"/>
  <c r="BX1" i="8"/>
  <c r="BY1" i="8"/>
  <c r="CA1" i="8"/>
  <c r="CB1" i="8"/>
  <c r="BT3" i="8"/>
  <c r="BT2" i="8"/>
  <c r="BU3" i="8"/>
  <c r="BU2" i="8"/>
  <c r="BV3" i="8"/>
  <c r="BV2" i="8"/>
  <c r="BW3" i="8"/>
  <c r="BX3" i="8"/>
  <c r="BY3" i="8"/>
  <c r="BY2" i="8"/>
  <c r="C623" i="6"/>
  <c r="AA623" i="6"/>
  <c r="Z623" i="6"/>
  <c r="C622" i="6"/>
  <c r="AA622" i="6"/>
  <c r="Z622" i="6"/>
  <c r="B622" i="6"/>
  <c r="C621" i="6"/>
  <c r="AA621" i="6"/>
  <c r="Z621" i="6"/>
  <c r="B621" i="6"/>
  <c r="C620" i="6"/>
  <c r="AA620" i="6"/>
  <c r="Z620" i="6"/>
  <c r="B620" i="6"/>
  <c r="C619" i="6"/>
  <c r="AA619" i="6"/>
  <c r="AC619" i="6"/>
  <c r="Z619" i="6"/>
  <c r="AS1" i="8"/>
  <c r="AT1" i="8"/>
  <c r="AU1" i="8"/>
  <c r="AX1" i="8"/>
  <c r="AY1" i="8"/>
  <c r="AZ1" i="8"/>
  <c r="BA1" i="8"/>
  <c r="BB1" i="8"/>
  <c r="AZ3" i="8"/>
  <c r="AZ2" i="8"/>
  <c r="BC3" i="8"/>
  <c r="BC2" i="8"/>
  <c r="AA318" i="6"/>
  <c r="AC318" i="6"/>
  <c r="AB318" i="6"/>
  <c r="Z318" i="6"/>
  <c r="C318" i="6"/>
  <c r="BD1" i="8"/>
  <c r="BD3" i="8"/>
  <c r="BD2" i="8"/>
  <c r="AA496" i="6"/>
  <c r="Z496" i="6"/>
  <c r="AB496" i="6"/>
  <c r="W496" i="6"/>
  <c r="C496" i="6"/>
  <c r="C334" i="6"/>
  <c r="AA334" i="6"/>
  <c r="Z334" i="6"/>
  <c r="C333" i="6"/>
  <c r="AA333" i="6"/>
  <c r="Z333" i="6"/>
  <c r="C332" i="6"/>
  <c r="AA332" i="6"/>
  <c r="Z332" i="6"/>
  <c r="AB334" i="6"/>
  <c r="W334" i="6"/>
  <c r="AB333" i="6"/>
  <c r="W333" i="6"/>
  <c r="AB332" i="6"/>
  <c r="W332" i="6"/>
  <c r="AA316" i="6"/>
  <c r="Z316" i="6"/>
  <c r="B316" i="6"/>
  <c r="AB316" i="6"/>
  <c r="C316" i="6"/>
  <c r="AA315" i="6"/>
  <c r="AC315" i="6"/>
  <c r="AB315" i="6"/>
  <c r="Z315" i="6"/>
  <c r="C315" i="6"/>
  <c r="AA252" i="6"/>
  <c r="AB252" i="6"/>
  <c r="Z252" i="6"/>
  <c r="C252" i="6"/>
  <c r="AA251" i="6"/>
  <c r="AC251" i="6"/>
  <c r="AB251" i="6"/>
  <c r="Z251" i="6"/>
  <c r="C251" i="6"/>
  <c r="L3" i="7"/>
  <c r="M3" i="7"/>
  <c r="M2" i="7"/>
  <c r="N3" i="7"/>
  <c r="N2" i="7"/>
  <c r="O3" i="7"/>
  <c r="O2" i="7"/>
  <c r="P3" i="7"/>
  <c r="Q3" i="7"/>
  <c r="Q2" i="7"/>
  <c r="R3" i="7"/>
  <c r="R2" i="7"/>
  <c r="S3" i="7"/>
  <c r="S2" i="7"/>
  <c r="T3" i="7"/>
  <c r="T2" i="7"/>
  <c r="U3" i="7"/>
  <c r="U2" i="7"/>
  <c r="V3" i="7"/>
  <c r="V2" i="7"/>
  <c r="W3" i="7"/>
  <c r="W2" i="7"/>
  <c r="X3" i="7"/>
  <c r="X2" i="7"/>
  <c r="Y3" i="7"/>
  <c r="Y2" i="7"/>
  <c r="M4" i="7"/>
  <c r="Q9" i="5"/>
  <c r="N4" i="7"/>
  <c r="O4" i="7"/>
  <c r="P4" i="7"/>
  <c r="Q4" i="7"/>
  <c r="R4" i="7"/>
  <c r="S4" i="7"/>
  <c r="T4" i="7"/>
  <c r="U4" i="7"/>
  <c r="V4" i="7"/>
  <c r="W4" i="7"/>
  <c r="X4" i="7"/>
  <c r="Y4" i="7"/>
  <c r="C242" i="6"/>
  <c r="AA242" i="6"/>
  <c r="Z242" i="6"/>
  <c r="C241" i="6"/>
  <c r="AA241" i="6"/>
  <c r="AC241" i="6"/>
  <c r="Z241" i="6"/>
  <c r="C239" i="6"/>
  <c r="AA239" i="6"/>
  <c r="B239" i="6"/>
  <c r="Z239" i="6"/>
  <c r="C238" i="6"/>
  <c r="AA238" i="6"/>
  <c r="B238" i="6"/>
  <c r="Z238" i="6"/>
  <c r="C237" i="6"/>
  <c r="AA237" i="6"/>
  <c r="Z237" i="6"/>
  <c r="C236" i="6"/>
  <c r="AA236" i="6"/>
  <c r="B236" i="6"/>
  <c r="Z236" i="6"/>
  <c r="C235" i="6"/>
  <c r="AA235" i="6"/>
  <c r="Z235" i="6"/>
  <c r="C234" i="6"/>
  <c r="AA234" i="6"/>
  <c r="Z234" i="6"/>
  <c r="C233" i="6"/>
  <c r="AA233" i="6"/>
  <c r="B233" i="6"/>
  <c r="Z233" i="6"/>
  <c r="C232" i="6"/>
  <c r="AA232" i="6"/>
  <c r="B232" i="6"/>
  <c r="Z232" i="6"/>
  <c r="AB242" i="6"/>
  <c r="W242" i="6"/>
  <c r="AB241" i="6"/>
  <c r="W241" i="6"/>
  <c r="AB239" i="6"/>
  <c r="W239" i="6"/>
  <c r="AB238" i="6"/>
  <c r="W238" i="6"/>
  <c r="AB237" i="6"/>
  <c r="W237" i="6"/>
  <c r="AB236" i="6"/>
  <c r="W236" i="6"/>
  <c r="AB235" i="6"/>
  <c r="W235" i="6"/>
  <c r="AB234" i="6"/>
  <c r="W234" i="6"/>
  <c r="AB233" i="6"/>
  <c r="W233" i="6"/>
  <c r="AB232" i="6"/>
  <c r="W232" i="6"/>
  <c r="I3" i="7"/>
  <c r="J3" i="7"/>
  <c r="J2" i="7"/>
  <c r="K3" i="7"/>
  <c r="K2" i="7"/>
  <c r="L2" i="7"/>
  <c r="J4" i="7"/>
  <c r="K4" i="7"/>
  <c r="L4" i="7"/>
  <c r="AA254" i="6"/>
  <c r="B254" i="6"/>
  <c r="Z254" i="6"/>
  <c r="AB254" i="6"/>
  <c r="C254" i="6"/>
  <c r="F1" i="8"/>
  <c r="F3" i="8"/>
  <c r="F2" i="8"/>
  <c r="AA261" i="6"/>
  <c r="AB261" i="6"/>
  <c r="Z261" i="6"/>
  <c r="C261" i="6"/>
  <c r="AA256" i="6"/>
  <c r="AB256" i="6"/>
  <c r="Z256" i="6"/>
  <c r="C256" i="6"/>
  <c r="C227" i="6"/>
  <c r="Z227" i="6"/>
  <c r="C226" i="6"/>
  <c r="Z226" i="6"/>
  <c r="AA1" i="8"/>
  <c r="AD1" i="8"/>
  <c r="AE1" i="8"/>
  <c r="AA269" i="6"/>
  <c r="AC269" i="6"/>
  <c r="AB269" i="6"/>
  <c r="Z269" i="6"/>
  <c r="C269" i="6"/>
  <c r="AA253" i="6"/>
  <c r="B253" i="6"/>
  <c r="AC1" i="8"/>
  <c r="AB253" i="6"/>
  <c r="Z253" i="6"/>
  <c r="C253" i="6"/>
  <c r="AA264" i="6"/>
  <c r="AB264" i="6"/>
  <c r="Z264" i="6"/>
  <c r="C264" i="6"/>
  <c r="AA259" i="6"/>
  <c r="B259" i="6"/>
  <c r="AC259" i="6"/>
  <c r="Z259" i="6"/>
  <c r="C259" i="6"/>
  <c r="W259" i="6"/>
  <c r="AB259" i="6"/>
  <c r="C592" i="6"/>
  <c r="AA592" i="6"/>
  <c r="AC592" i="6"/>
  <c r="Z592" i="6"/>
  <c r="C591" i="6"/>
  <c r="AA591" i="6"/>
  <c r="Z591" i="6"/>
  <c r="C590" i="6"/>
  <c r="AA590" i="6"/>
  <c r="Z590" i="6"/>
  <c r="AB592" i="6"/>
  <c r="W592" i="6"/>
  <c r="AB591" i="6"/>
  <c r="W591" i="6"/>
  <c r="AB590" i="6"/>
  <c r="W590" i="6"/>
  <c r="AA287" i="6"/>
  <c r="AC287" i="6"/>
  <c r="Z287" i="6"/>
  <c r="AB287" i="6"/>
  <c r="C287" i="6"/>
  <c r="AA271" i="6"/>
  <c r="Z271" i="6"/>
  <c r="B271" i="6"/>
  <c r="AB271" i="6"/>
  <c r="C271" i="6"/>
  <c r="AA286" i="6"/>
  <c r="AC286" i="6"/>
  <c r="Z286" i="6"/>
  <c r="AB286" i="6"/>
  <c r="C286" i="6"/>
  <c r="AA285" i="6"/>
  <c r="AC285" i="6"/>
  <c r="Z285" i="6"/>
  <c r="AB285" i="6"/>
  <c r="C285" i="6"/>
  <c r="AA217" i="6"/>
  <c r="B217" i="6"/>
  <c r="AB217" i="6"/>
  <c r="Z217" i="6"/>
  <c r="C217" i="6"/>
  <c r="AA218" i="6"/>
  <c r="AC218" i="6"/>
  <c r="Z218" i="6"/>
  <c r="AB218" i="6"/>
  <c r="C218" i="6"/>
  <c r="AA214" i="6"/>
  <c r="B214" i="6"/>
  <c r="AB214" i="6"/>
  <c r="Z214" i="6"/>
  <c r="C214" i="6"/>
  <c r="AA216" i="6"/>
  <c r="AB216" i="6"/>
  <c r="Z216" i="6"/>
  <c r="C216" i="6"/>
  <c r="AA215" i="6"/>
  <c r="AC215" i="6"/>
  <c r="AB215" i="6"/>
  <c r="Z215" i="6"/>
  <c r="C215" i="6"/>
  <c r="AA213" i="6"/>
  <c r="B213" i="6"/>
  <c r="Z213" i="6"/>
  <c r="AB213" i="6"/>
  <c r="C213" i="6"/>
  <c r="AA211" i="6"/>
  <c r="AC211" i="6"/>
  <c r="AB211" i="6"/>
  <c r="Z211" i="6"/>
  <c r="C211" i="6"/>
  <c r="AA208" i="6"/>
  <c r="AC208" i="6"/>
  <c r="AB208" i="6"/>
  <c r="Z208" i="6"/>
  <c r="C208" i="6"/>
  <c r="AX3" i="7"/>
  <c r="AX2" i="7"/>
  <c r="AX4" i="7"/>
  <c r="Z3" i="7"/>
  <c r="AA3" i="7"/>
  <c r="AB3" i="7"/>
  <c r="AC3" i="7"/>
  <c r="AC2" i="7"/>
  <c r="AD3" i="7"/>
  <c r="AD2" i="7"/>
  <c r="AE3" i="7"/>
  <c r="AE2" i="7"/>
  <c r="AF3" i="7"/>
  <c r="AF2" i="7"/>
  <c r="AG3" i="7"/>
  <c r="AG2" i="7"/>
  <c r="AH3" i="7"/>
  <c r="AH2" i="7"/>
  <c r="AI3" i="7"/>
  <c r="AI2" i="7"/>
  <c r="AJ3" i="7"/>
  <c r="AJ2" i="7"/>
  <c r="AK3" i="7"/>
  <c r="AK2" i="7"/>
  <c r="AL3" i="7"/>
  <c r="AL2" i="7"/>
  <c r="AM3" i="7"/>
  <c r="AM2" i="7"/>
  <c r="AC4" i="7"/>
  <c r="AD4" i="7"/>
  <c r="AE4" i="7"/>
  <c r="AF4" i="7"/>
  <c r="AG4" i="7"/>
  <c r="AH4" i="7"/>
  <c r="AI4" i="7"/>
  <c r="AJ4" i="7"/>
  <c r="AK4" i="7"/>
  <c r="AL4" i="7"/>
  <c r="AM4" i="7"/>
  <c r="B4" i="7"/>
  <c r="C4" i="7"/>
  <c r="D4" i="7"/>
  <c r="E4" i="7"/>
  <c r="F4" i="7"/>
  <c r="G4" i="7"/>
  <c r="H4" i="7"/>
  <c r="I4" i="7"/>
  <c r="Z4" i="7"/>
  <c r="AA4" i="7"/>
  <c r="AB4" i="7"/>
  <c r="AN4" i="7"/>
  <c r="AO4" i="7"/>
  <c r="AP4" i="7"/>
  <c r="AQ4" i="7"/>
  <c r="AR4" i="7"/>
  <c r="AS4" i="7"/>
  <c r="AT4" i="7"/>
  <c r="AU4" i="7"/>
  <c r="AV4" i="7"/>
  <c r="AW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AB622" i="6"/>
  <c r="AA607" i="6"/>
  <c r="Z607" i="6"/>
  <c r="C607" i="6"/>
  <c r="AB607" i="6"/>
  <c r="B1" i="8"/>
  <c r="AB1" i="8"/>
  <c r="W616" i="6"/>
  <c r="W615" i="6"/>
  <c r="W614" i="6"/>
  <c r="W613" i="6"/>
  <c r="W612" i="6"/>
  <c r="W611" i="6"/>
  <c r="W610" i="6"/>
  <c r="W609" i="6"/>
  <c r="W606" i="6"/>
  <c r="W605" i="6"/>
  <c r="W602" i="6"/>
  <c r="W601" i="6"/>
  <c r="W600" i="6"/>
  <c r="W599" i="6"/>
  <c r="W598" i="6"/>
  <c r="W597" i="6"/>
  <c r="W596" i="6"/>
  <c r="W595" i="6"/>
  <c r="W594" i="6"/>
  <c r="W593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4" i="6"/>
  <c r="W573" i="6"/>
  <c r="W572" i="6"/>
  <c r="W571" i="6"/>
  <c r="W570" i="6"/>
  <c r="W569" i="6"/>
  <c r="W568" i="6"/>
  <c r="W567" i="6"/>
  <c r="W566" i="6"/>
  <c r="W565" i="6"/>
  <c r="W564" i="6"/>
  <c r="W563" i="6"/>
  <c r="W562" i="6"/>
  <c r="W561" i="6"/>
  <c r="W560" i="6"/>
  <c r="W559" i="6"/>
  <c r="W558" i="6"/>
  <c r="W557" i="6"/>
  <c r="W556" i="6"/>
  <c r="W555" i="6"/>
  <c r="W554" i="6"/>
  <c r="W553" i="6"/>
  <c r="W552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1" i="6"/>
  <c r="W530" i="6"/>
  <c r="W529" i="6"/>
  <c r="W528" i="6"/>
  <c r="W527" i="6"/>
  <c r="W526" i="6"/>
  <c r="W525" i="6"/>
  <c r="W524" i="6"/>
  <c r="W523" i="6"/>
  <c r="W522" i="6"/>
  <c r="W521" i="6"/>
  <c r="W520" i="6"/>
  <c r="W519" i="6"/>
  <c r="W518" i="6"/>
  <c r="W514" i="6"/>
  <c r="W513" i="6"/>
  <c r="W512" i="6"/>
  <c r="W511" i="6"/>
  <c r="W510" i="6"/>
  <c r="W509" i="6"/>
  <c r="W508" i="6"/>
  <c r="W507" i="6"/>
  <c r="W506" i="6"/>
  <c r="W503" i="6"/>
  <c r="W502" i="6"/>
  <c r="W501" i="6"/>
  <c r="W500" i="6"/>
  <c r="W499" i="6"/>
  <c r="W495" i="6"/>
  <c r="W494" i="6"/>
  <c r="W493" i="6"/>
  <c r="W492" i="6"/>
  <c r="W491" i="6"/>
  <c r="W490" i="6"/>
  <c r="W489" i="6"/>
  <c r="W488" i="6"/>
  <c r="W487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5" i="6"/>
  <c r="W454" i="6"/>
  <c r="W453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8" i="6"/>
  <c r="W397" i="6"/>
  <c r="W396" i="6"/>
  <c r="W395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1" i="6"/>
  <c r="W284" i="6"/>
  <c r="W330" i="6"/>
  <c r="W283" i="6"/>
  <c r="W329" i="6"/>
  <c r="W282" i="6"/>
  <c r="W328" i="6"/>
  <c r="W281" i="6"/>
  <c r="W327" i="6"/>
  <c r="W280" i="6"/>
  <c r="W326" i="6"/>
  <c r="W279" i="6"/>
  <c r="W325" i="6"/>
  <c r="W278" i="6"/>
  <c r="W324" i="6"/>
  <c r="W277" i="6"/>
  <c r="W323" i="6"/>
  <c r="W276" i="6"/>
  <c r="W322" i="6"/>
  <c r="W275" i="6"/>
  <c r="W321" i="6"/>
  <c r="W274" i="6"/>
  <c r="W320" i="6"/>
  <c r="W273" i="6"/>
  <c r="W319" i="6"/>
  <c r="W272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12" i="6"/>
  <c r="W288" i="6"/>
  <c r="W317" i="6"/>
  <c r="W268" i="6"/>
  <c r="W246" i="6"/>
  <c r="W267" i="6"/>
  <c r="W266" i="6"/>
  <c r="W231" i="6"/>
  <c r="W230" i="6"/>
  <c r="W229" i="6"/>
  <c r="W227" i="6"/>
  <c r="W226" i="6"/>
  <c r="W225" i="6"/>
  <c r="W224" i="6"/>
  <c r="W223" i="6"/>
  <c r="W221" i="6"/>
  <c r="W220" i="6"/>
  <c r="W219" i="6"/>
  <c r="W262" i="6"/>
  <c r="W260" i="6"/>
  <c r="W250" i="6"/>
  <c r="W249" i="6"/>
  <c r="W206" i="6"/>
  <c r="W205" i="6"/>
  <c r="W248" i="6"/>
  <c r="W247" i="6"/>
  <c r="W210" i="6"/>
  <c r="W209" i="6"/>
  <c r="W207" i="6"/>
  <c r="W204" i="6"/>
  <c r="W203" i="6"/>
  <c r="W201" i="6"/>
  <c r="W200" i="6"/>
  <c r="W199" i="6"/>
  <c r="W198" i="6"/>
  <c r="W197" i="6"/>
  <c r="W196" i="6"/>
  <c r="W195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0" i="6"/>
  <c r="W159" i="6"/>
  <c r="W158" i="6"/>
  <c r="W157" i="6"/>
  <c r="W156" i="6"/>
  <c r="W155" i="6"/>
  <c r="W154" i="6"/>
  <c r="W153" i="6"/>
  <c r="W152" i="6"/>
  <c r="W151" i="6"/>
  <c r="W150" i="6"/>
  <c r="W141" i="6"/>
  <c r="W140" i="6"/>
  <c r="W139" i="6"/>
  <c r="W138" i="6"/>
  <c r="W137" i="6"/>
  <c r="W136" i="6"/>
  <c r="W135" i="6"/>
  <c r="W134" i="6"/>
  <c r="W133" i="6"/>
  <c r="W132" i="6"/>
  <c r="W130" i="6"/>
  <c r="W129" i="6"/>
  <c r="W128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C618" i="6"/>
  <c r="AA618" i="6"/>
  <c r="AC618" i="6"/>
  <c r="Z618" i="6"/>
  <c r="C616" i="6"/>
  <c r="AA616" i="6"/>
  <c r="Z616" i="6"/>
  <c r="C615" i="6"/>
  <c r="AA615" i="6"/>
  <c r="Z615" i="6"/>
  <c r="C614" i="6"/>
  <c r="AA614" i="6"/>
  <c r="Z614" i="6"/>
  <c r="C613" i="6"/>
  <c r="AA613" i="6"/>
  <c r="AC613" i="6"/>
  <c r="Z613" i="6"/>
  <c r="C612" i="6"/>
  <c r="AA612" i="6"/>
  <c r="Z612" i="6"/>
  <c r="C611" i="6"/>
  <c r="AA611" i="6"/>
  <c r="Z611" i="6"/>
  <c r="C610" i="6"/>
  <c r="AA610" i="6"/>
  <c r="Z610" i="6"/>
  <c r="C609" i="6"/>
  <c r="AA609" i="6"/>
  <c r="Z609" i="6"/>
  <c r="C608" i="6"/>
  <c r="AA608" i="6"/>
  <c r="Z608" i="6"/>
  <c r="C606" i="6"/>
  <c r="AA606" i="6"/>
  <c r="Z606" i="6"/>
  <c r="C605" i="6"/>
  <c r="AA605" i="6"/>
  <c r="Z605" i="6"/>
  <c r="C604" i="6"/>
  <c r="AA604" i="6"/>
  <c r="AC604" i="6"/>
  <c r="Z604" i="6"/>
  <c r="C603" i="6"/>
  <c r="AA603" i="6"/>
  <c r="Z603" i="6"/>
  <c r="C602" i="6"/>
  <c r="AA602" i="6"/>
  <c r="Z602" i="6"/>
  <c r="C600" i="6"/>
  <c r="AA600" i="6"/>
  <c r="Z600" i="6"/>
  <c r="C599" i="6"/>
  <c r="AA599" i="6"/>
  <c r="AC599" i="6"/>
  <c r="Z599" i="6"/>
  <c r="C598" i="6"/>
  <c r="AA598" i="6"/>
  <c r="Z598" i="6"/>
  <c r="C597" i="6"/>
  <c r="AA597" i="6"/>
  <c r="Z597" i="6"/>
  <c r="C596" i="6"/>
  <c r="AA596" i="6"/>
  <c r="Z596" i="6"/>
  <c r="C595" i="6"/>
  <c r="AA595" i="6"/>
  <c r="AC595" i="6"/>
  <c r="Z595" i="6"/>
  <c r="C594" i="6"/>
  <c r="AA594" i="6"/>
  <c r="Z594" i="6"/>
  <c r="C593" i="6"/>
  <c r="AA593" i="6"/>
  <c r="Z593" i="6"/>
  <c r="C589" i="6"/>
  <c r="AA589" i="6"/>
  <c r="Z589" i="6"/>
  <c r="C588" i="6"/>
  <c r="AA588" i="6"/>
  <c r="AC588" i="6"/>
  <c r="Z588" i="6"/>
  <c r="C587" i="6"/>
  <c r="AA587" i="6"/>
  <c r="Z587" i="6"/>
  <c r="C586" i="6"/>
  <c r="AA586" i="6"/>
  <c r="Z586" i="6"/>
  <c r="C585" i="6"/>
  <c r="AA585" i="6"/>
  <c r="Z585" i="6"/>
  <c r="C584" i="6"/>
  <c r="AA584" i="6"/>
  <c r="AC584" i="6"/>
  <c r="Z584" i="6"/>
  <c r="C583" i="6"/>
  <c r="AA583" i="6"/>
  <c r="Z583" i="6"/>
  <c r="C582" i="6"/>
  <c r="AA582" i="6"/>
  <c r="Z582" i="6"/>
  <c r="C581" i="6"/>
  <c r="AA581" i="6"/>
  <c r="Z581" i="6"/>
  <c r="C580" i="6"/>
  <c r="AA580" i="6"/>
  <c r="AC580" i="6"/>
  <c r="Z580" i="6"/>
  <c r="C579" i="6"/>
  <c r="AA579" i="6"/>
  <c r="Z579" i="6"/>
  <c r="C578" i="6"/>
  <c r="AA578" i="6"/>
  <c r="Z578" i="6"/>
  <c r="C577" i="6"/>
  <c r="AA577" i="6"/>
  <c r="Z577" i="6"/>
  <c r="C576" i="6"/>
  <c r="AA576" i="6"/>
  <c r="AC576" i="6"/>
  <c r="Z576" i="6"/>
  <c r="C575" i="6"/>
  <c r="AA575" i="6"/>
  <c r="Z575" i="6"/>
  <c r="C574" i="6"/>
  <c r="AA574" i="6"/>
  <c r="Z574" i="6"/>
  <c r="C573" i="6"/>
  <c r="AA573" i="6"/>
  <c r="Z573" i="6"/>
  <c r="C572" i="6"/>
  <c r="AA572" i="6"/>
  <c r="AC572" i="6"/>
  <c r="Z572" i="6"/>
  <c r="C571" i="6"/>
  <c r="AA571" i="6"/>
  <c r="Z571" i="6"/>
  <c r="C570" i="6"/>
  <c r="AA570" i="6"/>
  <c r="Z570" i="6"/>
  <c r="C569" i="6"/>
  <c r="AA569" i="6"/>
  <c r="Z569" i="6"/>
  <c r="C568" i="6"/>
  <c r="AA568" i="6"/>
  <c r="AC568" i="6"/>
  <c r="Z568" i="6"/>
  <c r="C567" i="6"/>
  <c r="AA567" i="6"/>
  <c r="Z567" i="6"/>
  <c r="C566" i="6"/>
  <c r="AA566" i="6"/>
  <c r="Z566" i="6"/>
  <c r="C565" i="6"/>
  <c r="AA565" i="6"/>
  <c r="Z565" i="6"/>
  <c r="C564" i="6"/>
  <c r="AA564" i="6"/>
  <c r="Z564" i="6"/>
  <c r="C563" i="6"/>
  <c r="AA563" i="6"/>
  <c r="Z563" i="6"/>
  <c r="C562" i="6"/>
  <c r="AA562" i="6"/>
  <c r="Z562" i="6"/>
  <c r="C561" i="6"/>
  <c r="AA561" i="6"/>
  <c r="AC561" i="6"/>
  <c r="Z561" i="6"/>
  <c r="C560" i="6"/>
  <c r="AA560" i="6"/>
  <c r="Z560" i="6"/>
  <c r="C559" i="6"/>
  <c r="AA559" i="6"/>
  <c r="Z559" i="6"/>
  <c r="C558" i="6"/>
  <c r="AA558" i="6"/>
  <c r="Z558" i="6"/>
  <c r="C557" i="6"/>
  <c r="AA557" i="6"/>
  <c r="Z557" i="6"/>
  <c r="C556" i="6"/>
  <c r="AA556" i="6"/>
  <c r="Z556" i="6"/>
  <c r="C555" i="6"/>
  <c r="AA555" i="6"/>
  <c r="Z555" i="6"/>
  <c r="C554" i="6"/>
  <c r="AA554" i="6"/>
  <c r="Z554" i="6"/>
  <c r="C553" i="6"/>
  <c r="AA553" i="6"/>
  <c r="Z553" i="6"/>
  <c r="C552" i="6"/>
  <c r="AA552" i="6"/>
  <c r="Z552" i="6"/>
  <c r="C551" i="6"/>
  <c r="AA551" i="6"/>
  <c r="Z551" i="6"/>
  <c r="C550" i="6"/>
  <c r="AA550" i="6"/>
  <c r="Z550" i="6"/>
  <c r="C549" i="6"/>
  <c r="AA549" i="6"/>
  <c r="Z549" i="6"/>
  <c r="C548" i="6"/>
  <c r="AA548" i="6"/>
  <c r="Z548" i="6"/>
  <c r="C547" i="6"/>
  <c r="AA547" i="6"/>
  <c r="Z547" i="6"/>
  <c r="C546" i="6"/>
  <c r="AA546" i="6"/>
  <c r="Z546" i="6"/>
  <c r="C545" i="6"/>
  <c r="AA545" i="6"/>
  <c r="Z545" i="6"/>
  <c r="C544" i="6"/>
  <c r="AA544" i="6"/>
  <c r="Z544" i="6"/>
  <c r="C543" i="6"/>
  <c r="AA543" i="6"/>
  <c r="Z543" i="6"/>
  <c r="C542" i="6"/>
  <c r="AA542" i="6"/>
  <c r="Z542" i="6"/>
  <c r="C541" i="6"/>
  <c r="AA541" i="6"/>
  <c r="Z541" i="6"/>
  <c r="C540" i="6"/>
  <c r="AA540" i="6"/>
  <c r="Z540" i="6"/>
  <c r="C539" i="6"/>
  <c r="AA539" i="6"/>
  <c r="Z539" i="6"/>
  <c r="C538" i="6"/>
  <c r="AA538" i="6"/>
  <c r="Z538" i="6"/>
  <c r="C537" i="6"/>
  <c r="AA537" i="6"/>
  <c r="Z537" i="6"/>
  <c r="C536" i="6"/>
  <c r="AA536" i="6"/>
  <c r="Z536" i="6"/>
  <c r="C535" i="6"/>
  <c r="AA535" i="6"/>
  <c r="Z535" i="6"/>
  <c r="C534" i="6"/>
  <c r="AA534" i="6"/>
  <c r="Z534" i="6"/>
  <c r="C533" i="6"/>
  <c r="AA533" i="6"/>
  <c r="Z533" i="6"/>
  <c r="C532" i="6"/>
  <c r="AA532" i="6"/>
  <c r="Z532" i="6"/>
  <c r="C531" i="6"/>
  <c r="AA531" i="6"/>
  <c r="Z531" i="6"/>
  <c r="C530" i="6"/>
  <c r="AA530" i="6"/>
  <c r="Z530" i="6"/>
  <c r="C529" i="6"/>
  <c r="AA529" i="6"/>
  <c r="Z529" i="6"/>
  <c r="C528" i="6"/>
  <c r="AA528" i="6"/>
  <c r="Z528" i="6"/>
  <c r="C527" i="6"/>
  <c r="AA527" i="6"/>
  <c r="Z527" i="6"/>
  <c r="C526" i="6"/>
  <c r="AA526" i="6"/>
  <c r="Z526" i="6"/>
  <c r="C525" i="6"/>
  <c r="AA525" i="6"/>
  <c r="Z525" i="6"/>
  <c r="C524" i="6"/>
  <c r="AA524" i="6"/>
  <c r="Z524" i="6"/>
  <c r="C523" i="6"/>
  <c r="AA523" i="6"/>
  <c r="Z523" i="6"/>
  <c r="C522" i="6"/>
  <c r="AA522" i="6"/>
  <c r="Z522" i="6"/>
  <c r="C521" i="6"/>
  <c r="AA521" i="6"/>
  <c r="Z521" i="6"/>
  <c r="C520" i="6"/>
  <c r="AA520" i="6"/>
  <c r="Z520" i="6"/>
  <c r="C519" i="6"/>
  <c r="AA519" i="6"/>
  <c r="Z519" i="6"/>
  <c r="C518" i="6"/>
  <c r="AA518" i="6"/>
  <c r="Z518" i="6"/>
  <c r="C514" i="6"/>
  <c r="AA514" i="6"/>
  <c r="Z514" i="6"/>
  <c r="C513" i="6"/>
  <c r="AA513" i="6"/>
  <c r="Z513" i="6"/>
  <c r="C512" i="6"/>
  <c r="AA512" i="6"/>
  <c r="Z512" i="6"/>
  <c r="C511" i="6"/>
  <c r="AA511" i="6"/>
  <c r="Z511" i="6"/>
  <c r="C510" i="6"/>
  <c r="AA510" i="6"/>
  <c r="Z510" i="6"/>
  <c r="C509" i="6"/>
  <c r="AA509" i="6"/>
  <c r="Z509" i="6"/>
  <c r="C508" i="6"/>
  <c r="AA508" i="6"/>
  <c r="Z508" i="6"/>
  <c r="C507" i="6"/>
  <c r="AA507" i="6"/>
  <c r="Z507" i="6"/>
  <c r="C506" i="6"/>
  <c r="AA506" i="6"/>
  <c r="Z506" i="6"/>
  <c r="C503" i="6"/>
  <c r="AA503" i="6"/>
  <c r="Z503" i="6"/>
  <c r="C502" i="6"/>
  <c r="AA502" i="6"/>
  <c r="Z502" i="6"/>
  <c r="C501" i="6"/>
  <c r="AA501" i="6"/>
  <c r="Z501" i="6"/>
  <c r="C500" i="6"/>
  <c r="AA500" i="6"/>
  <c r="Z500" i="6"/>
  <c r="C499" i="6"/>
  <c r="AA499" i="6"/>
  <c r="Z499" i="6"/>
  <c r="C495" i="6"/>
  <c r="AA495" i="6"/>
  <c r="Z495" i="6"/>
  <c r="C494" i="6"/>
  <c r="AA494" i="6"/>
  <c r="Z494" i="6"/>
  <c r="C493" i="6"/>
  <c r="AA493" i="6"/>
  <c r="Z493" i="6"/>
  <c r="C492" i="6"/>
  <c r="AA492" i="6"/>
  <c r="Z492" i="6"/>
  <c r="C491" i="6"/>
  <c r="AA491" i="6"/>
  <c r="Z491" i="6"/>
  <c r="C490" i="6"/>
  <c r="AA490" i="6"/>
  <c r="Z490" i="6"/>
  <c r="C489" i="6"/>
  <c r="AA489" i="6"/>
  <c r="AC489" i="6"/>
  <c r="Z489" i="6"/>
  <c r="C488" i="6"/>
  <c r="AA488" i="6"/>
  <c r="Z488" i="6"/>
  <c r="C487" i="6"/>
  <c r="AA487" i="6"/>
  <c r="Z487" i="6"/>
  <c r="C486" i="6"/>
  <c r="AA486" i="6"/>
  <c r="Z486" i="6"/>
  <c r="C485" i="6"/>
  <c r="AA485" i="6"/>
  <c r="Z485" i="6"/>
  <c r="C484" i="6"/>
  <c r="AA484" i="6"/>
  <c r="Z484" i="6"/>
  <c r="C483" i="6"/>
  <c r="AA483" i="6"/>
  <c r="Z483" i="6"/>
  <c r="C482" i="6"/>
  <c r="AA482" i="6"/>
  <c r="Z482" i="6"/>
  <c r="C481" i="6"/>
  <c r="AA481" i="6"/>
  <c r="AC481" i="6"/>
  <c r="Z481" i="6"/>
  <c r="C480" i="6"/>
  <c r="AA480" i="6"/>
  <c r="Z480" i="6"/>
  <c r="C479" i="6"/>
  <c r="AA479" i="6"/>
  <c r="Z479" i="6"/>
  <c r="C478" i="6"/>
  <c r="AA478" i="6"/>
  <c r="Z478" i="6"/>
  <c r="C477" i="6"/>
  <c r="AA477" i="6"/>
  <c r="Z477" i="6"/>
  <c r="C476" i="6"/>
  <c r="AA476" i="6"/>
  <c r="Z476" i="6"/>
  <c r="C475" i="6"/>
  <c r="AA475" i="6"/>
  <c r="Z475" i="6"/>
  <c r="C474" i="6"/>
  <c r="AA474" i="6"/>
  <c r="Z474" i="6"/>
  <c r="C473" i="6"/>
  <c r="AA473" i="6"/>
  <c r="Z473" i="6"/>
  <c r="C472" i="6"/>
  <c r="AA472" i="6"/>
  <c r="Z472" i="6"/>
  <c r="C471" i="6"/>
  <c r="AA471" i="6"/>
  <c r="Z471" i="6"/>
  <c r="C470" i="6"/>
  <c r="AA470" i="6"/>
  <c r="Z470" i="6"/>
  <c r="C469" i="6"/>
  <c r="AA469" i="6"/>
  <c r="Z469" i="6"/>
  <c r="C468" i="6"/>
  <c r="AA468" i="6"/>
  <c r="Z468" i="6"/>
  <c r="C467" i="6"/>
  <c r="AA467" i="6"/>
  <c r="Z467" i="6"/>
  <c r="C466" i="6"/>
  <c r="AA466" i="6"/>
  <c r="Z466" i="6"/>
  <c r="C465" i="6"/>
  <c r="AA465" i="6"/>
  <c r="Z465" i="6"/>
  <c r="C464" i="6"/>
  <c r="AA464" i="6"/>
  <c r="Z464" i="6"/>
  <c r="C463" i="6"/>
  <c r="AA463" i="6"/>
  <c r="Z463" i="6"/>
  <c r="C462" i="6"/>
  <c r="AA462" i="6"/>
  <c r="Z462" i="6"/>
  <c r="C461" i="6"/>
  <c r="AA461" i="6"/>
  <c r="Z461" i="6"/>
  <c r="C460" i="6"/>
  <c r="AA460" i="6"/>
  <c r="Z460" i="6"/>
  <c r="C459" i="6"/>
  <c r="AA459" i="6"/>
  <c r="Z459" i="6"/>
  <c r="C458" i="6"/>
  <c r="AA458" i="6"/>
  <c r="Z458" i="6"/>
  <c r="C457" i="6"/>
  <c r="AA457" i="6"/>
  <c r="Z457" i="6"/>
  <c r="C456" i="6"/>
  <c r="AA456" i="6"/>
  <c r="Z456" i="6"/>
  <c r="C455" i="6"/>
  <c r="AA455" i="6"/>
  <c r="Z455" i="6"/>
  <c r="C454" i="6"/>
  <c r="AA454" i="6"/>
  <c r="Z454" i="6"/>
  <c r="C453" i="6"/>
  <c r="AA453" i="6"/>
  <c r="Z453" i="6"/>
  <c r="C452" i="6"/>
  <c r="AA452" i="6"/>
  <c r="Z452" i="6"/>
  <c r="C451" i="6"/>
  <c r="AA451" i="6"/>
  <c r="Z451" i="6"/>
  <c r="C450" i="6"/>
  <c r="AA450" i="6"/>
  <c r="Z450" i="6"/>
  <c r="C449" i="6"/>
  <c r="AA449" i="6"/>
  <c r="Z449" i="6"/>
  <c r="C448" i="6"/>
  <c r="AA448" i="6"/>
  <c r="Z448" i="6"/>
  <c r="C447" i="6"/>
  <c r="AA447" i="6"/>
  <c r="Z447" i="6"/>
  <c r="C446" i="6"/>
  <c r="AA446" i="6"/>
  <c r="Z446" i="6"/>
  <c r="C445" i="6"/>
  <c r="AA445" i="6"/>
  <c r="Z445" i="6"/>
  <c r="C444" i="6"/>
  <c r="AA444" i="6"/>
  <c r="Z444" i="6"/>
  <c r="C443" i="6"/>
  <c r="AA443" i="6"/>
  <c r="Z443" i="6"/>
  <c r="C442" i="6"/>
  <c r="AA442" i="6"/>
  <c r="Z442" i="6"/>
  <c r="C441" i="6"/>
  <c r="AA441" i="6"/>
  <c r="Z441" i="6"/>
  <c r="C440" i="6"/>
  <c r="AA440" i="6"/>
  <c r="Z440" i="6"/>
  <c r="C439" i="6"/>
  <c r="AA439" i="6"/>
  <c r="Z439" i="6"/>
  <c r="C438" i="6"/>
  <c r="AA438" i="6"/>
  <c r="Z438" i="6"/>
  <c r="C437" i="6"/>
  <c r="AA437" i="6"/>
  <c r="Z437" i="6"/>
  <c r="C436" i="6"/>
  <c r="AA436" i="6"/>
  <c r="Z436" i="6"/>
  <c r="C435" i="6"/>
  <c r="AA435" i="6"/>
  <c r="Z435" i="6"/>
  <c r="C434" i="6"/>
  <c r="AA434" i="6"/>
  <c r="Z434" i="6"/>
  <c r="C433" i="6"/>
  <c r="AA433" i="6"/>
  <c r="Z433" i="6"/>
  <c r="C432" i="6"/>
  <c r="AA432" i="6"/>
  <c r="Z432" i="6"/>
  <c r="C431" i="6"/>
  <c r="AA431" i="6"/>
  <c r="Z431" i="6"/>
  <c r="C430" i="6"/>
  <c r="AA430" i="6"/>
  <c r="Z430" i="6"/>
  <c r="C429" i="6"/>
  <c r="AA429" i="6"/>
  <c r="Z429" i="6"/>
  <c r="C427" i="6"/>
  <c r="AA427" i="6"/>
  <c r="Z427" i="6"/>
  <c r="C426" i="6"/>
  <c r="AA426" i="6"/>
  <c r="Z426" i="6"/>
  <c r="C425" i="6"/>
  <c r="AA425" i="6"/>
  <c r="Z425" i="6"/>
  <c r="C424" i="6"/>
  <c r="AA424" i="6"/>
  <c r="Z424" i="6"/>
  <c r="C423" i="6"/>
  <c r="AA423" i="6"/>
  <c r="Z423" i="6"/>
  <c r="C422" i="6"/>
  <c r="AA422" i="6"/>
  <c r="Z422" i="6"/>
  <c r="C421" i="6"/>
  <c r="AA421" i="6"/>
  <c r="Z421" i="6"/>
  <c r="C420" i="6"/>
  <c r="AA420" i="6"/>
  <c r="Z420" i="6"/>
  <c r="C419" i="6"/>
  <c r="AA419" i="6"/>
  <c r="Z419" i="6"/>
  <c r="C418" i="6"/>
  <c r="AA418" i="6"/>
  <c r="Z418" i="6"/>
  <c r="C417" i="6"/>
  <c r="AA417" i="6"/>
  <c r="Z417" i="6"/>
  <c r="C416" i="6"/>
  <c r="AA416" i="6"/>
  <c r="Z416" i="6"/>
  <c r="C415" i="6"/>
  <c r="AA415" i="6"/>
  <c r="Z415" i="6"/>
  <c r="C414" i="6"/>
  <c r="AA414" i="6"/>
  <c r="Z414" i="6"/>
  <c r="C413" i="6"/>
  <c r="AA413" i="6"/>
  <c r="Z413" i="6"/>
  <c r="C412" i="6"/>
  <c r="AA412" i="6"/>
  <c r="Z412" i="6"/>
  <c r="C411" i="6"/>
  <c r="AA411" i="6"/>
  <c r="Z411" i="6"/>
  <c r="C410" i="6"/>
  <c r="AA410" i="6"/>
  <c r="Z410" i="6"/>
  <c r="C409" i="6"/>
  <c r="AA409" i="6"/>
  <c r="Z409" i="6"/>
  <c r="C408" i="6"/>
  <c r="AA408" i="6"/>
  <c r="Z408" i="6"/>
  <c r="C407" i="6"/>
  <c r="AA407" i="6"/>
  <c r="Z407" i="6"/>
  <c r="C406" i="6"/>
  <c r="AA406" i="6"/>
  <c r="Z406" i="6"/>
  <c r="C405" i="6"/>
  <c r="AA405" i="6"/>
  <c r="Z405" i="6"/>
  <c r="C404" i="6"/>
  <c r="AA404" i="6"/>
  <c r="Z404" i="6"/>
  <c r="C403" i="6"/>
  <c r="AA403" i="6"/>
  <c r="Z403" i="6"/>
  <c r="C402" i="6"/>
  <c r="AA402" i="6"/>
  <c r="Z402" i="6"/>
  <c r="C401" i="6"/>
  <c r="AA401" i="6"/>
  <c r="Z401" i="6"/>
  <c r="C400" i="6"/>
  <c r="AA400" i="6"/>
  <c r="Z400" i="6"/>
  <c r="C399" i="6"/>
  <c r="AA399" i="6"/>
  <c r="Z399" i="6"/>
  <c r="C398" i="6"/>
  <c r="AA398" i="6"/>
  <c r="Z398" i="6"/>
  <c r="C397" i="6"/>
  <c r="AA397" i="6"/>
  <c r="Z397" i="6"/>
  <c r="C396" i="6"/>
  <c r="AA396" i="6"/>
  <c r="Z396" i="6"/>
  <c r="C395" i="6"/>
  <c r="AA395" i="6"/>
  <c r="Z395" i="6"/>
  <c r="C391" i="6"/>
  <c r="AA391" i="6"/>
  <c r="Z391" i="6"/>
  <c r="C390" i="6"/>
  <c r="AA390" i="6"/>
  <c r="Z390" i="6"/>
  <c r="C389" i="6"/>
  <c r="AA389" i="6"/>
  <c r="AC389" i="6"/>
  <c r="Z389" i="6"/>
  <c r="C388" i="6"/>
  <c r="AA388" i="6"/>
  <c r="Z388" i="6"/>
  <c r="C387" i="6"/>
  <c r="AA387" i="6"/>
  <c r="Z387" i="6"/>
  <c r="C386" i="6"/>
  <c r="AA386" i="6"/>
  <c r="Z386" i="6"/>
  <c r="C385" i="6"/>
  <c r="AA385" i="6"/>
  <c r="Z385" i="6"/>
  <c r="C384" i="6"/>
  <c r="AA384" i="6"/>
  <c r="Z384" i="6"/>
  <c r="C383" i="6"/>
  <c r="AA383" i="6"/>
  <c r="Z383" i="6"/>
  <c r="C382" i="6"/>
  <c r="AA382" i="6"/>
  <c r="Z382" i="6"/>
  <c r="C381" i="6"/>
  <c r="AA381" i="6"/>
  <c r="AC381" i="6"/>
  <c r="Z381" i="6"/>
  <c r="C380" i="6"/>
  <c r="AA380" i="6"/>
  <c r="Z380" i="6"/>
  <c r="C379" i="6"/>
  <c r="AA379" i="6"/>
  <c r="Z379" i="6"/>
  <c r="C378" i="6"/>
  <c r="AA378" i="6"/>
  <c r="Z378" i="6"/>
  <c r="C377" i="6"/>
  <c r="AA377" i="6"/>
  <c r="Z377" i="6"/>
  <c r="C376" i="6"/>
  <c r="AA376" i="6"/>
  <c r="Z376" i="6"/>
  <c r="C375" i="6"/>
  <c r="AA375" i="6"/>
  <c r="Z375" i="6"/>
  <c r="C374" i="6"/>
  <c r="AA374" i="6"/>
  <c r="Z374" i="6"/>
  <c r="C373" i="6"/>
  <c r="AA373" i="6"/>
  <c r="Z373" i="6"/>
  <c r="C372" i="6"/>
  <c r="AA372" i="6"/>
  <c r="Z372" i="6"/>
  <c r="C371" i="6"/>
  <c r="AA371" i="6"/>
  <c r="Z371" i="6"/>
  <c r="C370" i="6"/>
  <c r="AA370" i="6"/>
  <c r="Z370" i="6"/>
  <c r="C369" i="6"/>
  <c r="AA369" i="6"/>
  <c r="Z369" i="6"/>
  <c r="C368" i="6"/>
  <c r="AA368" i="6"/>
  <c r="Z368" i="6"/>
  <c r="C367" i="6"/>
  <c r="AA367" i="6"/>
  <c r="Z367" i="6"/>
  <c r="C366" i="6"/>
  <c r="AA366" i="6"/>
  <c r="Z366" i="6"/>
  <c r="C365" i="6"/>
  <c r="AA365" i="6"/>
  <c r="Z365" i="6"/>
  <c r="C364" i="6"/>
  <c r="AA364" i="6"/>
  <c r="Z364" i="6"/>
  <c r="C363" i="6"/>
  <c r="AA363" i="6"/>
  <c r="Z363" i="6"/>
  <c r="C362" i="6"/>
  <c r="AA362" i="6"/>
  <c r="Z362" i="6"/>
  <c r="C361" i="6"/>
  <c r="AA361" i="6"/>
  <c r="Z361" i="6"/>
  <c r="C360" i="6"/>
  <c r="AA360" i="6"/>
  <c r="Z360" i="6"/>
  <c r="C359" i="6"/>
  <c r="AA359" i="6"/>
  <c r="Z359" i="6"/>
  <c r="C358" i="6"/>
  <c r="AA358" i="6"/>
  <c r="Z358" i="6"/>
  <c r="C357" i="6"/>
  <c r="AA357" i="6"/>
  <c r="Z357" i="6"/>
  <c r="C356" i="6"/>
  <c r="AA356" i="6"/>
  <c r="Z356" i="6"/>
  <c r="C355" i="6"/>
  <c r="AA355" i="6"/>
  <c r="Z355" i="6"/>
  <c r="C354" i="6"/>
  <c r="AA354" i="6"/>
  <c r="Z354" i="6"/>
  <c r="C353" i="6"/>
  <c r="AA353" i="6"/>
  <c r="Z353" i="6"/>
  <c r="C352" i="6"/>
  <c r="AA352" i="6"/>
  <c r="Z352" i="6"/>
  <c r="C351" i="6"/>
  <c r="AA351" i="6"/>
  <c r="Z351" i="6"/>
  <c r="C350" i="6"/>
  <c r="AA350" i="6"/>
  <c r="Z350" i="6"/>
  <c r="C349" i="6"/>
  <c r="AA349" i="6"/>
  <c r="Z349" i="6"/>
  <c r="C348" i="6"/>
  <c r="AA348" i="6"/>
  <c r="Z348" i="6"/>
  <c r="C347" i="6"/>
  <c r="AA347" i="6"/>
  <c r="Z347" i="6"/>
  <c r="C346" i="6"/>
  <c r="AA346" i="6"/>
  <c r="Z346" i="6"/>
  <c r="C345" i="6"/>
  <c r="AA345" i="6"/>
  <c r="Z345" i="6"/>
  <c r="C344" i="6"/>
  <c r="AA344" i="6"/>
  <c r="Z344" i="6"/>
  <c r="C343" i="6"/>
  <c r="AA343" i="6"/>
  <c r="Z343" i="6"/>
  <c r="C342" i="6"/>
  <c r="AA342" i="6"/>
  <c r="Z342" i="6"/>
  <c r="C341" i="6"/>
  <c r="AA341" i="6"/>
  <c r="Z341" i="6"/>
  <c r="C340" i="6"/>
  <c r="AA340" i="6"/>
  <c r="Z340" i="6"/>
  <c r="C339" i="6"/>
  <c r="AA339" i="6"/>
  <c r="Z339" i="6"/>
  <c r="C338" i="6"/>
  <c r="AA338" i="6"/>
  <c r="Z338" i="6"/>
  <c r="C337" i="6"/>
  <c r="AA337" i="6"/>
  <c r="Z337" i="6"/>
  <c r="C336" i="6"/>
  <c r="AA336" i="6"/>
  <c r="Z336" i="6"/>
  <c r="C335" i="6"/>
  <c r="AA335" i="6"/>
  <c r="Z335" i="6"/>
  <c r="C331" i="6"/>
  <c r="AA331" i="6"/>
  <c r="Z331" i="6"/>
  <c r="C284" i="6"/>
  <c r="AA284" i="6"/>
  <c r="Z284" i="6"/>
  <c r="C330" i="6"/>
  <c r="AA330" i="6"/>
  <c r="Z330" i="6"/>
  <c r="C283" i="6"/>
  <c r="AA283" i="6"/>
  <c r="Z283" i="6"/>
  <c r="C329" i="6"/>
  <c r="AA329" i="6"/>
  <c r="Z329" i="6"/>
  <c r="C282" i="6"/>
  <c r="AA282" i="6"/>
  <c r="Z282" i="6"/>
  <c r="C328" i="6"/>
  <c r="AA328" i="6"/>
  <c r="Z328" i="6"/>
  <c r="C281" i="6"/>
  <c r="AA281" i="6"/>
  <c r="Z281" i="6"/>
  <c r="C327" i="6"/>
  <c r="AA327" i="6"/>
  <c r="Z327" i="6"/>
  <c r="C280" i="6"/>
  <c r="AA280" i="6"/>
  <c r="Z280" i="6"/>
  <c r="C326" i="6"/>
  <c r="AA326" i="6"/>
  <c r="Z326" i="6"/>
  <c r="C279" i="6"/>
  <c r="AA279" i="6"/>
  <c r="Z279" i="6"/>
  <c r="C325" i="6"/>
  <c r="AA325" i="6"/>
  <c r="Z325" i="6"/>
  <c r="C278" i="6"/>
  <c r="AA278" i="6"/>
  <c r="Z278" i="6"/>
  <c r="C324" i="6"/>
  <c r="AA324" i="6"/>
  <c r="Z324" i="6"/>
  <c r="C277" i="6"/>
  <c r="AA277" i="6"/>
  <c r="Z277" i="6"/>
  <c r="C323" i="6"/>
  <c r="AA323" i="6"/>
  <c r="Z323" i="6"/>
  <c r="C276" i="6"/>
  <c r="AA276" i="6"/>
  <c r="Z276" i="6"/>
  <c r="C322" i="6"/>
  <c r="AA322" i="6"/>
  <c r="Z322" i="6"/>
  <c r="C275" i="6"/>
  <c r="AA275" i="6"/>
  <c r="Z275" i="6"/>
  <c r="C321" i="6"/>
  <c r="AA321" i="6"/>
  <c r="Z321" i="6"/>
  <c r="C274" i="6"/>
  <c r="AA274" i="6"/>
  <c r="Z274" i="6"/>
  <c r="C320" i="6"/>
  <c r="AA320" i="6"/>
  <c r="Z320" i="6"/>
  <c r="C273" i="6"/>
  <c r="AA273" i="6"/>
  <c r="Z273" i="6"/>
  <c r="C319" i="6"/>
  <c r="AA319" i="6"/>
  <c r="Z319" i="6"/>
  <c r="C272" i="6"/>
  <c r="AA272" i="6"/>
  <c r="Z272" i="6"/>
  <c r="C314" i="6"/>
  <c r="AA314" i="6"/>
  <c r="Z314" i="6"/>
  <c r="C313" i="6"/>
  <c r="AA313" i="6"/>
  <c r="Z313" i="6"/>
  <c r="C312" i="6"/>
  <c r="AA312" i="6"/>
  <c r="Z312" i="6"/>
  <c r="C311" i="6"/>
  <c r="AA311" i="6"/>
  <c r="Z311" i="6"/>
  <c r="C310" i="6"/>
  <c r="AA310" i="6"/>
  <c r="Z310" i="6"/>
  <c r="C309" i="6"/>
  <c r="AA309" i="6"/>
  <c r="Z309" i="6"/>
  <c r="C308" i="6"/>
  <c r="AA308" i="6"/>
  <c r="Z308" i="6"/>
  <c r="C307" i="6"/>
  <c r="AA307" i="6"/>
  <c r="Z307" i="6"/>
  <c r="C306" i="6"/>
  <c r="AA306" i="6"/>
  <c r="Z306" i="6"/>
  <c r="C305" i="6"/>
  <c r="AA305" i="6"/>
  <c r="Z305" i="6"/>
  <c r="C304" i="6"/>
  <c r="AA304" i="6"/>
  <c r="Z304" i="6"/>
  <c r="C303" i="6"/>
  <c r="AA303" i="6"/>
  <c r="Z303" i="6"/>
  <c r="C302" i="6"/>
  <c r="AA302" i="6"/>
  <c r="Z302" i="6"/>
  <c r="C301" i="6"/>
  <c r="AA301" i="6"/>
  <c r="Z301" i="6"/>
  <c r="C300" i="6"/>
  <c r="AA300" i="6"/>
  <c r="Z300" i="6"/>
  <c r="C299" i="6"/>
  <c r="AA299" i="6"/>
  <c r="Z299" i="6"/>
  <c r="C298" i="6"/>
  <c r="AA298" i="6"/>
  <c r="Z298" i="6"/>
  <c r="C297" i="6"/>
  <c r="AA297" i="6"/>
  <c r="Z297" i="6"/>
  <c r="C296" i="6"/>
  <c r="AA296" i="6"/>
  <c r="Z296" i="6"/>
  <c r="C295" i="6"/>
  <c r="AA295" i="6"/>
  <c r="Z295" i="6"/>
  <c r="C294" i="6"/>
  <c r="AA294" i="6"/>
  <c r="Z294" i="6"/>
  <c r="C293" i="6"/>
  <c r="AA293" i="6"/>
  <c r="Z293" i="6"/>
  <c r="C292" i="6"/>
  <c r="AA292" i="6"/>
  <c r="Z292" i="6"/>
  <c r="C291" i="6"/>
  <c r="AA291" i="6"/>
  <c r="Z291" i="6"/>
  <c r="C290" i="6"/>
  <c r="AA290" i="6"/>
  <c r="Z290" i="6"/>
  <c r="C289" i="6"/>
  <c r="AA289" i="6"/>
  <c r="Z289" i="6"/>
  <c r="C212" i="6"/>
  <c r="AA212" i="6"/>
  <c r="Z212" i="6"/>
  <c r="C288" i="6"/>
  <c r="AA288" i="6"/>
  <c r="Z288" i="6"/>
  <c r="C317" i="6"/>
  <c r="AA317" i="6"/>
  <c r="Z317" i="6"/>
  <c r="C268" i="6"/>
  <c r="AA268" i="6"/>
  <c r="Z268" i="6"/>
  <c r="C246" i="6"/>
  <c r="AA246" i="6"/>
  <c r="Z246" i="6"/>
  <c r="C267" i="6"/>
  <c r="AA267" i="6"/>
  <c r="Z267" i="6"/>
  <c r="C266" i="6"/>
  <c r="AA266" i="6"/>
  <c r="Z266" i="6"/>
  <c r="C231" i="6"/>
  <c r="AA231" i="6"/>
  <c r="Z231" i="6"/>
  <c r="C230" i="6"/>
  <c r="Z230" i="6"/>
  <c r="C229" i="6"/>
  <c r="Z229" i="6"/>
  <c r="C225" i="6"/>
  <c r="Z225" i="6"/>
  <c r="C223" i="6"/>
  <c r="Z223" i="6"/>
  <c r="C221" i="6"/>
  <c r="AA221" i="6"/>
  <c r="Z221" i="6"/>
  <c r="C220" i="6"/>
  <c r="AA220" i="6"/>
  <c r="B220" i="6"/>
  <c r="Z220" i="6"/>
  <c r="C219" i="6"/>
  <c r="AA219" i="6"/>
  <c r="Z219" i="6"/>
  <c r="C263" i="6"/>
  <c r="AA263" i="6"/>
  <c r="Z263" i="6"/>
  <c r="C262" i="6"/>
  <c r="AA262" i="6"/>
  <c r="Z262" i="6"/>
  <c r="C260" i="6"/>
  <c r="AA260" i="6"/>
  <c r="B260" i="6"/>
  <c r="Z260" i="6"/>
  <c r="C250" i="6"/>
  <c r="AA250" i="6"/>
  <c r="Z250" i="6"/>
  <c r="C249" i="6"/>
  <c r="AA249" i="6"/>
  <c r="Z249" i="6"/>
  <c r="C206" i="6"/>
  <c r="AA206" i="6"/>
  <c r="B206" i="6"/>
  <c r="Z206" i="6"/>
  <c r="C205" i="6"/>
  <c r="AA205" i="6"/>
  <c r="B205" i="6"/>
  <c r="Z205" i="6"/>
  <c r="C248" i="6"/>
  <c r="AA248" i="6"/>
  <c r="Z248" i="6"/>
  <c r="C247" i="6"/>
  <c r="AA247" i="6"/>
  <c r="Z247" i="6"/>
  <c r="C210" i="6"/>
  <c r="AA210" i="6"/>
  <c r="Z210" i="6"/>
  <c r="C209" i="6"/>
  <c r="AA209" i="6"/>
  <c r="Z209" i="6"/>
  <c r="C207" i="6"/>
  <c r="AA207" i="6"/>
  <c r="B207" i="6"/>
  <c r="Z207" i="6"/>
  <c r="C204" i="6"/>
  <c r="AA204" i="6"/>
  <c r="Z204" i="6"/>
  <c r="C203" i="6"/>
  <c r="AA203" i="6"/>
  <c r="Z203" i="6"/>
  <c r="C201" i="6"/>
  <c r="AA201" i="6"/>
  <c r="Z201" i="6"/>
  <c r="C200" i="6"/>
  <c r="AA200" i="6"/>
  <c r="Z200" i="6"/>
  <c r="C199" i="6"/>
  <c r="AA199" i="6"/>
  <c r="Z199" i="6"/>
  <c r="C198" i="6"/>
  <c r="AA198" i="6"/>
  <c r="Z198" i="6"/>
  <c r="C197" i="6"/>
  <c r="AA197" i="6"/>
  <c r="Z197" i="6"/>
  <c r="C196" i="6"/>
  <c r="AA196" i="6"/>
  <c r="Z196" i="6"/>
  <c r="C195" i="6"/>
  <c r="AA195" i="6"/>
  <c r="Z195" i="6"/>
  <c r="C189" i="6"/>
  <c r="AA189" i="6"/>
  <c r="Z189" i="6"/>
  <c r="C188" i="6"/>
  <c r="AA188" i="6"/>
  <c r="Z188" i="6"/>
  <c r="C187" i="6"/>
  <c r="AA187" i="6"/>
  <c r="Z187" i="6"/>
  <c r="C186" i="6"/>
  <c r="AA186" i="6"/>
  <c r="Z186" i="6"/>
  <c r="C185" i="6"/>
  <c r="AA185" i="6"/>
  <c r="Z185" i="6"/>
  <c r="C184" i="6"/>
  <c r="AA184" i="6"/>
  <c r="Z184" i="6"/>
  <c r="C183" i="6"/>
  <c r="AA183" i="6"/>
  <c r="Z183" i="6"/>
  <c r="C182" i="6"/>
  <c r="AA182" i="6"/>
  <c r="Z182" i="6"/>
  <c r="C181" i="6"/>
  <c r="AA181" i="6"/>
  <c r="Z181" i="6"/>
  <c r="C180" i="6"/>
  <c r="AA180" i="6"/>
  <c r="Z180" i="6"/>
  <c r="C179" i="6"/>
  <c r="AA179" i="6"/>
  <c r="Z179" i="6"/>
  <c r="C178" i="6"/>
  <c r="AA178" i="6"/>
  <c r="Z178" i="6"/>
  <c r="C177" i="6"/>
  <c r="AA177" i="6"/>
  <c r="Z177" i="6"/>
  <c r="C176" i="6"/>
  <c r="AA176" i="6"/>
  <c r="Z176" i="6"/>
  <c r="C175" i="6"/>
  <c r="AA175" i="6"/>
  <c r="Z175" i="6"/>
  <c r="C174" i="6"/>
  <c r="AA174" i="6"/>
  <c r="Z174" i="6"/>
  <c r="C173" i="6"/>
  <c r="AA173" i="6"/>
  <c r="Z173" i="6"/>
  <c r="C172" i="6"/>
  <c r="AA172" i="6"/>
  <c r="Z172" i="6"/>
  <c r="C171" i="6"/>
  <c r="AA171" i="6"/>
  <c r="Z171" i="6"/>
  <c r="C170" i="6"/>
  <c r="AA170" i="6"/>
  <c r="Z170" i="6"/>
  <c r="C169" i="6"/>
  <c r="AA169" i="6"/>
  <c r="Z169" i="6"/>
  <c r="C168" i="6"/>
  <c r="AA168" i="6"/>
  <c r="Z168" i="6"/>
  <c r="C167" i="6"/>
  <c r="AA167" i="6"/>
  <c r="Z167" i="6"/>
  <c r="C166" i="6"/>
  <c r="AA166" i="6"/>
  <c r="Z166" i="6"/>
  <c r="C165" i="6"/>
  <c r="AA165" i="6"/>
  <c r="Z165" i="6"/>
  <c r="C164" i="6"/>
  <c r="AA164" i="6"/>
  <c r="Z164" i="6"/>
  <c r="C162" i="6"/>
  <c r="AA162" i="6"/>
  <c r="Z162" i="6"/>
  <c r="C160" i="6"/>
  <c r="AA160" i="6"/>
  <c r="Z160" i="6"/>
  <c r="C159" i="6"/>
  <c r="AA159" i="6"/>
  <c r="Z159" i="6"/>
  <c r="C158" i="6"/>
  <c r="AA158" i="6"/>
  <c r="Z158" i="6"/>
  <c r="C157" i="6"/>
  <c r="AA157" i="6"/>
  <c r="Z157" i="6"/>
  <c r="C156" i="6"/>
  <c r="AA156" i="6"/>
  <c r="Z156" i="6"/>
  <c r="C155" i="6"/>
  <c r="AA155" i="6"/>
  <c r="Z155" i="6"/>
  <c r="C154" i="6"/>
  <c r="AA154" i="6"/>
  <c r="Z154" i="6"/>
  <c r="C141" i="6"/>
  <c r="AA141" i="6"/>
  <c r="Z141" i="6"/>
  <c r="C140" i="6"/>
  <c r="AA140" i="6"/>
  <c r="Z140" i="6"/>
  <c r="C139" i="6"/>
  <c r="AA139" i="6"/>
  <c r="Z139" i="6"/>
  <c r="C138" i="6"/>
  <c r="AA138" i="6"/>
  <c r="Z138" i="6"/>
  <c r="C137" i="6"/>
  <c r="AA137" i="6"/>
  <c r="Z137" i="6"/>
  <c r="C136" i="6"/>
  <c r="AA136" i="6"/>
  <c r="Z136" i="6"/>
  <c r="C135" i="6"/>
  <c r="AA135" i="6"/>
  <c r="Z135" i="6"/>
  <c r="C134" i="6"/>
  <c r="AA134" i="6"/>
  <c r="Z134" i="6"/>
  <c r="C133" i="6"/>
  <c r="AA133" i="6"/>
  <c r="Z133" i="6"/>
  <c r="C132" i="6"/>
  <c r="AA132" i="6"/>
  <c r="Z132" i="6"/>
  <c r="C129" i="6"/>
  <c r="AA129" i="6"/>
  <c r="Z129" i="6"/>
  <c r="C128" i="6"/>
  <c r="AA128" i="6"/>
  <c r="Z128" i="6"/>
  <c r="O127" i="6"/>
  <c r="AB127" i="6"/>
  <c r="C127" i="6"/>
  <c r="AA127" i="6"/>
  <c r="C126" i="6"/>
  <c r="AA126" i="6"/>
  <c r="Z126" i="6"/>
  <c r="C125" i="6"/>
  <c r="AA125" i="6"/>
  <c r="Z125" i="6"/>
  <c r="C124" i="6"/>
  <c r="AA124" i="6"/>
  <c r="Z124" i="6"/>
  <c r="C123" i="6"/>
  <c r="AA123" i="6"/>
  <c r="Z123" i="6"/>
  <c r="C122" i="6"/>
  <c r="AA122" i="6"/>
  <c r="Z122" i="6"/>
  <c r="C121" i="6"/>
  <c r="AA121" i="6"/>
  <c r="Z121" i="6"/>
  <c r="C120" i="6"/>
  <c r="AA120" i="6"/>
  <c r="AC120" i="6"/>
  <c r="Z120" i="6"/>
  <c r="C119" i="6"/>
  <c r="AA119" i="6"/>
  <c r="Z119" i="6"/>
  <c r="C118" i="6"/>
  <c r="AA118" i="6"/>
  <c r="Z118" i="6"/>
  <c r="C117" i="6"/>
  <c r="AA117" i="6"/>
  <c r="Z117" i="6"/>
  <c r="C116" i="6"/>
  <c r="AA116" i="6"/>
  <c r="Z116" i="6"/>
  <c r="C115" i="6"/>
  <c r="AA115" i="6"/>
  <c r="Z115" i="6"/>
  <c r="C114" i="6"/>
  <c r="AA114" i="6"/>
  <c r="Z114" i="6"/>
  <c r="C113" i="6"/>
  <c r="AA113" i="6"/>
  <c r="Z113" i="6"/>
  <c r="C112" i="6"/>
  <c r="AA112" i="6"/>
  <c r="Z112" i="6"/>
  <c r="C109" i="6"/>
  <c r="AA109" i="6"/>
  <c r="Z109" i="6"/>
  <c r="C108" i="6"/>
  <c r="AA108" i="6"/>
  <c r="Z108" i="6"/>
  <c r="C107" i="6"/>
  <c r="AA107" i="6"/>
  <c r="Z107" i="6"/>
  <c r="C106" i="6"/>
  <c r="AA106" i="6"/>
  <c r="Z106" i="6"/>
  <c r="C105" i="6"/>
  <c r="AA105" i="6"/>
  <c r="Z105" i="6"/>
  <c r="C104" i="6"/>
  <c r="AA104" i="6"/>
  <c r="Z104" i="6"/>
  <c r="C103" i="6"/>
  <c r="AA103" i="6"/>
  <c r="Z103" i="6"/>
  <c r="C102" i="6"/>
  <c r="AA102" i="6"/>
  <c r="Z102" i="6"/>
  <c r="C101" i="6"/>
  <c r="AA101" i="6"/>
  <c r="Z101" i="6"/>
  <c r="C100" i="6"/>
  <c r="AA100" i="6"/>
  <c r="Z100" i="6"/>
  <c r="C99" i="6"/>
  <c r="AA99" i="6"/>
  <c r="Z99" i="6"/>
  <c r="C98" i="6"/>
  <c r="AA98" i="6"/>
  <c r="Z98" i="6"/>
  <c r="C97" i="6"/>
  <c r="AA97" i="6"/>
  <c r="AC97" i="6"/>
  <c r="Z97" i="6"/>
  <c r="C96" i="6"/>
  <c r="AA96" i="6"/>
  <c r="Z96" i="6"/>
  <c r="C95" i="6"/>
  <c r="AA95" i="6"/>
  <c r="Z95" i="6"/>
  <c r="C94" i="6"/>
  <c r="AA94" i="6"/>
  <c r="Z94" i="6"/>
  <c r="C93" i="6"/>
  <c r="AA93" i="6"/>
  <c r="Z93" i="6"/>
  <c r="C92" i="6"/>
  <c r="AA92" i="6"/>
  <c r="Z92" i="6"/>
  <c r="C91" i="6"/>
  <c r="AA91" i="6"/>
  <c r="Z91" i="6"/>
  <c r="C90" i="6"/>
  <c r="AA90" i="6"/>
  <c r="Z90" i="6"/>
  <c r="C89" i="6"/>
  <c r="AA89" i="6"/>
  <c r="Z89" i="6"/>
  <c r="C88" i="6"/>
  <c r="AA88" i="6"/>
  <c r="Z88" i="6"/>
  <c r="C87" i="6"/>
  <c r="AA87" i="6"/>
  <c r="Z87" i="6"/>
  <c r="C86" i="6"/>
  <c r="AA86" i="6"/>
  <c r="Z86" i="6"/>
  <c r="C85" i="6"/>
  <c r="AA85" i="6"/>
  <c r="Z85" i="6"/>
  <c r="C84" i="6"/>
  <c r="AA84" i="6"/>
  <c r="Z84" i="6"/>
  <c r="C83" i="6"/>
  <c r="AA83" i="6"/>
  <c r="Z83" i="6"/>
  <c r="C81" i="6"/>
  <c r="AA81" i="6"/>
  <c r="AC81" i="6"/>
  <c r="Z81" i="6"/>
  <c r="C80" i="6"/>
  <c r="AA80" i="6"/>
  <c r="Z80" i="6"/>
  <c r="C79" i="6"/>
  <c r="AA79" i="6"/>
  <c r="Z79" i="6"/>
  <c r="C78" i="6"/>
  <c r="AA78" i="6"/>
  <c r="Z78" i="6"/>
  <c r="C77" i="6"/>
  <c r="AA77" i="6"/>
  <c r="AC77" i="6"/>
  <c r="Z77" i="6"/>
  <c r="C76" i="6"/>
  <c r="AA76" i="6"/>
  <c r="Z76" i="6"/>
  <c r="C75" i="6"/>
  <c r="AA75" i="6"/>
  <c r="Z75" i="6"/>
  <c r="C74" i="6"/>
  <c r="AA74" i="6"/>
  <c r="Z74" i="6"/>
  <c r="C73" i="6"/>
  <c r="AA73" i="6"/>
  <c r="AC73" i="6"/>
  <c r="Z73" i="6"/>
  <c r="C72" i="6"/>
  <c r="AA72" i="6"/>
  <c r="Z72" i="6"/>
  <c r="C71" i="6"/>
  <c r="AA71" i="6"/>
  <c r="Z71" i="6"/>
  <c r="C70" i="6"/>
  <c r="AA70" i="6"/>
  <c r="Z70" i="6"/>
  <c r="C69" i="6"/>
  <c r="AA69" i="6"/>
  <c r="Z69" i="6"/>
  <c r="C68" i="6"/>
  <c r="AA68" i="6"/>
  <c r="Z68" i="6"/>
  <c r="C67" i="6"/>
  <c r="AA67" i="6"/>
  <c r="Z67" i="6"/>
  <c r="C66" i="6"/>
  <c r="AA66" i="6"/>
  <c r="AC66" i="6"/>
  <c r="Z66" i="6"/>
  <c r="C65" i="6"/>
  <c r="AA65" i="6"/>
  <c r="AC65" i="6"/>
  <c r="Z65" i="6"/>
  <c r="C64" i="6"/>
  <c r="AA64" i="6"/>
  <c r="Z64" i="6"/>
  <c r="C62" i="6"/>
  <c r="AA62" i="6"/>
  <c r="Z62" i="6"/>
  <c r="C61" i="6"/>
  <c r="AA61" i="6"/>
  <c r="Z61" i="6"/>
  <c r="C60" i="6"/>
  <c r="AA60" i="6"/>
  <c r="Z60" i="6"/>
  <c r="C59" i="6"/>
  <c r="AA59" i="6"/>
  <c r="Z59" i="6"/>
  <c r="C58" i="6"/>
  <c r="AA58" i="6"/>
  <c r="Z58" i="6"/>
  <c r="C57" i="6"/>
  <c r="AA57" i="6"/>
  <c r="Z57" i="6"/>
  <c r="C56" i="6"/>
  <c r="AA56" i="6"/>
  <c r="Z56" i="6"/>
  <c r="C55" i="6"/>
  <c r="AA55" i="6"/>
  <c r="Z55" i="6"/>
  <c r="C54" i="6"/>
  <c r="AA54" i="6"/>
  <c r="Z54" i="6"/>
  <c r="C53" i="6"/>
  <c r="AA53" i="6"/>
  <c r="Z53" i="6"/>
  <c r="C52" i="6"/>
  <c r="AA52" i="6"/>
  <c r="Z52" i="6"/>
  <c r="C51" i="6"/>
  <c r="AA51" i="6"/>
  <c r="Z51" i="6"/>
  <c r="C50" i="6"/>
  <c r="AA50" i="6"/>
  <c r="Z50" i="6"/>
  <c r="C49" i="6"/>
  <c r="AA49" i="6"/>
  <c r="Z49" i="6"/>
  <c r="C48" i="6"/>
  <c r="AA48" i="6"/>
  <c r="Z48" i="6"/>
  <c r="C47" i="6"/>
  <c r="AA47" i="6"/>
  <c r="Z47" i="6"/>
  <c r="C46" i="6"/>
  <c r="AA46" i="6"/>
  <c r="Z46" i="6"/>
  <c r="C45" i="6"/>
  <c r="AA45" i="6"/>
  <c r="Z45" i="6"/>
  <c r="C44" i="6"/>
  <c r="AA44" i="6"/>
  <c r="Z44" i="6"/>
  <c r="C43" i="6"/>
  <c r="AA43" i="6"/>
  <c r="Z43" i="6"/>
  <c r="C42" i="6"/>
  <c r="AA42" i="6"/>
  <c r="Z42" i="6"/>
  <c r="C41" i="6"/>
  <c r="AA41" i="6"/>
  <c r="Z41" i="6"/>
  <c r="C40" i="6"/>
  <c r="AA40" i="6"/>
  <c r="Z40" i="6"/>
  <c r="C39" i="6"/>
  <c r="AA39" i="6"/>
  <c r="Z39" i="6"/>
  <c r="C38" i="6"/>
  <c r="AA38" i="6"/>
  <c r="Z38" i="6"/>
  <c r="C37" i="6"/>
  <c r="AA37" i="6"/>
  <c r="Z37" i="6"/>
  <c r="C36" i="6"/>
  <c r="AA36" i="6"/>
  <c r="Z36" i="6"/>
  <c r="C35" i="6"/>
  <c r="AA35" i="6"/>
  <c r="Z35" i="6"/>
  <c r="C34" i="6"/>
  <c r="AA34" i="6"/>
  <c r="Z34" i="6"/>
  <c r="C33" i="6"/>
  <c r="AA33" i="6"/>
  <c r="Z33" i="6"/>
  <c r="C32" i="6"/>
  <c r="AA32" i="6"/>
  <c r="Z32" i="6"/>
  <c r="C31" i="6"/>
  <c r="AA31" i="6"/>
  <c r="Z31" i="6"/>
  <c r="C30" i="6"/>
  <c r="AA30" i="6"/>
  <c r="Z30" i="6"/>
  <c r="C29" i="6"/>
  <c r="AA29" i="6"/>
  <c r="Z29" i="6"/>
  <c r="C28" i="6"/>
  <c r="AA28" i="6"/>
  <c r="Z28" i="6"/>
  <c r="C27" i="6"/>
  <c r="AA27" i="6"/>
  <c r="Z27" i="6"/>
  <c r="C26" i="6"/>
  <c r="AA26" i="6"/>
  <c r="Z26" i="6"/>
  <c r="C25" i="6"/>
  <c r="AA25" i="6"/>
  <c r="Z25" i="6"/>
  <c r="C24" i="6"/>
  <c r="AA24" i="6"/>
  <c r="Z24" i="6"/>
  <c r="C23" i="6"/>
  <c r="AA23" i="6"/>
  <c r="Z23" i="6"/>
  <c r="C22" i="6"/>
  <c r="AA22" i="6"/>
  <c r="Z22" i="6"/>
  <c r="C21" i="6"/>
  <c r="AA21" i="6"/>
  <c r="Z21" i="6"/>
  <c r="C20" i="6"/>
  <c r="AA20" i="6"/>
  <c r="Z20" i="6"/>
  <c r="C19" i="6"/>
  <c r="AA19" i="6"/>
  <c r="Z19" i="6"/>
  <c r="C18" i="6"/>
  <c r="AA18" i="6"/>
  <c r="Z18" i="6"/>
  <c r="C17" i="6"/>
  <c r="AA17" i="6"/>
  <c r="Z17" i="6"/>
  <c r="C16" i="6"/>
  <c r="AA16" i="6"/>
  <c r="Z16" i="6"/>
  <c r="C15" i="6"/>
  <c r="AA15" i="6"/>
  <c r="Z15" i="6"/>
  <c r="C14" i="6"/>
  <c r="AA14" i="6"/>
  <c r="Z14" i="6"/>
  <c r="C13" i="6"/>
  <c r="AA13" i="6"/>
  <c r="Z13" i="6"/>
  <c r="C12" i="6"/>
  <c r="AA12" i="6"/>
  <c r="Z12" i="6"/>
  <c r="C11" i="6"/>
  <c r="AA11" i="6"/>
  <c r="Z11" i="6"/>
  <c r="C10" i="6"/>
  <c r="AA10" i="6"/>
  <c r="Z10" i="6"/>
  <c r="C9" i="6"/>
  <c r="AA9" i="6"/>
  <c r="Z9" i="6"/>
  <c r="C8" i="6"/>
  <c r="AA8" i="6"/>
  <c r="Z8" i="6"/>
  <c r="C7" i="6"/>
  <c r="AA7" i="6"/>
  <c r="Z7" i="6"/>
  <c r="AA629" i="6"/>
  <c r="AC629" i="6"/>
  <c r="AB629" i="6"/>
  <c r="Z629" i="6"/>
  <c r="C629" i="6"/>
  <c r="AA628" i="6"/>
  <c r="AB628" i="6"/>
  <c r="Z628" i="6"/>
  <c r="C628" i="6"/>
  <c r="AA627" i="6"/>
  <c r="AC627" i="6"/>
  <c r="AB627" i="6"/>
  <c r="Z627" i="6"/>
  <c r="C627" i="6"/>
  <c r="AA626" i="6"/>
  <c r="AC626" i="6"/>
  <c r="AB626" i="6"/>
  <c r="Z626" i="6"/>
  <c r="C626" i="6"/>
  <c r="AA625" i="6"/>
  <c r="AB625" i="6"/>
  <c r="Z625" i="6"/>
  <c r="C625" i="6"/>
  <c r="AB623" i="6"/>
  <c r="AB621" i="6"/>
  <c r="AB620" i="6"/>
  <c r="AB619" i="6"/>
  <c r="CC1" i="8"/>
  <c r="AB618" i="6"/>
  <c r="AB616" i="6"/>
  <c r="AB615" i="6"/>
  <c r="AB614" i="6"/>
  <c r="AB613" i="6"/>
  <c r="AB612" i="6"/>
  <c r="AB611" i="6"/>
  <c r="AB610" i="6"/>
  <c r="AB609" i="6"/>
  <c r="AB608" i="6"/>
  <c r="AB606" i="6"/>
  <c r="AB605" i="6"/>
  <c r="AB604" i="6"/>
  <c r="AB603" i="6"/>
  <c r="AB602" i="6"/>
  <c r="AA601" i="6"/>
  <c r="AC601" i="6"/>
  <c r="AB601" i="6"/>
  <c r="Z601" i="6"/>
  <c r="AB600" i="6"/>
  <c r="AB599" i="6"/>
  <c r="AB598" i="6"/>
  <c r="AB597" i="6"/>
  <c r="AB596" i="6"/>
  <c r="AB595" i="6"/>
  <c r="AB594" i="6"/>
  <c r="AB593" i="6"/>
  <c r="AB589" i="6"/>
  <c r="AB588" i="6"/>
  <c r="AB587" i="6"/>
  <c r="AB586" i="6"/>
  <c r="AB585" i="6"/>
  <c r="AB584" i="6"/>
  <c r="AB583" i="6"/>
  <c r="AB582" i="6"/>
  <c r="AB581" i="6"/>
  <c r="AB580" i="6"/>
  <c r="AB579" i="6"/>
  <c r="AB578" i="6"/>
  <c r="AB577" i="6"/>
  <c r="AB576" i="6"/>
  <c r="AB575" i="6"/>
  <c r="AB574" i="6"/>
  <c r="AB573" i="6"/>
  <c r="AB572" i="6"/>
  <c r="AB571" i="6"/>
  <c r="AB570" i="6"/>
  <c r="AB569" i="6"/>
  <c r="AB568" i="6"/>
  <c r="AB567" i="6"/>
  <c r="AB566" i="6"/>
  <c r="AB565" i="6"/>
  <c r="AB564" i="6"/>
  <c r="AB563" i="6"/>
  <c r="AB562" i="6"/>
  <c r="AB561" i="6"/>
  <c r="AB560" i="6"/>
  <c r="AB559" i="6"/>
  <c r="AB558" i="6"/>
  <c r="AB557" i="6"/>
  <c r="AB556" i="6"/>
  <c r="AB555" i="6"/>
  <c r="AB554" i="6"/>
  <c r="AC553" i="6"/>
  <c r="AB553" i="6"/>
  <c r="AB552" i="6"/>
  <c r="AB551" i="6"/>
  <c r="AB550" i="6"/>
  <c r="AB549" i="6"/>
  <c r="AB548" i="6"/>
  <c r="AB547" i="6"/>
  <c r="AB546" i="6"/>
  <c r="AB545" i="6"/>
  <c r="AB544" i="6"/>
  <c r="AB543" i="6"/>
  <c r="AB542" i="6"/>
  <c r="AB541" i="6"/>
  <c r="AB540" i="6"/>
  <c r="AB539" i="6"/>
  <c r="AB538" i="6"/>
  <c r="AB537" i="6"/>
  <c r="AB536" i="6"/>
  <c r="AB535" i="6"/>
  <c r="AB534" i="6"/>
  <c r="AB533" i="6"/>
  <c r="AB532" i="6"/>
  <c r="AB531" i="6"/>
  <c r="AB530" i="6"/>
  <c r="AB529" i="6"/>
  <c r="AB528" i="6"/>
  <c r="AB527" i="6"/>
  <c r="AB526" i="6"/>
  <c r="AB525" i="6"/>
  <c r="AB524" i="6"/>
  <c r="AB523" i="6"/>
  <c r="AB522" i="6"/>
  <c r="AB521" i="6"/>
  <c r="AB520" i="6"/>
  <c r="AB519" i="6"/>
  <c r="AB518" i="6"/>
  <c r="AB514" i="6"/>
  <c r="AB513" i="6"/>
  <c r="AB512" i="6"/>
  <c r="AB511" i="6"/>
  <c r="AB510" i="6"/>
  <c r="AB509" i="6"/>
  <c r="AB508" i="6"/>
  <c r="AB507" i="6"/>
  <c r="AB506" i="6"/>
  <c r="AB503" i="6"/>
  <c r="AB502" i="6"/>
  <c r="AB501" i="6"/>
  <c r="AB500" i="6"/>
  <c r="AB499" i="6"/>
  <c r="AB495" i="6"/>
  <c r="AB494" i="6"/>
  <c r="AB493" i="6"/>
  <c r="AB492" i="6"/>
  <c r="AB491" i="6"/>
  <c r="AB490" i="6"/>
  <c r="AB489" i="6"/>
  <c r="AB488" i="6"/>
  <c r="AB487" i="6"/>
  <c r="AB486" i="6"/>
  <c r="AB485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4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B429" i="6"/>
  <c r="AA428" i="6"/>
  <c r="AC428" i="6"/>
  <c r="AB428" i="6"/>
  <c r="Z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1" i="6"/>
  <c r="AB284" i="6"/>
  <c r="AB330" i="6"/>
  <c r="AB283" i="6"/>
  <c r="AB329" i="6"/>
  <c r="AB282" i="6"/>
  <c r="AB328" i="6"/>
  <c r="AB281" i="6"/>
  <c r="AB327" i="6"/>
  <c r="AB280" i="6"/>
  <c r="AB326" i="6"/>
  <c r="AB279" i="6"/>
  <c r="AB325" i="6"/>
  <c r="AB278" i="6"/>
  <c r="AB324" i="6"/>
  <c r="AB277" i="6"/>
  <c r="AB323" i="6"/>
  <c r="AB276" i="6"/>
  <c r="AB322" i="6"/>
  <c r="AB275" i="6"/>
  <c r="AB321" i="6"/>
  <c r="AB274" i="6"/>
  <c r="AB320" i="6"/>
  <c r="AB273" i="6"/>
  <c r="AB319" i="6"/>
  <c r="AB272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116" i="6"/>
  <c r="AB115" i="6"/>
  <c r="AB114" i="6"/>
  <c r="AB113" i="6"/>
  <c r="AB112" i="6"/>
  <c r="AB109" i="6"/>
  <c r="AB108" i="6"/>
  <c r="AB107" i="6"/>
  <c r="AB106" i="6"/>
  <c r="AB105" i="6"/>
  <c r="AB104" i="6"/>
  <c r="AB103" i="6"/>
  <c r="AB102" i="6"/>
  <c r="AB101" i="6"/>
  <c r="AB100" i="6"/>
  <c r="AB99" i="6"/>
  <c r="AB98" i="6"/>
  <c r="AB97" i="6"/>
  <c r="AB96" i="6"/>
  <c r="AB95" i="6"/>
  <c r="AB94" i="6"/>
  <c r="AB93" i="6"/>
  <c r="AB92" i="6"/>
  <c r="AB91" i="6"/>
  <c r="AB90" i="6"/>
  <c r="AB89" i="6"/>
  <c r="AB88" i="6"/>
  <c r="AB87" i="6"/>
  <c r="AB86" i="6"/>
  <c r="AB85" i="6"/>
  <c r="AB84" i="6"/>
  <c r="AB83" i="6"/>
  <c r="AB81" i="6"/>
  <c r="AB80" i="6"/>
  <c r="AB79" i="6"/>
  <c r="AB78" i="6"/>
  <c r="AB77" i="6"/>
  <c r="AB76" i="6"/>
  <c r="AB75" i="6"/>
  <c r="AB74" i="6"/>
  <c r="AB73" i="6"/>
  <c r="AB72" i="6"/>
  <c r="AB71" i="6"/>
  <c r="AB70" i="6"/>
  <c r="AB69" i="6"/>
  <c r="AB68" i="6"/>
  <c r="AB67" i="6"/>
  <c r="AB66" i="6"/>
  <c r="AB65" i="6"/>
  <c r="AB64" i="6"/>
  <c r="AA63" i="6"/>
  <c r="AC63" i="6"/>
  <c r="AB63" i="6"/>
  <c r="Z63" i="6"/>
  <c r="AB62" i="6"/>
  <c r="AB61" i="6"/>
  <c r="AB60" i="6"/>
  <c r="AB59" i="6"/>
  <c r="AB58" i="6"/>
  <c r="AB57" i="6"/>
  <c r="AB56" i="6"/>
  <c r="AB55" i="6"/>
  <c r="AB54" i="6"/>
  <c r="AB53" i="6"/>
  <c r="AB52" i="6"/>
  <c r="AB51" i="6"/>
  <c r="AB50" i="6"/>
  <c r="AB49" i="6"/>
  <c r="AB48" i="6"/>
  <c r="AB47" i="6"/>
  <c r="AB46" i="6"/>
  <c r="AB45" i="6"/>
  <c r="AB44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AB13" i="6"/>
  <c r="AB12" i="6"/>
  <c r="AB11" i="6"/>
  <c r="AB10" i="6"/>
  <c r="AB9" i="6"/>
  <c r="AB8" i="6"/>
  <c r="AB7" i="6"/>
  <c r="AA6" i="6"/>
  <c r="AC6" i="6"/>
  <c r="AB6" i="6"/>
  <c r="Z6" i="6"/>
  <c r="AB295" i="6"/>
  <c r="AB294" i="6"/>
  <c r="AB293" i="6"/>
  <c r="AB292" i="6"/>
  <c r="AB291" i="6"/>
  <c r="AB290" i="6"/>
  <c r="AB289" i="6"/>
  <c r="AB212" i="6"/>
  <c r="AB288" i="6"/>
  <c r="AB317" i="6"/>
  <c r="AB268" i="6"/>
  <c r="AB246" i="6"/>
  <c r="AB267" i="6"/>
  <c r="AB266" i="6"/>
  <c r="AB231" i="6"/>
  <c r="AB221" i="6"/>
  <c r="AB220" i="6"/>
  <c r="AB219" i="6"/>
  <c r="AB263" i="6"/>
  <c r="AB262" i="6"/>
  <c r="AB260" i="6"/>
  <c r="AB250" i="6"/>
  <c r="AB249" i="6"/>
  <c r="AB206" i="6"/>
  <c r="AB205" i="6"/>
  <c r="AB248" i="6"/>
  <c r="AB247" i="6"/>
  <c r="AB210" i="6"/>
  <c r="AB209" i="6"/>
  <c r="AB207" i="6"/>
  <c r="AB204" i="6"/>
  <c r="AB203" i="6"/>
  <c r="AB201" i="6"/>
  <c r="AB200" i="6"/>
  <c r="AB199" i="6"/>
  <c r="AB198" i="6"/>
  <c r="AB197" i="6"/>
  <c r="AB196" i="6"/>
  <c r="AB195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2" i="6"/>
  <c r="AB160" i="6"/>
  <c r="AB159" i="6"/>
  <c r="AB158" i="6"/>
  <c r="AB157" i="6"/>
  <c r="AB156" i="6"/>
  <c r="AB155" i="6"/>
  <c r="AB154" i="6"/>
  <c r="AB153" i="6"/>
  <c r="AB152" i="6"/>
  <c r="AB151" i="6"/>
  <c r="AB150" i="6"/>
  <c r="AB141" i="6"/>
  <c r="AB140" i="6"/>
  <c r="AB139" i="6"/>
  <c r="AB138" i="6"/>
  <c r="AB137" i="6"/>
  <c r="AB136" i="6"/>
  <c r="AB135" i="6"/>
  <c r="AB134" i="6"/>
  <c r="AB133" i="6"/>
  <c r="AB132" i="6"/>
  <c r="AB130" i="6"/>
  <c r="AB129" i="6"/>
  <c r="AB128" i="6"/>
  <c r="AB126" i="6"/>
  <c r="AB124" i="6"/>
  <c r="AB123" i="6"/>
  <c r="AB122" i="6"/>
  <c r="AB121" i="6"/>
  <c r="AB120" i="6"/>
  <c r="AB119" i="6"/>
  <c r="AB118" i="6"/>
  <c r="AB117" i="6"/>
  <c r="AA630" i="6"/>
  <c r="Z630" i="6"/>
  <c r="C630" i="6"/>
  <c r="B631" i="6"/>
  <c r="AB125" i="6"/>
  <c r="B3" i="7"/>
  <c r="C3" i="7"/>
  <c r="C2" i="7"/>
  <c r="D3" i="7"/>
  <c r="E3" i="7"/>
  <c r="E2" i="7"/>
  <c r="B2" i="7"/>
  <c r="D13" i="13"/>
  <c r="C13" i="13"/>
  <c r="A13" i="13"/>
  <c r="B13" i="13"/>
  <c r="C1" i="13"/>
  <c r="C2" i="13"/>
  <c r="D1" i="13"/>
  <c r="D2" i="13"/>
  <c r="AB630" i="6"/>
  <c r="C15" i="13"/>
  <c r="C16" i="13"/>
  <c r="C17" i="13"/>
  <c r="C18" i="13"/>
  <c r="B14" i="13"/>
  <c r="B15" i="13"/>
  <c r="B16" i="13"/>
  <c r="B17" i="13"/>
  <c r="B18" i="13"/>
  <c r="CC3" i="8"/>
  <c r="CC2" i="8"/>
  <c r="C14" i="13"/>
  <c r="F3" i="7"/>
  <c r="F2" i="7"/>
  <c r="G3" i="7"/>
  <c r="G2" i="7"/>
  <c r="H3" i="7"/>
  <c r="H2" i="7"/>
  <c r="I2" i="7"/>
  <c r="Z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N3" i="7"/>
  <c r="AN2" i="7"/>
  <c r="AO3" i="7"/>
  <c r="AO2" i="7"/>
  <c r="AP3" i="7"/>
  <c r="AP2" i="7"/>
  <c r="AQ3" i="7"/>
  <c r="AQ2" i="7"/>
  <c r="AR3" i="7"/>
  <c r="AR2" i="7"/>
  <c r="AS3" i="7"/>
  <c r="AS2" i="7"/>
  <c r="AT3" i="7"/>
  <c r="AT2" i="7"/>
  <c r="AU3" i="7"/>
  <c r="AU2" i="7"/>
  <c r="AV3" i="7"/>
  <c r="AV2" i="7"/>
  <c r="AW3" i="7"/>
  <c r="AW2" i="7"/>
  <c r="AY3" i="7"/>
  <c r="AY2" i="7"/>
  <c r="AZ3" i="7"/>
  <c r="AZ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5" i="6"/>
  <c r="AA5" i="6"/>
  <c r="AC5" i="6"/>
  <c r="Z5" i="6"/>
  <c r="C4" i="6"/>
  <c r="AA4" i="6"/>
  <c r="Z4" i="6"/>
  <c r="C3" i="6"/>
  <c r="AA3" i="6"/>
  <c r="AC3" i="6"/>
  <c r="Z3" i="6"/>
  <c r="D7" i="1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222" i="15"/>
  <c r="AA2" i="7"/>
  <c r="AB2" i="7"/>
  <c r="CG3" i="7"/>
  <c r="CG2" i="7"/>
  <c r="CF3" i="7"/>
  <c r="CF2" i="7"/>
  <c r="AB5" i="6"/>
  <c r="AB4" i="6"/>
  <c r="AB3" i="6"/>
  <c r="AA2" i="6"/>
  <c r="AC2" i="6"/>
  <c r="AB2" i="6"/>
  <c r="Z2" i="6"/>
  <c r="B11" i="1"/>
  <c r="B10" i="1"/>
  <c r="B9" i="1"/>
  <c r="S1" i="8"/>
  <c r="AC239" i="6"/>
  <c r="B2" i="8"/>
  <c r="S2" i="8"/>
  <c r="T3" i="8"/>
  <c r="T2" i="8"/>
  <c r="AC621" i="6"/>
  <c r="BE3" i="8"/>
  <c r="BE2" i="8"/>
  <c r="P2" i="7"/>
  <c r="D2" i="7"/>
  <c r="B255" i="6"/>
  <c r="B202" i="6"/>
  <c r="B193" i="6"/>
  <c r="B144" i="6"/>
  <c r="B590" i="6"/>
  <c r="B153" i="6"/>
  <c r="B216" i="6"/>
  <c r="B177" i="6"/>
  <c r="B185" i="6"/>
  <c r="B198" i="6"/>
  <c r="B303" i="6"/>
  <c r="B311" i="6"/>
  <c r="B274" i="6"/>
  <c r="B278" i="6"/>
  <c r="B282" i="6"/>
  <c r="B337" i="6"/>
  <c r="B345" i="6"/>
  <c r="B353" i="6"/>
  <c r="B361" i="6"/>
  <c r="B369" i="6"/>
  <c r="B377" i="6"/>
  <c r="B385" i="6"/>
  <c r="B396" i="6"/>
  <c r="B404" i="6"/>
  <c r="B412" i="6"/>
  <c r="B420" i="6"/>
  <c r="B429" i="6"/>
  <c r="B437" i="6"/>
  <c r="B445" i="6"/>
  <c r="B453" i="6"/>
  <c r="B461" i="6"/>
  <c r="B469" i="6"/>
  <c r="B477" i="6"/>
  <c r="B485" i="6"/>
  <c r="B493" i="6"/>
  <c r="B506" i="6"/>
  <c r="B514" i="6"/>
  <c r="B525" i="6"/>
  <c r="B533" i="6"/>
  <c r="B541" i="6"/>
  <c r="B549" i="6"/>
  <c r="B557" i="6"/>
  <c r="B565" i="6"/>
  <c r="B573" i="6"/>
  <c r="B581" i="6"/>
  <c r="B589" i="6"/>
  <c r="B600" i="6"/>
  <c r="B610" i="6"/>
  <c r="B90" i="6"/>
  <c r="B98" i="6"/>
  <c r="B106" i="6"/>
  <c r="B116" i="6"/>
  <c r="B124" i="6"/>
  <c r="B210" i="6"/>
  <c r="B129" i="6"/>
  <c r="B139" i="6"/>
  <c r="B159" i="6"/>
  <c r="B169" i="6"/>
  <c r="B517" i="6"/>
  <c r="Z127" i="6"/>
  <c r="B4" i="6"/>
  <c r="B135" i="6"/>
  <c r="B155" i="6"/>
  <c r="B165" i="6"/>
  <c r="B173" i="6"/>
  <c r="B181" i="6"/>
  <c r="B189" i="6"/>
  <c r="B203" i="6"/>
  <c r="B341" i="6"/>
  <c r="B349" i="6"/>
  <c r="B357" i="6"/>
  <c r="B365" i="6"/>
  <c r="B373" i="6"/>
  <c r="B381" i="6"/>
  <c r="B389" i="6"/>
  <c r="B400" i="6"/>
  <c r="B408" i="6"/>
  <c r="B416" i="6"/>
  <c r="B424" i="6"/>
  <c r="B433" i="6"/>
  <c r="B441" i="6"/>
  <c r="B449" i="6"/>
  <c r="B457" i="6"/>
  <c r="B465" i="6"/>
  <c r="B473" i="6"/>
  <c r="B481" i="6"/>
  <c r="B489" i="6"/>
  <c r="B500" i="6"/>
  <c r="B510" i="6"/>
  <c r="B521" i="6"/>
  <c r="B529" i="6"/>
  <c r="B537" i="6"/>
  <c r="B545" i="6"/>
  <c r="B553" i="6"/>
  <c r="B561" i="6"/>
  <c r="B569" i="6"/>
  <c r="B577" i="6"/>
  <c r="B585" i="6"/>
  <c r="B596" i="6"/>
  <c r="B605" i="6"/>
  <c r="B614" i="6"/>
  <c r="B624" i="6"/>
  <c r="B151" i="6"/>
  <c r="AB2" i="8"/>
  <c r="B111" i="6"/>
  <c r="AC165" i="6"/>
  <c r="B11" i="6"/>
  <c r="B19" i="6"/>
  <c r="B27" i="6"/>
  <c r="B628" i="6"/>
  <c r="B13" i="6"/>
  <c r="B21" i="6"/>
  <c r="B29" i="6"/>
  <c r="B37" i="6"/>
  <c r="B45" i="6"/>
  <c r="B53" i="6"/>
  <c r="B61" i="6"/>
  <c r="B70" i="6"/>
  <c r="B78" i="6"/>
  <c r="B249" i="6"/>
  <c r="B246" i="6"/>
  <c r="B292" i="6"/>
  <c r="B570" i="6"/>
  <c r="B578" i="6"/>
  <c r="B586" i="6"/>
  <c r="B597" i="6"/>
  <c r="B606" i="6"/>
  <c r="B615" i="6"/>
  <c r="B299" i="6"/>
  <c r="B307" i="6"/>
  <c r="B272" i="6"/>
  <c r="B276" i="6"/>
  <c r="B280" i="6"/>
  <c r="B284" i="6"/>
  <c r="B261" i="6"/>
  <c r="B227" i="6"/>
  <c r="B223" i="6"/>
  <c r="B87" i="6"/>
  <c r="B95" i="6"/>
  <c r="B103" i="6"/>
  <c r="B113" i="6"/>
  <c r="B121" i="6"/>
  <c r="B625" i="6"/>
  <c r="B9" i="6"/>
  <c r="B17" i="6"/>
  <c r="B25" i="6"/>
  <c r="B33" i="6"/>
  <c r="B41" i="6"/>
  <c r="B49" i="6"/>
  <c r="B57" i="6"/>
  <c r="B74" i="6"/>
  <c r="B83" i="6"/>
  <c r="B91" i="6"/>
  <c r="B99" i="6"/>
  <c r="B107" i="6"/>
  <c r="B117" i="6"/>
  <c r="B125" i="6"/>
  <c r="AC622" i="6"/>
  <c r="B71" i="6"/>
  <c r="B79" i="6"/>
  <c r="B88" i="6"/>
  <c r="B96" i="6"/>
  <c r="B104" i="6"/>
  <c r="B114" i="6"/>
  <c r="B122" i="6"/>
  <c r="B35" i="6"/>
  <c r="B43" i="6"/>
  <c r="B51" i="6"/>
  <c r="B59" i="6"/>
  <c r="B76" i="6"/>
  <c r="B85" i="6"/>
  <c r="B93" i="6"/>
  <c r="B101" i="6"/>
  <c r="B109" i="6"/>
  <c r="B119" i="6"/>
  <c r="AC280" i="6"/>
  <c r="B179" i="6"/>
  <c r="B187" i="6"/>
  <c r="B200" i="6"/>
  <c r="B248" i="6"/>
  <c r="B297" i="6"/>
  <c r="B305" i="6"/>
  <c r="B313" i="6"/>
  <c r="B275" i="6"/>
  <c r="B279" i="6"/>
  <c r="B283" i="6"/>
  <c r="B339" i="6"/>
  <c r="B347" i="6"/>
  <c r="B355" i="6"/>
  <c r="B363" i="6"/>
  <c r="B371" i="6"/>
  <c r="B379" i="6"/>
  <c r="B387" i="6"/>
  <c r="B398" i="6"/>
  <c r="B406" i="6"/>
  <c r="B414" i="6"/>
  <c r="B422" i="6"/>
  <c r="B431" i="6"/>
  <c r="B439" i="6"/>
  <c r="B447" i="6"/>
  <c r="B455" i="6"/>
  <c r="B463" i="6"/>
  <c r="B471" i="6"/>
  <c r="B479" i="6"/>
  <c r="B487" i="6"/>
  <c r="B495" i="6"/>
  <c r="B508" i="6"/>
  <c r="B519" i="6"/>
  <c r="B527" i="6"/>
  <c r="B535" i="6"/>
  <c r="B543" i="6"/>
  <c r="B551" i="6"/>
  <c r="B559" i="6"/>
  <c r="B567" i="6"/>
  <c r="B575" i="6"/>
  <c r="B583" i="6"/>
  <c r="B594" i="6"/>
  <c r="B603" i="6"/>
  <c r="B612" i="6"/>
  <c r="AC276" i="6"/>
  <c r="B225" i="6"/>
  <c r="B317" i="6"/>
  <c r="B294" i="6"/>
  <c r="B609" i="6"/>
  <c r="B618" i="6"/>
  <c r="B235" i="6"/>
  <c r="B67" i="6"/>
  <c r="B75" i="6"/>
  <c r="B84" i="6"/>
  <c r="B92" i="6"/>
  <c r="B100" i="6"/>
  <c r="B108" i="6"/>
  <c r="B118" i="6"/>
  <c r="B263" i="6"/>
  <c r="B230" i="6"/>
  <c r="B212" i="6"/>
  <c r="B574" i="6"/>
  <c r="B582" i="6"/>
  <c r="B593" i="6"/>
  <c r="B602" i="6"/>
  <c r="B611" i="6"/>
  <c r="B607" i="6"/>
  <c r="B333" i="6"/>
  <c r="B623" i="6"/>
  <c r="B498" i="6"/>
  <c r="B150" i="6"/>
  <c r="B630" i="6"/>
  <c r="B7" i="6"/>
  <c r="B15" i="6"/>
  <c r="B23" i="6"/>
  <c r="B31" i="6"/>
  <c r="B39" i="6"/>
  <c r="B47" i="6"/>
  <c r="B55" i="6"/>
  <c r="B64" i="6"/>
  <c r="B72" i="6"/>
  <c r="B89" i="6"/>
  <c r="B97" i="6"/>
  <c r="B105" i="6"/>
  <c r="B115" i="6"/>
  <c r="B123" i="6"/>
  <c r="B183" i="6"/>
  <c r="B196" i="6"/>
  <c r="B301" i="6"/>
  <c r="B309" i="6"/>
  <c r="B273" i="6"/>
  <c r="B277" i="6"/>
  <c r="B281" i="6"/>
  <c r="B335" i="6"/>
  <c r="B343" i="6"/>
  <c r="B351" i="6"/>
  <c r="B359" i="6"/>
  <c r="B367" i="6"/>
  <c r="B375" i="6"/>
  <c r="B383" i="6"/>
  <c r="B391" i="6"/>
  <c r="B402" i="6"/>
  <c r="B410" i="6"/>
  <c r="B418" i="6"/>
  <c r="B426" i="6"/>
  <c r="B435" i="6"/>
  <c r="B443" i="6"/>
  <c r="B451" i="6"/>
  <c r="B459" i="6"/>
  <c r="B467" i="6"/>
  <c r="B475" i="6"/>
  <c r="B483" i="6"/>
  <c r="B491" i="6"/>
  <c r="B502" i="6"/>
  <c r="B512" i="6"/>
  <c r="B523" i="6"/>
  <c r="B531" i="6"/>
  <c r="B539" i="6"/>
  <c r="B547" i="6"/>
  <c r="B555" i="6"/>
  <c r="B563" i="6"/>
  <c r="B571" i="6"/>
  <c r="B579" i="6"/>
  <c r="B587" i="6"/>
  <c r="B598" i="6"/>
  <c r="B608" i="6"/>
  <c r="B616" i="6"/>
  <c r="B256" i="6"/>
  <c r="B237" i="6"/>
  <c r="B86" i="6"/>
  <c r="B94" i="6"/>
  <c r="B102" i="6"/>
  <c r="B112" i="6"/>
  <c r="B120" i="6"/>
  <c r="B266" i="6"/>
  <c r="B290" i="6"/>
  <c r="B604" i="6"/>
  <c r="B613" i="6"/>
  <c r="B234" i="6"/>
  <c r="B497" i="6"/>
  <c r="B257" i="6"/>
  <c r="B190" i="6"/>
  <c r="B145" i="6"/>
  <c r="B147" i="6"/>
  <c r="B148" i="6"/>
  <c r="B152" i="6"/>
  <c r="B591" i="6"/>
  <c r="B619" i="6"/>
  <c r="B130" i="6"/>
  <c r="B242" i="6"/>
  <c r="B137" i="6"/>
  <c r="B157" i="6"/>
  <c r="B167" i="6"/>
  <c r="B175" i="6"/>
  <c r="AC135" i="6"/>
  <c r="B127" i="6"/>
  <c r="B133" i="6"/>
  <c r="B141" i="6"/>
  <c r="B162" i="6"/>
  <c r="B171" i="6"/>
  <c r="AC129" i="6"/>
  <c r="AH2" i="8"/>
  <c r="AK3" i="8"/>
  <c r="AG3" i="8"/>
  <c r="Z2" i="8"/>
  <c r="AC151" i="6"/>
  <c r="AC3" i="8"/>
  <c r="AC2" i="8"/>
  <c r="AC420" i="6"/>
  <c r="AC272" i="6"/>
  <c r="AC373" i="6"/>
  <c r="AC473" i="6"/>
  <c r="AC545" i="6"/>
  <c r="AC294" i="6"/>
  <c r="AC307" i="6"/>
  <c r="AC365" i="6"/>
  <c r="AC424" i="6"/>
  <c r="AC465" i="6"/>
  <c r="AC537" i="6"/>
  <c r="AC609" i="6"/>
  <c r="AC153" i="6"/>
  <c r="AC203" i="6"/>
  <c r="AC317" i="6"/>
  <c r="AC299" i="6"/>
  <c r="AC357" i="6"/>
  <c r="AC457" i="6"/>
  <c r="AC529" i="6"/>
  <c r="AC596" i="6"/>
  <c r="AC614" i="6"/>
  <c r="AC449" i="6"/>
  <c r="AC124" i="6"/>
  <c r="AC189" i="6"/>
  <c r="AC349" i="6"/>
  <c r="AC416" i="6"/>
  <c r="AC521" i="6"/>
  <c r="AC585" i="6"/>
  <c r="AC181" i="6"/>
  <c r="AC341" i="6"/>
  <c r="AC408" i="6"/>
  <c r="AC441" i="6"/>
  <c r="AC510" i="6"/>
  <c r="AC577" i="6"/>
  <c r="AC173" i="6"/>
  <c r="AC284" i="6"/>
  <c r="AC400" i="6"/>
  <c r="AC433" i="6"/>
  <c r="AC500" i="6"/>
  <c r="AC569" i="6"/>
  <c r="AC605" i="6"/>
  <c r="AC567" i="6"/>
  <c r="AC355" i="6"/>
  <c r="AC439" i="6"/>
  <c r="AC187" i="6"/>
  <c r="AC387" i="6"/>
  <c r="AC471" i="6"/>
  <c r="AC549" i="6"/>
  <c r="AC353" i="6"/>
  <c r="AC477" i="6"/>
  <c r="AC130" i="6"/>
  <c r="AC198" i="6"/>
  <c r="AC109" i="6"/>
  <c r="AC495" i="6"/>
  <c r="AC612" i="6"/>
  <c r="AC179" i="6"/>
  <c r="AC379" i="6"/>
  <c r="AC414" i="6"/>
  <c r="AC463" i="6"/>
  <c r="AC133" i="6"/>
  <c r="AC297" i="6"/>
  <c r="AC127" i="6"/>
  <c r="AC431" i="6"/>
  <c r="AC559" i="6"/>
  <c r="AC594" i="6"/>
  <c r="AC248" i="6"/>
  <c r="AC76" i="6"/>
  <c r="AC275" i="6"/>
  <c r="AC347" i="6"/>
  <c r="AC487" i="6"/>
  <c r="AC527" i="6"/>
  <c r="AC279" i="6"/>
  <c r="AC535" i="6"/>
  <c r="AC171" i="6"/>
  <c r="AC371" i="6"/>
  <c r="AC406" i="6"/>
  <c r="AC455" i="6"/>
  <c r="AC551" i="6"/>
  <c r="AC583" i="6"/>
  <c r="AC200" i="6"/>
  <c r="AC313" i="6"/>
  <c r="AC339" i="6"/>
  <c r="AC479" i="6"/>
  <c r="AC519" i="6"/>
  <c r="AC603" i="6"/>
  <c r="AC162" i="6"/>
  <c r="AC363" i="6"/>
  <c r="AC398" i="6"/>
  <c r="AC447" i="6"/>
  <c r="AC575" i="6"/>
  <c r="AC141" i="6"/>
  <c r="AC305" i="6"/>
  <c r="AC283" i="6"/>
  <c r="AC422" i="6"/>
  <c r="AC508" i="6"/>
  <c r="AC543" i="6"/>
  <c r="AC155" i="6"/>
  <c r="AC119" i="6"/>
  <c r="AC113" i="6"/>
  <c r="AC234" i="6"/>
  <c r="AC61" i="6"/>
  <c r="AC74" i="6"/>
  <c r="AC121" i="6"/>
  <c r="AC53" i="6"/>
  <c r="AC101" i="6"/>
  <c r="AC37" i="6"/>
  <c r="AC59" i="6"/>
  <c r="AC21" i="6"/>
  <c r="AC85" i="6"/>
  <c r="AC256" i="6"/>
  <c r="AC31" i="6"/>
  <c r="AC64" i="6"/>
  <c r="AC93" i="6"/>
  <c r="AC611" i="6"/>
  <c r="AC92" i="6"/>
  <c r="AC574" i="6"/>
  <c r="AC620" i="6"/>
  <c r="B285" i="6"/>
  <c r="AC602" i="6"/>
  <c r="AC593" i="6"/>
  <c r="AC582" i="6"/>
  <c r="AC169" i="6"/>
  <c r="AC49" i="6"/>
  <c r="AC107" i="6"/>
  <c r="AC282" i="6"/>
  <c r="AC396" i="6"/>
  <c r="AC453" i="6"/>
  <c r="AC525" i="6"/>
  <c r="B626" i="6"/>
  <c r="AC41" i="6"/>
  <c r="AC311" i="6"/>
  <c r="AC369" i="6"/>
  <c r="AC429" i="6"/>
  <c r="AC493" i="6"/>
  <c r="AC565" i="6"/>
  <c r="AC610" i="6"/>
  <c r="B226" i="6"/>
  <c r="AC185" i="6"/>
  <c r="AC345" i="6"/>
  <c r="AC412" i="6"/>
  <c r="AC469" i="6"/>
  <c r="AC541" i="6"/>
  <c r="AC581" i="6"/>
  <c r="AC600" i="6"/>
  <c r="BA3" i="8"/>
  <c r="BB3" i="8"/>
  <c r="BB2" i="8"/>
  <c r="AT2" i="8"/>
  <c r="AC159" i="6"/>
  <c r="AC278" i="6"/>
  <c r="AC385" i="6"/>
  <c r="AC445" i="6"/>
  <c r="AC514" i="6"/>
  <c r="B627" i="6"/>
  <c r="AC4" i="6"/>
  <c r="AC177" i="6"/>
  <c r="AC337" i="6"/>
  <c r="AC404" i="6"/>
  <c r="AC461" i="6"/>
  <c r="AC533" i="6"/>
  <c r="AC210" i="6"/>
  <c r="AC303" i="6"/>
  <c r="AC361" i="6"/>
  <c r="AC485" i="6"/>
  <c r="AC557" i="6"/>
  <c r="AC125" i="6"/>
  <c r="AC117" i="6"/>
  <c r="AC139" i="6"/>
  <c r="AC57" i="6"/>
  <c r="AC274" i="6"/>
  <c r="AC377" i="6"/>
  <c r="AC437" i="6"/>
  <c r="AC506" i="6"/>
  <c r="AC573" i="6"/>
  <c r="AC589" i="6"/>
  <c r="AC271" i="6"/>
  <c r="AC86" i="6"/>
  <c r="AC102" i="6"/>
  <c r="AC148" i="6"/>
  <c r="B241" i="6"/>
  <c r="B617" i="6"/>
  <c r="B143" i="6"/>
  <c r="AC290" i="6"/>
  <c r="AC220" i="6"/>
  <c r="AC25" i="6"/>
  <c r="AC90" i="6"/>
  <c r="AC106" i="6"/>
  <c r="AC237" i="6"/>
  <c r="AS3" i="8"/>
  <c r="AS2" i="8"/>
  <c r="AC630" i="6"/>
  <c r="AC266" i="6"/>
  <c r="AC94" i="6"/>
  <c r="AC112" i="6"/>
  <c r="AC498" i="6"/>
  <c r="BW2" i="8"/>
  <c r="AC98" i="6"/>
  <c r="AC116" i="6"/>
  <c r="AC591" i="6"/>
  <c r="AC246" i="6"/>
  <c r="AC88" i="6"/>
  <c r="AC114" i="6"/>
  <c r="AC606" i="6"/>
  <c r="B251" i="6"/>
  <c r="AC147" i="6"/>
  <c r="AC249" i="6"/>
  <c r="AC9" i="6"/>
  <c r="AC597" i="6"/>
  <c r="AC615" i="6"/>
  <c r="AC122" i="6"/>
  <c r="B629" i="6"/>
  <c r="AC79" i="6"/>
  <c r="B191" i="6"/>
  <c r="AC96" i="6"/>
  <c r="AC578" i="6"/>
  <c r="AC628" i="6"/>
  <c r="AC216" i="6"/>
  <c r="AC260" i="6"/>
  <c r="AC292" i="6"/>
  <c r="AC104" i="6"/>
  <c r="AC586" i="6"/>
  <c r="B315" i="6"/>
  <c r="AU2" i="8"/>
  <c r="B192" i="6"/>
  <c r="B392" i="6"/>
  <c r="AC7" i="6"/>
  <c r="AC13" i="6"/>
  <c r="AC70" i="6"/>
  <c r="AC301" i="6"/>
  <c r="AC273" i="6"/>
  <c r="AC281" i="6"/>
  <c r="AC343" i="6"/>
  <c r="AC359" i="6"/>
  <c r="AC375" i="6"/>
  <c r="AC391" i="6"/>
  <c r="AC410" i="6"/>
  <c r="AC426" i="6"/>
  <c r="AC435" i="6"/>
  <c r="AC451" i="6"/>
  <c r="AC467" i="6"/>
  <c r="AC483" i="6"/>
  <c r="AC502" i="6"/>
  <c r="AC523" i="6"/>
  <c r="AC539" i="6"/>
  <c r="AC555" i="6"/>
  <c r="AC571" i="6"/>
  <c r="AC607" i="6"/>
  <c r="B208" i="6"/>
  <c r="AC235" i="6"/>
  <c r="AX3" i="8"/>
  <c r="AY3" i="8"/>
  <c r="AY2" i="8"/>
  <c r="AC145" i="6"/>
  <c r="AC137" i="6"/>
  <c r="AC47" i="6"/>
  <c r="AC623" i="6"/>
  <c r="B287" i="6"/>
  <c r="AC242" i="6"/>
  <c r="B515" i="6"/>
  <c r="BP2" i="8"/>
  <c r="B258" i="6"/>
  <c r="AC202" i="6"/>
  <c r="AC167" i="6"/>
  <c r="AC183" i="6"/>
  <c r="AC207" i="6"/>
  <c r="AC17" i="6"/>
  <c r="AC23" i="6"/>
  <c r="AC29" i="6"/>
  <c r="AC105" i="6"/>
  <c r="AC579" i="6"/>
  <c r="B215" i="6"/>
  <c r="B194" i="6"/>
  <c r="B3" i="6"/>
  <c r="B5" i="6"/>
  <c r="AC115" i="6"/>
  <c r="AC236" i="6"/>
  <c r="AC33" i="6"/>
  <c r="AC39" i="6"/>
  <c r="AC45" i="6"/>
  <c r="AC78" i="6"/>
  <c r="AC309" i="6"/>
  <c r="AC277" i="6"/>
  <c r="AC335" i="6"/>
  <c r="AC351" i="6"/>
  <c r="AC367" i="6"/>
  <c r="AC383" i="6"/>
  <c r="AC402" i="6"/>
  <c r="AC418" i="6"/>
  <c r="AC443" i="6"/>
  <c r="AC459" i="6"/>
  <c r="AC475" i="6"/>
  <c r="AC491" i="6"/>
  <c r="AC512" i="6"/>
  <c r="AC531" i="6"/>
  <c r="AC547" i="6"/>
  <c r="AC563" i="6"/>
  <c r="AC587" i="6"/>
  <c r="AC608" i="6"/>
  <c r="AC616" i="6"/>
  <c r="AC590" i="6"/>
  <c r="AC316" i="6"/>
  <c r="B516" i="6"/>
  <c r="AC255" i="6"/>
  <c r="AC190" i="6"/>
  <c r="AC193" i="6"/>
  <c r="B142" i="6"/>
  <c r="AC157" i="6"/>
  <c r="AC175" i="6"/>
  <c r="AC196" i="6"/>
  <c r="AC15" i="6"/>
  <c r="AC72" i="6"/>
  <c r="AC89" i="6"/>
  <c r="CA3" i="8"/>
  <c r="CA2" i="8"/>
  <c r="AC123" i="6"/>
  <c r="AC55" i="6"/>
  <c r="AC598" i="6"/>
  <c r="AC253" i="6"/>
  <c r="AC217" i="6"/>
  <c r="B163" i="6"/>
  <c r="AC144" i="6"/>
  <c r="B146" i="6"/>
  <c r="B18" i="6"/>
  <c r="AC18" i="6"/>
  <c r="B132" i="6"/>
  <c r="AC132" i="6"/>
  <c r="B247" i="6"/>
  <c r="AC247" i="6"/>
  <c r="AC296" i="6"/>
  <c r="B296" i="6"/>
  <c r="AC338" i="6"/>
  <c r="B338" i="6"/>
  <c r="AC386" i="6"/>
  <c r="B386" i="6"/>
  <c r="B446" i="6"/>
  <c r="AC446" i="6"/>
  <c r="B494" i="6"/>
  <c r="AC494" i="6"/>
  <c r="B558" i="6"/>
  <c r="AC558" i="6"/>
  <c r="B80" i="6"/>
  <c r="AC80" i="6"/>
  <c r="AC128" i="6"/>
  <c r="B128" i="6"/>
  <c r="AC250" i="6"/>
  <c r="B250" i="6"/>
  <c r="B268" i="6"/>
  <c r="AC268" i="6"/>
  <c r="B293" i="6"/>
  <c r="AC293" i="6"/>
  <c r="AC496" i="6"/>
  <c r="B496" i="6"/>
  <c r="AC212" i="6"/>
  <c r="B126" i="6"/>
  <c r="AC126" i="6"/>
  <c r="B178" i="6"/>
  <c r="AC178" i="6"/>
  <c r="AC346" i="6"/>
  <c r="B346" i="6"/>
  <c r="AC421" i="6"/>
  <c r="B421" i="6"/>
  <c r="B470" i="6"/>
  <c r="AC470" i="6"/>
  <c r="B534" i="6"/>
  <c r="AC534" i="6"/>
  <c r="B12" i="6"/>
  <c r="AC12" i="6"/>
  <c r="B20" i="6"/>
  <c r="AC20" i="6"/>
  <c r="B28" i="6"/>
  <c r="AC28" i="6"/>
  <c r="B36" i="6"/>
  <c r="AC36" i="6"/>
  <c r="B44" i="6"/>
  <c r="AC44" i="6"/>
  <c r="B52" i="6"/>
  <c r="AC52" i="6"/>
  <c r="B60" i="6"/>
  <c r="AC60" i="6"/>
  <c r="B134" i="6"/>
  <c r="AC134" i="6"/>
  <c r="B154" i="6"/>
  <c r="AC154" i="6"/>
  <c r="B164" i="6"/>
  <c r="AC164" i="6"/>
  <c r="B172" i="6"/>
  <c r="AC172" i="6"/>
  <c r="B180" i="6"/>
  <c r="AC180" i="6"/>
  <c r="B188" i="6"/>
  <c r="AC188" i="6"/>
  <c r="B201" i="6"/>
  <c r="AC201" i="6"/>
  <c r="B298" i="6"/>
  <c r="AC298" i="6"/>
  <c r="B306" i="6"/>
  <c r="AC306" i="6"/>
  <c r="B314" i="6"/>
  <c r="AC314" i="6"/>
  <c r="B322" i="6"/>
  <c r="AC322" i="6"/>
  <c r="B326" i="6"/>
  <c r="AC326" i="6"/>
  <c r="B330" i="6"/>
  <c r="AC330" i="6"/>
  <c r="B340" i="6"/>
  <c r="AC340" i="6"/>
  <c r="B348" i="6"/>
  <c r="AC348" i="6"/>
  <c r="B356" i="6"/>
  <c r="AC356" i="6"/>
  <c r="B364" i="6"/>
  <c r="AC364" i="6"/>
  <c r="B372" i="6"/>
  <c r="AC372" i="6"/>
  <c r="B380" i="6"/>
  <c r="AC380" i="6"/>
  <c r="B388" i="6"/>
  <c r="AC388" i="6"/>
  <c r="B399" i="6"/>
  <c r="AC399" i="6"/>
  <c r="B407" i="6"/>
  <c r="AC407" i="6"/>
  <c r="B415" i="6"/>
  <c r="AC415" i="6"/>
  <c r="B423" i="6"/>
  <c r="AC423" i="6"/>
  <c r="AC432" i="6"/>
  <c r="B432" i="6"/>
  <c r="AC440" i="6"/>
  <c r="B440" i="6"/>
  <c r="AC448" i="6"/>
  <c r="B448" i="6"/>
  <c r="AC456" i="6"/>
  <c r="B456" i="6"/>
  <c r="AC464" i="6"/>
  <c r="B464" i="6"/>
  <c r="AC472" i="6"/>
  <c r="B472" i="6"/>
  <c r="AC480" i="6"/>
  <c r="B480" i="6"/>
  <c r="AC488" i="6"/>
  <c r="B488" i="6"/>
  <c r="AC499" i="6"/>
  <c r="B499" i="6"/>
  <c r="AC509" i="6"/>
  <c r="B509" i="6"/>
  <c r="AC520" i="6"/>
  <c r="B520" i="6"/>
  <c r="AC528" i="6"/>
  <c r="B528" i="6"/>
  <c r="AC536" i="6"/>
  <c r="B536" i="6"/>
  <c r="AC544" i="6"/>
  <c r="B544" i="6"/>
  <c r="AC552" i="6"/>
  <c r="B552" i="6"/>
  <c r="AC560" i="6"/>
  <c r="B560" i="6"/>
  <c r="AC75" i="6"/>
  <c r="AC100" i="6"/>
  <c r="AC625" i="6"/>
  <c r="B26" i="6"/>
  <c r="AC26" i="6"/>
  <c r="B199" i="6"/>
  <c r="AC199" i="6"/>
  <c r="AC321" i="6"/>
  <c r="B321" i="6"/>
  <c r="AC362" i="6"/>
  <c r="B362" i="6"/>
  <c r="B438" i="6"/>
  <c r="AC438" i="6"/>
  <c r="B507" i="6"/>
  <c r="AC507" i="6"/>
  <c r="B526" i="6"/>
  <c r="AC526" i="6"/>
  <c r="B252" i="6"/>
  <c r="AC252" i="6"/>
  <c r="B262" i="6"/>
  <c r="AC262" i="6"/>
  <c r="B229" i="6"/>
  <c r="AC288" i="6"/>
  <c r="B288" i="6"/>
  <c r="AC295" i="6"/>
  <c r="B295" i="6"/>
  <c r="AC11" i="6"/>
  <c r="AC27" i="6"/>
  <c r="AC43" i="6"/>
  <c r="AC108" i="6"/>
  <c r="B34" i="6"/>
  <c r="AC34" i="6"/>
  <c r="B170" i="6"/>
  <c r="AC170" i="6"/>
  <c r="AC312" i="6"/>
  <c r="B312" i="6"/>
  <c r="AC354" i="6"/>
  <c r="B354" i="6"/>
  <c r="AC405" i="6"/>
  <c r="B405" i="6"/>
  <c r="B478" i="6"/>
  <c r="AC478" i="6"/>
  <c r="B542" i="6"/>
  <c r="AC542" i="6"/>
  <c r="B14" i="6"/>
  <c r="AC14" i="6"/>
  <c r="B22" i="6"/>
  <c r="AC22" i="6"/>
  <c r="B30" i="6"/>
  <c r="AC30" i="6"/>
  <c r="B38" i="6"/>
  <c r="AC38" i="6"/>
  <c r="B46" i="6"/>
  <c r="AC46" i="6"/>
  <c r="B54" i="6"/>
  <c r="AC54" i="6"/>
  <c r="B62" i="6"/>
  <c r="AC62" i="6"/>
  <c r="B136" i="6"/>
  <c r="AC136" i="6"/>
  <c r="B156" i="6"/>
  <c r="AC156" i="6"/>
  <c r="B166" i="6"/>
  <c r="AC166" i="6"/>
  <c r="B174" i="6"/>
  <c r="AC174" i="6"/>
  <c r="B182" i="6"/>
  <c r="AC182" i="6"/>
  <c r="B195" i="6"/>
  <c r="AC195" i="6"/>
  <c r="B204" i="6"/>
  <c r="AC204" i="6"/>
  <c r="AC300" i="6"/>
  <c r="B300" i="6"/>
  <c r="AC308" i="6"/>
  <c r="B308" i="6"/>
  <c r="AC319" i="6"/>
  <c r="B319" i="6"/>
  <c r="AC323" i="6"/>
  <c r="B323" i="6"/>
  <c r="AC327" i="6"/>
  <c r="B327" i="6"/>
  <c r="AC331" i="6"/>
  <c r="B331" i="6"/>
  <c r="AC342" i="6"/>
  <c r="B342" i="6"/>
  <c r="AC350" i="6"/>
  <c r="B350" i="6"/>
  <c r="AC358" i="6"/>
  <c r="B358" i="6"/>
  <c r="AC366" i="6"/>
  <c r="B366" i="6"/>
  <c r="AC374" i="6"/>
  <c r="B374" i="6"/>
  <c r="AC382" i="6"/>
  <c r="B382" i="6"/>
  <c r="AC390" i="6"/>
  <c r="B390" i="6"/>
  <c r="AC401" i="6"/>
  <c r="B401" i="6"/>
  <c r="AC409" i="6"/>
  <c r="B409" i="6"/>
  <c r="AC417" i="6"/>
  <c r="B417" i="6"/>
  <c r="AC425" i="6"/>
  <c r="B425" i="6"/>
  <c r="B434" i="6"/>
  <c r="AC434" i="6"/>
  <c r="B442" i="6"/>
  <c r="AC442" i="6"/>
  <c r="B450" i="6"/>
  <c r="AC450" i="6"/>
  <c r="B458" i="6"/>
  <c r="AC458" i="6"/>
  <c r="B466" i="6"/>
  <c r="AC466" i="6"/>
  <c r="B474" i="6"/>
  <c r="AC474" i="6"/>
  <c r="B482" i="6"/>
  <c r="AC482" i="6"/>
  <c r="B490" i="6"/>
  <c r="AC490" i="6"/>
  <c r="B501" i="6"/>
  <c r="AC501" i="6"/>
  <c r="B511" i="6"/>
  <c r="AC511" i="6"/>
  <c r="B522" i="6"/>
  <c r="AC522" i="6"/>
  <c r="B530" i="6"/>
  <c r="AC530" i="6"/>
  <c r="B538" i="6"/>
  <c r="AC538" i="6"/>
  <c r="B546" i="6"/>
  <c r="AC546" i="6"/>
  <c r="B554" i="6"/>
  <c r="AC554" i="6"/>
  <c r="B562" i="6"/>
  <c r="AC562" i="6"/>
  <c r="AE2" i="8"/>
  <c r="AC118" i="6"/>
  <c r="AC233" i="6"/>
  <c r="B42" i="6"/>
  <c r="AC42" i="6"/>
  <c r="B140" i="6"/>
  <c r="AC140" i="6"/>
  <c r="B186" i="6"/>
  <c r="AC186" i="6"/>
  <c r="AC325" i="6"/>
  <c r="B325" i="6"/>
  <c r="AC370" i="6"/>
  <c r="B370" i="6"/>
  <c r="B430" i="6"/>
  <c r="AC430" i="6"/>
  <c r="B462" i="6"/>
  <c r="AC462" i="6"/>
  <c r="B518" i="6"/>
  <c r="AC518" i="6"/>
  <c r="B68" i="6"/>
  <c r="AC68" i="6"/>
  <c r="B219" i="6"/>
  <c r="AC219" i="6"/>
  <c r="B231" i="6"/>
  <c r="AC231" i="6"/>
  <c r="B289" i="6"/>
  <c r="AC289" i="6"/>
  <c r="B332" i="6"/>
  <c r="AC332" i="6"/>
  <c r="B10" i="6"/>
  <c r="AC10" i="6"/>
  <c r="B50" i="6"/>
  <c r="AC50" i="6"/>
  <c r="AC304" i="6"/>
  <c r="B304" i="6"/>
  <c r="AC378" i="6"/>
  <c r="B378" i="6"/>
  <c r="AC413" i="6"/>
  <c r="B413" i="6"/>
  <c r="B486" i="6"/>
  <c r="AC486" i="6"/>
  <c r="B566" i="6"/>
  <c r="AC566" i="6"/>
  <c r="B8" i="6"/>
  <c r="AC8" i="6"/>
  <c r="B16" i="6"/>
  <c r="AC16" i="6"/>
  <c r="B24" i="6"/>
  <c r="AC24" i="6"/>
  <c r="B32" i="6"/>
  <c r="AC32" i="6"/>
  <c r="B40" i="6"/>
  <c r="AC40" i="6"/>
  <c r="B48" i="6"/>
  <c r="AC48" i="6"/>
  <c r="B56" i="6"/>
  <c r="AC56" i="6"/>
  <c r="B138" i="6"/>
  <c r="AC138" i="6"/>
  <c r="B158" i="6"/>
  <c r="AC158" i="6"/>
  <c r="B168" i="6"/>
  <c r="AC168" i="6"/>
  <c r="B176" i="6"/>
  <c r="AC176" i="6"/>
  <c r="B184" i="6"/>
  <c r="AC184" i="6"/>
  <c r="B197" i="6"/>
  <c r="AC197" i="6"/>
  <c r="B209" i="6"/>
  <c r="AC209" i="6"/>
  <c r="B302" i="6"/>
  <c r="AC302" i="6"/>
  <c r="B310" i="6"/>
  <c r="AC310" i="6"/>
  <c r="B320" i="6"/>
  <c r="AC320" i="6"/>
  <c r="B324" i="6"/>
  <c r="AC324" i="6"/>
  <c r="B328" i="6"/>
  <c r="AC328" i="6"/>
  <c r="B336" i="6"/>
  <c r="AC336" i="6"/>
  <c r="B344" i="6"/>
  <c r="AC344" i="6"/>
  <c r="B352" i="6"/>
  <c r="AC352" i="6"/>
  <c r="B360" i="6"/>
  <c r="AC360" i="6"/>
  <c r="B368" i="6"/>
  <c r="AC368" i="6"/>
  <c r="B376" i="6"/>
  <c r="AC376" i="6"/>
  <c r="B384" i="6"/>
  <c r="AC384" i="6"/>
  <c r="B395" i="6"/>
  <c r="AC395" i="6"/>
  <c r="B403" i="6"/>
  <c r="AC403" i="6"/>
  <c r="B411" i="6"/>
  <c r="AC411" i="6"/>
  <c r="B419" i="6"/>
  <c r="AC419" i="6"/>
  <c r="B427" i="6"/>
  <c r="AC427" i="6"/>
  <c r="AC436" i="6"/>
  <c r="B436" i="6"/>
  <c r="AC444" i="6"/>
  <c r="B444" i="6"/>
  <c r="AC452" i="6"/>
  <c r="B452" i="6"/>
  <c r="AC460" i="6"/>
  <c r="B460" i="6"/>
  <c r="AC468" i="6"/>
  <c r="B468" i="6"/>
  <c r="AC476" i="6"/>
  <c r="B476" i="6"/>
  <c r="AC484" i="6"/>
  <c r="B484" i="6"/>
  <c r="AC492" i="6"/>
  <c r="B492" i="6"/>
  <c r="AC503" i="6"/>
  <c r="B503" i="6"/>
  <c r="AC513" i="6"/>
  <c r="B513" i="6"/>
  <c r="AC524" i="6"/>
  <c r="B524" i="6"/>
  <c r="AC532" i="6"/>
  <c r="B532" i="6"/>
  <c r="AC540" i="6"/>
  <c r="B540" i="6"/>
  <c r="AC548" i="6"/>
  <c r="B548" i="6"/>
  <c r="AC556" i="6"/>
  <c r="B556" i="6"/>
  <c r="AC564" i="6"/>
  <c r="B564" i="6"/>
  <c r="AC67" i="6"/>
  <c r="AC84" i="6"/>
  <c r="B58" i="6"/>
  <c r="AC58" i="6"/>
  <c r="B160" i="6"/>
  <c r="AC160" i="6"/>
  <c r="AC329" i="6"/>
  <c r="B329" i="6"/>
  <c r="AC397" i="6"/>
  <c r="B397" i="6"/>
  <c r="B454" i="6"/>
  <c r="AC454" i="6"/>
  <c r="B550" i="6"/>
  <c r="AC550" i="6"/>
  <c r="B221" i="6"/>
  <c r="AC267" i="6"/>
  <c r="B267" i="6"/>
  <c r="AC291" i="6"/>
  <c r="B291" i="6"/>
  <c r="AC334" i="6"/>
  <c r="B334" i="6"/>
  <c r="AC263" i="6"/>
  <c r="AC19" i="6"/>
  <c r="AC35" i="6"/>
  <c r="AC51" i="6"/>
  <c r="AC205" i="6"/>
  <c r="AC254" i="6"/>
  <c r="AC206" i="6"/>
  <c r="AC497" i="6"/>
  <c r="B149" i="6"/>
  <c r="B161" i="6"/>
  <c r="B393" i="6"/>
  <c r="AC111" i="6"/>
  <c r="B286" i="6"/>
  <c r="B592" i="6"/>
  <c r="AC232" i="6"/>
  <c r="AC517" i="6"/>
  <c r="AC257" i="6"/>
  <c r="B394" i="6"/>
  <c r="AC570" i="6"/>
  <c r="B211" i="6"/>
  <c r="B264" i="6"/>
  <c r="AC264" i="6"/>
  <c r="B269" i="6"/>
  <c r="AC261" i="6"/>
  <c r="B318" i="6"/>
  <c r="AC624" i="6"/>
  <c r="B110" i="6"/>
  <c r="B218" i="6"/>
  <c r="AC213" i="6"/>
  <c r="AC504" i="6"/>
  <c r="AC238" i="6"/>
  <c r="B568" i="6"/>
  <c r="B572" i="6"/>
  <c r="B576" i="6"/>
  <c r="B580" i="6"/>
  <c r="B584" i="6"/>
  <c r="B588" i="6"/>
  <c r="B595" i="6"/>
  <c r="B599" i="6"/>
  <c r="BX2" i="8"/>
  <c r="AC214" i="6"/>
  <c r="AC83" i="6"/>
  <c r="AC87" i="6"/>
  <c r="AC91" i="6"/>
  <c r="AC95" i="6"/>
  <c r="AC99" i="6"/>
  <c r="AC103" i="6"/>
  <c r="AC333" i="6"/>
  <c r="B66" i="6"/>
  <c r="AC71" i="6"/>
  <c r="B77" i="6"/>
  <c r="B81" i="6"/>
  <c r="B69" i="6"/>
  <c r="AC69" i="6"/>
  <c r="B73" i="6"/>
  <c r="B65" i="6"/>
  <c r="AX2" i="8"/>
  <c r="AK2" i="8"/>
  <c r="AN3" i="8"/>
  <c r="AG2" i="8"/>
  <c r="AJ3" i="8"/>
  <c r="AC221" i="6"/>
  <c r="Y3" i="8"/>
  <c r="Y2" i="8"/>
  <c r="CB3" i="8"/>
  <c r="CB2" i="8"/>
  <c r="BA2" i="8"/>
  <c r="AN2" i="8"/>
  <c r="AQ3" i="8"/>
  <c r="AQ2" i="8"/>
  <c r="AJ2" i="8"/>
  <c r="AM3" i="8"/>
  <c r="AM2" i="8"/>
  <c r="AP3" i="8"/>
  <c r="AP2" i="8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<sst xmlns="http://schemas.openxmlformats.org/spreadsheetml/2006/main" count="7520" uniqueCount="1925">
  <si>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</si>
  <si>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</si>
  <si>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</si>
  <si>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</si>
  <si>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</si>
  <si>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</si>
  <si>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</si>
  <si>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</si>
  <si>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</si>
  <si>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</si>
  <si>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</si>
  <si>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</si>
  <si>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</si>
  <si>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</si>
  <si>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</si>
  <si>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</si>
  <si>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</si>
  <si>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</si>
  <si>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</si>
  <si>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</si>
  <si>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</si>
  <si>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</si>
  <si>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</si>
  <si>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</si>
  <si>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</si>
  <si>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</si>
  <si>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</si>
  <si>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</si>
  <si>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</si>
  <si>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</si>
  <si>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</si>
  <si>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</si>
  <si>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</si>
  <si>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</si>
  <si>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</si>
  <si>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</si>
  <si>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</si>
  <si>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</si>
  <si>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</si>
  <si>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</si>
  <si>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</si>
  <si>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</si>
  <si>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</si>
  <si>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</si>
  <si>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</si>
  <si>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</si>
  <si>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</si>
  <si>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</si>
  <si>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</si>
  <si>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</si>
  <si>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</si>
  <si>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</si>
  <si>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</si>
  <si>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</si>
  <si>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</si>
  <si>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</si>
  <si>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</si>
  <si>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</si>
  <si>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</si>
  <si>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</si>
  <si>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</si>
  <si>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</si>
  <si>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</si>
  <si>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</si>
  <si>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</si>
  <si>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</si>
  <si>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</si>
  <si>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</si>
  <si>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</si>
  <si>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</si>
  <si>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</si>
  <si>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</si>
  <si>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</si>
  <si>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</si>
  <si>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</si>
  <si>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</si>
  <si>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</si>
  <si>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</si>
  <si>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</si>
  <si>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</si>
  <si>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</si>
  <si>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</si>
  <si>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</si>
  <si>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</si>
  <si>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</si>
  <si>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</si>
  <si>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</si>
  <si>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</si>
  <si>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</si>
  <si>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</si>
  <si>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</si>
  <si>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</si>
  <si>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</si>
  <si>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</si>
  <si>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</si>
  <si>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</si>
  <si>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</si>
  <si>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</si>
  <si>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</si>
  <si>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</si>
  <si>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</si>
  <si>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</si>
  <si>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</si>
  <si>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</si>
  <si>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</si>
  <si>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</si>
  <si>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</si>
  <si>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</si>
  <si>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</si>
  <si>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</si>
  <si>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</si>
  <si>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</si>
  <si>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</si>
  <si>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</si>
  <si>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</si>
  <si>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</si>
  <si>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</si>
  <si>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</si>
  <si>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</si>
  <si>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</si>
  <si>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</si>
  <si>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</si>
  <si>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</si>
  <si>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</si>
  <si>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</si>
  <si>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</si>
  <si>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</si>
  <si>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</si>
  <si>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</si>
  <si>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</si>
  <si>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</si>
  <si>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</si>
  <si>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</si>
  <si>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</si>
  <si>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</si>
  <si>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</si>
  <si>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</si>
  <si>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</si>
  <si>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</si>
  <si>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</si>
  <si>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</si>
  <si>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</si>
  <si>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</si>
  <si>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</si>
  <si>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</si>
  <si>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</si>
  <si>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</si>
  <si>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</si>
  <si>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</si>
  <si>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</si>
  <si>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</si>
  <si>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</si>
  <si>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</si>
  <si>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</si>
  <si>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</si>
  <si>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</si>
  <si>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</si>
  <si>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</si>
  <si>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</si>
  <si>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</si>
  <si>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</si>
  <si>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</si>
  <si>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</si>
  <si>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</si>
  <si>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</si>
  <si>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</si>
  <si>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</si>
  <si>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</si>
  <si>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</si>
  <si>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</si>
  <si>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</si>
  <si>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</si>
  <si>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</si>
  <si>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</si>
  <si>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</si>
  <si>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</si>
  <si>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</si>
  <si>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</si>
  <si>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</si>
  <si>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</si>
  <si>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</si>
  <si>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</si>
  <si>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</si>
  <si>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</si>
  <si>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</si>
  <si>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</si>
  <si>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</si>
  <si>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</si>
  <si>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</si>
  <si>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</si>
  <si>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</si>
  <si>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</si>
  <si>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</si>
  <si>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</si>
  <si>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</si>
  <si>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</si>
  <si>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</si>
  <si>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</si>
  <si>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</si>
  <si>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</si>
  <si>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</si>
  <si>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</si>
  <si>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</si>
  <si>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</si>
  <si>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</si>
  <si>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</si>
  <si>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</si>
  <si>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</si>
  <si>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</si>
  <si>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</si>
  <si>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</si>
  <si>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</si>
  <si>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</si>
  <si>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</si>
  <si>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</si>
  <si>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</si>
  <si>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</si>
  <si>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</si>
  <si>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</si>
  <si>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</si>
  <si>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</si>
  <si>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</si>
  <si>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</si>
  <si>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</si>
  <si>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</si>
  <si>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</si>
  <si>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</si>
  <si>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</si>
  <si>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</si>
  <si>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</si>
  <si>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</si>
  <si>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</si>
  <si>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</si>
  <si>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</si>
  <si>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</si>
  <si>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</si>
  <si>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</si>
  <si>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</si>
  <si>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</si>
  <si>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</si>
  <si>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</si>
  <si>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</si>
  <si>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</si>
  <si>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</si>
  <si>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</si>
  <si>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</si>
  <si>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</si>
  <si>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</si>
  <si>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</si>
  <si>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</si>
  <si>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</si>
  <si>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</si>
  <si>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</si>
  <si>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</si>
  <si>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</si>
  <si>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</si>
  <si>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</si>
  <si>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</si>
  <si>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</si>
  <si>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</si>
  <si>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</si>
  <si>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</si>
  <si>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</si>
  <si>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</si>
  <si>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</si>
  <si>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</si>
  <si>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</si>
  <si>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</si>
  <si>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</si>
  <si>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</si>
  <si>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</si>
  <si>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</si>
  <si>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</si>
  <si>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</si>
  <si>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</si>
  <si>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</si>
  <si>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</si>
  <si>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</si>
  <si>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</si>
  <si>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</si>
  <si>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</si>
  <si>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</si>
  <si>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</si>
  <si>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</si>
  <si>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</si>
  <si>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</si>
  <si>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</si>
  <si>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</si>
  <si>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</si>
  <si>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</si>
  <si>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</si>
  <si>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</si>
  <si>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</si>
  <si>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</si>
  <si>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</si>
  <si>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</si>
  <si>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</si>
  <si>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</si>
  <si>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</si>
  <si>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</si>
  <si>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</si>
  <si>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</si>
  <si>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</si>
  <si>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</si>
  <si>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</si>
  <si>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</si>
  <si>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</si>
  <si>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</si>
  <si>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</si>
  <si>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</si>
  <si>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</si>
  <si>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</si>
  <si>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</si>
  <si>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</si>
  <si>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</si>
  <si>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</si>
  <si>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</si>
  <si>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</si>
  <si>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</si>
  <si>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</si>
  <si>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</si>
  <si>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</si>
  <si>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</si>
  <si>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</si>
  <si>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</si>
  <si>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</si>
  <si>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</si>
  <si>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</si>
  <si>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</si>
  <si>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</si>
  <si>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</si>
  <si>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</si>
  <si>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</si>
  <si>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</si>
  <si>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</si>
  <si>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</si>
  <si>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</si>
  <si>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</si>
  <si>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</si>
  <si>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</si>
  <si>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</si>
  <si>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</si>
  <si>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</si>
  <si>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</si>
  <si>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</si>
  <si>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</si>
  <si>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</si>
  <si>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</si>
  <si>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</si>
  <si>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</si>
  <si>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</si>
  <si>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</si>
  <si>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</si>
  <si>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</si>
  <si>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</si>
  <si>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</si>
  <si>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</si>
  <si>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</si>
  <si>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</si>
  <si>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</si>
  <si>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</si>
  <si>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</si>
  <si>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</si>
  <si>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</si>
  <si>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</si>
  <si>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</si>
  <si>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</si>
  <si>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</si>
  <si>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</si>
  <si>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</si>
  <si>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</si>
  <si>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</si>
  <si>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</si>
  <si>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</si>
  <si>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</si>
  <si>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</si>
  <si>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</si>
  <si>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</si>
  <si>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</si>
  <si>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</si>
  <si>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</si>
  <si>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</si>
  <si>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</si>
  <si>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</si>
  <si>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</si>
  <si>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</si>
  <si>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</si>
  <si>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</si>
  <si>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</si>
  <si>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</si>
  <si>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</si>
  <si>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</si>
  <si>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</si>
  <si>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</si>
  <si>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</si>
  <si>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</si>
  <si>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</si>
  <si>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</si>
  <si>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</si>
  <si>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</si>
  <si>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</si>
  <si>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</si>
  <si>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</si>
  <si>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</si>
  <si>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</si>
  <si>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</si>
  <si>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</si>
  <si>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</si>
  <si>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</si>
  <si>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</si>
  <si>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</si>
  <si>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</si>
  <si>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</si>
  <si>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</si>
  <si>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</si>
  <si>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</si>
  <si>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</si>
  <si>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</si>
  <si>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</si>
  <si>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</si>
  <si>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</si>
  <si>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</si>
  <si>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</si>
  <si>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</si>
  <si>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</si>
  <si>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</si>
  <si>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</si>
  <si>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</si>
  <si>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</si>
  <si>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</si>
  <si>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</si>
  <si>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</si>
  <si>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</si>
  <si>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</si>
  <si>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</si>
  <si>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</si>
  <si>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</si>
  <si>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</si>
  <si>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</si>
  <si>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</si>
  <si>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</si>
  <si>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</si>
  <si>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</si>
  <si>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</si>
  <si>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</si>
  <si>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</si>
  <si>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</si>
  <si>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</si>
  <si>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</si>
  <si>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</si>
  <si>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</si>
  <si>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</si>
  <si>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</si>
  <si>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</si>
  <si>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</si>
  <si>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</si>
  <si>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</si>
  <si>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</si>
  <si>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</si>
  <si>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</si>
  <si>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</si>
  <si>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</si>
  <si>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</si>
  <si>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</si>
  <si>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</si>
  <si>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</si>
  <si>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generic</t>
  </si>
  <si>
    <t>beidseitig, nur Bandseitig, nur Bandgegenseitig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</si>
  <si>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</si>
  <si>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</si>
  <si>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</si>
  <si>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</si>
  <si>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</si>
  <si>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</si>
  <si>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</si>
  <si>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</si>
  <si>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</si>
  <si>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</si>
  <si>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</si>
  <si>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</si>
  <si>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</si>
  <si>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</si>
  <si>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</si>
  <si>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</si>
  <si>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</si>
  <si>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</si>
  <si>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</si>
  <si>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</si>
  <si>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</si>
  <si>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</si>
  <si>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</si>
  <si>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</si>
  <si>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</si>
  <si>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</si>
  <si>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</si>
  <si>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</si>
  <si>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</si>
  <si>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</si>
  <si>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</si>
  <si>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</si>
  <si>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</si>
  <si>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</si>
  <si>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</si>
  <si>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</si>
  <si>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</si>
  <si>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</si>
  <si>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</si>
  <si>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</si>
  <si>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</si>
  <si>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</si>
  <si>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</si>
  <si>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</si>
  <si>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</si>
  <si>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</si>
  <si>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</si>
  <si>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</si>
  <si>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</si>
  <si>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</si>
  <si>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</si>
  <si>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</si>
  <si>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</si>
  <si>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</si>
  <si>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</si>
  <si>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</si>
  <si>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</si>
  <si>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</si>
  <si>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</si>
  <si>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</si>
  <si>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</si>
  <si>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</si>
  <si>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</si>
  <si>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</si>
  <si>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</si>
  <si>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</si>
  <si>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</si>
  <si>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</si>
  <si>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</si>
  <si>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</si>
  <si>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</si>
  <si>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</si>
  <si>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</si>
  <si>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</si>
  <si>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</si>
  <si>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</si>
  <si>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</si>
  <si>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</si>
  <si>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</si>
  <si>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</si>
  <si>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</si>
  <si>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</si>
  <si>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</si>
  <si>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</si>
  <si>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</si>
  <si>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</si>
  <si>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</si>
  <si>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</si>
  <si>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</si>
  <si>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</si>
  <si>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</si>
  <si>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</si>
  <si>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</si>
  <si>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</si>
  <si>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</si>
  <si>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</si>
  <si>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</si>
  <si>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</si>
  <si>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</si>
  <si>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</si>
  <si>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</si>
  <si>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</si>
  <si>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</si>
  <si>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</si>
  <si>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</si>
  <si>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</si>
  <si>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</si>
  <si>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</si>
  <si>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</si>
  <si>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</si>
  <si>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</si>
  <si>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</si>
  <si>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</si>
  <si>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</si>
  <si>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</si>
  <si>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</si>
  <si>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</si>
  <si>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</si>
  <si>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</si>
  <si>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</si>
  <si>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</si>
  <si>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</si>
  <si>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</si>
  <si>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</si>
  <si>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</si>
  <si>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</si>
  <si>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</si>
  <si>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</si>
  <si>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</si>
  <si>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</si>
  <si>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</si>
  <si>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</si>
  <si>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</si>
  <si>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</si>
  <si>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</si>
  <si>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</si>
  <si>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</si>
  <si>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</si>
  <si>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</si>
  <si>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</si>
  <si>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</si>
  <si>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</si>
  <si>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</si>
  <si>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</si>
  <si>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</si>
  <si>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</si>
  <si>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</si>
  <si>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</si>
  <si>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</si>
  <si>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</si>
  <si>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</si>
  <si>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</si>
  <si>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</si>
  <si>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</si>
  <si>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</si>
  <si>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</si>
  <si>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</si>
  <si>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</si>
  <si>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</si>
  <si>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</si>
  <si>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</si>
  <si>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</si>
  <si>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</si>
  <si>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</si>
  <si>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</si>
  <si>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Beschichtet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</si>
  <si>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</si>
  <si>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</si>
  <si>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</si>
  <si>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</si>
  <si>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</si>
  <si>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</si>
  <si>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</si>
  <si>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</si>
  <si>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</si>
  <si>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</si>
  <si>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</si>
  <si>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</si>
  <si>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</si>
  <si>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</si>
  <si>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</si>
  <si>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</si>
  <si>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</si>
  <si>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</si>
  <si>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</si>
  <si>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</si>
  <si>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</si>
  <si>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</si>
  <si>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</si>
  <si>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</si>
  <si>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</si>
  <si>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</si>
  <si>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</si>
  <si>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</si>
  <si>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</si>
  <si>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</si>
  <si>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</si>
  <si>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</si>
  <si>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</si>
  <si>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</si>
  <si>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</si>
  <si>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</si>
  <si>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</si>
  <si>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</si>
  <si>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</si>
  <si>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</si>
  <si>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</si>
  <si>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</si>
  <si>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</si>
  <si>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</si>
  <si>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</si>
  <si>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</si>
  <si>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</si>
  <si>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</si>
  <si>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Türblatt Material</t>
  </si>
  <si>
    <t>Holz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</si>
  <si>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</si>
  <si>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</si>
  <si>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Namen benutzerdefinierter Paneels</t>
  </si>
  <si>
    <t>Benutzererzeugtes Sonderpanel</t>
  </si>
  <si>
    <t>gs_cust_panel2</t>
  </si>
  <si>
    <t>Namen benutzerdefinierter Paneels 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</si>
  <si>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</si>
  <si>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</si>
  <si>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</si>
  <si>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</si>
  <si>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</si>
  <si>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</si>
  <si>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</si>
  <si>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</si>
  <si>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</si>
  <si>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</si>
  <si>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</si>
  <si>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</si>
  <si>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</si>
  <si>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</si>
  <si>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</si>
  <si>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</si>
  <si>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</si>
  <si>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</si>
  <si>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</si>
  <si>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</si>
  <si>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</si>
  <si>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</si>
  <si>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</si>
  <si>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</si>
  <si>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</si>
  <si>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</si>
  <si>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</si>
  <si>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</si>
  <si>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</si>
  <si>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</si>
  <si>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</si>
  <si>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r>
      <t xml:space="preserve">Beschreibung des Lüftungsgitters </t>
    </r>
    <r>
      <rPr>
        <sz val="11"/>
        <color rgb="FFFF0000"/>
        <rFont val="Arial"/>
        <family val="2"/>
      </rPr>
      <t>Lage/Abmessung?</t>
    </r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</si>
  <si>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</si>
  <si>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</si>
  <si>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</si>
  <si>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</si>
  <si>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</si>
  <si>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</si>
  <si>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</si>
  <si>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</si>
  <si>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</si>
  <si>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</si>
  <si>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</si>
  <si>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</si>
  <si>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</si>
  <si>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</si>
  <si>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</si>
  <si>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</si>
  <si>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</si>
  <si>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</si>
  <si>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</si>
  <si>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</si>
  <si>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</si>
  <si>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</si>
  <si>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</si>
  <si>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</si>
  <si>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</si>
  <si>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</si>
  <si>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</si>
  <si>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</si>
  <si>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</si>
  <si>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</si>
  <si>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</si>
  <si>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</si>
  <si>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</si>
  <si>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</si>
  <si>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</si>
  <si>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</si>
  <si>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</si>
  <si>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</si>
  <si>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</si>
  <si>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</si>
  <si>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</si>
  <si>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</si>
  <si>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</si>
  <si>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</si>
  <si>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</si>
  <si>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</si>
  <si>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</si>
  <si>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</si>
  <si>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</si>
  <si>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</si>
  <si>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</si>
  <si>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</si>
  <si>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</si>
  <si>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</si>
  <si>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</si>
  <si>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</si>
  <si>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</si>
  <si>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</si>
  <si>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</si>
  <si>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</si>
  <si>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</si>
  <si>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</si>
  <si>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</si>
  <si>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</si>
  <si>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</si>
  <si>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</si>
  <si>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</si>
  <si>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</si>
  <si>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</si>
  <si>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</si>
  <si>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</si>
  <si>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</si>
  <si>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</si>
  <si>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</si>
  <si>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</si>
  <si>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</si>
  <si>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</si>
  <si>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</si>
  <si>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</si>
  <si>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</si>
  <si>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</si>
  <si>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</si>
  <si>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</si>
  <si>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</si>
  <si>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</si>
  <si>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</si>
  <si>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</si>
  <si>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</si>
  <si>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</si>
  <si>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</si>
  <si>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</si>
  <si>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</si>
  <si>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</si>
  <si>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</si>
  <si>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</si>
  <si>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</si>
  <si>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</si>
  <si>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</si>
  <si>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</si>
  <si>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</si>
  <si>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</si>
  <si>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</si>
  <si>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</si>
  <si>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</si>
  <si>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</si>
  <si>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</si>
  <si>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</si>
  <si>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</si>
  <si>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</si>
  <si>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</si>
  <si>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</si>
  <si>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</si>
  <si>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</si>
  <si>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</si>
  <si>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</si>
  <si>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</si>
  <si>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</si>
  <si>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</si>
  <si>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</si>
  <si>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</si>
  <si>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</si>
  <si>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</si>
  <si>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</si>
  <si>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</si>
  <si>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</si>
  <si>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</si>
  <si>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</si>
  <si>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</si>
  <si>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</si>
  <si>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</si>
  <si>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</si>
  <si>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</si>
  <si>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</si>
  <si>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</si>
  <si>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</si>
  <si>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</si>
  <si>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</si>
  <si>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</si>
  <si>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</si>
  <si>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</si>
  <si>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</si>
  <si>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</si>
  <si>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</si>
  <si>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</si>
  <si>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</si>
  <si>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</si>
  <si>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</si>
  <si>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</si>
  <si>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</si>
  <si>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</si>
  <si>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</si>
  <si>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Griff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</si>
  <si>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</si>
  <si>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</si>
  <si>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</si>
  <si>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</si>
  <si>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</si>
  <si>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</si>
  <si>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</si>
  <si>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</si>
  <si>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</si>
  <si>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</si>
  <si>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</si>
  <si>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</si>
  <si>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</si>
  <si>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</si>
  <si>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</si>
  <si>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</si>
  <si>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</si>
  <si>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</si>
  <si>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</si>
  <si>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</si>
  <si>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</si>
  <si>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</si>
  <si>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</si>
  <si>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</si>
  <si>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</si>
  <si>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</si>
  <si>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</si>
  <si>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</si>
  <si>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</si>
  <si>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</si>
  <si>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</si>
  <si>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</si>
  <si>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</si>
  <si>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</si>
  <si>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</si>
  <si>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</si>
  <si>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</si>
  <si>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</si>
  <si>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</si>
  <si>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</si>
  <si>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</si>
  <si>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</si>
  <si>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</si>
  <si>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</si>
  <si>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</si>
  <si>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</si>
  <si>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</si>
  <si>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</si>
  <si>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</si>
  <si>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</si>
  <si>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keine,mechanisch,elektrisch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</si>
  <si>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</si>
  <si>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</si>
  <si>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</si>
  <si>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</si>
  <si>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</si>
  <si>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</si>
  <si>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</si>
  <si>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</si>
  <si>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</si>
  <si>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</si>
  <si>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</si>
  <si>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</si>
  <si>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</si>
  <si>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</si>
  <si>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</si>
  <si>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</si>
  <si>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</si>
  <si>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</si>
  <si>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</si>
  <si>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Lage der Drehlager des Türblattes</t>
  </si>
  <si>
    <t>Angabe besonderer Anforderungen hinsichtlich des Drehpunktes des Türblattes</t>
  </si>
  <si>
    <t>Bezeichnung der Bänder</t>
  </si>
  <si>
    <t>Band Oberfläche</t>
  </si>
  <si>
    <t>Angabe der bestimmenden Bandoberfläche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</si>
  <si>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</si>
  <si>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</si>
  <si>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</si>
  <si>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</si>
  <si>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</si>
  <si>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</si>
  <si>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</si>
  <si>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</si>
  <si>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</si>
  <si>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</si>
  <si>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</si>
  <si>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</si>
  <si>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</si>
  <si>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</si>
  <si>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</si>
  <si>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</si>
  <si>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</si>
  <si>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</si>
  <si>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</si>
  <si>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</si>
  <si>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</si>
  <si>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</si>
  <si>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</si>
  <si>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</si>
  <si>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</si>
  <si>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</si>
  <si>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</si>
  <si>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</si>
  <si>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</si>
  <si>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</si>
  <si>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</si>
  <si>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</si>
  <si>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</si>
  <si>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</si>
  <si>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</si>
  <si>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</si>
  <si>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</si>
  <si>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</si>
  <si>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</si>
  <si>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</si>
  <si>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</si>
  <si>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</si>
  <si>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</si>
  <si>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</si>
  <si>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</si>
  <si>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</si>
  <si>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</si>
  <si>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</si>
  <si>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</si>
  <si>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</si>
  <si>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</si>
  <si>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</si>
  <si>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</si>
  <si>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</si>
  <si>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</si>
  <si>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</si>
  <si>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</si>
  <si>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</si>
  <si>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</si>
  <si>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</si>
  <si>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</si>
  <si>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</si>
  <si>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</si>
  <si>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</si>
  <si>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</si>
  <si>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</si>
  <si>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</si>
  <si>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</si>
  <si>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</si>
  <si>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</si>
  <si>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</si>
  <si>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</si>
  <si>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</si>
  <si>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</si>
  <si>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</si>
  <si>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</si>
  <si>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</si>
  <si>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</si>
  <si>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</si>
  <si>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</si>
  <si>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</si>
  <si>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</si>
  <si>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</si>
  <si>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</si>
  <si>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</si>
  <si>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</si>
  <si>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</si>
  <si>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</si>
  <si>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</si>
  <si>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</si>
  <si>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</si>
  <si>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</si>
  <si>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</si>
  <si>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</si>
  <si>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</si>
  <si>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</si>
  <si>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</si>
  <si>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</si>
  <si>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</si>
  <si>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</si>
  <si>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</si>
  <si>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</si>
  <si>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</si>
  <si>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</si>
  <si>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</si>
  <si>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</si>
  <si>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</si>
  <si>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</si>
  <si>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</si>
  <si>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</si>
  <si>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</si>
  <si>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</si>
  <si>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</si>
  <si>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</si>
  <si>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</si>
  <si>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</si>
  <si>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</si>
  <si>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</si>
  <si>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</si>
  <si>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</si>
  <si>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</si>
  <si>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</si>
  <si>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</si>
  <si>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</si>
  <si>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</si>
  <si>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</si>
  <si>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</si>
  <si>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</si>
  <si>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</si>
  <si>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</si>
  <si>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</si>
  <si>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</si>
  <si>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</si>
  <si>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</si>
  <si>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</si>
  <si>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</si>
  <si>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</si>
  <si>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</si>
  <si>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</si>
  <si>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</si>
  <si>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</si>
  <si>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</si>
  <si>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</si>
  <si>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</si>
  <si>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</si>
  <si>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</si>
  <si>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</si>
  <si>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</si>
  <si>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</si>
  <si>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</si>
  <si>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</si>
  <si>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</si>
  <si>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</si>
  <si>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</si>
  <si>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</si>
  <si>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</si>
  <si>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</si>
  <si>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</si>
  <si>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</si>
  <si>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</si>
  <si>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</si>
  <si>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</si>
  <si>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</si>
  <si>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</si>
  <si>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</si>
  <si>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</si>
  <si>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</si>
  <si>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</si>
  <si>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</si>
  <si>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</si>
  <si>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</si>
  <si>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</si>
  <si>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</si>
  <si>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</si>
  <si>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</si>
  <si>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</si>
  <si>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</si>
  <si>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</si>
  <si>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</si>
  <si>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</si>
  <si>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</si>
  <si>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</si>
  <si>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</si>
  <si>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</si>
  <si>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</si>
  <si>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</si>
  <si>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</si>
  <si>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</si>
  <si>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</si>
  <si>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</si>
  <si>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</si>
  <si>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</si>
  <si>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</si>
  <si>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</si>
  <si>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</si>
  <si>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</si>
  <si>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</si>
  <si>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</si>
  <si>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</si>
  <si>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</si>
  <si>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</si>
  <si>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</si>
  <si>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</si>
  <si>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</si>
  <si>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</si>
  <si>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</si>
  <si>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</si>
  <si>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</si>
  <si>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</si>
  <si>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</si>
  <si>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</si>
  <si>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</si>
  <si>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</si>
  <si>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</si>
  <si>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</si>
  <si>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</si>
  <si>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</si>
  <si>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</si>
  <si>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</si>
  <si>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</si>
  <si>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</si>
  <si>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</si>
  <si>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</si>
  <si>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</si>
  <si>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</si>
  <si>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</si>
  <si>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</si>
  <si>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</si>
  <si>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</si>
  <si>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</si>
  <si>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</si>
  <si>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</si>
  <si>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</si>
  <si>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</si>
  <si>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</si>
  <si>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</si>
  <si>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</si>
  <si>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</si>
  <si>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</si>
  <si>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</si>
  <si>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</si>
  <si>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</si>
  <si>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</si>
  <si>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</si>
  <si>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</si>
  <si>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</si>
  <si>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</si>
  <si>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</si>
  <si>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</si>
  <si>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</si>
  <si>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</si>
  <si>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</si>
  <si>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</si>
  <si>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</si>
  <si>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</si>
  <si>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</si>
  <si>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</si>
  <si>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</si>
  <si>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</si>
  <si>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</si>
  <si>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</si>
  <si>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</si>
  <si>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</si>
  <si>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</si>
  <si>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</si>
  <si>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</si>
  <si>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</si>
  <si>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</si>
  <si>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</si>
  <si>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</si>
  <si>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</si>
  <si>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</si>
  <si>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</si>
  <si>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</si>
  <si>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</si>
  <si>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</si>
  <si>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</si>
  <si>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</si>
  <si>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</si>
  <si>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</si>
  <si>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</si>
  <si>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</si>
  <si>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</si>
  <si>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</si>
  <si>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</si>
  <si>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</si>
  <si>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</si>
  <si>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</si>
  <si>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</si>
  <si>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</si>
  <si>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</si>
  <si>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</si>
  <si>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</si>
  <si>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</si>
  <si>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</si>
  <si>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</si>
  <si>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</si>
  <si>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</si>
  <si>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</si>
  <si>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</si>
  <si>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</si>
  <si>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</si>
  <si>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</si>
  <si>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</si>
  <si>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</si>
  <si>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</si>
  <si>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</si>
  <si>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</si>
  <si>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</si>
  <si>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</si>
  <si>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</si>
  <si>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</si>
  <si>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</si>
  <si>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</si>
  <si>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</si>
  <si>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</si>
  <si>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</si>
  <si>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</si>
  <si>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</si>
  <si>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</si>
  <si>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</si>
  <si>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</si>
  <si>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</si>
  <si>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</si>
  <si>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</si>
  <si>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</si>
  <si>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</si>
  <si>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</si>
  <si>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</si>
  <si>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</si>
  <si>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</si>
  <si>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</si>
  <si>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</si>
  <si>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</si>
  <si>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</si>
  <si>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</si>
  <si>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</si>
  <si>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</si>
  <si>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</si>
  <si>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</si>
  <si>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</si>
  <si>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</si>
  <si>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</si>
  <si>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</si>
  <si>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</si>
  <si>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</si>
  <si>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</si>
  <si>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</si>
  <si>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</si>
  <si>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</si>
  <si>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</si>
  <si>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</si>
  <si>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</si>
  <si>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</si>
  <si>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</si>
  <si>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</si>
  <si>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</si>
  <si>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</si>
  <si>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</si>
  <si>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</si>
  <si>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</si>
  <si>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</si>
  <si>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</si>
  <si>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</si>
  <si>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</si>
  <si>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</si>
  <si>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</si>
  <si>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</si>
  <si>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stumpf</t>
  </si>
  <si>
    <t>einfach</t>
  </si>
  <si>
    <t>zweifach</t>
  </si>
  <si>
    <t>dreifach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</si>
  <si>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</si>
  <si>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</si>
  <si>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</si>
  <si>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</si>
  <si>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</si>
  <si>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</si>
  <si>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</si>
  <si>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</si>
  <si>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</si>
  <si>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</si>
  <si>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</si>
  <si>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</si>
  <si>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RF</t>
  </si>
  <si>
    <t>Aus</t>
  </si>
  <si>
    <t>Vollblatt</t>
  </si>
  <si>
    <t>Rahmen+Füllung</t>
  </si>
  <si>
    <t>bs_panel_manufacturer</t>
  </si>
  <si>
    <t>bs_panel_model</t>
  </si>
  <si>
    <t>Name Hersteller</t>
  </si>
  <si>
    <t>Modell- / Typenbezeichnung</t>
  </si>
  <si>
    <t>individuell</t>
  </si>
  <si>
    <t>H</t>
  </si>
  <si>
    <t>Ausschnittfelder</t>
  </si>
  <si>
    <t>dk_panel_segments</t>
  </si>
  <si>
    <t>dk_panel_division</t>
  </si>
  <si>
    <t>Teilungen der Ausschnittfelder</t>
  </si>
  <si>
    <t>dk_panel_bar</t>
  </si>
  <si>
    <t>dk_mainpanel_design</t>
  </si>
  <si>
    <t>dk_panel strips</t>
  </si>
  <si>
    <t>dk_panel_filling</t>
  </si>
  <si>
    <t>Stil der Füllung</t>
  </si>
  <si>
    <t>Verleistung</t>
  </si>
  <si>
    <t>Stil des Hauptpanels</t>
  </si>
  <si>
    <t>Sprossen der Ausschnittfelder</t>
  </si>
  <si>
    <t>klassisch 1</t>
  </si>
  <si>
    <t>klassisch 2</t>
  </si>
  <si>
    <t>rechteckig</t>
  </si>
  <si>
    <t>profiliert</t>
  </si>
  <si>
    <t>Sprossenband oben</t>
  </si>
  <si>
    <t>Sprossenband unten</t>
  </si>
  <si>
    <t>Sprossenband oben+unten</t>
  </si>
  <si>
    <t>dk_panel_strips</t>
  </si>
  <si>
    <t>Türblatt Abmessungen</t>
  </si>
  <si>
    <t>Raute</t>
  </si>
  <si>
    <t>Kreis</t>
  </si>
  <si>
    <t>Radius runder Ausschnitt</t>
  </si>
  <si>
    <t>dk_leafFrWidthHorizontal</t>
  </si>
  <si>
    <t>dk_leafFrWidthVertical</t>
  </si>
  <si>
    <t>Breite Riegel Horizontal</t>
  </si>
  <si>
    <t>Breite Pfosten vertikal</t>
  </si>
  <si>
    <t>dk_panel_filling_thk</t>
  </si>
  <si>
    <t>dk_arch_height</t>
  </si>
  <si>
    <t>Höhe Bogen Hauptfeld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</si>
  <si>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</si>
  <si>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</si>
  <si>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</si>
  <si>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</si>
  <si>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</si>
  <si>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</si>
  <si>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</si>
  <si>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</si>
  <si>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</si>
  <si>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</si>
  <si>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</si>
  <si>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</si>
  <si>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</si>
  <si>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</si>
  <si>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</si>
  <si>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</si>
  <si>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</si>
  <si>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</si>
  <si>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</si>
  <si>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</si>
  <si>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</si>
  <si>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</si>
  <si>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</si>
  <si>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</si>
  <si>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</si>
  <si>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</si>
  <si>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</si>
  <si>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</si>
  <si>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</si>
  <si>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</si>
  <si>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</si>
  <si>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</si>
  <si>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</si>
  <si>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</si>
  <si>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</si>
  <si>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</si>
  <si>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</si>
  <si>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</si>
  <si>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</si>
  <si>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bs_panel_surface_BS</t>
  </si>
  <si>
    <t>bs_panel_surface_BGS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</si>
  <si>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</si>
  <si>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</si>
  <si>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</si>
  <si>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</si>
  <si>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</si>
  <si>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</si>
  <si>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</si>
  <si>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am Falz</t>
  </si>
  <si>
    <t>am Spiegel</t>
  </si>
  <si>
    <t>frei</t>
  </si>
  <si>
    <t>bs_panel_material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</si>
  <si>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</si>
  <si>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</si>
  <si>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</si>
  <si>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</si>
  <si>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</si>
  <si>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</si>
  <si>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</si>
  <si>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</si>
  <si>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</si>
  <si>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</si>
  <si>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</si>
  <si>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</si>
  <si>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</si>
  <si>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</si>
  <si>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</si>
  <si>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</si>
  <si>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Glas, einfach</t>
  </si>
  <si>
    <t>Glas, doppelt</t>
  </si>
  <si>
    <t>Platte, glatt</t>
  </si>
  <si>
    <t>Platte, klassisch 1</t>
  </si>
  <si>
    <t>Platte, klassisch 2</t>
  </si>
  <si>
    <t>G1</t>
  </si>
  <si>
    <t>G2</t>
  </si>
  <si>
    <t>PL</t>
  </si>
  <si>
    <t>K1</t>
  </si>
  <si>
    <t>K2</t>
  </si>
  <si>
    <t>dk_panel_filling2</t>
  </si>
  <si>
    <t>dk_panel_filling_thk2</t>
  </si>
  <si>
    <t>dk_panel_segments2</t>
  </si>
  <si>
    <t>Ausschnittfelder Standflügel</t>
  </si>
  <si>
    <t>dk_mainpanel_design2</t>
  </si>
  <si>
    <t>Stil des Hauptpanels Standflügel</t>
  </si>
  <si>
    <t>dk_panel_division2</t>
  </si>
  <si>
    <t>Teilungen der Ausschnittfelder Standflügel</t>
  </si>
  <si>
    <t>dk_panel_bar2</t>
  </si>
  <si>
    <t>Sprossen der Ausschnittfelder Standflügel</t>
  </si>
  <si>
    <t>Stil der Füllung Standflügel</t>
  </si>
  <si>
    <t>Standflügel Verleistung</t>
  </si>
  <si>
    <t>bs_panel_surface2_BS</t>
  </si>
  <si>
    <t>Standflügel Oberfläche Bandseite</t>
  </si>
  <si>
    <t>bs_panel_surface2_BGS</t>
  </si>
  <si>
    <t>Standflügel Oberfläche Bandgegenseite</t>
  </si>
  <si>
    <t>bs_panel_colour2_BS</t>
  </si>
  <si>
    <t>Standflügel Farbe BS</t>
  </si>
  <si>
    <t>weiß</t>
  </si>
  <si>
    <t>bs_panel_colour2_BGS</t>
  </si>
  <si>
    <t>Standflügel Farbe BGS</t>
  </si>
  <si>
    <t>dk_panel_strips2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</si>
  <si>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</si>
  <si>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</si>
  <si>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</si>
  <si>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</si>
  <si>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</si>
  <si>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</si>
  <si>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</si>
  <si>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</si>
  <si>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</si>
  <si>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</si>
  <si>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</si>
  <si>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</si>
  <si>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</si>
  <si>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</si>
  <si>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</si>
  <si>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</si>
  <si>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</si>
  <si>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</si>
  <si>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</si>
  <si>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</si>
  <si>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</si>
  <si>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dk_panel_division_bottom2</t>
  </si>
  <si>
    <t>dk_panel_division_top2</t>
  </si>
  <si>
    <t>Untere Panelteilung Standflügel</t>
  </si>
  <si>
    <t>Obere Panelteilung Standflügel</t>
  </si>
  <si>
    <t>dk_leafFrWidthHorizontal2</t>
  </si>
  <si>
    <t>Breite Riegel Horizontal Standflügel</t>
  </si>
  <si>
    <t>dk_leafFrWidthVertical2</t>
  </si>
  <si>
    <t>Breite Pfosten vertikal Standflügel</t>
  </si>
  <si>
    <t>dk_arch_height2</t>
  </si>
  <si>
    <t>Höhe Bogen Hauptfeld Standflügel</t>
  </si>
  <si>
    <t>dk_opening2D</t>
  </si>
  <si>
    <t>Öffnungslinien Grundriss</t>
  </si>
  <si>
    <t>Dicke Türfüllung Standflügel</t>
  </si>
  <si>
    <t>ohne Teilung</t>
  </si>
  <si>
    <t>Hauptfeld</t>
  </si>
  <si>
    <t>2 Felder</t>
  </si>
  <si>
    <t>3 Felder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</si>
  <si>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</si>
  <si>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</si>
  <si>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</si>
  <si>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</si>
  <si>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</si>
  <si>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</si>
  <si>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</si>
  <si>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</si>
  <si>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</si>
  <si>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</si>
  <si>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Beschichtung</t>
  </si>
  <si>
    <t>Funier</t>
  </si>
  <si>
    <t>Eloxiert</t>
  </si>
  <si>
    <t>Natur</t>
  </si>
  <si>
    <t>HPL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</si>
  <si>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</si>
  <si>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</si>
  <si>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</si>
  <si>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</si>
  <si>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</si>
  <si>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</si>
  <si>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</si>
  <si>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</si>
  <si>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</si>
  <si>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</si>
  <si>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</si>
  <si>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</si>
  <si>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</si>
  <si>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</si>
  <si>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</si>
  <si>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</si>
  <si>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</si>
  <si>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</si>
  <si>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</si>
  <si>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</si>
  <si>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</si>
  <si>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</si>
  <si>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</si>
  <si>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</si>
  <si>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G3</t>
  </si>
  <si>
    <t>Glas, dreifach</t>
  </si>
  <si>
    <t>Kassette 1</t>
  </si>
  <si>
    <t>Kassette 2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</si>
  <si>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</si>
  <si>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</si>
  <si>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</si>
  <si>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</si>
  <si>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</si>
  <si>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</si>
  <si>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bs_fanlight_filling_thk</t>
  </si>
  <si>
    <t>Dicke Oberlichtfüllung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</si>
  <si>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</si>
  <si>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</si>
  <si>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</si>
  <si>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</si>
  <si>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</si>
  <si>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</si>
  <si>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</si>
  <si>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</si>
  <si>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</si>
  <si>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</si>
  <si>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</si>
  <si>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</si>
  <si>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</si>
  <si>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</si>
  <si>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</si>
  <si>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</si>
  <si>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</si>
  <si>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</si>
  <si>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</si>
  <si>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</si>
  <si>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</si>
  <si>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</si>
  <si>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</si>
  <si>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</si>
  <si>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</si>
  <si>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</si>
  <si>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</si>
  <si>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</si>
  <si>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</si>
  <si>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</si>
  <si>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</si>
  <si>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</si>
  <si>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</si>
  <si>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</si>
  <si>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</si>
  <si>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</si>
  <si>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</si>
  <si>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</si>
  <si>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</si>
  <si>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</si>
  <si>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dka_hinge_mat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</si>
  <si>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</si>
  <si>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</si>
  <si>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</si>
  <si>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</si>
  <si>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</si>
  <si>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</si>
  <si>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</si>
  <si>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</si>
  <si>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</si>
  <si>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</si>
  <si>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</si>
  <si>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</si>
  <si>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</si>
  <si>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</si>
  <si>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</si>
  <si>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</si>
  <si>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</si>
  <si>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</si>
  <si>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</si>
  <si>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Kunststoff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</si>
  <si>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</si>
  <si>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</si>
  <si>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</si>
  <si>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</si>
  <si>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</si>
  <si>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</si>
  <si>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[bs_leaf_oversize]</t>
  </si>
  <si>
    <t>Öffnungswinkel gekoppelt</t>
  </si>
  <si>
    <t>dk_opening_locked</t>
  </si>
  <si>
    <t>(develop)</t>
  </si>
  <si>
    <t>(language)</t>
  </si>
  <si>
    <t>dk_estimatedWeight2</t>
  </si>
  <si>
    <t>dk_estimatedWeight</t>
  </si>
  <si>
    <t>Berechnetes, abgeschätztes Gewicht Gangflügel</t>
  </si>
  <si>
    <t>Berechnetes, abgeschätztes Gewicht Standflügel</t>
  </si>
  <si>
    <t>RP</t>
  </si>
  <si>
    <t>Rohrrahmenprofil</t>
  </si>
  <si>
    <t>Stahl</t>
  </si>
  <si>
    <t>Aluminium</t>
  </si>
  <si>
    <t>AN</t>
  </si>
  <si>
    <t>BE</t>
  </si>
  <si>
    <t>FU</t>
  </si>
  <si>
    <t>EL</t>
  </si>
  <si>
    <t>NA</t>
  </si>
  <si>
    <t>HP</t>
  </si>
  <si>
    <t>XX</t>
  </si>
  <si>
    <t>Individuell</t>
  </si>
  <si>
    <t>(dk_mainpanel_design)</t>
  </si>
  <si>
    <t>HO</t>
  </si>
  <si>
    <t>ST</t>
  </si>
  <si>
    <t>AL</t>
  </si>
  <si>
    <t>GL</t>
  </si>
  <si>
    <t>KU</t>
  </si>
  <si>
    <t>bs_frame_material</t>
  </si>
  <si>
    <t>dk_filling_position</t>
  </si>
  <si>
    <t>Positionierung Füllungen in Türblatt</t>
  </si>
  <si>
    <t>mittig</t>
  </si>
  <si>
    <t>Offset zu Bezugsebene</t>
  </si>
  <si>
    <t>dk_leaf_bandings_width</t>
  </si>
  <si>
    <t>Breite Umleimer (ab Falz)</t>
  </si>
  <si>
    <t>dk_panel_bandings</t>
  </si>
  <si>
    <t>dka_panel_bandings_mat</t>
  </si>
  <si>
    <t>dka_automation_mat</t>
  </si>
  <si>
    <t>dka_grip_mat_BS1</t>
  </si>
  <si>
    <t>dka_grip_mat_BS2</t>
  </si>
  <si>
    <t>dka_grip_mat_BGS1</t>
  </si>
  <si>
    <t>dka_grip_mat_BGS2</t>
  </si>
  <si>
    <t>dka_panel2_bandings_mat</t>
  </si>
  <si>
    <t>dka_closer_mat</t>
  </si>
  <si>
    <t>bs_panel_surface_KA</t>
  </si>
  <si>
    <t>Türblatt Oberfläche Kanten</t>
  </si>
  <si>
    <t>bs_panel_colour_KA</t>
  </si>
  <si>
    <t>Türblatt Farbe Kante</t>
  </si>
  <si>
    <t>bs_panel_surface2_KA</t>
  </si>
  <si>
    <t>Standflügel Oberfläche Kante</t>
  </si>
  <si>
    <t>bs_panel_colour2_KA</t>
  </si>
  <si>
    <t>Standflügel Farbe Kante</t>
  </si>
  <si>
    <t>Einleimer</t>
  </si>
  <si>
    <t>Verdeckter Anleimer</t>
  </si>
  <si>
    <t>Unverdeckter Anleimer</t>
  </si>
  <si>
    <t>Materialkante</t>
  </si>
  <si>
    <t>E</t>
  </si>
  <si>
    <t>V</t>
  </si>
  <si>
    <t>K</t>
  </si>
  <si>
    <t>-</t>
  </si>
  <si>
    <t>ohne</t>
  </si>
  <si>
    <t>AB</t>
  </si>
  <si>
    <t>ABS</t>
  </si>
  <si>
    <t>PU</t>
  </si>
  <si>
    <t>Angegossen/PU</t>
  </si>
  <si>
    <t>Distanz von Bandgegenseite</t>
  </si>
  <si>
    <t>dka_penInvisible</t>
  </si>
  <si>
    <t>dka_closer_penSA</t>
  </si>
  <si>
    <t>dka_closer_pen3D</t>
  </si>
  <si>
    <t>dka_fan_penF</t>
  </si>
  <si>
    <t>dka_fan_penB</t>
  </si>
  <si>
    <t>dka_fan_fill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</si>
  <si>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</si>
  <si>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</si>
  <si>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</si>
  <si>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</si>
  <si>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</si>
  <si>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</si>
  <si>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</si>
  <si>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</si>
  <si>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ac_OpeningSide2</t>
  </si>
  <si>
    <t>Ausrichtung SF in Wandebene</t>
  </si>
  <si>
    <t>L</t>
  </si>
  <si>
    <t>bs_spyhole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</si>
  <si>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</si>
  <si>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</si>
  <si>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</si>
  <si>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</si>
  <si>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</si>
  <si>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</si>
  <si>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PARAMETERS:</t>
  </si>
  <si>
    <t>VALUES:</t>
  </si>
  <si>
    <t>TEXT:</t>
  </si>
  <si>
    <t>BITMAPS:</t>
  </si>
  <si>
    <t>OPTIMIZE:</t>
  </si>
  <si>
    <t>uiTXT</t>
  </si>
  <si>
    <t>context</t>
  </si>
  <si>
    <t>Steel</t>
  </si>
  <si>
    <t>Wood</t>
  </si>
  <si>
    <t>Plastic</t>
  </si>
  <si>
    <t>TÜRBLATT</t>
  </si>
  <si>
    <t>TÜRBLATT - Grundeinstellungen + Darstellung</t>
  </si>
  <si>
    <t xml:space="preserve"> ... Abmessungen Türblatt</t>
  </si>
  <si>
    <t xml:space="preserve"> ... Gestaltung Türblatt</t>
  </si>
  <si>
    <t xml:space="preserve"> ... Darstellung Türblatt</t>
  </si>
  <si>
    <t xml:space="preserve"> ... Ausbildung Kanten</t>
  </si>
  <si>
    <t>TÜRBLATT - Grundeinstellungen</t>
  </si>
  <si>
    <t xml:space="preserve"> ... Abmessungen Gangflügel</t>
  </si>
  <si>
    <t xml:space="preserve"> ... Gestaltung Gangflügel</t>
  </si>
  <si>
    <t xml:space="preserve"> ... Abmessungen Standflügel</t>
  </si>
  <si>
    <t xml:space="preserve"> ... Gestaltung Standflügel</t>
  </si>
  <si>
    <t>DOOR LEAF</t>
  </si>
  <si>
    <t>DOOR LEAF -  basic settings + representation</t>
  </si>
  <si>
    <t xml:space="preserve"> ... design door leaf</t>
  </si>
  <si>
    <t xml:space="preserve"> ... dimensions door leaf</t>
  </si>
  <si>
    <t xml:space="preserve"> ... setting bandings</t>
  </si>
  <si>
    <t>Englisch</t>
  </si>
  <si>
    <t>DOOR LEAF -  basic settings</t>
  </si>
  <si>
    <t xml:space="preserve"> ... representation door leaf</t>
  </si>
  <si>
    <t xml:space="preserve"> ... dimensions active door leaf</t>
  </si>
  <si>
    <t xml:space="preserve"> ... design active door leaf</t>
  </si>
  <si>
    <t xml:space="preserve"> ... dimensions inactive door leaf</t>
  </si>
  <si>
    <t xml:space="preserve"> ... design inactive door leaf</t>
  </si>
  <si>
    <t>D:\e+f\Projekte\GDL\Develop\Dorma\BIM-all-doors\develop\03 BAD panel\source.Generic_panel_macro\list of multilingual text.xlsx_x000D_
D:\e+f\Projekte\GDL\Develop\Dorma\BIM-all-doors\develop\03 BAD panel\source.Generic_panel_macro\list of multilingual tooltip.xlsx</t>
  </si>
  <si>
    <t>babel</t>
  </si>
  <si>
    <t>Konstruktionsart:</t>
  </si>
  <si>
    <t>Unterteilungen:</t>
  </si>
  <si>
    <t>Querschnitt:</t>
  </si>
  <si>
    <t>Position/Öffnung:</t>
  </si>
  <si>
    <t>Türblatt:</t>
  </si>
  <si>
    <t>Qualität:</t>
  </si>
  <si>
    <t>Darstellung:</t>
  </si>
  <si>
    <t>Konturen:</t>
  </si>
  <si>
    <t>Blatt:</t>
  </si>
  <si>
    <t>GANGFLÜGEL</t>
  </si>
  <si>
    <t>Gangflügel:</t>
  </si>
  <si>
    <t>STANDFLÜGEL</t>
  </si>
  <si>
    <t>Standflügel:</t>
  </si>
  <si>
    <t>Unterschnitt:</t>
  </si>
  <si>
    <t>Türspione:</t>
  </si>
  <si>
    <t>Produkt:</t>
  </si>
  <si>
    <t>Form Hauptfeld:</t>
  </si>
  <si>
    <t>Rahmen-/Randbreiten:</t>
  </si>
  <si>
    <t>Teilungen:</t>
  </si>
  <si>
    <t>Teilungshöhen:</t>
  </si>
  <si>
    <t>Sprossen:</t>
  </si>
  <si>
    <t>Stil:</t>
  </si>
  <si>
    <t>Brüstungsfeld</t>
  </si>
  <si>
    <t>Mittelfeld</t>
  </si>
  <si>
    <t>Kantenausbildung:</t>
  </si>
  <si>
    <t>FALZ AN ZARGE:</t>
  </si>
  <si>
    <t>FALZ AN MITTELFUGE:</t>
  </si>
  <si>
    <t>Ausrichtung zu Zarge:</t>
  </si>
  <si>
    <t>GRUNDRISS</t>
  </si>
  <si>
    <t>SCHNITT+ANSICHT</t>
  </si>
  <si>
    <t>Glas:</t>
  </si>
  <si>
    <t>Schnitt:</t>
  </si>
  <si>
    <t>Ansicht:</t>
  </si>
  <si>
    <t>Gestalt:</t>
  </si>
  <si>
    <t>Hersteller:</t>
  </si>
  <si>
    <t>Hersteller / Produkt:</t>
  </si>
  <si>
    <t>Position Füllungen:</t>
  </si>
  <si>
    <t>Oberfläche BS/BGS/KA:</t>
  </si>
  <si>
    <t>Farbe BS / BGS:</t>
  </si>
  <si>
    <t>Farbe BS / BGS / KA:</t>
  </si>
  <si>
    <t>BS / BGS / KA:</t>
  </si>
  <si>
    <t>BS/BGS:</t>
  </si>
  <si>
    <t>BS:</t>
  </si>
  <si>
    <t>BGS:</t>
  </si>
  <si>
    <t>KA:</t>
  </si>
  <si>
    <t>(*) BS = Bandseite, BGS = Bandgegenseite</t>
  </si>
  <si>
    <t>(*) BS = Bandseite, BGS = Bandgegenseite, KA = Kante</t>
  </si>
  <si>
    <t>1. Schlossseite</t>
  </si>
  <si>
    <t>2. Bandseite</t>
  </si>
  <si>
    <t>3. Oben</t>
  </si>
  <si>
    <t>4. Unten</t>
  </si>
  <si>
    <t>5. Horizontal</t>
  </si>
  <si>
    <t>6. Vertikal</t>
  </si>
  <si>
    <t>7. Brüstung</t>
  </si>
  <si>
    <t>8. Mittelfeld</t>
  </si>
  <si>
    <t>9. Stich</t>
  </si>
  <si>
    <t>Abmessungen:</t>
  </si>
  <si>
    <t>Breite Material:</t>
  </si>
  <si>
    <t>Dicke Füllung:</t>
  </si>
  <si>
    <t>Füllung:</t>
  </si>
  <si>
    <t>Kein Brüstungsfeld.</t>
  </si>
  <si>
    <t>Kein Mittelfeld.</t>
  </si>
  <si>
    <t>Keine Unterteilung.</t>
  </si>
  <si>
    <t>1. Dicke Türblatt</t>
  </si>
  <si>
    <t>2. Breite 1. Falz</t>
  </si>
  <si>
    <t>Tiefe (einfach)</t>
  </si>
  <si>
    <t>Überfälzung:</t>
  </si>
  <si>
    <t>Die Anzahl der Falze an der Zarge werden im Zargenmodul eingestellt.</t>
  </si>
  <si>
    <t>3D / Rendering (*) :</t>
  </si>
  <si>
    <t>Abstand:</t>
  </si>
  <si>
    <t>bubble</t>
  </si>
  <si>
    <t>Anzahl Sprossen quer</t>
  </si>
  <si>
    <t>Anzahl Sprossen vertikal</t>
  </si>
  <si>
    <t>Anzahl Türspione</t>
  </si>
  <si>
    <t>Art der Füllung</t>
  </si>
  <si>
    <t>Aufgesetzte Sprosse (je Seite)</t>
  </si>
  <si>
    <t>Ausrichtung Türblatt zu Zarge</t>
  </si>
  <si>
    <t>Ausschnittfelder Gangflügel</t>
  </si>
  <si>
    <t>Beachten Sie die Infoseite!</t>
  </si>
  <si>
    <t>Dicke Füllung Brüstungsfeld</t>
  </si>
  <si>
    <t>Dicke Füllung Brüstungsfeld Standflügel</t>
  </si>
  <si>
    <t>Dicke Füllung Hauptfeld</t>
  </si>
  <si>
    <t>Dicke Füllung Hauptfeld Standflügel</t>
  </si>
  <si>
    <t>Dicke Füllung Mittelfeld</t>
  </si>
  <si>
    <t>Dicke Füllung Mittelfeld Standflügel</t>
  </si>
  <si>
    <t>Einstellung des Falzes im Abschnitt Zarge.</t>
  </si>
  <si>
    <t>Falz an Mittelfuge Doppelflügel</t>
  </si>
  <si>
    <t>Farbe Bandgegenseite</t>
  </si>
  <si>
    <t>Farbe Bandseite</t>
  </si>
  <si>
    <t>Farbe Kante</t>
  </si>
  <si>
    <t>Feldteilungen im Abschnitt Gestaltung.</t>
  </si>
  <si>
    <t>Form / Stil des Hauptpanels Standflügel</t>
  </si>
  <si>
    <t>Gesamtbreite Mittelfalz</t>
  </si>
  <si>
    <t>Glas Gangflügel</t>
  </si>
  <si>
    <t>Glas Standflügel</t>
  </si>
  <si>
    <t>Hintergrundstift</t>
  </si>
  <si>
    <t>Konstruktionstyp Türblatt</t>
  </si>
  <si>
    <t>Konturstift Grundriss</t>
  </si>
  <si>
    <t>Konturstift´3D</t>
  </si>
  <si>
    <t>Material des Türblattes</t>
  </si>
  <si>
    <t>Name des Herstellers</t>
  </si>
  <si>
    <t>Oberfläche</t>
  </si>
  <si>
    <t>Oberfläche Bandgegenseite</t>
  </si>
  <si>
    <t>Oberfläche Bandseite</t>
  </si>
  <si>
    <t>Oberfläche Gangflügel Bandgegenseite</t>
  </si>
  <si>
    <t>Oberfläche Gangflügel Bandseite</t>
  </si>
  <si>
    <t>Oberfläche Gangflügel Kante</t>
  </si>
  <si>
    <t>Oberfläche Kante</t>
  </si>
  <si>
    <t>Oberfläche Kanten</t>
  </si>
  <si>
    <t>Oberfläche Standflügel Bandgegenseite</t>
  </si>
  <si>
    <t>Oberfläche Standflügel Bandseite</t>
  </si>
  <si>
    <t>Oberfläche Standflügel Kante</t>
  </si>
  <si>
    <t>Öffnungswinkel Gangflügel (Schnitt/Ansicht)</t>
  </si>
  <si>
    <t>Öffnungswinkel gleich</t>
  </si>
  <si>
    <t>Öffnungswinkel Standflügel (Schnitt/Ansicht)</t>
  </si>
  <si>
    <t>Offset Füllung zu Bezugsebene</t>
  </si>
  <si>
    <t>Rahmenbreite am Band</t>
  </si>
  <si>
    <t>Rahmenbreite am Schloss</t>
  </si>
  <si>
    <t>Schraffur Querschnitt/Grundriss</t>
  </si>
  <si>
    <t>Schraffur Querschnitt/Grundriss des Brüstungseldes</t>
  </si>
  <si>
    <t>Schraffur Querschnitt/Grundriss des Hauptfeldes</t>
  </si>
  <si>
    <t>Schraffur Querschnitt/Grundriss des Mittelfeldes</t>
  </si>
  <si>
    <t>Sprossenbreite Standflügel</t>
  </si>
  <si>
    <t>Sprossenteilung der Teilfelder des Brüstungsfeldes</t>
  </si>
  <si>
    <t>Sprossenteilung der Teilfelder des Hauptfeldes</t>
  </si>
  <si>
    <t>Sprossenteilung der Teilfelder des Mittelfeldes</t>
  </si>
  <si>
    <t>Sprossentiefe Standflügel</t>
  </si>
  <si>
    <t>Standflügel Farbe Bandgegenseite</t>
  </si>
  <si>
    <t>Standflügel Farbe Bandseite</t>
  </si>
  <si>
    <t>Stil / Form des Hauptfeldes</t>
  </si>
  <si>
    <t>Symmtrische Unterteilung Türblatt</t>
  </si>
  <si>
    <t>Teilung des Brüstungseldes</t>
  </si>
  <si>
    <t>Teilung des Brüstungsfeldes</t>
  </si>
  <si>
    <t>Teilung des Feldes</t>
  </si>
  <si>
    <t>Teilung des Hauptfeldes</t>
  </si>
  <si>
    <t>Teilung des Mittelfeldes</t>
  </si>
  <si>
    <t>Teilungen des Brüstungsfeldes längs</t>
  </si>
  <si>
    <t>Teilungen des Brüstungsfeldes quer</t>
  </si>
  <si>
    <t>Teilungen des Hauptfeldes längs</t>
  </si>
  <si>
    <t>Teilungen des Hauptfeldes quer</t>
  </si>
  <si>
    <t>Teilungen des Mittelfeldes längs</t>
  </si>
  <si>
    <t>Teilungen des Mittelfeldes quer</t>
  </si>
  <si>
    <t>Türblatt Breite (Gangflügel)</t>
  </si>
  <si>
    <t>Türblatt Breite (Stehflügel)</t>
  </si>
  <si>
    <t>Türblatt Gangflügel</t>
  </si>
  <si>
    <t>Türblatt Standflügel</t>
  </si>
  <si>
    <t>Türblattyp stumpf / überfälzt</t>
  </si>
  <si>
    <t>Vordergrundstift</t>
  </si>
  <si>
    <t>1. Versatz Mittelfalz horizontal</t>
  </si>
  <si>
    <t>1. Versatz Mittelfalz vertikal</t>
  </si>
  <si>
    <t>2. Versatz Mittelfalz horizontal</t>
  </si>
  <si>
    <t>2. Versatz Mittelfalz vertikal</t>
  </si>
  <si>
    <t>3. Versatz Mittelfalz vertikal</t>
  </si>
  <si>
    <t>Construction type:</t>
  </si>
  <si>
    <t>User Interface - PageNames</t>
  </si>
  <si>
    <t>Divisions:</t>
  </si>
  <si>
    <t>3. Dicke 1. Falz</t>
  </si>
  <si>
    <t>3. Überstand</t>
  </si>
  <si>
    <t>Öffnungswinkel Gangflügel (2D+3D)</t>
  </si>
  <si>
    <t>Öffnungswinkel Gangflügel (3D)</t>
  </si>
  <si>
    <t>Öffnungswinkel Gangflügel (Grundriss)</t>
  </si>
  <si>
    <t>Öffnungswinkel Standflügel (2D+3D)</t>
  </si>
  <si>
    <t>Öffnungswinkel Standflügel (3D)</t>
  </si>
  <si>
    <t>Öffnungswinkel Standflügel (Grundriss)</t>
  </si>
  <si>
    <t>4. Dicke 1. Falz</t>
  </si>
  <si>
    <t>4. Überstand</t>
  </si>
  <si>
    <t>bim-all-doors.panel</t>
  </si>
  <si>
    <t>D:\Daten (sync)\github\bim-all-doors\Source\Module\03 BAD panel\source.Generic_panel_macro</t>
  </si>
  <si>
    <t>prepare for open source</t>
  </si>
  <si>
    <t>1.90</t>
  </si>
  <si>
    <t>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</si>
</sst>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4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5" fillId="8" borderId="0" xfId="0" applyFont="1" applyFill="1"/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39" fillId="5" borderId="0" xfId="0" applyFont="1" applyFill="1" applyAlignment="1">
      <alignment vertical="center"/>
    </xf>
    <xf numFmtId="0" fontId="39" fillId="0" borderId="0" xfId="0" applyFont="1" applyFill="1"/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2" fillId="0" borderId="0" xfId="0" applyFont="1" applyAlignment="1">
      <alignment vertical="center"/>
    </xf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left" vertical="center"/>
    </xf>
    <xf numFmtId="1" fontId="40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6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7620</xdr:rowOff>
        </xdr:from>
        <xdr:to>
          <xdr:col>4</xdr:col>
          <xdr:colOff>0</xdr:colOff>
          <xdr:row>14</xdr:row>
          <xdr:rowOff>7620</xdr:rowOff>
        </xdr:to>
        <xdr:sp macro="" textlink="">
          <xdr:nvSpPr>
            <xdr:cNvPr id="11294" name="ExportParameterListButton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95" name="ExportValuesCommandsButton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96" name="ExportValueListsForUserInterface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97" name="ExportArchicadPropertiesButton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7620</xdr:rowOff>
        </xdr:from>
        <xdr:to>
          <xdr:col>3</xdr:col>
          <xdr:colOff>1363980</xdr:colOff>
          <xdr:row>20</xdr:row>
          <xdr:rowOff>7620</xdr:rowOff>
        </xdr:to>
        <xdr:sp macro="" textlink="">
          <xdr:nvSpPr>
            <xdr:cNvPr id="11298" name="ExportArrayIndicesButton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21</xdr:row>
          <xdr:rowOff>236220</xdr:rowOff>
        </xdr:to>
        <xdr:sp macro="" textlink="">
          <xdr:nvSpPr>
            <xdr:cNvPr id="11299" name="CommandButton7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300" name="ImportVariableTextButton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27</xdr:row>
          <xdr:rowOff>0</xdr:rowOff>
        </xdr:from>
        <xdr:to>
          <xdr:col>4</xdr:col>
          <xdr:colOff>7620</xdr:colOff>
          <xdr:row>27</xdr:row>
          <xdr:rowOff>243840</xdr:rowOff>
        </xdr:to>
        <xdr:sp macro="" textlink="">
          <xdr:nvSpPr>
            <xdr:cNvPr id="11301" name="ParseUserInterfaceButton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236220</xdr:rowOff>
        </xdr:from>
        <xdr:to>
          <xdr:col>4</xdr:col>
          <xdr:colOff>0</xdr:colOff>
          <xdr:row>24</xdr:row>
          <xdr:rowOff>236220</xdr:rowOff>
        </xdr:to>
        <xdr:sp macro="" textlink="">
          <xdr:nvSpPr>
            <xdr:cNvPr id="11302" name="IntegrateBitmapsButton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3</xdr:col>
          <xdr:colOff>1363980</xdr:colOff>
          <xdr:row>16</xdr:row>
          <xdr:rowOff>0</xdr:rowOff>
        </xdr:to>
        <xdr:sp macro="" textlink="">
          <xdr:nvSpPr>
            <xdr:cNvPr id="11303" name="CheckButton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304" name="CommandButton13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305" name="ExportMultilingualTextButton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%20(Reparier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>
        <row r="131">
          <cell r="M131" t="str">
            <v>gs_hsturz_wallMaterial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/>
      <sheetData sheetId="6">
        <row r="2">
          <cell r="CJ2" t="str">
            <v/>
          </cell>
        </row>
      </sheetData>
      <sheetData sheetId="7">
        <row r="2">
          <cell r="B2" t="str">
            <v>String</v>
          </cell>
        </row>
      </sheetData>
      <sheetData sheetId="8"/>
      <sheetData sheetId="9"/>
      <sheetData sheetId="10"/>
      <sheetData sheetId="11">
        <row r="2">
          <cell r="H2" t="str">
            <v>A</v>
          </cell>
        </row>
      </sheetData>
      <sheetData sheetId="12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I29"/>
  <sheetViews>
    <sheetView tabSelected="1" topLeftCell="A2" zoomScaleNormal="100" workbookViewId="0">
      <selection activeCell="B5" sqref="B5:C5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1.44140625" style="3" customWidth="1"/>
    <col min="6" max="6" width="27.88671875" style="3" customWidth="1"/>
    <col min="7" max="9" width="28" style="3" customWidth="1"/>
    <col min="10" max="16384" width="11.44140625" style="3"/>
  </cols>
  <sheetData>
    <row r="1" spans="1:9" ht="24.75" customHeight="1" x14ac:dyDescent="0.3">
      <c r="A1" s="1" t="s">
        <v>0</v>
      </c>
      <c r="B1" s="249" t="s">
        <v>1920</v>
      </c>
      <c r="C1" s="249"/>
      <c r="D1" s="243"/>
      <c r="E1" s="4"/>
    </row>
    <row r="2" spans="1:9" ht="9.75" customHeight="1" x14ac:dyDescent="0.3">
      <c r="A2" s="1"/>
      <c r="B2" s="147"/>
      <c r="C2" s="65"/>
      <c r="D2" s="65"/>
      <c r="E2" s="4"/>
      <c r="F2" s="4"/>
      <c r="G2" s="4"/>
      <c r="H2" s="4"/>
      <c r="I2" s="4"/>
    </row>
    <row r="3" spans="1:9" ht="35.25" customHeight="1" x14ac:dyDescent="0.3">
      <c r="A3" s="1" t="s">
        <v>159</v>
      </c>
      <c r="B3" s="109" t="s">
        <v>1921</v>
      </c>
      <c r="C3" s="109"/>
      <c r="D3" s="109"/>
      <c r="E3" s="109"/>
      <c r="F3" s="6"/>
      <c r="G3" s="6"/>
      <c r="H3" s="6"/>
      <c r="I3" s="6"/>
    </row>
    <row r="4" spans="1:9" ht="35.25" customHeight="1" x14ac:dyDescent="0.3">
      <c r="A4" s="1" t="s">
        <v>1</v>
      </c>
      <c r="B4" s="250" t="s">
        <v>1922</v>
      </c>
      <c r="C4" s="250"/>
      <c r="D4" s="244"/>
      <c r="E4" s="4"/>
    </row>
    <row r="5" spans="1:9" ht="35.25" customHeight="1" x14ac:dyDescent="0.3">
      <c r="A5" s="1" t="s">
        <v>97</v>
      </c>
      <c r="B5" s="251" t="s">
        <v>1923</v>
      </c>
      <c r="C5" s="251"/>
      <c r="D5" s="244"/>
      <c r="E5" s="4"/>
    </row>
    <row r="6" spans="1:9" ht="35.25" customHeight="1" x14ac:dyDescent="0.3">
      <c r="A6" s="1" t="s">
        <v>2</v>
      </c>
      <c r="B6" s="252">
        <v>45908</v>
      </c>
      <c r="C6" s="252"/>
      <c r="D6" s="245"/>
      <c r="E6" s="4"/>
    </row>
    <row r="7" spans="1:9" ht="35.25" customHeight="1" x14ac:dyDescent="0.3">
      <c r="A7" s="1" t="s">
        <v>3</v>
      </c>
      <c r="B7" s="250">
        <v>28</v>
      </c>
      <c r="C7" s="250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9" ht="35.25" customHeight="1" x14ac:dyDescent="0.3">
      <c r="A8" s="1" t="s">
        <v>4</v>
      </c>
      <c r="B8" s="250" t="str">
        <f>"max. "&amp;TEXT(ROWS(PARAMETERS!$A$2:$A$630),"0")&amp;" / "&amp;TEXT(ROWS(PARAMETERLISTE),"0")&amp;" (input/output GDL/)"</f>
        <v>max. 629 / 629 (input/output GDL/)</v>
      </c>
      <c r="C8" s="250"/>
      <c r="D8" s="4" t="s">
        <v>5</v>
      </c>
    </row>
    <row r="9" spans="1:9" ht="35.25" customHeight="1" x14ac:dyDescent="0.3">
      <c r="A9" s="1"/>
      <c r="B9" s="250" t="str">
        <f>TEXT(COUNTIF(PARAMETERS!$A$2:$A$630,"G"),"0")&amp;" (GDL) /  "&amp;TEXT(COUNTIF(PARAMETERS!$A$2:$A$630,"P"),"0")&amp;" (Properties)"</f>
        <v>486 (GDL) /  0 (Properties)</v>
      </c>
      <c r="C9" s="250"/>
      <c r="D9" s="4"/>
    </row>
    <row r="10" spans="1:9" ht="35.25" customHeight="1" x14ac:dyDescent="0.3">
      <c r="A10" s="1" t="s">
        <v>7</v>
      </c>
      <c r="B10" s="250" t="str">
        <f>"for max. "&amp;TEXT(ROWS(VALUESLIST),"0")&amp;" parameters"</f>
        <v>for max. 92 parameters</v>
      </c>
      <c r="C10" s="250"/>
      <c r="D10" s="4" t="s">
        <v>6</v>
      </c>
    </row>
    <row r="11" spans="1:9" ht="35.25" customHeight="1" x14ac:dyDescent="0.3">
      <c r="A11" s="1" t="s">
        <v>8</v>
      </c>
      <c r="B11" s="250" t="str">
        <f>"max. "&amp;TEXT(ROWS(VALUESval),"0")&amp;" items for value list (per parameter)"</f>
        <v>max. 91 items for value list (per parameter)</v>
      </c>
      <c r="C11" s="250"/>
      <c r="D11" s="4" t="s">
        <v>5</v>
      </c>
    </row>
    <row r="12" spans="1:9" ht="36" customHeight="1" x14ac:dyDescent="0.3">
      <c r="A12" s="1"/>
    </row>
    <row r="13" spans="1:9" ht="16.5" customHeight="1" x14ac:dyDescent="0.3">
      <c r="A13" s="1"/>
      <c r="C13" s="65" t="s">
        <v>154</v>
      </c>
      <c r="D13" s="65" t="s">
        <v>158</v>
      </c>
      <c r="E13" s="65" t="s">
        <v>153</v>
      </c>
      <c r="G13" s="65"/>
    </row>
    <row r="14" spans="1:9" ht="24" customHeight="1" x14ac:dyDescent="0.25">
      <c r="A14" s="7" t="s">
        <v>1719</v>
      </c>
      <c r="B14" s="14" t="s">
        <v>1713</v>
      </c>
      <c r="C14" s="14"/>
      <c r="E14" s="95" t="s">
        <v>152</v>
      </c>
    </row>
    <row r="15" spans="1:9" ht="24" customHeight="1" x14ac:dyDescent="0.25">
      <c r="A15" s="7"/>
      <c r="B15" s="14" t="s">
        <v>1714</v>
      </c>
      <c r="C15" s="14"/>
      <c r="E15" s="95" t="s">
        <v>141</v>
      </c>
    </row>
    <row r="16" spans="1:9" ht="24" customHeight="1" x14ac:dyDescent="0.25">
      <c r="A16" s="7"/>
      <c r="B16" s="17" t="s">
        <v>1715</v>
      </c>
      <c r="C16" s="14"/>
      <c r="E16" s="246"/>
    </row>
    <row r="17" spans="1:7" ht="24" customHeight="1" x14ac:dyDescent="0.25">
      <c r="A17" s="7"/>
      <c r="B17" s="14"/>
      <c r="C17" s="14"/>
      <c r="E17" s="95"/>
    </row>
    <row r="18" spans="1:7" ht="24" customHeight="1" x14ac:dyDescent="0.25">
      <c r="A18" s="7" t="s">
        <v>1720</v>
      </c>
      <c r="B18" s="14" t="s">
        <v>157</v>
      </c>
      <c r="C18" s="14"/>
      <c r="E18" s="95" t="s">
        <v>165</v>
      </c>
    </row>
    <row r="19" spans="1:7" ht="24" customHeight="1" x14ac:dyDescent="0.25">
      <c r="A19" s="7"/>
      <c r="B19" s="14" t="s">
        <v>156</v>
      </c>
      <c r="C19" s="14"/>
      <c r="E19" s="95" t="s">
        <v>184</v>
      </c>
    </row>
    <row r="20" spans="1:7" ht="24" customHeight="1" x14ac:dyDescent="0.25">
      <c r="A20" s="7"/>
      <c r="B20" s="14" t="s">
        <v>155</v>
      </c>
      <c r="C20" s="14"/>
      <c r="E20" s="95" t="s">
        <v>166</v>
      </c>
    </row>
    <row r="21" spans="1:7" ht="24" customHeight="1" x14ac:dyDescent="0.25">
      <c r="A21" s="7"/>
      <c r="B21" s="3"/>
      <c r="C21" s="14"/>
      <c r="F21" s="5" t="s">
        <v>122</v>
      </c>
      <c r="G21" s="5"/>
    </row>
    <row r="22" spans="1:7" ht="24" customHeight="1" x14ac:dyDescent="0.25">
      <c r="A22" s="7" t="s">
        <v>1721</v>
      </c>
      <c r="B22" s="14" t="s">
        <v>1716</v>
      </c>
      <c r="C22" s="14"/>
      <c r="E22" s="95" t="s">
        <v>167</v>
      </c>
      <c r="F22" s="5" t="s">
        <v>122</v>
      </c>
      <c r="G22" s="5"/>
    </row>
    <row r="23" spans="1:7" ht="24" customHeight="1" x14ac:dyDescent="0.25">
      <c r="A23" s="7"/>
      <c r="B23" s="14" t="s">
        <v>1717</v>
      </c>
      <c r="C23" s="14"/>
      <c r="E23" s="247" t="s">
        <v>1752</v>
      </c>
      <c r="F23" s="5" t="s">
        <v>122</v>
      </c>
    </row>
    <row r="24" spans="1:7" ht="24" customHeight="1" x14ac:dyDescent="0.25">
      <c r="A24" s="7"/>
      <c r="B24" s="17"/>
      <c r="C24" s="14"/>
      <c r="E24" s="95"/>
      <c r="F24" s="5" t="s">
        <v>122</v>
      </c>
    </row>
    <row r="25" spans="1:7" ht="24" customHeight="1" x14ac:dyDescent="0.25">
      <c r="A25" s="7" t="s">
        <v>1722</v>
      </c>
      <c r="B25" s="17" t="s">
        <v>162</v>
      </c>
      <c r="C25" s="14"/>
      <c r="E25" s="95" t="s">
        <v>163</v>
      </c>
      <c r="F25" s="5" t="s">
        <v>122</v>
      </c>
      <c r="G25" s="5"/>
    </row>
    <row r="26" spans="1:7" ht="24" customHeight="1" x14ac:dyDescent="0.25">
      <c r="A26" s="7"/>
      <c r="B26" s="17"/>
      <c r="C26" s="14"/>
      <c r="E26" s="95" t="s">
        <v>164</v>
      </c>
    </row>
    <row r="27" spans="1:7" ht="24.75" customHeight="1" x14ac:dyDescent="0.25">
      <c r="A27" s="7"/>
      <c r="B27" s="17"/>
      <c r="C27" s="14"/>
      <c r="E27" s="95"/>
    </row>
    <row r="28" spans="1:7" ht="24.75" customHeight="1" x14ac:dyDescent="0.25">
      <c r="A28" s="7" t="s">
        <v>1723</v>
      </c>
      <c r="B28" s="17" t="s">
        <v>1718</v>
      </c>
      <c r="C28" s="14"/>
      <c r="E28" s="95" t="s">
        <v>185</v>
      </c>
    </row>
    <row r="29" spans="1:7" ht="24.75" customHeight="1" x14ac:dyDescent="0.25">
      <c r="C29" s="14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4" r:id="rId4" name="ExportParameterListButton">
          <controlPr print="0" autoLine="0" r:id="rId5">
            <anchor moveWithCells="1" sizeWithCells="1">
              <from>
                <xdr:col>3</xdr:col>
                <xdr:colOff>0</xdr:colOff>
                <xdr:row>13</xdr:row>
                <xdr:rowOff>7620</xdr:rowOff>
              </from>
              <to>
                <xdr:col>4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11294" r:id="rId4" name="ExportParameterListButton"/>
      </mc:Fallback>
    </mc:AlternateContent>
    <mc:AlternateContent xmlns:mc="http://schemas.openxmlformats.org/markup-compatibility/2006">
      <mc:Choice Requires="x14">
        <control shapeId="11295" r:id="rId6" name="ExportValuesCommandsButton">
          <controlPr defaultSize="0" autoLine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95" r:id="rId6" name="ExportValuesCommandsButton"/>
      </mc:Fallback>
    </mc:AlternateContent>
    <mc:AlternateContent xmlns:mc="http://schemas.openxmlformats.org/markup-compatibility/2006">
      <mc:Choice Requires="x14">
        <control shapeId="11296" r:id="rId8" name="ExportValueListsForUserInterface">
          <controlPr defaultSize="0" autoLine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96" r:id="rId8" name="ExportValueListsForUserInterface"/>
      </mc:Fallback>
    </mc:AlternateContent>
    <mc:AlternateContent xmlns:mc="http://schemas.openxmlformats.org/markup-compatibility/2006">
      <mc:Choice Requires="x14">
        <control shapeId="11297" r:id="rId10" name="ExportArchicadPropertiesButton">
          <controlPr defaultSize="0" autoLine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97" r:id="rId10" name="ExportArchicadPropertiesButton"/>
      </mc:Fallback>
    </mc:AlternateContent>
    <mc:AlternateContent xmlns:mc="http://schemas.openxmlformats.org/markup-compatibility/2006">
      <mc:Choice Requires="x14">
        <control shapeId="11298" r:id="rId12" name="ExportArrayIndicesButton">
          <controlPr defaultSize="0" autoLine="0" r:id="rId13">
            <anchor moveWithCells="1" sizeWithCells="1">
              <from>
                <xdr:col>3</xdr:col>
                <xdr:colOff>0</xdr:colOff>
                <xdr:row>19</xdr:row>
                <xdr:rowOff>7620</xdr:rowOff>
              </from>
              <to>
                <xdr:col>3</xdr:col>
                <xdr:colOff>1363980</xdr:colOff>
                <xdr:row>20</xdr:row>
                <xdr:rowOff>7620</xdr:rowOff>
              </to>
            </anchor>
          </controlPr>
        </control>
      </mc:Choice>
      <mc:Fallback>
        <control shapeId="11298" r:id="rId12" name="ExportArrayIndicesButton"/>
      </mc:Fallback>
    </mc:AlternateContent>
    <mc:AlternateContent xmlns:mc="http://schemas.openxmlformats.org/markup-compatibility/2006">
      <mc:Choice Requires="x14">
        <control shapeId="11299" r:id="rId14" name="CommandButton7">
          <controlPr defaultSize="0" autoLine="0" r:id="rId15">
            <anchor moveWithCells="1" sizeWithCells="1">
              <from>
                <xdr:col>3</xdr:col>
                <xdr:colOff>0</xdr:colOff>
                <xdr:row>21</xdr:row>
                <xdr:rowOff>0</xdr:rowOff>
              </from>
              <to>
                <xdr:col>4</xdr:col>
                <xdr:colOff>0</xdr:colOff>
                <xdr:row>21</xdr:row>
                <xdr:rowOff>236220</xdr:rowOff>
              </to>
            </anchor>
          </controlPr>
        </control>
      </mc:Choice>
      <mc:Fallback>
        <control shapeId="11299" r:id="rId14" name="CommandButton7"/>
      </mc:Fallback>
    </mc:AlternateContent>
    <mc:AlternateContent xmlns:mc="http://schemas.openxmlformats.org/markup-compatibility/2006">
      <mc:Choice Requires="x14">
        <control shapeId="11300" r:id="rId16" name="ImportVariableTextButton">
          <controlPr print="0" autoLine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300" r:id="rId16" name="ImportVariableTextButton"/>
      </mc:Fallback>
    </mc:AlternateContent>
    <mc:AlternateContent xmlns:mc="http://schemas.openxmlformats.org/markup-compatibility/2006">
      <mc:Choice Requires="x14">
        <control shapeId="11301" r:id="rId18" name="ParseUserInterfaceButton">
          <controlPr print="0" autoLine="0" r:id="rId19">
            <anchor moveWithCells="1" sizeWithCells="1">
              <from>
                <xdr:col>3</xdr:col>
                <xdr:colOff>7620</xdr:colOff>
                <xdr:row>27</xdr:row>
                <xdr:rowOff>0</xdr:rowOff>
              </from>
              <to>
                <xdr:col>4</xdr:col>
                <xdr:colOff>7620</xdr:colOff>
                <xdr:row>27</xdr:row>
                <xdr:rowOff>243840</xdr:rowOff>
              </to>
            </anchor>
          </controlPr>
        </control>
      </mc:Choice>
      <mc:Fallback>
        <control shapeId="11301" r:id="rId18" name="ParseUserInterfaceButton"/>
      </mc:Fallback>
    </mc:AlternateContent>
    <mc:AlternateContent xmlns:mc="http://schemas.openxmlformats.org/markup-compatibility/2006">
      <mc:Choice Requires="x14">
        <control shapeId="11302" r:id="rId20" name="IntegrateBitmapsButton">
          <controlPr print="0" autoLine="0" r:id="rId21">
            <anchor moveWithCells="1" sizeWithCells="1">
              <from>
                <xdr:col>3</xdr:col>
                <xdr:colOff>0</xdr:colOff>
                <xdr:row>23</xdr:row>
                <xdr:rowOff>236220</xdr:rowOff>
              </from>
              <to>
                <xdr:col>4</xdr:col>
                <xdr:colOff>0</xdr:colOff>
                <xdr:row>24</xdr:row>
                <xdr:rowOff>236220</xdr:rowOff>
              </to>
            </anchor>
          </controlPr>
        </control>
      </mc:Choice>
      <mc:Fallback>
        <control shapeId="11302" r:id="rId20" name="IntegrateBitmapsButton"/>
      </mc:Fallback>
    </mc:AlternateContent>
    <mc:AlternateContent xmlns:mc="http://schemas.openxmlformats.org/markup-compatibility/2006">
      <mc:Choice Requires="x14">
        <control shapeId="11303" r:id="rId22" name="CheckButton">
          <controlPr print="0" autoLine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3</xdr:col>
                <xdr:colOff>1363980</xdr:colOff>
                <xdr:row>16</xdr:row>
                <xdr:rowOff>0</xdr:rowOff>
              </to>
            </anchor>
          </controlPr>
        </control>
      </mc:Choice>
      <mc:Fallback>
        <control shapeId="11303" r:id="rId22" name="CheckButton"/>
      </mc:Fallback>
    </mc:AlternateContent>
    <mc:AlternateContent xmlns:mc="http://schemas.openxmlformats.org/markup-compatibility/2006">
      <mc:Choice Requires="x14">
        <control shapeId="11304" r:id="rId24" name="CommandButton13">
          <controlPr defaultSize="0" autoLine="0" autoPict="0" r:id="rId2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304" r:id="rId24" name="CommandButton13"/>
      </mc:Fallback>
    </mc:AlternateContent>
    <mc:AlternateContent xmlns:mc="http://schemas.openxmlformats.org/markup-compatibility/2006">
      <mc:Choice Requires="x14">
        <control shapeId="11305" r:id="rId26" name="ExportMultilingualTextButton">
          <controlPr defaultSize="0" autoLine="0" autoPict="0" r:id="rId27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305" r:id="rId26" name="ExportMultilingualTex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636"/>
  <sheetViews>
    <sheetView zoomScaleNormal="100" workbookViewId="0">
      <pane ySplit="2148" topLeftCell="A15" activePane="bottomLeft"/>
      <selection activeCell="G1" sqref="G1:J1048576"/>
      <selection pane="bottomLeft" activeCell="D128" sqref="D128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IF(OR($M2="",NOT($O2="{array}")),"",IFERROR(MATCH(PARAMETERS!$M2,DEFAULT!$B$5:$CG$5,0),""))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IF(OR($M3="",NOT($O3="{array}")),"",IFERROR(MATCH(PARAMETERS!$M3,DEFAULT!$B$5:$CG$5,0),""))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IF($AA3="","",IF($B3="I",VLOOKUP($AA3,#REF!,53,0),INDEX(VALUES!$B$1:$CC$1,1,$AA3)))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IF(OR($M4="",NOT($O4="{array}")),"",IFERROR(MATCH(PARAMETERS!$M4,DEFAULT!$B$5:$CG$5,0),""))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IF($AA4="","",IF($B4="I",VLOOKUP($AA4,#REF!,53,0),INDEX(VALUES!$B$1:$CC$1,1,$AA4)))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IF(OR($M5="",NOT($O5="{array}")),"",IFERROR(MATCH(PARAMETERS!$M5,DEFAULT!$B$5:$CG$5,0),""))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IF($AA5="","",IF($B5="I",VLOOKUP($AA5,#REF!,53,0),INDEX(VALUES!$B$1:$CC$1,1,$AA5)))</f>
        <v/>
      </c>
    </row>
    <row r="6" spans="1:30" collapsed="1" x14ac:dyDescent="0.3">
      <c r="A6" s="22" t="s">
        <v>241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IF(OR($M6="",NOT($O6="{array}")),"",IFERROR(MATCH(PARAMETERS!$M6,DEFAULT!$B$5:$CG$5,0),""))</f>
        <v/>
      </c>
      <c r="AA6" s="56" t="str">
        <f t="shared" ref="AA6:AA116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IF($AA6="","",IF($B6="I",VLOOKUP($AA6,#REF!,53,0),INDEX(VALUES!$B$1:$CC$1,1,$AA6)))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242</v>
      </c>
      <c r="N7" s="41" t="s">
        <v>243</v>
      </c>
      <c r="R7" s="38" t="s">
        <v>196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IF(OR($M7="",NOT($O7="{array}")),"",IFERROR(MATCH(PARAMETERS!$M7,DEFAULT!$B$5:$CG$5,0),""))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IF($AA7="","",IF($B7="I",VLOOKUP($AA7,#REF!,53,0),INDEX(VALUES!$B$1:$CC$1,1,$AA7)))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244</v>
      </c>
      <c r="N8" s="14" t="s">
        <v>245</v>
      </c>
      <c r="O8" s="43">
        <v>0</v>
      </c>
      <c r="R8" s="38" t="s">
        <v>196</v>
      </c>
      <c r="S8" s="38" t="s">
        <v>112</v>
      </c>
      <c r="T8" s="38"/>
      <c r="V8" s="14" t="s">
        <v>245</v>
      </c>
      <c r="W8" s="15" t="str">
        <f>IF(IFERROR(VLOOKUP($M8,#REF!,1,0),"-")="-","","GS")</f>
        <v/>
      </c>
      <c r="Y8" s="53" t="s">
        <v>246</v>
      </c>
      <c r="Z8" s="59" t="str">
        <f>IF(OR($M8="",NOT($O8="{array}")),"",IFERROR(MATCH(PARAMETERS!$M8,DEFAULT!$B$5:$CG$5,0),""))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IF($AA8="","",IF($B8="I",VLOOKUP($AA8,#REF!,53,0),INDEX(VALUES!$B$1:$CC$1,1,$AA8)))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247</v>
      </c>
      <c r="N9" s="14" t="s">
        <v>248</v>
      </c>
      <c r="O9" s="43">
        <v>0</v>
      </c>
      <c r="R9" s="38" t="s">
        <v>196</v>
      </c>
      <c r="S9" s="38" t="s">
        <v>112</v>
      </c>
      <c r="T9" s="38"/>
      <c r="V9" s="14" t="s">
        <v>248</v>
      </c>
      <c r="W9" s="15" t="str">
        <f>IF(IFERROR(VLOOKUP($M9,#REF!,1,0),"-")="-","","GS")</f>
        <v/>
      </c>
      <c r="Y9" s="53" t="s">
        <v>246</v>
      </c>
      <c r="Z9" s="59" t="str">
        <f>IF(OR($M9="",NOT($O9="{array}")),"",IFERROR(MATCH(PARAMETERS!$M9,DEFAULT!$B$5:$CG$5,0),""))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IF($AA9="","",IF($B9="I",VLOOKUP($AA9,#REF!,53,0),INDEX(VALUES!$B$1:$CC$1,1,$AA9)))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249</v>
      </c>
      <c r="N10" s="14" t="s">
        <v>250</v>
      </c>
      <c r="O10" s="43">
        <v>0</v>
      </c>
      <c r="R10" s="38" t="s">
        <v>196</v>
      </c>
      <c r="S10" s="38" t="s">
        <v>112</v>
      </c>
      <c r="T10" s="38"/>
      <c r="V10" s="14" t="s">
        <v>250</v>
      </c>
      <c r="W10" s="15" t="str">
        <f>IF(IFERROR(VLOOKUP($M10,#REF!,1,0),"-")="-","","GS")</f>
        <v/>
      </c>
      <c r="Y10" s="53" t="s">
        <v>246</v>
      </c>
      <c r="Z10" s="59" t="str">
        <f>IF(OR($M10="",NOT($O10="{array}")),"",IFERROR(MATCH(PARAMETERS!$M10,DEFAULT!$B$5:$CG$5,0),""))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IF($AA10="","",IF($B10="I",VLOOKUP($AA10,#REF!,53,0),INDEX(VALUES!$B$1:$CC$1,1,$AA10)))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251</v>
      </c>
      <c r="N11" s="14" t="s">
        <v>252</v>
      </c>
      <c r="O11" s="43">
        <v>0</v>
      </c>
      <c r="R11" s="38" t="s">
        <v>196</v>
      </c>
      <c r="S11" s="38" t="s">
        <v>112</v>
      </c>
      <c r="T11" s="38"/>
      <c r="V11" s="14" t="s">
        <v>253</v>
      </c>
      <c r="W11" s="15" t="str">
        <f>IF(IFERROR(VLOOKUP($M11,#REF!,1,0),"-")="-","","GS")</f>
        <v/>
      </c>
      <c r="Y11" s="53" t="s">
        <v>246</v>
      </c>
      <c r="Z11" s="59" t="str">
        <f>IF(OR($M11="",NOT($O11="{array}")),"",IFERROR(MATCH(PARAMETERS!$M11,DEFAULT!$B$5:$CG$5,0),""))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IF($AA11="","",IF($B11="I",VLOOKUP($AA11,#REF!,53,0),INDEX(VALUES!$B$1:$CC$1,1,$AA11)))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254</v>
      </c>
      <c r="N12" s="14" t="s">
        <v>255</v>
      </c>
      <c r="O12" s="43">
        <v>0</v>
      </c>
      <c r="R12" s="38" t="s">
        <v>196</v>
      </c>
      <c r="S12" s="38" t="s">
        <v>112</v>
      </c>
      <c r="T12" s="38"/>
      <c r="V12" s="14" t="s">
        <v>255</v>
      </c>
      <c r="W12" s="15" t="str">
        <f>IF(IFERROR(VLOOKUP($M12,#REF!,1,0),"-")="-","","GS")</f>
        <v/>
      </c>
      <c r="Y12" s="53" t="s">
        <v>246</v>
      </c>
      <c r="Z12" s="59" t="str">
        <f>IF(OR($M12="",NOT($O12="{array}")),"",IFERROR(MATCH(PARAMETERS!$M12,DEFAULT!$B$5:$CG$5,0),""))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IF($AA12="","",IF($B12="I",VLOOKUP($AA12,#REF!,53,0),INDEX(VALUES!$B$1:$CC$1,1,$AA12)))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256</v>
      </c>
      <c r="N13" s="14" t="s">
        <v>257</v>
      </c>
      <c r="O13" s="43">
        <v>0</v>
      </c>
      <c r="R13" s="38" t="s">
        <v>196</v>
      </c>
      <c r="S13" s="38" t="s">
        <v>112</v>
      </c>
      <c r="T13" s="38"/>
      <c r="V13" s="14" t="s">
        <v>258</v>
      </c>
      <c r="W13" s="15" t="str">
        <f>IF(IFERROR(VLOOKUP($M13,#REF!,1,0),"-")="-","","GS")</f>
        <v/>
      </c>
      <c r="Y13" s="53" t="s">
        <v>246</v>
      </c>
      <c r="Z13" s="59" t="str">
        <f>IF(OR($M13="",NOT($O13="{array}")),"",IFERROR(MATCH(PARAMETERS!$M13,DEFAULT!$B$5:$CG$5,0),""))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IF($AA13="","",IF($B13="I",VLOOKUP($AA13,#REF!,53,0),INDEX(VALUES!$B$1:$CC$1,1,$AA13)))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259</v>
      </c>
      <c r="N14" s="14" t="s">
        <v>260</v>
      </c>
      <c r="O14" s="43">
        <v>0</v>
      </c>
      <c r="R14" s="38" t="s">
        <v>196</v>
      </c>
      <c r="S14" s="38" t="s">
        <v>112</v>
      </c>
      <c r="T14" s="38"/>
      <c r="V14" s="14" t="s">
        <v>261</v>
      </c>
      <c r="W14" s="15" t="str">
        <f>IF(IFERROR(VLOOKUP($M14,#REF!,1,0),"-")="-","","GS")</f>
        <v/>
      </c>
      <c r="Y14" s="53" t="s">
        <v>246</v>
      </c>
      <c r="Z14" s="59" t="str">
        <f>IF(OR($M14="",NOT($O14="{array}")),"",IFERROR(MATCH(PARAMETERS!$M14,DEFAULT!$B$5:$CG$5,0),""))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IF($AA14="","",IF($B14="I",VLOOKUP($AA14,#REF!,53,0),INDEX(VALUES!$B$1:$CC$1,1,$AA14)))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262</v>
      </c>
      <c r="N15" s="41" t="s">
        <v>263</v>
      </c>
      <c r="R15" s="38" t="s">
        <v>196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IF(OR($M15="",NOT($O15="{array}")),"",IFERROR(MATCH(PARAMETERS!$M15,DEFAULT!$B$5:$CG$5,0),""))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IF($AA15="","",IF($B15="I",VLOOKUP($AA15,#REF!,53,0),INDEX(VALUES!$B$1:$CC$1,1,$AA15)))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264</v>
      </c>
      <c r="N16" s="158" t="s">
        <v>95</v>
      </c>
      <c r="O16" s="159" t="s">
        <v>134</v>
      </c>
      <c r="P16" s="160" t="s">
        <v>265</v>
      </c>
      <c r="Q16" s="161" t="s">
        <v>9</v>
      </c>
      <c r="R16" s="162" t="s">
        <v>103</v>
      </c>
      <c r="S16" s="162" t="s">
        <v>112</v>
      </c>
      <c r="T16" s="163" t="s">
        <v>266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267</v>
      </c>
      <c r="Z16" s="59" t="str">
        <f>IF(OR($M16="",NOT($O16="{array}")),"",IFERROR(MATCH(PARAMETERS!$M16,DEFAULT!$B$5:$CG$5,0),""))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IF($AA16="","",IF($B16="I",VLOOKUP($AA16,#REF!,53,0),INDEX(VALUES!$B$1:$CC$1,1,$AA16)))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268</v>
      </c>
      <c r="N17" s="168" t="s">
        <v>269</v>
      </c>
      <c r="O17" s="159" t="s">
        <v>134</v>
      </c>
      <c r="P17" s="160" t="s">
        <v>265</v>
      </c>
      <c r="Q17" s="161" t="s">
        <v>9</v>
      </c>
      <c r="R17" s="162" t="s">
        <v>103</v>
      </c>
      <c r="S17" s="162" t="s">
        <v>112</v>
      </c>
      <c r="T17" s="163" t="s">
        <v>266</v>
      </c>
      <c r="U17" s="163" t="s">
        <v>114</v>
      </c>
      <c r="V17" s="163" t="s">
        <v>269</v>
      </c>
      <c r="W17" s="164" t="str">
        <f>IF(IFERROR(VLOOKUP($M17,#REF!,1,0),"-")="-","","GS")</f>
        <v/>
      </c>
      <c r="X17" s="165">
        <v>32</v>
      </c>
      <c r="Y17" s="163" t="s">
        <v>270</v>
      </c>
      <c r="Z17" s="59" t="str">
        <f>IF(OR($M17="",NOT($O17="{array}")),"",IFERROR(MATCH(PARAMETERS!$M17,DEFAULT!$B$5:$CG$5,0),""))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IF($AA17="","",IF($B17="I",VLOOKUP($AA17,#REF!,53,0),INDEX(VALUES!$B$1:$CC$1,1,$AA17)))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271</v>
      </c>
      <c r="N18" s="158" t="s">
        <v>272</v>
      </c>
      <c r="O18" s="159" t="s">
        <v>134</v>
      </c>
      <c r="P18" s="160" t="s">
        <v>265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272</v>
      </c>
      <c r="W18" s="164" t="str">
        <f>IF(IFERROR(VLOOKUP($M18,#REF!,1,0),"-")="-","","GS")</f>
        <v/>
      </c>
      <c r="X18" s="165">
        <v>33</v>
      </c>
      <c r="Y18" s="163" t="s">
        <v>273</v>
      </c>
      <c r="Z18" s="59" t="str">
        <f>IF(OR($M18="",NOT($O18="{array}")),"",IFERROR(MATCH(PARAMETERS!$M18,DEFAULT!$B$5:$CG$5,0),""))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IF($AA18="","",IF($B18="I",VLOOKUP($AA18,#REF!,53,0),INDEX(VALUES!$B$1:$CC$1,1,$AA18)))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274</v>
      </c>
      <c r="N19" s="158" t="s">
        <v>275</v>
      </c>
      <c r="O19" s="159" t="s">
        <v>134</v>
      </c>
      <c r="P19" s="160" t="s">
        <v>265</v>
      </c>
      <c r="Q19" s="161" t="s">
        <v>9</v>
      </c>
      <c r="R19" s="162" t="s">
        <v>103</v>
      </c>
      <c r="S19" s="162" t="s">
        <v>112</v>
      </c>
      <c r="T19" s="163" t="s">
        <v>265</v>
      </c>
      <c r="U19" s="163" t="s">
        <v>114</v>
      </c>
      <c r="V19" s="163" t="s">
        <v>276</v>
      </c>
      <c r="W19" s="164" t="str">
        <f>IF(IFERROR(VLOOKUP($M19,#REF!,1,0),"-")="-","","GS")</f>
        <v/>
      </c>
      <c r="X19" s="165">
        <v>41</v>
      </c>
      <c r="Y19" s="163" t="s">
        <v>277</v>
      </c>
      <c r="Z19" s="59" t="str">
        <f>IF(OR($M19="",NOT($O19="{array}")),"",IFERROR(MATCH(PARAMETERS!$M19,DEFAULT!$B$5:$CG$5,0),""))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IF($AA19="","",IF($B19="I",VLOOKUP($AA19,#REF!,53,0),INDEX(VALUES!$B$1:$CC$1,1,$AA19)))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278</v>
      </c>
      <c r="N20" s="168" t="s">
        <v>279</v>
      </c>
      <c r="O20" s="159" t="s">
        <v>134</v>
      </c>
      <c r="P20" s="160" t="s">
        <v>265</v>
      </c>
      <c r="Q20" s="161" t="s">
        <v>9</v>
      </c>
      <c r="R20" s="162" t="s">
        <v>103</v>
      </c>
      <c r="S20" s="162" t="s">
        <v>112</v>
      </c>
      <c r="T20" s="163" t="s">
        <v>265</v>
      </c>
      <c r="U20" s="163" t="s">
        <v>114</v>
      </c>
      <c r="V20" s="163" t="s">
        <v>279</v>
      </c>
      <c r="W20" s="164" t="str">
        <f>IF(IFERROR(VLOOKUP($M20,#REF!,1,0),"-")="-","","GS")</f>
        <v/>
      </c>
      <c r="X20" s="165">
        <v>34</v>
      </c>
      <c r="Y20" s="163" t="s">
        <v>280</v>
      </c>
      <c r="Z20" s="59" t="str">
        <f>IF(OR($M20="",NOT($O20="{array}")),"",IFERROR(MATCH(PARAMETERS!$M20,DEFAULT!$B$5:$CG$5,0),""))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IF($AA20="","",IF($B20="I",VLOOKUP($AA20,#REF!,53,0),INDEX(VALUES!$B$1:$CC$1,1,$AA20)))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281</v>
      </c>
      <c r="N21" s="168" t="s">
        <v>282</v>
      </c>
      <c r="O21" s="159" t="s">
        <v>134</v>
      </c>
      <c r="P21" s="160" t="s">
        <v>265</v>
      </c>
      <c r="Q21" s="161" t="s">
        <v>9</v>
      </c>
      <c r="R21" s="162" t="s">
        <v>103</v>
      </c>
      <c r="S21" s="162" t="s">
        <v>112</v>
      </c>
      <c r="T21" s="163" t="s">
        <v>265</v>
      </c>
      <c r="U21" s="163" t="s">
        <v>114</v>
      </c>
      <c r="V21" s="163" t="s">
        <v>282</v>
      </c>
      <c r="W21" s="164" t="str">
        <f>IF(IFERROR(VLOOKUP($M21,#REF!,1,0),"-")="-","","GS")</f>
        <v/>
      </c>
      <c r="X21" s="165" t="s">
        <v>265</v>
      </c>
      <c r="Y21" s="163" t="s">
        <v>283</v>
      </c>
      <c r="Z21" s="59" t="str">
        <f>IF(OR($M21="",NOT($O21="{array}")),"",IFERROR(MATCH(PARAMETERS!$M21,DEFAULT!$B$5:$CG$5,0),""))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IF($AA21="","",IF($B21="I",VLOOKUP($AA21,#REF!,53,0),INDEX(VALUES!$B$1:$CC$1,1,$AA21)))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284</v>
      </c>
      <c r="N22" s="168" t="s">
        <v>285</v>
      </c>
      <c r="O22" s="159" t="s">
        <v>134</v>
      </c>
      <c r="P22" s="160" t="s">
        <v>265</v>
      </c>
      <c r="Q22" s="161" t="s">
        <v>9</v>
      </c>
      <c r="R22" s="162" t="s">
        <v>103</v>
      </c>
      <c r="S22" s="162" t="s">
        <v>112</v>
      </c>
      <c r="T22" s="163" t="s">
        <v>265</v>
      </c>
      <c r="U22" s="163" t="s">
        <v>114</v>
      </c>
      <c r="V22" s="163" t="s">
        <v>285</v>
      </c>
      <c r="W22" s="164" t="str">
        <f>IF(IFERROR(VLOOKUP($M22,#REF!,1,0),"-")="-","","GS")</f>
        <v/>
      </c>
      <c r="X22" s="165" t="s">
        <v>265</v>
      </c>
      <c r="Y22" s="163" t="s">
        <v>286</v>
      </c>
      <c r="Z22" s="59" t="str">
        <f>IF(OR($M22="",NOT($O22="{array}")),"",IFERROR(MATCH(PARAMETERS!$M22,DEFAULT!$B$5:$CG$5,0),""))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IF($AA22="","",IF($B22="I",VLOOKUP($AA22,#REF!,53,0),INDEX(VALUES!$B$1:$CC$1,1,$AA22)))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287</v>
      </c>
      <c r="N23" s="168" t="s">
        <v>288</v>
      </c>
      <c r="O23" s="159" t="s">
        <v>134</v>
      </c>
      <c r="P23" s="160" t="s">
        <v>265</v>
      </c>
      <c r="Q23" s="161" t="s">
        <v>9</v>
      </c>
      <c r="R23" s="162" t="s">
        <v>103</v>
      </c>
      <c r="S23" s="162" t="s">
        <v>112</v>
      </c>
      <c r="T23" s="163" t="s">
        <v>265</v>
      </c>
      <c r="U23" s="163" t="s">
        <v>114</v>
      </c>
      <c r="V23" s="163" t="s">
        <v>288</v>
      </c>
      <c r="W23" s="164" t="str">
        <f>IF(IFERROR(VLOOKUP($M23,#REF!,1,0),"-")="-","","GS")</f>
        <v/>
      </c>
      <c r="X23" s="165" t="s">
        <v>265</v>
      </c>
      <c r="Y23" s="163" t="s">
        <v>289</v>
      </c>
      <c r="Z23" s="59" t="str">
        <f>IF(OR($M23="",NOT($O23="{array}")),"",IFERROR(MATCH(PARAMETERS!$M23,DEFAULT!$B$5:$CG$5,0),""))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IF($AA23="","",IF($B23="I",VLOOKUP($AA23,#REF!,53,0),INDEX(VALUES!$B$1:$CC$1,1,$AA23)))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290</v>
      </c>
      <c r="N24" s="168" t="s">
        <v>291</v>
      </c>
      <c r="O24" s="159" t="s">
        <v>134</v>
      </c>
      <c r="P24" s="160" t="s">
        <v>265</v>
      </c>
      <c r="Q24" s="161" t="s">
        <v>9</v>
      </c>
      <c r="R24" s="162" t="s">
        <v>103</v>
      </c>
      <c r="S24" s="162" t="s">
        <v>112</v>
      </c>
      <c r="T24" s="163" t="s">
        <v>265</v>
      </c>
      <c r="U24" s="163" t="s">
        <v>114</v>
      </c>
      <c r="V24" s="163" t="s">
        <v>291</v>
      </c>
      <c r="W24" s="164" t="str">
        <f>IF(IFERROR(VLOOKUP($M24,#REF!,1,0),"-")="-","","GS")</f>
        <v/>
      </c>
      <c r="X24" s="165" t="s">
        <v>265</v>
      </c>
      <c r="Y24" s="163" t="s">
        <v>292</v>
      </c>
      <c r="Z24" s="59" t="str">
        <f>IF(OR($M24="",NOT($O24="{array}")),"",IFERROR(MATCH(PARAMETERS!$M24,DEFAULT!$B$5:$CG$5,0),""))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IF($AA24="","",IF($B24="I",VLOOKUP($AA24,#REF!,53,0),INDEX(VALUES!$B$1:$CC$1,1,$AA24)))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293</v>
      </c>
      <c r="N25" s="168" t="s">
        <v>294</v>
      </c>
      <c r="O25" s="159" t="s">
        <v>134</v>
      </c>
      <c r="P25" s="160" t="s">
        <v>265</v>
      </c>
      <c r="Q25" s="161" t="s">
        <v>9</v>
      </c>
      <c r="R25" s="162" t="s">
        <v>103</v>
      </c>
      <c r="S25" s="162" t="s">
        <v>112</v>
      </c>
      <c r="T25" s="163" t="s">
        <v>265</v>
      </c>
      <c r="U25" s="163" t="s">
        <v>114</v>
      </c>
      <c r="V25" s="163" t="s">
        <v>294</v>
      </c>
      <c r="W25" s="164" t="str">
        <f>IF(IFERROR(VLOOKUP($M25,#REF!,1,0),"-")="-","","GS")</f>
        <v/>
      </c>
      <c r="X25" s="165" t="s">
        <v>265</v>
      </c>
      <c r="Y25" s="163" t="s">
        <v>295</v>
      </c>
      <c r="Z25" s="59" t="str">
        <f>IF(OR($M25="",NOT($O25="{array}")),"",IFERROR(MATCH(PARAMETERS!$M25,DEFAULT!$B$5:$CG$5,0),""))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IF($AA25="","",IF($B25="I",VLOOKUP($AA25,#REF!,53,0),INDEX(VALUES!$B$1:$CC$1,1,$AA25)))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296</v>
      </c>
      <c r="N26" s="169" t="s">
        <v>297</v>
      </c>
      <c r="O26" s="159" t="s">
        <v>134</v>
      </c>
      <c r="P26" s="160" t="s">
        <v>265</v>
      </c>
      <c r="Q26" s="170" t="s">
        <v>9</v>
      </c>
      <c r="R26" s="171" t="s">
        <v>103</v>
      </c>
      <c r="S26" s="171" t="s">
        <v>112</v>
      </c>
      <c r="T26" s="166" t="s">
        <v>265</v>
      </c>
      <c r="U26" s="166" t="s">
        <v>114</v>
      </c>
      <c r="V26" s="166" t="s">
        <v>297</v>
      </c>
      <c r="W26" s="172" t="str">
        <f>IF(IFERROR(VLOOKUP($M26,#REF!,1,0),"-")="-","","GS")</f>
        <v/>
      </c>
      <c r="X26" s="160" t="s">
        <v>265</v>
      </c>
      <c r="Y26" s="166" t="s">
        <v>298</v>
      </c>
      <c r="Z26" s="59" t="str">
        <f>IF(OR($M26="",NOT($O26="{array}")),"",IFERROR(MATCH(PARAMETERS!$M26,DEFAULT!$B$5:$CG$5,0),""))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IF($AA26="","",IF($B26="I",VLOOKUP($AA26,#REF!,53,0),INDEX(VALUES!$B$1:$CC$1,1,$AA26)))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299</v>
      </c>
      <c r="N27" s="168" t="s">
        <v>300</v>
      </c>
      <c r="O27" s="173" t="s">
        <v>265</v>
      </c>
      <c r="P27" s="174" t="s">
        <v>265</v>
      </c>
      <c r="Q27" s="161" t="s">
        <v>9</v>
      </c>
      <c r="R27" s="162" t="s">
        <v>103</v>
      </c>
      <c r="S27" s="162" t="s">
        <v>112</v>
      </c>
      <c r="T27" s="163" t="s">
        <v>265</v>
      </c>
      <c r="U27" s="163" t="s">
        <v>114</v>
      </c>
      <c r="V27" s="163" t="s">
        <v>301</v>
      </c>
      <c r="W27" s="164" t="str">
        <f>IF(IFERROR(VLOOKUP($M27,#REF!,1,0),"-")="-","","GS")</f>
        <v/>
      </c>
      <c r="X27" s="165" t="s">
        <v>265</v>
      </c>
      <c r="Y27" s="163" t="s">
        <v>302</v>
      </c>
      <c r="Z27" s="59" t="str">
        <f>IF(OR($M27="",NOT($O27="{array}")),"",IFERROR(MATCH(PARAMETERS!$M27,DEFAULT!$B$5:$CG$5,0),""))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IF($AA27="","",IF($B27="I",VLOOKUP($AA27,#REF!,53,0),INDEX(VALUES!$B$1:$CC$1,1,$AA27)))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303</v>
      </c>
      <c r="N28" s="41" t="s">
        <v>304</v>
      </c>
      <c r="R28" s="38" t="s">
        <v>196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IF(OR($M28="",NOT($O28="{array}")),"",IFERROR(MATCH(PARAMETERS!$M28,DEFAULT!$B$5:$CG$5,0),""))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IF($AA28="","",IF($B28="I",VLOOKUP($AA28,#REF!,53,0),INDEX(VALUES!$B$1:$CC$1,1,$AA28)))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305</v>
      </c>
      <c r="N29" s="53" t="s">
        <v>306</v>
      </c>
      <c r="O29" s="159" t="s">
        <v>134</v>
      </c>
      <c r="P29" s="160" t="s">
        <v>265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265</v>
      </c>
      <c r="V29" s="166" t="s">
        <v>307</v>
      </c>
      <c r="W29" s="15" t="str">
        <f>IF(IFERROR(VLOOKUP($M29,#REF!,1,0),"-")="-","","GS")</f>
        <v/>
      </c>
      <c r="X29" s="160">
        <v>40</v>
      </c>
      <c r="Y29" s="166" t="s">
        <v>308</v>
      </c>
      <c r="Z29" s="59" t="str">
        <f>IF(OR($M29="",NOT($O29="{array}")),"",IFERROR(MATCH(PARAMETERS!$M29,DEFAULT!$B$5:$CG$5,0),""))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IF($AA29="","",IF($B29="I",VLOOKUP($AA29,#REF!,53,0),INDEX(VALUES!$B$1:$CC$1,1,$AA29)))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309</v>
      </c>
      <c r="N30" s="159" t="s">
        <v>310</v>
      </c>
      <c r="O30" s="159">
        <v>0.8</v>
      </c>
      <c r="P30" s="176" t="s">
        <v>265</v>
      </c>
      <c r="Q30" s="177" t="s">
        <v>9</v>
      </c>
      <c r="R30" s="178" t="s">
        <v>103</v>
      </c>
      <c r="S30" s="178" t="s">
        <v>112</v>
      </c>
      <c r="T30" s="159" t="s">
        <v>265</v>
      </c>
      <c r="U30" s="159" t="s">
        <v>265</v>
      </c>
      <c r="V30" s="179"/>
      <c r="W30" s="15"/>
      <c r="X30" s="160"/>
      <c r="Y30" s="159" t="s">
        <v>310</v>
      </c>
      <c r="Z30" s="59" t="str">
        <f>IF(OR($M30="",NOT($O30="{array}")),"",IFERROR(MATCH(PARAMETERS!$M30,DEFAULT!$B$5:$CG$5,0),""))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IF($AA30="","",IF($B30="I",VLOOKUP($AA30,#REF!,53,0),INDEX(VALUES!$B$1:$CC$1,1,$AA30)))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311</v>
      </c>
      <c r="N31" s="159" t="s">
        <v>312</v>
      </c>
      <c r="O31" s="159">
        <v>2</v>
      </c>
      <c r="P31" s="176" t="s">
        <v>265</v>
      </c>
      <c r="Q31" s="177" t="s">
        <v>9</v>
      </c>
      <c r="R31" s="178" t="s">
        <v>103</v>
      </c>
      <c r="S31" s="178" t="s">
        <v>112</v>
      </c>
      <c r="T31" s="159" t="s">
        <v>265</v>
      </c>
      <c r="U31" s="159" t="s">
        <v>265</v>
      </c>
      <c r="V31" s="179"/>
      <c r="W31" s="15"/>
      <c r="X31" s="160"/>
      <c r="Y31" s="159" t="s">
        <v>312</v>
      </c>
      <c r="Z31" s="59" t="str">
        <f>IF(OR($M31="",NOT($O31="{array}")),"",IFERROR(MATCH(PARAMETERS!$M31,DEFAULT!$B$5:$CG$5,0),""))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IF($AA31="","",IF($B31="I",VLOOKUP($AA31,#REF!,53,0),INDEX(VALUES!$B$1:$CC$1,1,$AA31)))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313</v>
      </c>
      <c r="N32" s="159" t="s">
        <v>314</v>
      </c>
      <c r="O32" s="159">
        <v>90</v>
      </c>
      <c r="P32" s="176" t="s">
        <v>265</v>
      </c>
      <c r="Q32" s="177" t="s">
        <v>9</v>
      </c>
      <c r="R32" s="178" t="s">
        <v>103</v>
      </c>
      <c r="S32" s="178" t="s">
        <v>112</v>
      </c>
      <c r="T32" s="159" t="s">
        <v>265</v>
      </c>
      <c r="U32" s="159" t="s">
        <v>265</v>
      </c>
      <c r="V32" s="159" t="s">
        <v>314</v>
      </c>
      <c r="W32" s="15" t="str">
        <f>IF(IFERROR(VLOOKUP($M32,#REF!,1,0),"-")="-","","GS")</f>
        <v/>
      </c>
      <c r="X32" s="176" t="s">
        <v>265</v>
      </c>
      <c r="Y32" s="159" t="s">
        <v>314</v>
      </c>
      <c r="Z32" s="59" t="str">
        <f>IF(OR($M32="",NOT($O32="{array}")),"",IFERROR(MATCH(PARAMETERS!$M32,DEFAULT!$B$5:$CG$5,0),""))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IF($AA32="","",IF($B32="I",VLOOKUP($AA32,#REF!,53,0),INDEX(VALUES!$B$1:$CC$1,1,$AA32)))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315</v>
      </c>
      <c r="N33" s="166" t="s">
        <v>316</v>
      </c>
      <c r="O33" s="159">
        <v>0</v>
      </c>
      <c r="P33" s="160" t="s">
        <v>265</v>
      </c>
      <c r="Q33" s="170" t="s">
        <v>9</v>
      </c>
      <c r="R33" s="171" t="s">
        <v>103</v>
      </c>
      <c r="S33" s="171" t="s">
        <v>112</v>
      </c>
      <c r="T33" s="166" t="s">
        <v>265</v>
      </c>
      <c r="U33" s="166" t="s">
        <v>265</v>
      </c>
      <c r="V33" s="166" t="s">
        <v>316</v>
      </c>
      <c r="W33" s="15" t="str">
        <f>IF(IFERROR(VLOOKUP($M33,#REF!,1,0),"-")="-","","GS")</f>
        <v/>
      </c>
      <c r="X33" s="160" t="s">
        <v>265</v>
      </c>
      <c r="Y33" s="166" t="s">
        <v>317</v>
      </c>
      <c r="Z33" s="59" t="str">
        <f>IF(OR($M33="",NOT($O33="{array}")),"",IFERROR(MATCH(PARAMETERS!$M33,DEFAULT!$B$5:$CG$5,0),""))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IF($AA33="","",IF($B33="I",VLOOKUP($AA33,#REF!,53,0),INDEX(VALUES!$B$1:$CC$1,1,$AA33)))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318</v>
      </c>
      <c r="N34" s="166" t="s">
        <v>319</v>
      </c>
      <c r="O34" s="159" t="s">
        <v>134</v>
      </c>
      <c r="P34" s="160" t="s">
        <v>265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265</v>
      </c>
      <c r="V34" s="166" t="s">
        <v>319</v>
      </c>
      <c r="W34" s="15" t="str">
        <f>IF(IFERROR(VLOOKUP($M34,#REF!,1,0),"-")="-","","GS")</f>
        <v/>
      </c>
      <c r="X34" s="160" t="s">
        <v>1019</v>
      </c>
      <c r="Y34" s="166" t="s">
        <v>320</v>
      </c>
      <c r="Z34" s="59" t="str">
        <f>IF(OR($M34="",NOT($O34="{array}")),"",IFERROR(MATCH(PARAMETERS!$M34,DEFAULT!$B$5:$CG$5,0),""))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IF($AA34="","",IF($B34="I",VLOOKUP($AA34,#REF!,53,0),INDEX(VALUES!$B$1:$CC$1,1,$AA34)))</f>
        <v/>
      </c>
    </row>
    <row r="35" spans="1:29" hidden="1" outlineLevel="1" x14ac:dyDescent="0.3">
      <c r="A35" s="22" t="s">
        <v>84</v>
      </c>
      <c r="B35" s="41" t="str">
        <f t="shared" ref="B35:B99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321</v>
      </c>
      <c r="N35" s="166" t="s">
        <v>322</v>
      </c>
      <c r="O35" s="159" t="s">
        <v>134</v>
      </c>
      <c r="P35" s="160" t="s">
        <v>265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265</v>
      </c>
      <c r="V35" s="166" t="s">
        <v>322</v>
      </c>
      <c r="W35" s="15" t="str">
        <f>IF(IFERROR(VLOOKUP($M35,#REF!,1,0),"-")="-","","GS")</f>
        <v/>
      </c>
      <c r="X35" s="160">
        <v>43</v>
      </c>
      <c r="Y35" s="166" t="s">
        <v>323</v>
      </c>
      <c r="Z35" s="59" t="str">
        <f>IF(OR($M35="",NOT($O35="{array}")),"",IFERROR(MATCH(PARAMETERS!$M35,DEFAULT!$B$5:$CG$5,0),""))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IF($AA35="","",IF($B35="I",VLOOKUP($AA35,#REF!,53,0),INDEX(VALUES!$B$1:$CC$1,1,$AA35)))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324</v>
      </c>
      <c r="N36" s="166" t="s">
        <v>325</v>
      </c>
      <c r="O36" s="159" t="s">
        <v>134</v>
      </c>
      <c r="P36" s="160" t="s">
        <v>265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265</v>
      </c>
      <c r="V36" s="166" t="s">
        <v>325</v>
      </c>
      <c r="W36" s="15" t="str">
        <f>IF(IFERROR(VLOOKUP($M36,#REF!,1,0),"-")="-","","GS")</f>
        <v/>
      </c>
      <c r="X36" s="160" t="s">
        <v>265</v>
      </c>
      <c r="Y36" s="166" t="s">
        <v>326</v>
      </c>
      <c r="Z36" s="59" t="str">
        <f>IF(OR($M36="",NOT($O36="{array}")),"",IFERROR(MATCH(PARAMETERS!$M36,DEFAULT!$B$5:$CG$5,0),""))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IF($AA36="","",IF($B36="I",VLOOKUP($AA36,#REF!,53,0),INDEX(VALUES!$B$1:$CC$1,1,$AA36)))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327</v>
      </c>
      <c r="N37" s="166" t="s">
        <v>328</v>
      </c>
      <c r="O37" s="159" t="s">
        <v>134</v>
      </c>
      <c r="P37" s="160" t="s">
        <v>265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265</v>
      </c>
      <c r="V37" s="166" t="s">
        <v>328</v>
      </c>
      <c r="W37" s="15" t="str">
        <f>IF(IFERROR(VLOOKUP($M37,#REF!,1,0),"-")="-","","GS")</f>
        <v/>
      </c>
      <c r="X37" s="160" t="s">
        <v>265</v>
      </c>
      <c r="Y37" s="166" t="s">
        <v>329</v>
      </c>
      <c r="Z37" s="59" t="str">
        <f>IF(OR($M37="",NOT($O37="{array}")),"",IFERROR(MATCH(PARAMETERS!$M37,DEFAULT!$B$5:$CG$5,0),""))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IF($AA37="","",IF($B37="I",VLOOKUP($AA37,#REF!,53,0),INDEX(VALUES!$B$1:$CC$1,1,$AA37)))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330</v>
      </c>
      <c r="N38" s="163" t="s">
        <v>331</v>
      </c>
      <c r="O38" s="159" t="s">
        <v>134</v>
      </c>
      <c r="P38" s="160" t="s">
        <v>265</v>
      </c>
      <c r="Q38" s="161" t="s">
        <v>9</v>
      </c>
      <c r="R38" s="162" t="s">
        <v>103</v>
      </c>
      <c r="S38" s="162" t="s">
        <v>112</v>
      </c>
      <c r="T38" s="163" t="s">
        <v>265</v>
      </c>
      <c r="U38" s="163" t="s">
        <v>114</v>
      </c>
      <c r="V38" s="163" t="s">
        <v>331</v>
      </c>
      <c r="W38" s="164" t="str">
        <f>IF(IFERROR(VLOOKUP($M38,#REF!,1,0),"-")="-","","GS")</f>
        <v/>
      </c>
      <c r="X38" s="165">
        <v>38</v>
      </c>
      <c r="Y38" s="163" t="s">
        <v>332</v>
      </c>
      <c r="Z38" s="59" t="str">
        <f>IF(OR($M38="",NOT($O38="{array}")),"",IFERROR(MATCH(PARAMETERS!$M38,DEFAULT!$B$5:$CG$5,0),""))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IF($AA38="","",IF($B38="I",VLOOKUP($AA38,#REF!,53,0),INDEX(VALUES!$B$1:$CC$1,1,$AA38)))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333</v>
      </c>
      <c r="N39" s="163" t="s">
        <v>334</v>
      </c>
      <c r="O39" s="159" t="s">
        <v>134</v>
      </c>
      <c r="P39" s="160" t="s">
        <v>265</v>
      </c>
      <c r="Q39" s="161" t="s">
        <v>9</v>
      </c>
      <c r="R39" s="162" t="s">
        <v>103</v>
      </c>
      <c r="S39" s="162" t="s">
        <v>112</v>
      </c>
      <c r="T39" s="163" t="s">
        <v>265</v>
      </c>
      <c r="U39" s="163" t="s">
        <v>114</v>
      </c>
      <c r="V39" s="163" t="s">
        <v>334</v>
      </c>
      <c r="W39" s="164" t="str">
        <f>IF(IFERROR(VLOOKUP($M39,#REF!,1,0),"-")="-","","GS")</f>
        <v/>
      </c>
      <c r="X39" s="165">
        <v>35</v>
      </c>
      <c r="Y39" s="163" t="s">
        <v>335</v>
      </c>
      <c r="Z39" s="59" t="str">
        <f>IF(OR($M39="",NOT($O39="{array}")),"",IFERROR(MATCH(PARAMETERS!$M39,DEFAULT!$B$5:$CG$5,0),""))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IF($AA39="","",IF($B39="I",VLOOKUP($AA39,#REF!,53,0),INDEX(VALUES!$B$1:$CC$1,1,$AA39)))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336</v>
      </c>
      <c r="N40" s="163" t="s">
        <v>337</v>
      </c>
      <c r="O40" s="159" t="s">
        <v>134</v>
      </c>
      <c r="P40" s="160" t="s">
        <v>265</v>
      </c>
      <c r="Q40" s="161" t="s">
        <v>9</v>
      </c>
      <c r="R40" s="162" t="s">
        <v>103</v>
      </c>
      <c r="S40" s="162" t="s">
        <v>112</v>
      </c>
      <c r="T40" s="163" t="s">
        <v>265</v>
      </c>
      <c r="U40" s="163" t="s">
        <v>114</v>
      </c>
      <c r="V40" s="163" t="s">
        <v>337</v>
      </c>
      <c r="W40" s="164" t="str">
        <f>IF(IFERROR(VLOOKUP($M40,#REF!,1,0),"-")="-","","GS")</f>
        <v/>
      </c>
      <c r="X40" s="165">
        <v>36</v>
      </c>
      <c r="Y40" s="163" t="s">
        <v>338</v>
      </c>
      <c r="Z40" s="59" t="str">
        <f>IF(OR($M40="",NOT($O40="{array}")),"",IFERROR(MATCH(PARAMETERS!$M40,DEFAULT!$B$5:$CG$5,0),""))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IF($AA40="","",IF($B40="I",VLOOKUP($AA40,#REF!,53,0),INDEX(VALUES!$B$1:$CC$1,1,$AA40)))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339</v>
      </c>
      <c r="N41" s="163" t="s">
        <v>301</v>
      </c>
      <c r="O41" s="159" t="s">
        <v>134</v>
      </c>
      <c r="P41" s="174" t="s">
        <v>265</v>
      </c>
      <c r="Q41" s="161" t="s">
        <v>9</v>
      </c>
      <c r="R41" s="162" t="s">
        <v>103</v>
      </c>
      <c r="S41" s="162" t="s">
        <v>112</v>
      </c>
      <c r="T41" s="163" t="s">
        <v>265</v>
      </c>
      <c r="U41" s="163" t="s">
        <v>114</v>
      </c>
      <c r="V41" s="163" t="s">
        <v>301</v>
      </c>
      <c r="W41" s="164" t="str">
        <f>IF(IFERROR(VLOOKUP($M41,#REF!,1,0),"-")="-","","GS")</f>
        <v/>
      </c>
      <c r="X41" s="165" t="s">
        <v>265</v>
      </c>
      <c r="Y41" s="163" t="s">
        <v>302</v>
      </c>
      <c r="Z41" s="59" t="str">
        <f>IF(OR($M41="",NOT($O41="{array}")),"",IFERROR(MATCH(PARAMETERS!$M41,DEFAULT!$B$5:$CG$5,0),""))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IF($AA41="","",IF($B41="I",VLOOKUP($AA41,#REF!,53,0),INDEX(VALUES!$B$1:$CC$1,1,$AA41)))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340</v>
      </c>
      <c r="N42" s="163" t="s">
        <v>341</v>
      </c>
      <c r="O42" s="159" t="s">
        <v>134</v>
      </c>
      <c r="P42" s="165" t="s">
        <v>265</v>
      </c>
      <c r="Q42" s="161" t="s">
        <v>9</v>
      </c>
      <c r="R42" s="162" t="s">
        <v>103</v>
      </c>
      <c r="S42" s="162" t="s">
        <v>112</v>
      </c>
      <c r="T42" s="163" t="s">
        <v>265</v>
      </c>
      <c r="U42" s="163" t="s">
        <v>265</v>
      </c>
      <c r="V42" s="163" t="s">
        <v>341</v>
      </c>
      <c r="W42" s="164" t="str">
        <f>IF(IFERROR(VLOOKUP($M42,#REF!,1,0),"-")="-","","GS")</f>
        <v/>
      </c>
      <c r="X42" s="165" t="s">
        <v>265</v>
      </c>
      <c r="Y42" s="163" t="s">
        <v>342</v>
      </c>
      <c r="Z42" s="59" t="str">
        <f>IF(OR($M42="",NOT($O42="{array}")),"",IFERROR(MATCH(PARAMETERS!$M42,DEFAULT!$B$5:$CG$5,0),""))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IF($AA42="","",IF($B42="I",VLOOKUP($AA42,#REF!,53,0),INDEX(VALUES!$B$1:$CC$1,1,$AA42)))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343</v>
      </c>
      <c r="N43" s="166" t="s">
        <v>344</v>
      </c>
      <c r="O43" s="159" t="s">
        <v>134</v>
      </c>
      <c r="P43" s="160" t="s">
        <v>265</v>
      </c>
      <c r="Q43" s="170" t="s">
        <v>9</v>
      </c>
      <c r="R43" s="171" t="s">
        <v>103</v>
      </c>
      <c r="S43" s="171" t="s">
        <v>112</v>
      </c>
      <c r="T43" s="166" t="s">
        <v>265</v>
      </c>
      <c r="U43" s="166" t="s">
        <v>265</v>
      </c>
      <c r="V43" s="166" t="s">
        <v>344</v>
      </c>
      <c r="W43" s="15" t="str">
        <f>IF(IFERROR(VLOOKUP($M43,#REF!,1,0),"-")="-","","GS")</f>
        <v/>
      </c>
      <c r="X43" s="160" t="s">
        <v>265</v>
      </c>
      <c r="Y43" s="166" t="s">
        <v>345</v>
      </c>
      <c r="Z43" s="59" t="str">
        <f>IF(OR($M43="",NOT($O43="{array}")),"",IFERROR(MATCH(PARAMETERS!$M43,DEFAULT!$B$5:$CG$5,0),""))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IF($AA43="","",IF($B43="I",VLOOKUP($AA43,#REF!,53,0),INDEX(VALUES!$B$1:$CC$1,1,$AA43)))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346</v>
      </c>
      <c r="N44" s="163" t="s">
        <v>347</v>
      </c>
      <c r="O44" s="159" t="s">
        <v>134</v>
      </c>
      <c r="P44" s="174" t="s">
        <v>265</v>
      </c>
      <c r="Q44" s="161" t="s">
        <v>9</v>
      </c>
      <c r="R44" s="162" t="s">
        <v>103</v>
      </c>
      <c r="S44" s="162" t="s">
        <v>112</v>
      </c>
      <c r="T44" s="163" t="s">
        <v>265</v>
      </c>
      <c r="U44" s="163" t="s">
        <v>114</v>
      </c>
      <c r="V44" s="163" t="s">
        <v>347</v>
      </c>
      <c r="W44" s="164" t="str">
        <f>IF(IFERROR(VLOOKUP($M44,#REF!,1,0),"-")="-","","GS")</f>
        <v/>
      </c>
      <c r="X44" s="165" t="s">
        <v>265</v>
      </c>
      <c r="Y44" s="163" t="s">
        <v>348</v>
      </c>
      <c r="Z44" s="59" t="str">
        <f>IF(OR($M44="",NOT($O44="{array}")),"",IFERROR(MATCH(PARAMETERS!$M44,DEFAULT!$B$5:$CG$5,0),""))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IF($AA44="","",IF($B44="I",VLOOKUP($AA44,#REF!,53,0),INDEX(VALUES!$B$1:$CC$1,1,$AA44)))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349</v>
      </c>
      <c r="N45" s="163" t="s">
        <v>350</v>
      </c>
      <c r="O45" s="159" t="s">
        <v>134</v>
      </c>
      <c r="P45" s="160" t="s">
        <v>265</v>
      </c>
      <c r="Q45" s="161" t="s">
        <v>9</v>
      </c>
      <c r="R45" s="162" t="s">
        <v>103</v>
      </c>
      <c r="S45" s="162" t="s">
        <v>112</v>
      </c>
      <c r="T45" s="163" t="s">
        <v>265</v>
      </c>
      <c r="U45" s="163" t="s">
        <v>114</v>
      </c>
      <c r="V45" s="163" t="s">
        <v>350</v>
      </c>
      <c r="W45" s="164" t="str">
        <f>IF(IFERROR(VLOOKUP($M45,#REF!,1,0),"-")="-","","GS")</f>
        <v/>
      </c>
      <c r="X45" s="165">
        <v>37</v>
      </c>
      <c r="Y45" s="163" t="s">
        <v>351</v>
      </c>
      <c r="Z45" s="59" t="str">
        <f>IF(OR($M45="",NOT($O45="{array}")),"",IFERROR(MATCH(PARAMETERS!$M45,DEFAULT!$B$5:$CG$5,0),""))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IF($AA45="","",IF($B45="I",VLOOKUP($AA45,#REF!,53,0),INDEX(VALUES!$B$1:$CC$1,1,$AA45)))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352</v>
      </c>
      <c r="N46" s="163" t="s">
        <v>353</v>
      </c>
      <c r="O46" s="159" t="s">
        <v>134</v>
      </c>
      <c r="P46" s="165" t="s">
        <v>265</v>
      </c>
      <c r="Q46" s="161" t="s">
        <v>9</v>
      </c>
      <c r="R46" s="162" t="s">
        <v>103</v>
      </c>
      <c r="S46" s="162" t="s">
        <v>112</v>
      </c>
      <c r="T46" s="163" t="s">
        <v>265</v>
      </c>
      <c r="U46" s="163" t="s">
        <v>265</v>
      </c>
      <c r="V46" s="163" t="s">
        <v>353</v>
      </c>
      <c r="W46" s="164" t="str">
        <f>IF(IFERROR(VLOOKUP($M46,#REF!,1,0),"-")="-","","GS")</f>
        <v/>
      </c>
      <c r="X46" s="165" t="s">
        <v>265</v>
      </c>
      <c r="Y46" s="163" t="s">
        <v>354</v>
      </c>
      <c r="Z46" s="59" t="str">
        <f>IF(OR($M46="",NOT($O46="{array}")),"",IFERROR(MATCH(PARAMETERS!$M46,DEFAULT!$B$5:$CG$5,0),""))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IF($AA46="","",IF($B46="I",VLOOKUP($AA46,#REF!,53,0),INDEX(VALUES!$B$1:$CC$1,1,$AA46)))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355</v>
      </c>
      <c r="N47" s="163" t="s">
        <v>356</v>
      </c>
      <c r="O47" s="159" t="s">
        <v>134</v>
      </c>
      <c r="P47" s="165" t="s">
        <v>265</v>
      </c>
      <c r="Q47" s="161" t="s">
        <v>9</v>
      </c>
      <c r="R47" s="162" t="s">
        <v>103</v>
      </c>
      <c r="S47" s="162" t="s">
        <v>112</v>
      </c>
      <c r="T47" s="163" t="s">
        <v>265</v>
      </c>
      <c r="U47" s="163" t="s">
        <v>265</v>
      </c>
      <c r="V47" s="163" t="s">
        <v>356</v>
      </c>
      <c r="W47" s="164" t="str">
        <f>IF(IFERROR(VLOOKUP($M47,#REF!,1,0),"-")="-","","GS")</f>
        <v/>
      </c>
      <c r="X47" s="165" t="s">
        <v>265</v>
      </c>
      <c r="Y47" s="163" t="s">
        <v>357</v>
      </c>
      <c r="Z47" s="59" t="str">
        <f>IF(OR($M47="",NOT($O47="{array}")),"",IFERROR(MATCH(PARAMETERS!$M47,DEFAULT!$B$5:$CG$5,0),""))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IF($AA47="","",IF($B47="I",VLOOKUP($AA47,#REF!,53,0),INDEX(VALUES!$B$1:$CC$1,1,$AA47)))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358</v>
      </c>
      <c r="N48" s="163" t="s">
        <v>359</v>
      </c>
      <c r="O48" s="159" t="s">
        <v>134</v>
      </c>
      <c r="P48" s="165" t="s">
        <v>265</v>
      </c>
      <c r="Q48" s="161" t="s">
        <v>9</v>
      </c>
      <c r="R48" s="162" t="s">
        <v>103</v>
      </c>
      <c r="S48" s="162" t="s">
        <v>112</v>
      </c>
      <c r="T48" s="163" t="s">
        <v>265</v>
      </c>
      <c r="U48" s="163" t="s">
        <v>265</v>
      </c>
      <c r="V48" s="163" t="s">
        <v>359</v>
      </c>
      <c r="W48" s="164" t="str">
        <f>IF(IFERROR(VLOOKUP($M48,#REF!,1,0),"-")="-","","GS")</f>
        <v/>
      </c>
      <c r="X48" s="165" t="s">
        <v>265</v>
      </c>
      <c r="Y48" s="163" t="s">
        <v>357</v>
      </c>
      <c r="Z48" s="59" t="str">
        <f>IF(OR($M48="",NOT($O48="{array}")),"",IFERROR(MATCH(PARAMETERS!$M48,DEFAULT!$B$5:$CG$5,0),""))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IF($AA48="","",IF($B48="I",VLOOKUP($AA48,#REF!,53,0),INDEX(VALUES!$B$1:$CC$1,1,$AA48)))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360</v>
      </c>
      <c r="N49" s="163" t="s">
        <v>361</v>
      </c>
      <c r="O49" s="159" t="s">
        <v>134</v>
      </c>
      <c r="P49" s="165" t="s">
        <v>265</v>
      </c>
      <c r="Q49" s="161" t="s">
        <v>9</v>
      </c>
      <c r="R49" s="162" t="s">
        <v>103</v>
      </c>
      <c r="S49" s="162" t="s">
        <v>112</v>
      </c>
      <c r="T49" s="163" t="s">
        <v>265</v>
      </c>
      <c r="U49" s="163" t="s">
        <v>265</v>
      </c>
      <c r="V49" s="163" t="s">
        <v>361</v>
      </c>
      <c r="W49" s="164" t="str">
        <f>IF(IFERROR(VLOOKUP($M49,#REF!,1,0),"-")="-","","GS")</f>
        <v/>
      </c>
      <c r="X49" s="165" t="s">
        <v>265</v>
      </c>
      <c r="Y49" s="163" t="s">
        <v>362</v>
      </c>
      <c r="Z49" s="59" t="str">
        <f>IF(OR($M49="",NOT($O49="{array}")),"",IFERROR(MATCH(PARAMETERS!$M49,DEFAULT!$B$5:$CG$5,0),""))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IF($AA49="","",IF($B49="I",VLOOKUP($AA49,#REF!,53,0),INDEX(VALUES!$B$1:$CC$1,1,$AA49)))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363</v>
      </c>
      <c r="N50" s="183" t="s">
        <v>364</v>
      </c>
      <c r="O50" s="166" t="s">
        <v>134</v>
      </c>
      <c r="P50" s="185" t="s">
        <v>265</v>
      </c>
      <c r="Q50" s="186" t="s">
        <v>9</v>
      </c>
      <c r="R50" s="187" t="s">
        <v>103</v>
      </c>
      <c r="S50" s="187" t="s">
        <v>112</v>
      </c>
      <c r="T50" s="183" t="s">
        <v>265</v>
      </c>
      <c r="U50" s="183" t="s">
        <v>265</v>
      </c>
      <c r="V50" s="183" t="s">
        <v>364</v>
      </c>
      <c r="W50" s="188" t="str">
        <f>IF(IFERROR(VLOOKUP($M50,#REF!,1,0),"-")="-","","GS")</f>
        <v/>
      </c>
      <c r="X50" s="185" t="s">
        <v>265</v>
      </c>
      <c r="Y50" s="183" t="s">
        <v>365</v>
      </c>
      <c r="Z50" s="59" t="str">
        <f>IF(OR($M50="",NOT($O50="{array}")),"",IFERROR(MATCH(PARAMETERS!$M50,DEFAULT!$B$5:$CG$5,0),""))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IF($AA50="","",IF($B50="I",VLOOKUP($AA50,#REF!,53,0),INDEX(VALUES!$B$1:$CC$1,1,$AA50)))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366</v>
      </c>
      <c r="N51" s="159" t="s">
        <v>367</v>
      </c>
      <c r="O51" s="159" t="s">
        <v>134</v>
      </c>
      <c r="P51" s="171" t="s">
        <v>265</v>
      </c>
      <c r="Q51" s="161"/>
      <c r="R51" s="162" t="s">
        <v>103</v>
      </c>
      <c r="S51" s="162" t="s">
        <v>112</v>
      </c>
      <c r="T51" s="163" t="s">
        <v>265</v>
      </c>
      <c r="U51" s="163" t="s">
        <v>114</v>
      </c>
      <c r="V51" s="163" t="s">
        <v>368</v>
      </c>
      <c r="W51" s="164" t="str">
        <f>IF(IFERROR(VLOOKUP($M51,#REF!,1,0),"-")="-","","GS")</f>
        <v/>
      </c>
      <c r="X51" s="165" t="s">
        <v>265</v>
      </c>
      <c r="Y51" s="163" t="s">
        <v>369</v>
      </c>
      <c r="Z51" s="59" t="str">
        <f>IF(OR($M51="",NOT($O51="{array}")),"",IFERROR(MATCH(PARAMETERS!$M51,DEFAULT!$B$5:$CG$5,0),""))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IF($AA51="","",IF($B51="I",VLOOKUP($AA51,#REF!,53,0),INDEX(VALUES!$B$1:$CC$1,1,$AA51)))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370</v>
      </c>
      <c r="N52" s="163" t="s">
        <v>371</v>
      </c>
      <c r="O52" s="159" t="s">
        <v>134</v>
      </c>
      <c r="P52" s="160" t="s">
        <v>265</v>
      </c>
      <c r="Q52" s="161" t="s">
        <v>9</v>
      </c>
      <c r="R52" s="162" t="s">
        <v>103</v>
      </c>
      <c r="S52" s="162" t="s">
        <v>112</v>
      </c>
      <c r="T52" s="163" t="s">
        <v>265</v>
      </c>
      <c r="U52" s="163" t="s">
        <v>114</v>
      </c>
      <c r="V52" s="163" t="s">
        <v>371</v>
      </c>
      <c r="W52" s="164" t="str">
        <f>IF(IFERROR(VLOOKUP($M52,#REF!,1,0),"-")="-","","GS")</f>
        <v/>
      </c>
      <c r="X52" s="165" t="s">
        <v>265</v>
      </c>
      <c r="Y52" s="163" t="s">
        <v>372</v>
      </c>
      <c r="Z52" s="59" t="str">
        <f>IF(OR($M52="",NOT($O52="{array}")),"",IFERROR(MATCH(PARAMETERS!$M52,DEFAULT!$B$5:$CG$5,0),""))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IF($AA52="","",IF($B52="I",VLOOKUP($AA52,#REF!,53,0),INDEX(VALUES!$B$1:$CC$1,1,$AA52)))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373</v>
      </c>
      <c r="N53" s="166" t="s">
        <v>374</v>
      </c>
      <c r="O53" s="159" t="s">
        <v>134</v>
      </c>
      <c r="P53" s="160" t="s">
        <v>265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265</v>
      </c>
      <c r="V53" s="166" t="s">
        <v>374</v>
      </c>
      <c r="W53" s="15" t="str">
        <f>IF(IFERROR(VLOOKUP($M53,#REF!,1,0),"-")="-","","GS")</f>
        <v/>
      </c>
      <c r="X53" s="160">
        <v>39</v>
      </c>
      <c r="Y53" s="166" t="s">
        <v>375</v>
      </c>
      <c r="Z53" s="59" t="str">
        <f>IF(OR($M53="",NOT($O53="{array}")),"",IFERROR(MATCH(PARAMETERS!$M53,DEFAULT!$B$5:$CG$5,0),""))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IF($AA53="","",IF($B53="I",VLOOKUP($AA53,#REF!,53,0),INDEX(VALUES!$B$1:$CC$1,1,$AA53)))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376</v>
      </c>
      <c r="N54" s="163" t="s">
        <v>377</v>
      </c>
      <c r="O54" s="159" t="s">
        <v>134</v>
      </c>
      <c r="P54" s="165" t="s">
        <v>265</v>
      </c>
      <c r="Q54" s="161" t="s">
        <v>9</v>
      </c>
      <c r="R54" s="162" t="s">
        <v>103</v>
      </c>
      <c r="S54" s="162" t="s">
        <v>112</v>
      </c>
      <c r="T54" s="163" t="s">
        <v>265</v>
      </c>
      <c r="U54" s="163" t="s">
        <v>265</v>
      </c>
      <c r="V54" s="163" t="s">
        <v>377</v>
      </c>
      <c r="W54" s="164" t="str">
        <f>IF(IFERROR(VLOOKUP($M54,#REF!,1,0),"-")="-","","GS")</f>
        <v/>
      </c>
      <c r="X54" s="165" t="s">
        <v>265</v>
      </c>
      <c r="Y54" s="163" t="s">
        <v>378</v>
      </c>
      <c r="Z54" s="59" t="str">
        <f>IF(OR($M54="",NOT($O54="{array}")),"",IFERROR(MATCH(PARAMETERS!$M54,DEFAULT!$B$5:$CG$5,0),""))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IF($AA54="","",IF($B54="I",VLOOKUP($AA54,#REF!,53,0),INDEX(VALUES!$B$1:$CC$1,1,$AA54)))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379</v>
      </c>
      <c r="N55" s="41" t="s">
        <v>380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IF(OR($M55="",NOT($O55="{array}")),"",IFERROR(MATCH(PARAMETERS!$M55,DEFAULT!$B$5:$CG$5,0),""))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IF($AA55="","",IF($B55="I",VLOOKUP($AA55,#REF!,53,0),INDEX(VALUES!$B$1:$CC$1,1,$AA55)))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381</v>
      </c>
      <c r="N56" s="189" t="s">
        <v>382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1019</v>
      </c>
      <c r="Y56" s="189" t="s">
        <v>383</v>
      </c>
      <c r="Z56" s="59" t="str">
        <f>IF(OR($M56="",NOT($O56="{array}")),"",IFERROR(MATCH(PARAMETERS!$M56,DEFAULT!$B$5:$CG$5,0),""))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IF($AA56="","",IF($B56="I",VLOOKUP($AA56,#REF!,53,0),INDEX(VALUES!$B$1:$CC$1,1,$AA56)))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384</v>
      </c>
      <c r="N57" s="189" t="s">
        <v>385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1019</v>
      </c>
      <c r="Y57" s="189" t="s">
        <v>383</v>
      </c>
      <c r="Z57" s="59" t="str">
        <f>IF(OR($M57="",NOT($O57="{array}")),"",IFERROR(MATCH(PARAMETERS!$M57,DEFAULT!$B$5:$CG$5,0),""))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IF($AA57="","",IF($B57="I",VLOOKUP($AA57,#REF!,53,0),INDEX(VALUES!$B$1:$CC$1,1,$AA57)))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386</v>
      </c>
      <c r="N58" s="189" t="s">
        <v>387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1019</v>
      </c>
      <c r="Y58" s="189" t="s">
        <v>388</v>
      </c>
      <c r="Z58" s="59" t="str">
        <f>IF(OR($M58="",NOT($O58="{array}")),"",IFERROR(MATCH(PARAMETERS!$M58,DEFAULT!$B$5:$CG$5,0),""))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IF($AA58="","",IF($B58="I",VLOOKUP($AA58,#REF!,53,0),INDEX(VALUES!$B$1:$CC$1,1,$AA58)))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389</v>
      </c>
      <c r="N59" s="189" t="s">
        <v>390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1019</v>
      </c>
      <c r="Y59" s="189" t="s">
        <v>388</v>
      </c>
      <c r="Z59" s="59" t="str">
        <f>IF(OR($M59="",NOT($O59="{array}")),"",IFERROR(MATCH(PARAMETERS!$M59,DEFAULT!$B$5:$CG$5,0),""))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IF($AA59="","",IF($B59="I",VLOOKUP($AA59,#REF!,53,0),INDEX(VALUES!$B$1:$CC$1,1,$AA59)))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391</v>
      </c>
      <c r="N60" s="189" t="s">
        <v>392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1019</v>
      </c>
      <c r="Y60" s="189" t="s">
        <v>393</v>
      </c>
      <c r="Z60" s="59" t="str">
        <f>IF(OR($M60="",NOT($O60="{array}")),"",IFERROR(MATCH(PARAMETERS!$M60,DEFAULT!$B$5:$CG$5,0),""))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IF($AA60="","",IF($B60="I",VLOOKUP($AA60,#REF!,53,0),INDEX(VALUES!$B$1:$CC$1,1,$AA60)))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394</v>
      </c>
      <c r="N61" s="189" t="s">
        <v>395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1019</v>
      </c>
      <c r="Y61" s="189" t="s">
        <v>396</v>
      </c>
      <c r="Z61" s="59" t="str">
        <f>IF(OR($M61="",NOT($O61="{array}")),"",IFERROR(MATCH(PARAMETERS!$M61,DEFAULT!$B$5:$CG$5,0),""))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IF($AA61="","",IF($B61="I",VLOOKUP($AA61,#REF!,53,0),INDEX(VALUES!$B$1:$CC$1,1,$AA61)))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397</v>
      </c>
      <c r="N62" s="189" t="s">
        <v>398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1019</v>
      </c>
      <c r="Y62" s="189" t="s">
        <v>399</v>
      </c>
      <c r="Z62" s="59" t="str">
        <f>IF(OR($M62="",NOT($O62="{array}")),"",IFERROR(MATCH(PARAMETERS!$M62,DEFAULT!$B$5:$CG$5,0),""))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IF($AA62="","",IF($B62="I",VLOOKUP($AA62,#REF!,53,0),INDEX(VALUES!$B$1:$CC$1,1,$AA62)))</f>
        <v/>
      </c>
    </row>
    <row r="63" spans="1:29" collapsed="1" x14ac:dyDescent="0.3">
      <c r="A63" s="22" t="s">
        <v>400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IF(OR($M63="",NOT($O63="{array}")),"",IFERROR(MATCH(PARAMETERS!$M63,DEFAULT!$B$5:$CG$5,0),""))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IF($AA63="","",IF($B63="I",VLOOKUP($AA63,#REF!,53,0),INDEX(VALUES!$B$1:$CC$1,1,$AA63)))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401</v>
      </c>
      <c r="N64" s="41" t="s">
        <v>402</v>
      </c>
      <c r="R64" s="38" t="s">
        <v>196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IF(OR($M64="",NOT($O64="{array}")),"",IFERROR(MATCH(PARAMETERS!$M64,DEFAULT!$B$5:$CG$5,0),""))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IF($AA64="","",IF($B64="I",VLOOKUP($AA64,#REF!,53,0),INDEX(VALUES!$B$1:$CC$1,1,$AA64)))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403</v>
      </c>
      <c r="N65" s="159" t="s">
        <v>404</v>
      </c>
      <c r="O65" s="163" t="s">
        <v>405</v>
      </c>
      <c r="P65" s="165" t="s">
        <v>265</v>
      </c>
      <c r="Q65" s="162"/>
      <c r="R65" s="162" t="s">
        <v>103</v>
      </c>
      <c r="S65" s="162" t="s">
        <v>112</v>
      </c>
      <c r="T65" s="161" t="s">
        <v>102</v>
      </c>
      <c r="U65" s="163" t="s">
        <v>265</v>
      </c>
      <c r="V65" s="163" t="s">
        <v>406</v>
      </c>
      <c r="W65" s="164" t="str">
        <f>IF(IFERROR(VLOOKUP($M65,#REF!,1,0),"-")="-","","GS")</f>
        <v/>
      </c>
      <c r="X65" s="165">
        <v>26</v>
      </c>
      <c r="Y65" s="163" t="s">
        <v>407</v>
      </c>
      <c r="Z65" s="59" t="str">
        <f>IF(OR($M65="",NOT($O65="{array}")),"",IFERROR(MATCH(PARAMETERS!$M65,DEFAULT!$B$5:$CG$5,0),""))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IF($AA65="","",IF($B65="I",VLOOKUP($AA65,#REF!,53,0),INDEX(VALUES!$B$1:$CC$1,1,$AA65)))</f>
        <v/>
      </c>
    </row>
    <row r="66" spans="1:29" hidden="1" outlineLevel="1" x14ac:dyDescent="0.3">
      <c r="A66" s="22"/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408</v>
      </c>
      <c r="N66" s="163" t="s">
        <v>409</v>
      </c>
      <c r="O66" s="163" t="s">
        <v>216</v>
      </c>
      <c r="P66" s="160" t="s">
        <v>265</v>
      </c>
      <c r="Q66" s="171"/>
      <c r="R66" s="162" t="s">
        <v>103</v>
      </c>
      <c r="S66" s="162" t="s">
        <v>112</v>
      </c>
      <c r="T66" s="161" t="s">
        <v>265</v>
      </c>
      <c r="U66" s="163" t="s">
        <v>265</v>
      </c>
      <c r="V66" s="163" t="s">
        <v>410</v>
      </c>
      <c r="W66" s="164" t="str">
        <f>IF(IFERROR(VLOOKUP($M66,#REF!,1,0),"-")="-","","GS")</f>
        <v/>
      </c>
      <c r="X66" s="165">
        <v>8</v>
      </c>
      <c r="Y66" s="163" t="s">
        <v>411</v>
      </c>
      <c r="Z66" s="59" t="str">
        <f>IF(OR($M66="",NOT($O66="{array}")),"",IFERROR(MATCH(PARAMETERS!$M66,DEFAULT!$B$5:$CG$5,0),""))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IF($AA66="","",IF($B66="I",VLOOKUP($AA66,#REF!,53,0),INDEX(VALUES!$B$1:$CC$1,1,$AA66)))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412</v>
      </c>
      <c r="N67" s="191" t="s">
        <v>413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X67" s="194"/>
      <c r="Y67" s="191"/>
      <c r="Z67" s="59" t="str">
        <f>IF(OR($M67="",NOT($O67="{array}")),"",IFERROR(MATCH(PARAMETERS!$M67,DEFAULT!$B$5:$CG$5,0),""))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IF($AA67="","",IF($B67="I",VLOOKUP($AA67,#REF!,53,0),INDEX(VALUES!$B$1:$CC$1,1,$AA67)))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414</v>
      </c>
      <c r="N68" s="14" t="s">
        <v>415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IF(OR($M68="",NOT($O68="{array}")),"",IFERROR(MATCH(PARAMETERS!$M68,DEFAULT!$B$5:$CG$5,0),""))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IF($AA68="","",IF($B68="I",VLOOKUP($AA68,#REF!,53,0),INDEX(VALUES!$B$1:$CC$1,1,$AA68)))</f>
        <v/>
      </c>
    </row>
    <row r="69" spans="1:29" hidden="1" outlineLevel="1" x14ac:dyDescent="0.3">
      <c r="A69" s="22" t="s">
        <v>84</v>
      </c>
      <c r="B69" s="41" t="str">
        <f t="shared" si="3"/>
        <v>V</v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416</v>
      </c>
      <c r="N69" s="159" t="s">
        <v>417</v>
      </c>
      <c r="O69" s="166">
        <v>1</v>
      </c>
      <c r="P69" s="160" t="s">
        <v>265</v>
      </c>
      <c r="Q69" s="195"/>
      <c r="R69" s="171" t="s">
        <v>103</v>
      </c>
      <c r="S69" s="171" t="s">
        <v>112</v>
      </c>
      <c r="T69" s="170" t="s">
        <v>265</v>
      </c>
      <c r="U69" s="166" t="s">
        <v>265</v>
      </c>
      <c r="V69" s="166" t="s">
        <v>418</v>
      </c>
      <c r="W69" s="15" t="str">
        <f>IF(IFERROR(VLOOKUP($M69,#REF!,1,0),"-")="-","","GS")</f>
        <v/>
      </c>
      <c r="X69" s="160">
        <v>27</v>
      </c>
      <c r="Y69" s="166" t="s">
        <v>419</v>
      </c>
      <c r="Z69" s="59" t="str">
        <f>IF(OR($M69="",NOT($O69="{array}")),"",IFERROR(MATCH(PARAMETERS!$M69,DEFAULT!$B$5:$CG$5,0),""))</f>
        <v/>
      </c>
      <c r="AA69" s="56">
        <f t="shared" si="0"/>
        <v>3</v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IF($AA69="","",IF($B69="I",VLOOKUP($AA69,#REF!,53,0),INDEX(VALUES!$B$1:$CC$1,1,$AA69)))</f>
        <v>0 | 1 | 2</v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420</v>
      </c>
      <c r="N70" s="183" t="s">
        <v>265</v>
      </c>
      <c r="O70" s="183" t="s">
        <v>265</v>
      </c>
      <c r="P70" s="185" t="s">
        <v>265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265</v>
      </c>
      <c r="V70" s="183" t="s">
        <v>420</v>
      </c>
      <c r="W70" s="188" t="str">
        <f>IF(IFERROR(VLOOKUP($M70,#REF!,1,0),"-")="-","","GS")</f>
        <v/>
      </c>
      <c r="X70" s="185" t="s">
        <v>265</v>
      </c>
      <c r="Y70" s="183" t="s">
        <v>421</v>
      </c>
      <c r="Z70" s="59" t="str">
        <f>IF(OR($M70="",NOT($O70="{array}")),"",IFERROR(MATCH(PARAMETERS!$M70,DEFAULT!$B$5:$CG$5,0),""))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IF($AA70="","",IF($B70="I",VLOOKUP($AA70,#REF!,53,0),INDEX(VALUES!$B$1:$CC$1,1,$AA70)))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422</v>
      </c>
      <c r="N71" s="183" t="s">
        <v>265</v>
      </c>
      <c r="O71" s="183" t="s">
        <v>265</v>
      </c>
      <c r="P71" s="185" t="s">
        <v>265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265</v>
      </c>
      <c r="V71" s="183" t="s">
        <v>422</v>
      </c>
      <c r="W71" s="188" t="str">
        <f>IF(IFERROR(VLOOKUP($M71,#REF!,1,0),"-")="-","","GS")</f>
        <v/>
      </c>
      <c r="X71" s="185" t="s">
        <v>265</v>
      </c>
      <c r="Y71" s="183" t="s">
        <v>423</v>
      </c>
      <c r="Z71" s="59" t="str">
        <f>IF(OR($M71="",NOT($O71="{array}")),"",IFERROR(MATCH(PARAMETERS!$M71,DEFAULT!$B$5:$CG$5,0),""))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IF($AA71="","",IF($B71="I",VLOOKUP($AA71,#REF!,53,0),INDEX(VALUES!$B$1:$CC$1,1,$AA71)))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424</v>
      </c>
      <c r="N72" s="14" t="s">
        <v>425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426</v>
      </c>
      <c r="Z72" s="59" t="str">
        <f>IF(OR($M72="",NOT($O72="{array}")),"",IFERROR(MATCH(PARAMETERS!$M72,DEFAULT!$B$5:$CG$5,0),""))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IF($AA72="","",IF($B72="I",VLOOKUP($AA72,#REF!,53,0),INDEX(VALUES!$B$1:$CC$1,1,$AA72)))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427</v>
      </c>
      <c r="N73" s="196" t="s">
        <v>265</v>
      </c>
      <c r="O73" s="196" t="s">
        <v>265</v>
      </c>
      <c r="P73" s="198" t="s">
        <v>265</v>
      </c>
      <c r="Q73" s="199" t="s">
        <v>9</v>
      </c>
      <c r="R73" s="199" t="s">
        <v>103</v>
      </c>
      <c r="S73" s="199" t="s">
        <v>112</v>
      </c>
      <c r="T73" s="200" t="s">
        <v>265</v>
      </c>
      <c r="U73" s="196" t="s">
        <v>265</v>
      </c>
      <c r="V73" s="196" t="s">
        <v>427</v>
      </c>
      <c r="W73" s="201" t="str">
        <f>IF(IFERROR(VLOOKUP($M73,#REF!,1,0),"-")="-","","GS")</f>
        <v/>
      </c>
      <c r="X73" s="185" t="s">
        <v>265</v>
      </c>
      <c r="Y73" s="183" t="s">
        <v>428</v>
      </c>
      <c r="Z73" s="59" t="str">
        <f>IF(OR($M73="",NOT($O73="{array}")),"",IFERROR(MATCH(PARAMETERS!$M73,DEFAULT!$B$5:$CG$5,0),""))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IF($AA73="","",IF($B73="I",VLOOKUP($AA73,#REF!,53,0),INDEX(VALUES!$B$1:$CC$1,1,$AA73)))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429</v>
      </c>
      <c r="N74" s="14" t="s">
        <v>430</v>
      </c>
      <c r="O74" s="43" t="s">
        <v>431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IF(OR($M74="",NOT($O74="{array}")),"",IFERROR(MATCH(PARAMETERS!$M74,DEFAULT!$B$5:$CG$5,0),""))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IF($AA74="","",IF($B74="I",VLOOKUP($AA74,#REF!,53,0),INDEX(VALUES!$B$1:$CC$1,1,$AA74)))</f>
        <v/>
      </c>
    </row>
    <row r="75" spans="1:29" hidden="1" outlineLevel="1" x14ac:dyDescent="0.3">
      <c r="A75" s="22" t="s">
        <v>84</v>
      </c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52" t="s">
        <v>47</v>
      </c>
      <c r="L75" s="152" t="s">
        <v>27</v>
      </c>
      <c r="M75" s="237" t="s">
        <v>432</v>
      </c>
      <c r="N75" s="152" t="s">
        <v>433</v>
      </c>
      <c r="O75" s="238">
        <v>0</v>
      </c>
      <c r="P75" s="152"/>
      <c r="Q75" s="239"/>
      <c r="R75" s="239" t="s">
        <v>104</v>
      </c>
      <c r="S75" s="239"/>
      <c r="T75" s="239"/>
      <c r="U75" s="152"/>
      <c r="V75" s="152"/>
      <c r="W75" s="240" t="str">
        <f>IF(IFERROR(VLOOKUP($M75,#REF!,1,0),"-")="-","","GS")</f>
        <v/>
      </c>
      <c r="X75" s="240"/>
      <c r="Y75" s="152" t="s">
        <v>434</v>
      </c>
      <c r="Z75" s="59" t="str">
        <f>IF(OR($M75="",NOT($O75="{array}")),"",IFERROR(MATCH(PARAMETERS!$M75,DEFAULT!$B$5:$CG$5,0),""))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IF($AA75="","",IF($B75="I",VLOOKUP($AA75,#REF!,53,0),INDEX(VALUES!$B$1:$CC$1,1,$AA75)))</f>
        <v/>
      </c>
    </row>
    <row r="76" spans="1:29" hidden="1" outlineLevel="1" x14ac:dyDescent="0.3">
      <c r="A76" s="22" t="s">
        <v>84</v>
      </c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52" t="s">
        <v>47</v>
      </c>
      <c r="L76" s="152" t="s">
        <v>27</v>
      </c>
      <c r="M76" s="237" t="s">
        <v>435</v>
      </c>
      <c r="N76" s="152" t="s">
        <v>436</v>
      </c>
      <c r="O76" s="238">
        <v>0</v>
      </c>
      <c r="P76" s="152"/>
      <c r="Q76" s="239"/>
      <c r="R76" s="239" t="s">
        <v>104</v>
      </c>
      <c r="S76" s="239"/>
      <c r="T76" s="239"/>
      <c r="U76" s="152"/>
      <c r="V76" s="152"/>
      <c r="W76" s="240" t="str">
        <f>IF(IFERROR(VLOOKUP($M76,#REF!,1,0),"-")="-","","GS")</f>
        <v/>
      </c>
      <c r="X76" s="240"/>
      <c r="Y76" s="152" t="s">
        <v>437</v>
      </c>
      <c r="Z76" s="59" t="str">
        <f>IF(OR($M76="",NOT($O76="{array}")),"",IFERROR(MATCH(PARAMETERS!$M76,DEFAULT!$B$5:$CG$5,0),""))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IF($AA76="","",IF($B76="I",VLOOKUP($AA76,#REF!,53,0),INDEX(VALUES!$B$1:$CC$1,1,$AA76)))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438</v>
      </c>
      <c r="N77" s="183" t="s">
        <v>265</v>
      </c>
      <c r="O77" s="183" t="s">
        <v>265</v>
      </c>
      <c r="P77" s="185" t="s">
        <v>265</v>
      </c>
      <c r="Q77" s="187" t="s">
        <v>9</v>
      </c>
      <c r="R77" s="187" t="s">
        <v>103</v>
      </c>
      <c r="S77" s="187" t="s">
        <v>112</v>
      </c>
      <c r="T77" s="186" t="s">
        <v>265</v>
      </c>
      <c r="U77" s="183" t="s">
        <v>265</v>
      </c>
      <c r="V77" s="183" t="s">
        <v>438</v>
      </c>
      <c r="W77" s="188" t="str">
        <f>IF(IFERROR(VLOOKUP($M77,#REF!,1,0),"-")="-","","GS")</f>
        <v/>
      </c>
      <c r="X77" s="185" t="s">
        <v>265</v>
      </c>
      <c r="Y77" s="183" t="s">
        <v>439</v>
      </c>
      <c r="Z77" s="59" t="str">
        <f>IF(OR($M77="",NOT($O77="{array}")),"",IFERROR(MATCH(PARAMETERS!$M77,DEFAULT!$B$5:$CG$5,0),""))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IF($AA77="","",IF($B77="I",VLOOKUP($AA77,#REF!,53,0),INDEX(VALUES!$B$1:$CC$1,1,$AA77)))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440</v>
      </c>
      <c r="N78" s="183" t="s">
        <v>265</v>
      </c>
      <c r="O78" s="183" t="s">
        <v>265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265</v>
      </c>
      <c r="U78" s="183" t="s">
        <v>265</v>
      </c>
      <c r="V78" s="183" t="s">
        <v>440</v>
      </c>
      <c r="W78" s="188" t="str">
        <f>IF(IFERROR(VLOOKUP($M78,#REF!,1,0),"-")="-","","GS")</f>
        <v/>
      </c>
      <c r="X78" s="185" t="s">
        <v>265</v>
      </c>
      <c r="Y78" s="183" t="s">
        <v>441</v>
      </c>
      <c r="Z78" s="59" t="str">
        <f>IF(OR($M78="",NOT($O78="{array}")),"",IFERROR(MATCH(PARAMETERS!$M78,DEFAULT!$B$5:$CG$5,0),""))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IF($AA78="","",IF($B78="I",VLOOKUP($AA78,#REF!,53,0),INDEX(VALUES!$B$1:$CC$1,1,$AA78)))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442</v>
      </c>
      <c r="N79" s="183" t="s">
        <v>265</v>
      </c>
      <c r="O79" s="183" t="s">
        <v>265</v>
      </c>
      <c r="P79" s="185" t="s">
        <v>265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265</v>
      </c>
      <c r="V79" s="183" t="s">
        <v>442</v>
      </c>
      <c r="W79" s="188" t="str">
        <f>IF(IFERROR(VLOOKUP($M79,#REF!,1,0),"-")="-","","GS")</f>
        <v/>
      </c>
      <c r="X79" s="185">
        <v>28</v>
      </c>
      <c r="Y79" s="183" t="s">
        <v>443</v>
      </c>
      <c r="Z79" s="59" t="str">
        <f>IF(OR($M79="",NOT($O79="{array}")),"",IFERROR(MATCH(PARAMETERS!$M79,DEFAULT!$B$5:$CG$5,0),""))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IF($AA79="","",IF($B79="I",VLOOKUP($AA79,#REF!,53,0),INDEX(VALUES!$B$1:$CC$1,1,$AA79)))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444</v>
      </c>
      <c r="N80" s="14" t="s">
        <v>445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IF(OR($M80="",NOT($O80="{array}")),"",IFERROR(MATCH(PARAMETERS!$M80,DEFAULT!$B$5:$CG$5,0),""))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IF($AA80="","",IF($B80="I",VLOOKUP($AA80,#REF!,53,0),INDEX(VALUES!$B$1:$CC$1,1,$AA80)))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/>
      <c r="K81" s="14" t="s">
        <v>18</v>
      </c>
      <c r="L81" s="14" t="s">
        <v>21</v>
      </c>
      <c r="M81" s="151" t="s">
        <v>446</v>
      </c>
      <c r="N81" s="14" t="s">
        <v>447</v>
      </c>
      <c r="O81" s="43" t="s">
        <v>448</v>
      </c>
      <c r="P81" s="160" t="s">
        <v>265</v>
      </c>
      <c r="Q81" s="171"/>
      <c r="R81" s="171" t="s">
        <v>103</v>
      </c>
      <c r="S81" s="171" t="s">
        <v>112</v>
      </c>
      <c r="T81" s="170" t="s">
        <v>265</v>
      </c>
      <c r="U81" s="166" t="s">
        <v>265</v>
      </c>
      <c r="V81" s="166" t="s">
        <v>449</v>
      </c>
      <c r="W81" s="15" t="str">
        <f>IF(IFERROR(VLOOKUP($M81,#REF!,1,0),"-")="-","","GS")</f>
        <v/>
      </c>
      <c r="X81" s="160" t="s">
        <v>265</v>
      </c>
      <c r="Y81" s="166" t="s">
        <v>450</v>
      </c>
      <c r="Z81" s="59" t="str">
        <f>IF(OR($M81="",NOT($O81="{array}")),"",IFERROR(MATCH(PARAMETERS!$M81,DEFAULT!$B$5:$CG$5,0),""))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IF($AA81="","",IF($B81="I",VLOOKUP($AA81,#REF!,53,0),INDEX(VALUES!$B$1:$CC$1,1,$AA81)))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 t="s">
        <v>9</v>
      </c>
      <c r="G82" s="38"/>
      <c r="H82" s="38"/>
      <c r="I82" s="38" t="s">
        <v>9</v>
      </c>
      <c r="J82" s="38"/>
      <c r="K82" s="14" t="s">
        <v>18</v>
      </c>
      <c r="L82" s="14" t="s">
        <v>21</v>
      </c>
      <c r="M82" s="151" t="s">
        <v>1709</v>
      </c>
      <c r="N82" s="14" t="s">
        <v>1710</v>
      </c>
      <c r="O82" s="43" t="s">
        <v>1711</v>
      </c>
      <c r="P82" s="160" t="s">
        <v>265</v>
      </c>
      <c r="Q82" s="171"/>
      <c r="R82" s="171" t="s">
        <v>103</v>
      </c>
      <c r="S82" s="171" t="s">
        <v>112</v>
      </c>
      <c r="T82" s="170" t="s">
        <v>265</v>
      </c>
      <c r="U82" s="166" t="s">
        <v>265</v>
      </c>
      <c r="V82" s="166"/>
      <c r="W82" s="15"/>
      <c r="Y82" s="166"/>
      <c r="AC82" s="17"/>
    </row>
    <row r="83" spans="1:29" hidden="1" outlineLevel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66" t="s">
        <v>44</v>
      </c>
      <c r="L83" s="167" t="s">
        <v>21</v>
      </c>
      <c r="M83" s="203" t="s">
        <v>451</v>
      </c>
      <c r="N83" s="166" t="s">
        <v>452</v>
      </c>
      <c r="O83" s="166">
        <v>0</v>
      </c>
      <c r="P83" s="160" t="s">
        <v>265</v>
      </c>
      <c r="Q83" s="171"/>
      <c r="R83" s="171" t="s">
        <v>103</v>
      </c>
      <c r="S83" s="171" t="s">
        <v>112</v>
      </c>
      <c r="T83" s="170" t="s">
        <v>265</v>
      </c>
      <c r="U83" s="166" t="s">
        <v>265</v>
      </c>
      <c r="V83" s="166" t="s">
        <v>453</v>
      </c>
      <c r="W83" s="15" t="str">
        <f>IF(IFERROR(VLOOKUP($M83,#REF!,1,0),"-")="-","","GS")</f>
        <v/>
      </c>
      <c r="X83" s="160" t="s">
        <v>265</v>
      </c>
      <c r="Y83" s="166" t="s">
        <v>454</v>
      </c>
      <c r="Z83" s="59" t="str">
        <f>IF(OR($M83="",NOT($O83="{array}")),"",IFERROR(MATCH(PARAMETERS!$M83,DEFAULT!$B$5:$CG$5,0),""))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IF($AA83="","",IF($B83="I",VLOOKUP($AA83,#REF!,53,0),INDEX(VALUES!$B$1:$CC$1,1,$AA83)))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455</v>
      </c>
      <c r="N84" s="14" t="s">
        <v>456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IF(OR($M84="",NOT($O84="{array}")),"",IFERROR(MATCH(PARAMETERS!$M84,DEFAULT!$B$5:$CG$5,0),""))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IF($AA84="","",IF($B84="I",VLOOKUP($AA84,#REF!,53,0),INDEX(VALUES!$B$1:$CC$1,1,$AA84)))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20" t="s">
        <v>457</v>
      </c>
      <c r="N85" s="14" t="s">
        <v>458</v>
      </c>
      <c r="O85" s="43">
        <v>0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IF(OR($M85="",NOT($O85="{array}")),"",IFERROR(MATCH(PARAMETERS!$M85,DEFAULT!$B$5:$CG$5,0),""))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IF($AA85="","",IF($B85="I",VLOOKUP($AA85,#REF!,53,0),INDEX(VALUES!$B$1:$CC$1,1,$AA85)))</f>
        <v/>
      </c>
    </row>
    <row r="86" spans="1:29" collapsed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/>
      <c r="J86" s="38"/>
      <c r="K86" s="14" t="s">
        <v>57</v>
      </c>
      <c r="L86" s="14" t="s">
        <v>38</v>
      </c>
      <c r="M86" s="48" t="s">
        <v>468</v>
      </c>
      <c r="N86" s="41" t="s">
        <v>469</v>
      </c>
      <c r="R86" s="38" t="s">
        <v>104</v>
      </c>
      <c r="S86" s="38"/>
      <c r="T86" s="38"/>
      <c r="W86" s="15" t="str">
        <f>IF(IFERROR(VLOOKUP($M86,#REF!,1,0),"-")="-","","GS")</f>
        <v/>
      </c>
      <c r="Z86" s="59" t="str">
        <f>IF(OR($M86="",NOT($O86="{array}")),"",IFERROR(MATCH(PARAMETERS!$M86,DEFAULT!$B$5:$CG$5,0),""))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IF($AA86="","",IF($B86="I",VLOOKUP($AA86,#REF!,53,0),INDEX(VALUES!$B$1:$CC$1,1,$AA86)))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470</v>
      </c>
      <c r="N87" s="14" t="s">
        <v>471</v>
      </c>
      <c r="O87" s="43">
        <v>0.04</v>
      </c>
      <c r="R87" s="38" t="s">
        <v>104</v>
      </c>
      <c r="S87" s="38"/>
      <c r="T87" s="38"/>
      <c r="W87" s="15" t="str">
        <f>IF(IFERROR(VLOOKUP($M87,#REF!,1,0),"-")="-","","GS")</f>
        <v/>
      </c>
      <c r="Y87" s="14" t="s">
        <v>472</v>
      </c>
      <c r="Z87" s="59" t="str">
        <f>IF(OR($M87="",NOT($O87="{array}")),"",IFERROR(MATCH(PARAMETERS!$M87,DEFAULT!$B$5:$CG$5,0),""))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IF($AA87="","",IF($B87="I",VLOOKUP($AA87,#REF!,53,0),INDEX(VALUES!$B$1:$CC$1,1,$AA87)))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473</v>
      </c>
      <c r="N88" s="14" t="s">
        <v>474</v>
      </c>
      <c r="O88" s="43">
        <v>0.05</v>
      </c>
      <c r="R88" s="38" t="s">
        <v>104</v>
      </c>
      <c r="S88" s="38"/>
      <c r="T88" s="38"/>
      <c r="W88" s="15" t="str">
        <f>IF(IFERROR(VLOOKUP($M88,#REF!,1,0),"-")="-","","GS")</f>
        <v/>
      </c>
      <c r="Y88" s="14" t="s">
        <v>475</v>
      </c>
      <c r="Z88" s="59" t="str">
        <f>IF(OR($M88="",NOT($O88="{array}")),"",IFERROR(MATCH(PARAMETERS!$M88,DEFAULT!$B$5:$CG$5,0),""))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IF($AA88="","",IF($B88="I",VLOOKUP($AA88,#REF!,53,0),INDEX(VALUES!$B$1:$CC$1,1,$AA88)))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151" t="s">
        <v>476</v>
      </c>
      <c r="N89" s="14" t="s">
        <v>477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Y89" s="14" t="s">
        <v>478</v>
      </c>
      <c r="Z89" s="59" t="str">
        <f>IF(OR($M89="",NOT($O89="{array}")),"",IFERROR(MATCH(PARAMETERS!$M89,DEFAULT!$B$5:$CG$5,0),""))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IF($AA89="","",IF($B89="I",VLOOKUP($AA89,#REF!,53,0),INDEX(VALUES!$B$1:$CC$1,1,$AA89)))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 t="s">
        <v>9</v>
      </c>
      <c r="H90" s="38"/>
      <c r="I90" s="38" t="s">
        <v>9</v>
      </c>
      <c r="J90" s="38"/>
      <c r="K90" s="14" t="s">
        <v>24</v>
      </c>
      <c r="L90" s="14" t="s">
        <v>27</v>
      </c>
      <c r="M90" s="20" t="s">
        <v>479</v>
      </c>
      <c r="N90" s="14" t="s">
        <v>480</v>
      </c>
      <c r="O90" s="43">
        <v>0</v>
      </c>
      <c r="R90" s="38" t="s">
        <v>104</v>
      </c>
      <c r="S90" s="38"/>
      <c r="T90" s="38"/>
      <c r="W90" s="15" t="str">
        <f>IF(IFERROR(VLOOKUP($M90,#REF!,1,0),"-")="-","","GS")</f>
        <v/>
      </c>
      <c r="Y90" s="14" t="s">
        <v>481</v>
      </c>
      <c r="Z90" s="59" t="str">
        <f>IF(OR($M90="",NOT($O90="{array}")),"",IFERROR(MATCH(PARAMETERS!$M90,DEFAULT!$B$5:$CG$5,0),""))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IF($AA90="","",IF($B90="I",VLOOKUP($AA90,#REF!,53,0),INDEX(VALUES!$B$1:$CC$1,1,$AA90)))</f>
        <v/>
      </c>
    </row>
    <row r="91" spans="1:29" hidden="1" outlineLevel="1" x14ac:dyDescent="0.25">
      <c r="A91" s="22"/>
      <c r="B91" s="41" t="str">
        <f t="shared" si="3"/>
        <v/>
      </c>
      <c r="C91" s="42">
        <f t="shared" si="5"/>
        <v>90</v>
      </c>
      <c r="D91" s="38"/>
      <c r="E91" s="38"/>
      <c r="F91" s="38"/>
      <c r="G91" s="38"/>
      <c r="H91" s="38"/>
      <c r="I91" s="38" t="s">
        <v>9</v>
      </c>
      <c r="J91" s="38"/>
      <c r="K91" s="196" t="s">
        <v>24</v>
      </c>
      <c r="L91" s="191" t="s">
        <v>27</v>
      </c>
      <c r="M91" s="196" t="s">
        <v>482</v>
      </c>
      <c r="N91" s="196" t="s">
        <v>265</v>
      </c>
      <c r="O91" s="196" t="s">
        <v>265</v>
      </c>
      <c r="P91" s="198" t="s">
        <v>124</v>
      </c>
      <c r="Q91" s="200" t="s">
        <v>9</v>
      </c>
      <c r="R91" s="199" t="s">
        <v>103</v>
      </c>
      <c r="S91" s="199" t="s">
        <v>112</v>
      </c>
      <c r="T91" s="196" t="s">
        <v>265</v>
      </c>
      <c r="U91" s="196" t="s">
        <v>265</v>
      </c>
      <c r="V91" s="196" t="s">
        <v>482</v>
      </c>
      <c r="W91" s="194" t="str">
        <f>IF(IFERROR(VLOOKUP($M91,#REF!,1,0),"-")="-","","GS")</f>
        <v/>
      </c>
      <c r="X91" s="198" t="s">
        <v>265</v>
      </c>
      <c r="Y91" s="196" t="s">
        <v>483</v>
      </c>
      <c r="Z91" s="59" t="str">
        <f>IF(OR($M91="",NOT($O91="{array}")),"",IFERROR(MATCH(PARAMETERS!$M91,DEFAULT!$B$5:$CG$5,0),""))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IF($AA91="","",IF($B91="I",VLOOKUP($AA91,#REF!,53,0),INDEX(VALUES!$B$1:$CC$1,1,$AA91)))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484</v>
      </c>
      <c r="N92" s="14" t="s">
        <v>485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IF(OR($M92="",NOT($O92="{array}")),"",IFERROR(MATCH(PARAMETERS!$M92,DEFAULT!$B$5:$CG$5,0),""))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IF($AA92="","",IF($B92="I",VLOOKUP($AA92,#REF!,53,0),INDEX(VALUES!$B$1:$CC$1,1,$AA92)))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486</v>
      </c>
      <c r="N93" s="14" t="s">
        <v>487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IF(OR($M93="",NOT($O93="{array}")),"",IFERROR(MATCH(PARAMETERS!$M93,DEFAULT!$B$5:$CG$5,0),""))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IF($AA93="","",IF($B93="I",VLOOKUP($AA93,#REF!,53,0),INDEX(VALUES!$B$1:$CC$1,1,$AA93)))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488</v>
      </c>
      <c r="N94" s="14" t="s">
        <v>489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IF(OR($M94="",NOT($O94="{array}")),"",IFERROR(MATCH(PARAMETERS!$M94,DEFAULT!$B$5:$CG$5,0),""))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IF($AA94="","",IF($B94="I",VLOOKUP($AA94,#REF!,53,0),INDEX(VALUES!$B$1:$CC$1,1,$AA94)))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490</v>
      </c>
      <c r="N95" s="14" t="s">
        <v>491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IF(OR($M95="",NOT($O95="{array}")),"",IFERROR(MATCH(PARAMETERS!$M95,DEFAULT!$B$5:$CG$5,0),""))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IF($AA95="","",IF($B95="I",VLOOKUP($AA95,#REF!,53,0),INDEX(VALUES!$B$1:$CC$1,1,$AA95)))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492</v>
      </c>
      <c r="N96" s="14" t="s">
        <v>493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IF(OR($M96="",NOT($O96="{array}")),"",IFERROR(MATCH(PARAMETERS!$M96,DEFAULT!$B$5:$CG$5,0),""))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IF($AA96="","",IF($B96="I",VLOOKUP($AA96,#REF!,53,0),INDEX(VALUES!$B$1:$CC$1,1,$AA96)))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20" t="s">
        <v>494</v>
      </c>
      <c r="N97" s="14" t="s">
        <v>495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IF(OR($M97="",NOT($O97="{array}")),"",IFERROR(MATCH(PARAMETERS!$M97,DEFAULT!$B$5:$CG$5,0),""))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IF($AA97="","",IF($B97="I",VLOOKUP($AA97,#REF!,53,0),INDEX(VALUES!$B$1:$CC$1,1,$AA97)))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496</v>
      </c>
      <c r="N98" s="14" t="s">
        <v>497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IF(OR($M98="",NOT($O98="{array}")),"",IFERROR(MATCH(PARAMETERS!$M98,DEFAULT!$B$5:$CG$5,0),""))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IF($AA98="","",IF($B98="I",VLOOKUP($AA98,#REF!,53,0),INDEX(VALUES!$B$1:$CC$1,1,$AA98)))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20" t="s">
        <v>498</v>
      </c>
      <c r="N99" s="14" t="s">
        <v>499</v>
      </c>
      <c r="O99" s="43">
        <v>0</v>
      </c>
      <c r="Q99" s="38" t="s">
        <v>9</v>
      </c>
      <c r="R99" s="38" t="s">
        <v>104</v>
      </c>
      <c r="S99" s="38"/>
      <c r="T99" s="38"/>
      <c r="W99" s="15" t="str">
        <f>IF(IFERROR(VLOOKUP($M99,#REF!,1,0),"-")="-","","GS")</f>
        <v/>
      </c>
      <c r="Z99" s="59" t="str">
        <f>IF(OR($M99="",NOT($O99="{array}")),"",IFERROR(MATCH(PARAMETERS!$M99,DEFAULT!$B$5:$CG$5,0),""))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IF($AA99="","",IF($B99="I",VLOOKUP($AA99,#REF!,53,0),INDEX(VALUES!$B$1:$CC$1,1,$AA99)))</f>
        <v/>
      </c>
    </row>
    <row r="100" spans="1:29" hidden="1" outlineLevel="1" x14ac:dyDescent="0.25">
      <c r="A100" s="22" t="s">
        <v>84</v>
      </c>
      <c r="B100" s="41" t="str">
        <f t="shared" ref="B100:B125" si="6">IF($A100="P",IF(NOT($Z100=""),"A",IF(NOT($AA100=""),"I","")),IF(NOT($AA100=""),IF($A100="G","V","X"),IF(NOT($Z100=""),"A","")))</f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500</v>
      </c>
      <c r="N100" s="14" t="s">
        <v>501</v>
      </c>
      <c r="O100" s="43">
        <v>2.62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265</v>
      </c>
      <c r="U100" s="166" t="s">
        <v>265</v>
      </c>
      <c r="V100" s="166" t="s">
        <v>502</v>
      </c>
      <c r="W100" s="15" t="str">
        <f>IF(IFERROR(VLOOKUP($M100,#REF!,1,0),"-")="-","","GS")</f>
        <v/>
      </c>
      <c r="X100" s="160">
        <v>21</v>
      </c>
      <c r="Y100" s="166" t="s">
        <v>503</v>
      </c>
      <c r="Z100" s="59" t="str">
        <f>IF(OR($M100="",NOT($O100="{array}")),"",IFERROR(MATCH(PARAMETERS!$M100,DEFAULT!$B$5:$CG$5,0),""))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IF($AA100="","",IF($B100="I",VLOOKUP($AA100,#REF!,53,0),INDEX(VALUES!$B$1:$CC$1,1,$AA100)))</f>
        <v/>
      </c>
    </row>
    <row r="101" spans="1:29" hidden="1" outlineLevel="1" x14ac:dyDescent="0.25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151" t="s">
        <v>504</v>
      </c>
      <c r="N101" s="14" t="s">
        <v>505</v>
      </c>
      <c r="O101" s="43">
        <v>2.5649999999999999</v>
      </c>
      <c r="P101" s="160" t="s">
        <v>127</v>
      </c>
      <c r="Q101" s="38" t="s">
        <v>9</v>
      </c>
      <c r="R101" s="38" t="s">
        <v>104</v>
      </c>
      <c r="S101" s="171" t="s">
        <v>112</v>
      </c>
      <c r="T101" s="170" t="s">
        <v>265</v>
      </c>
      <c r="U101" s="166" t="s">
        <v>265</v>
      </c>
      <c r="V101" s="166" t="s">
        <v>506</v>
      </c>
      <c r="W101" s="15" t="str">
        <f>IF(IFERROR(VLOOKUP($M101,#REF!,1,0),"-")="-","","GS")</f>
        <v/>
      </c>
      <c r="X101" s="160">
        <v>22</v>
      </c>
      <c r="Y101" s="166" t="s">
        <v>507</v>
      </c>
      <c r="Z101" s="59" t="str">
        <f>IF(OR($M101="",NOT($O101="{array}")),"",IFERROR(MATCH(PARAMETERS!$M101,DEFAULT!$B$5:$CG$5,0),""))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IF($AA101="","",IF($B101="I",VLOOKUP($AA101,#REF!,53,0),INDEX(VALUES!$B$1:$CC$1,1,$AA101)))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 t="s">
        <v>9</v>
      </c>
      <c r="H102" s="38"/>
      <c r="I102" s="38" t="s">
        <v>9</v>
      </c>
      <c r="J102" s="38" t="s">
        <v>9</v>
      </c>
      <c r="K102" s="14" t="s">
        <v>24</v>
      </c>
      <c r="L102" s="14" t="s">
        <v>27</v>
      </c>
      <c r="M102" s="20" t="s">
        <v>508</v>
      </c>
      <c r="N102" s="14" t="s">
        <v>505</v>
      </c>
      <c r="O102" s="43">
        <v>2.5649999999999999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IF(OR($M102="",NOT($O102="{array}")),"",IFERROR(MATCH(PARAMETERS!$M102,DEFAULT!$B$5:$CG$5,0),""))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IF($AA102="","",IF($B102="I",VLOOKUP($AA102,#REF!,53,0),INDEX(VALUES!$B$1:$CC$1,1,$AA102)))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509</v>
      </c>
      <c r="N103" s="14" t="s">
        <v>510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IF(OR($M103="",NOT($O103="{array}")),"",IFERROR(MATCH(PARAMETERS!$M103,DEFAULT!$B$5:$CG$5,0),""))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IF($AA103="","",IF($B103="I",VLOOKUP($AA103,#REF!,53,0),INDEX(VALUES!$B$1:$CC$1,1,$AA103)))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151" t="s">
        <v>511</v>
      </c>
      <c r="N104" s="14" t="s">
        <v>512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IF(OR($M104="",NOT($O104="{array}")),"",IFERROR(MATCH(PARAMETERS!$M104,DEFAULT!$B$5:$CG$5,0),""))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IF($AA104="","",IF($B104="I",VLOOKUP($AA104,#REF!,53,0),INDEX(VALUES!$B$1:$CC$1,1,$AA104)))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 t="s">
        <v>9</v>
      </c>
      <c r="H105" s="38"/>
      <c r="I105" s="38" t="s">
        <v>9</v>
      </c>
      <c r="J105" s="38" t="s">
        <v>9</v>
      </c>
      <c r="K105" s="14" t="s">
        <v>24</v>
      </c>
      <c r="L105" s="14" t="s">
        <v>27</v>
      </c>
      <c r="M105" s="20" t="s">
        <v>513</v>
      </c>
      <c r="N105" s="14" t="s">
        <v>512</v>
      </c>
      <c r="O105" s="43">
        <v>2.5099999999999998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IF(OR($M105="",NOT($O105="{array}")),"",IFERROR(MATCH(PARAMETERS!$M105,DEFAULT!$B$5:$CG$5,0),""))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IF($AA105="","",IF($B105="I",VLOOKUP($AA105,#REF!,53,0),INDEX(VALUES!$B$1:$CC$1,1,$AA105)))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514</v>
      </c>
      <c r="N106" s="14" t="s">
        <v>515</v>
      </c>
      <c r="O106" s="43">
        <v>2.5299999999999998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IF(OR($M106="",NOT($O106="{array}")),"",IFERROR(MATCH(PARAMETERS!$M106,DEFAULT!$B$5:$CG$5,0),""))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IF($AA106="","",IF($B106="I",VLOOKUP($AA106,#REF!,53,0),INDEX(VALUES!$B$1:$CC$1,1,$AA106)))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151" t="s">
        <v>516</v>
      </c>
      <c r="N107" s="14" t="s">
        <v>517</v>
      </c>
      <c r="O107" s="43">
        <v>2.5649999999999999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IF(OR($M107="",NOT($O107="{array}")),"",IFERROR(MATCH(PARAMETERS!$M107,DEFAULT!$B$5:$CG$5,0),""))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IF($AA107="","",IF($B107="I",VLOOKUP($AA107,#REF!,53,0),INDEX(VALUES!$B$1:$CC$1,1,$AA107)))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518</v>
      </c>
      <c r="N108" s="14" t="s">
        <v>519</v>
      </c>
      <c r="O108" s="43">
        <v>2.62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IF(OR($M108="",NOT($O108="{array}")),"",IFERROR(MATCH(PARAMETERS!$M108,DEFAULT!$B$5:$CG$5,0),""))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IF($AA108="","",IF($B108="I",VLOOKUP($AA108,#REF!,53,0),INDEX(VALUES!$B$1:$CC$1,1,$AA108)))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151" t="s">
        <v>520</v>
      </c>
      <c r="N109" s="14" t="s">
        <v>521</v>
      </c>
      <c r="O109" s="43">
        <v>2.5649999999999999</v>
      </c>
      <c r="Q109" s="38" t="s">
        <v>9</v>
      </c>
      <c r="R109" s="38" t="s">
        <v>104</v>
      </c>
      <c r="S109" s="38"/>
      <c r="T109" s="38"/>
      <c r="W109" s="15" t="str">
        <f>IF(IFERROR(VLOOKUP($M109,#REF!,1,0),"-")="-","","GS")</f>
        <v/>
      </c>
      <c r="Z109" s="59" t="str">
        <f>IF(OR($M109="",NOT($O109="{array}")),"",IFERROR(MATCH(PARAMETERS!$M109,DEFAULT!$B$5:$CG$5,0),""))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IF($AA109="","",IF($B109="I",VLOOKUP($AA109,#REF!,53,0),INDEX(VALUES!$B$1:$CC$1,1,$AA109)))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1624</v>
      </c>
      <c r="N110" s="53" t="s">
        <v>1625</v>
      </c>
      <c r="O110" s="155">
        <v>0.98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265</v>
      </c>
      <c r="X110" s="160"/>
      <c r="Y110" s="53" t="s">
        <v>1626</v>
      </c>
      <c r="Z110" s="59" t="str">
        <f>IF(OR($M110="",NOT($O110="{array}")),"",IFERROR(MATCH(PARAMETERS!$M110,DEFAULT!$B$5:$CG$5,0),""))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IF($AA110="","",IF($B110="I",VLOOKUP($AA110,#REF!,53,0),INDEX(VALUES!$B$1:$CC$1,1,$AA110)))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157" t="s">
        <v>1627</v>
      </c>
      <c r="N111" s="53" t="s">
        <v>1628</v>
      </c>
      <c r="O111" s="155">
        <v>1.99</v>
      </c>
      <c r="Q111" s="38" t="s">
        <v>9</v>
      </c>
      <c r="R111" s="178" t="s">
        <v>103</v>
      </c>
      <c r="S111" s="178" t="s">
        <v>112</v>
      </c>
      <c r="T111" s="38"/>
      <c r="V111" s="179"/>
      <c r="W111" s="15" t="s">
        <v>265</v>
      </c>
      <c r="X111" s="160"/>
      <c r="Y111" s="53" t="s">
        <v>1629</v>
      </c>
      <c r="Z111" s="59" t="str">
        <f>IF(OR($M111="",NOT($O111="{array}")),"",IFERROR(MATCH(PARAMETERS!$M111,DEFAULT!$B$5:$CG$5,0),""))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IF($AA111="","",IF($B111="I",VLOOKUP($AA111,#REF!,53,0),INDEX(VALUES!$B$1:$CC$1,1,$AA111)))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522</v>
      </c>
      <c r="N112" s="14" t="s">
        <v>523</v>
      </c>
      <c r="O112" s="43">
        <v>1.3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X112" s="160"/>
      <c r="Y112" s="14" t="s">
        <v>524</v>
      </c>
      <c r="Z112" s="59" t="str">
        <f>IF(OR($M112="",NOT($O112="{array}")),"",IFERROR(MATCH(PARAMETERS!$M112,DEFAULT!$B$5:$CG$5,0),""))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IF($AA112="","",IF($B112="I",VLOOKUP($AA112,#REF!,53,0),INDEX(VALUES!$B$1:$CC$1,1,$AA112)))</f>
        <v/>
      </c>
    </row>
    <row r="113" spans="1:29" hidden="1" outlineLevel="1" x14ac:dyDescent="0.25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151" t="s">
        <v>525</v>
      </c>
      <c r="N113" s="14" t="s">
        <v>526</v>
      </c>
      <c r="O113" s="43">
        <v>2.0649999999999999</v>
      </c>
      <c r="Q113" s="38" t="s">
        <v>9</v>
      </c>
      <c r="R113" s="38" t="s">
        <v>104</v>
      </c>
      <c r="S113" s="38"/>
      <c r="T113" s="38"/>
      <c r="V113" s="179"/>
      <c r="W113" s="15" t="str">
        <f>IF(IFERROR(VLOOKUP($M113,#REF!,1,0),"-")="-","","GS")</f>
        <v/>
      </c>
      <c r="X113" s="160"/>
      <c r="Y113" s="14" t="s">
        <v>527</v>
      </c>
      <c r="Z113" s="59" t="str">
        <f>IF(OR($M113="",NOT($O113="{array}")),"",IFERROR(MATCH(PARAMETERS!$M113,DEFAULT!$B$5:$CG$5,0),""))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IF($AA113="","",IF($B113="I",VLOOKUP($AA113,#REF!,53,0),INDEX(VALUES!$B$1:$CC$1,1,$AA113)))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528</v>
      </c>
      <c r="N114" s="159" t="s">
        <v>529</v>
      </c>
      <c r="O114" s="159">
        <v>0.8</v>
      </c>
      <c r="P114" s="176" t="s">
        <v>265</v>
      </c>
      <c r="Q114" s="177"/>
      <c r="R114" s="178" t="s">
        <v>103</v>
      </c>
      <c r="S114" s="178" t="s">
        <v>112</v>
      </c>
      <c r="T114" s="159" t="s">
        <v>265</v>
      </c>
      <c r="U114" s="159" t="s">
        <v>265</v>
      </c>
      <c r="V114" s="179" t="s">
        <v>420</v>
      </c>
      <c r="W114" s="15" t="str">
        <f>IF(IFERROR(VLOOKUP($M114,#REF!,1,0),"-")="-","","GS")</f>
        <v/>
      </c>
      <c r="X114" s="160">
        <v>44</v>
      </c>
      <c r="Y114" s="159" t="s">
        <v>530</v>
      </c>
      <c r="Z114" s="59" t="str">
        <f>IF(OR($M114="",NOT($O114="{array}")),"",IFERROR(MATCH(PARAMETERS!$M114,DEFAULT!$B$5:$CG$5,0),""))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IF($AA114="","",IF($B114="I",VLOOKUP($AA114,#REF!,53,0),INDEX(VALUES!$B$1:$CC$1,1,$AA114)))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59" t="s">
        <v>24</v>
      </c>
      <c r="L115" s="159" t="s">
        <v>27</v>
      </c>
      <c r="M115" s="175" t="s">
        <v>531</v>
      </c>
      <c r="N115" s="159" t="s">
        <v>532</v>
      </c>
      <c r="O115" s="159">
        <v>2.0499999999999998</v>
      </c>
      <c r="P115" s="176" t="s">
        <v>265</v>
      </c>
      <c r="Q115" s="177"/>
      <c r="R115" s="178" t="s">
        <v>103</v>
      </c>
      <c r="S115" s="178" t="s">
        <v>112</v>
      </c>
      <c r="T115" s="159" t="s">
        <v>265</v>
      </c>
      <c r="U115" s="159" t="s">
        <v>265</v>
      </c>
      <c r="V115" s="179" t="s">
        <v>422</v>
      </c>
      <c r="W115" s="15" t="str">
        <f>IF(IFERROR(VLOOKUP($M115,#REF!,1,0),"-")="-","","GS")</f>
        <v/>
      </c>
      <c r="X115" s="160">
        <v>45</v>
      </c>
      <c r="Y115" s="159" t="s">
        <v>530</v>
      </c>
      <c r="Z115" s="59" t="str">
        <f>IF(OR($M115="",NOT($O115="{array}")),"",IFERROR(MATCH(PARAMETERS!$M115,DEFAULT!$B$5:$CG$5,0),""))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IF($AA115="","",IF($B115="I",VLOOKUP($AA115,#REF!,53,0),INDEX(VALUES!$B$1:$CC$1,1,$AA115)))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533</v>
      </c>
      <c r="N116" s="14" t="s">
        <v>534</v>
      </c>
      <c r="O116" s="43">
        <v>1.33</v>
      </c>
      <c r="R116" s="38" t="s">
        <v>104</v>
      </c>
      <c r="S116" s="171" t="s">
        <v>112</v>
      </c>
      <c r="T116" s="166" t="s">
        <v>265</v>
      </c>
      <c r="U116" s="166" t="s">
        <v>265</v>
      </c>
      <c r="V116" s="166" t="s">
        <v>535</v>
      </c>
      <c r="W116" s="15" t="str">
        <f>IF(IFERROR(VLOOKUP($M116,#REF!,1,0),"-")="-","","GS")</f>
        <v/>
      </c>
      <c r="X116" s="160" t="s">
        <v>265</v>
      </c>
      <c r="Y116" s="166" t="s">
        <v>536</v>
      </c>
      <c r="Z116" s="59" t="str">
        <f>IF(OR($M116="",NOT($O116="{array}")),"",IFERROR(MATCH(PARAMETERS!$M116,DEFAULT!$B$5:$CG$5,0),""))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IF($AA116="","",IF($B116="I",VLOOKUP($AA116,#REF!,53,0),INDEX(VALUES!$B$1:$CC$1,1,$AA116)))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151" t="s">
        <v>537</v>
      </c>
      <c r="N117" s="14" t="s">
        <v>538</v>
      </c>
      <c r="O117" s="43">
        <v>2.0750000000000002</v>
      </c>
      <c r="R117" s="38" t="s">
        <v>104</v>
      </c>
      <c r="S117" s="171" t="s">
        <v>112</v>
      </c>
      <c r="T117" s="166" t="s">
        <v>265</v>
      </c>
      <c r="U117" s="166" t="s">
        <v>265</v>
      </c>
      <c r="V117" s="166" t="s">
        <v>539</v>
      </c>
      <c r="W117" s="15" t="str">
        <f>IF(IFERROR(VLOOKUP($M117,#REF!,1,0),"-")="-","","GS")</f>
        <v/>
      </c>
      <c r="X117" s="160" t="s">
        <v>265</v>
      </c>
      <c r="Y117" s="166" t="s">
        <v>540</v>
      </c>
      <c r="Z117" s="59" t="str">
        <f>IF(OR($M117="",NOT($O117="{array}")),"",IFERROR(MATCH(PARAMETERS!$M117,DEFAULT!$B$5:$CG$5,0),""))</f>
        <v/>
      </c>
      <c r="AA117" s="56" t="str">
        <f t="shared" ref="AA117:AA124" si="7">IF($M117="","",IFERROR(MATCH($M117,VALUESnames,0),""))</f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IF($AA117="","",IF($B117="I",VLOOKUP($AA117,#REF!,53,0),INDEX(VALUES!$B$1:$CC$1,1,$AA117)))</f>
        <v/>
      </c>
    </row>
    <row r="118" spans="1:29" hidden="1" outlineLevel="1" x14ac:dyDescent="0.3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 t="s">
        <v>9</v>
      </c>
      <c r="H118" s="38"/>
      <c r="I118" s="38" t="s">
        <v>9</v>
      </c>
      <c r="J118" s="38"/>
      <c r="K118" s="14" t="s">
        <v>44</v>
      </c>
      <c r="L118" s="14" t="s">
        <v>27</v>
      </c>
      <c r="M118" s="151" t="s">
        <v>541</v>
      </c>
      <c r="N118" s="14" t="s">
        <v>542</v>
      </c>
      <c r="O118" s="43">
        <v>1</v>
      </c>
      <c r="R118" s="38" t="s">
        <v>104</v>
      </c>
      <c r="S118" s="38"/>
      <c r="T118" s="38"/>
      <c r="W118" s="15" t="str">
        <f>IF(IFERROR(VLOOKUP($M118,#REF!,1,0),"-")="-","","GS")</f>
        <v/>
      </c>
      <c r="Z118" s="59" t="str">
        <f>IF(OR($M118="",NOT($O118="{array}")),"",IFERROR(MATCH(PARAMETERS!$M118,DEFAULT!$B$5:$CG$5,0),""))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IF($AA118="","",IF($B118="I",VLOOKUP($AA118,#REF!,53,0),INDEX(VALUES!$B$1:$CC$1,1,$AA118)))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543</v>
      </c>
      <c r="N119" s="204" t="s">
        <v>544</v>
      </c>
      <c r="O119" s="205">
        <v>0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X119" s="207"/>
      <c r="Y119" s="204"/>
      <c r="Z119" s="59" t="str">
        <f>IF(OR($M119="",NOT($O119="{array}")),"",IFERROR(MATCH(PARAMETERS!$M119,DEFAULT!$B$5:$CG$5,0),""))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IF($AA119="","",IF($B119="I",VLOOKUP($AA119,#REF!,53,0),INDEX(VALUES!$B$1:$CC$1,1,$AA119)))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545</v>
      </c>
      <c r="N120" s="204" t="s">
        <v>546</v>
      </c>
      <c r="O120" s="205">
        <v>1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X120" s="207"/>
      <c r="Y120" s="204"/>
      <c r="Z120" s="59" t="str">
        <f>IF(OR($M120="",NOT($O120="{array}")),"",IFERROR(MATCH(PARAMETERS!$M120,DEFAULT!$B$5:$CG$5,0),""))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IF($AA120="","",IF($B120="I",VLOOKUP($AA120,#REF!,53,0),INDEX(VALUES!$B$1:$CC$1,1,$AA120)))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547</v>
      </c>
      <c r="N121" s="204" t="s">
        <v>548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X121" s="207"/>
      <c r="Y121" s="204"/>
      <c r="Z121" s="59" t="str">
        <f>IF(OR($M121="",NOT($O121="{array}")),"",IFERROR(MATCH(PARAMETERS!$M121,DEFAULT!$B$5:$CG$5,0),""))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IF($AA121="","",IF($B121="I",VLOOKUP($AA121,#REF!,53,0),INDEX(VALUES!$B$1:$CC$1,1,$AA121)))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549</v>
      </c>
      <c r="N122" s="204" t="s">
        <v>550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X122" s="207"/>
      <c r="Y122" s="204"/>
      <c r="Z122" s="59" t="str">
        <f>IF(OR($M122="",NOT($O122="{array}")),"",IFERROR(MATCH(PARAMETERS!$M122,DEFAULT!$B$5:$CG$5,0),""))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IF($AA122="","",IF($B122="I",VLOOKUP($AA122,#REF!,53,0),INDEX(VALUES!$B$1:$CC$1,1,$AA122)))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551</v>
      </c>
      <c r="N123" s="204" t="s">
        <v>552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X123" s="207"/>
      <c r="Y123" s="204"/>
      <c r="Z123" s="59" t="str">
        <f>IF(OR($M123="",NOT($O123="{array}")),"",IFERROR(MATCH(PARAMETERS!$M123,DEFAULT!$B$5:$CG$5,0),""))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IF($AA123="","",IF($B123="I",VLOOKUP($AA123,#REF!,53,0),INDEX(VALUES!$B$1:$CC$1,1,$AA123)))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204" t="s">
        <v>47</v>
      </c>
      <c r="L124" s="204" t="s">
        <v>27</v>
      </c>
      <c r="M124" s="192" t="s">
        <v>553</v>
      </c>
      <c r="N124" s="204" t="s">
        <v>554</v>
      </c>
      <c r="O124" s="205">
        <v>0</v>
      </c>
      <c r="P124" s="204"/>
      <c r="Q124" s="206"/>
      <c r="R124" s="206" t="s">
        <v>104</v>
      </c>
      <c r="S124" s="206"/>
      <c r="T124" s="206"/>
      <c r="U124" s="204"/>
      <c r="V124" s="204"/>
      <c r="W124" s="207" t="str">
        <f>IF(IFERROR(VLOOKUP($M124,#REF!,1,0),"-")="-","","GS")</f>
        <v/>
      </c>
      <c r="X124" s="207"/>
      <c r="Y124" s="204"/>
      <c r="Z124" s="59" t="str">
        <f>IF(OR($M124="",NOT($O124="{array}")),"",IFERROR(MATCH(PARAMETERS!$M124,DEFAULT!$B$5:$CG$5,0),""))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IF($AA124="","",IF($B124="I",VLOOKUP($AA124,#REF!,53,0),INDEX(VALUES!$B$1:$CC$1,1,$AA124)))</f>
        <v/>
      </c>
    </row>
    <row r="125" spans="1:29" hidden="1" outlineLevel="1" x14ac:dyDescent="0.3">
      <c r="A125" s="22" t="s">
        <v>84</v>
      </c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4" t="s">
        <v>47</v>
      </c>
      <c r="L125" s="14" t="s">
        <v>27</v>
      </c>
      <c r="M125" s="151" t="s">
        <v>555</v>
      </c>
      <c r="N125" s="14" t="s">
        <v>556</v>
      </c>
      <c r="O125" s="43">
        <v>1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IF(OR($M125="",NOT($O125="{array}")),"",IFERROR(MATCH(PARAMETERS!$M125,DEFAULT!$B$5:$CG$5,0),""))</f>
        <v/>
      </c>
      <c r="AA125" s="56" t="str">
        <f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IF($AA125="","",IF($B125="I",VLOOKUP($AA125,#REF!,53,0),INDEX(VALUES!$B$1:$CC$1,1,$AA125)))</f>
        <v/>
      </c>
    </row>
    <row r="126" spans="1:29" collapsed="1" x14ac:dyDescent="0.3">
      <c r="A126" s="22" t="s">
        <v>84</v>
      </c>
      <c r="B126" s="41" t="str">
        <f t="shared" ref="B126:B164" si="8">IF($A126="P",IF(NOT($Z126=""),"A",IF(NOT($AA126=""),"I","")),IF(NOT($AA126=""),IF($A126="G","V","X"),IF(NOT($Z126=""),"A","")))</f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/>
      <c r="J126" s="38"/>
      <c r="K126" s="14" t="s">
        <v>57</v>
      </c>
      <c r="L126" s="14" t="s">
        <v>38</v>
      </c>
      <c r="M126" s="48" t="s">
        <v>557</v>
      </c>
      <c r="N126" s="41" t="s">
        <v>558</v>
      </c>
      <c r="R126" s="38" t="s">
        <v>104</v>
      </c>
      <c r="S126" s="38"/>
      <c r="T126" s="38"/>
      <c r="W126" s="15" t="str">
        <f>IF(IFERROR(VLOOKUP($M126,#REF!,1,0),"-")="-","","GS")</f>
        <v/>
      </c>
      <c r="Z126" s="59" t="str">
        <f>IF(OR($M126="",NOT($O126="{array}")),"",IFERROR(MATCH(PARAMETERS!$M126,DEFAULT!$B$5:$CG$5,0),""))</f>
        <v/>
      </c>
      <c r="AA126" s="56" t="str">
        <f t="shared" ref="AA126:AA332" si="9">IF($M126="","",IFERROR(MATCH($M126,VALUESnames,0),""))</f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IF($AA126="","",IF($B126="I",VLOOKUP($AA126,#REF!,53,0),INDEX(VALUES!$B$1:$CC$1,1,$AA126)))</f>
        <v/>
      </c>
    </row>
    <row r="127" spans="1:29" outlineLevel="1" x14ac:dyDescent="0.3">
      <c r="A127" s="22"/>
      <c r="B127" s="41" t="str">
        <f t="shared" si="8"/>
        <v/>
      </c>
      <c r="C127" s="42">
        <f t="shared" si="5"/>
        <v>126</v>
      </c>
      <c r="D127" s="38"/>
      <c r="E127" s="38"/>
      <c r="F127" s="38"/>
      <c r="G127" s="38"/>
      <c r="H127" s="38"/>
      <c r="I127" s="38" t="s">
        <v>9</v>
      </c>
      <c r="J127" s="38"/>
      <c r="K127" s="53" t="s">
        <v>18</v>
      </c>
      <c r="L127" s="53" t="s">
        <v>32</v>
      </c>
      <c r="M127" s="53" t="s">
        <v>559</v>
      </c>
      <c r="N127" s="53" t="s">
        <v>560</v>
      </c>
      <c r="O127" s="155" t="str">
        <f>"UZ"</f>
        <v>UZ</v>
      </c>
      <c r="R127" s="38" t="s">
        <v>196</v>
      </c>
      <c r="S127" s="38"/>
      <c r="T127" s="38"/>
      <c r="W127" s="15"/>
      <c r="Z127" s="59" t="str">
        <f>IF(OR($M127="",NOT($O127="{array}")),"",IFERROR(MATCH(PARAMETERS!$M127,DEFAULT!$B$5:$CG$5,0),""))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IF($AA127="","",IF($B127="I",VLOOKUP($AA127,#REF!,53,0),INDEX(VALUES!$B$1:$CC$1,1,$AA127)))</f>
        <v/>
      </c>
    </row>
    <row r="128" spans="1:29" outlineLevel="1" x14ac:dyDescent="0.25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/>
      <c r="H128" s="38"/>
      <c r="I128" s="38" t="s">
        <v>9</v>
      </c>
      <c r="J128" s="38"/>
      <c r="K128" s="14" t="s">
        <v>18</v>
      </c>
      <c r="L128" s="14" t="s">
        <v>27</v>
      </c>
      <c r="M128" s="20" t="s">
        <v>561</v>
      </c>
      <c r="N128" s="14" t="s">
        <v>562</v>
      </c>
      <c r="O128" s="43" t="s">
        <v>179</v>
      </c>
      <c r="Q128" s="170"/>
      <c r="R128" s="171"/>
      <c r="S128" s="171" t="s">
        <v>112</v>
      </c>
      <c r="T128" s="166" t="s">
        <v>265</v>
      </c>
      <c r="U128" s="166" t="s">
        <v>265</v>
      </c>
      <c r="V128" s="166" t="s">
        <v>563</v>
      </c>
      <c r="W128" s="15" t="str">
        <f>IF(IFERROR(VLOOKUP($M128,#REF!,1,0),"-")="-","","GS")</f>
        <v/>
      </c>
      <c r="X128" s="160">
        <v>25</v>
      </c>
      <c r="Y128" s="166" t="s">
        <v>564</v>
      </c>
      <c r="Z128" s="59" t="str">
        <f>IF(OR($M128="",NOT($O128="{array}")),"",IFERROR(MATCH(PARAMETERS!$M128,DEFAULT!$B$5:$CG$5,0),""))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IF($AA128="","",IF($B128="I",VLOOKUP($AA128,#REF!,53,0),INDEX(VALUES!$B$1:$CC$1,1,$AA128)))</f>
        <v/>
      </c>
    </row>
    <row r="129" spans="1:29" outlineLevel="1" x14ac:dyDescent="0.3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 t="s">
        <v>9</v>
      </c>
      <c r="H129" s="38"/>
      <c r="I129" s="38" t="s">
        <v>9</v>
      </c>
      <c r="J129" s="38"/>
      <c r="K129" s="14" t="s">
        <v>44</v>
      </c>
      <c r="L129" s="14" t="s">
        <v>27</v>
      </c>
      <c r="M129" s="20" t="s">
        <v>565</v>
      </c>
      <c r="N129" s="14" t="s">
        <v>562</v>
      </c>
      <c r="O129" s="43">
        <v>1</v>
      </c>
      <c r="R129" s="38" t="s">
        <v>104</v>
      </c>
      <c r="S129" s="38"/>
      <c r="T129" s="38"/>
      <c r="W129" s="15" t="str">
        <f>IF(IFERROR(VLOOKUP($M129,#REF!,1,0),"-")="-","","GS")</f>
        <v/>
      </c>
      <c r="Z129" s="59" t="str">
        <f>IF(OR($M129="",NOT($O129="{array}")),"",IFERROR(MATCH(PARAMETERS!$M129,DEFAULT!$B$5:$CG$5,0),""))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IF($AA129="","",IF($B129="I",VLOOKUP($AA129,#REF!,53,0),INDEX(VALUES!$B$1:$CC$1,1,$AA129)))</f>
        <v/>
      </c>
    </row>
    <row r="130" spans="1:29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4" t="s">
        <v>44</v>
      </c>
      <c r="L130" s="14" t="s">
        <v>27</v>
      </c>
      <c r="M130" s="234" t="s">
        <v>1596</v>
      </c>
      <c r="N130" s="14" t="s">
        <v>1597</v>
      </c>
      <c r="O130" s="43">
        <v>3</v>
      </c>
      <c r="R130" s="171" t="s">
        <v>103</v>
      </c>
      <c r="S130" s="171" t="s">
        <v>112</v>
      </c>
      <c r="T130" s="166" t="s">
        <v>265</v>
      </c>
      <c r="U130" s="166" t="s">
        <v>265</v>
      </c>
      <c r="V130" s="166" t="s">
        <v>566</v>
      </c>
      <c r="W130" s="15" t="str">
        <f>IF(IFERROR(VLOOKUP($M130,#REF!,1,0),"-")="-","","GS")</f>
        <v/>
      </c>
      <c r="X130" s="160">
        <v>51</v>
      </c>
      <c r="Y130" s="166" t="s">
        <v>567</v>
      </c>
      <c r="Z130" s="59" t="str">
        <f>IF(OR($M130="",NOT($O130="{array}")),"",IFERROR(MATCH(PARAMETERS!$M130,DEFAULT!$B$5:$CG$5,0),""))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IF($AA130="","",IF($B130="I",VLOOKUP($AA130,#REF!,53,0),INDEX(VALUES!$B$1:$CC$1,1,$AA130)))</f>
        <v/>
      </c>
    </row>
    <row r="131" spans="1:29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66" t="s">
        <v>18</v>
      </c>
      <c r="L131" s="14" t="s">
        <v>32</v>
      </c>
      <c r="M131" s="157" t="s">
        <v>1657</v>
      </c>
      <c r="N131" s="166" t="s">
        <v>568</v>
      </c>
      <c r="O131" s="166" t="s">
        <v>1653</v>
      </c>
      <c r="P131" s="160" t="s">
        <v>265</v>
      </c>
      <c r="Q131" s="170" t="s">
        <v>9</v>
      </c>
      <c r="R131" s="171" t="s">
        <v>103</v>
      </c>
      <c r="S131" s="171" t="s">
        <v>112</v>
      </c>
      <c r="T131" s="166" t="s">
        <v>265</v>
      </c>
      <c r="U131" s="166" t="s">
        <v>265</v>
      </c>
      <c r="V131" s="166" t="s">
        <v>568</v>
      </c>
      <c r="W131" s="15"/>
      <c r="X131" s="15" t="s">
        <v>1924</v>
      </c>
      <c r="Y131" s="166" t="s">
        <v>569</v>
      </c>
      <c r="AC131" s="17"/>
    </row>
    <row r="132" spans="1:29" outlineLevel="1" x14ac:dyDescent="0.3">
      <c r="A132" s="22" t="s">
        <v>84</v>
      </c>
      <c r="B132" s="41" t="str">
        <f t="shared" si="8"/>
        <v/>
      </c>
      <c r="C132" s="42">
        <f t="shared" ref="C132:C194" si="10">(ROW()-1)</f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47</v>
      </c>
      <c r="L132" s="14" t="s">
        <v>27</v>
      </c>
      <c r="M132" s="20" t="s">
        <v>570</v>
      </c>
      <c r="N132" s="14" t="s">
        <v>571</v>
      </c>
      <c r="O132" s="43">
        <v>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IF(OR($M132="",NOT($O132="{array}")),"",IFERROR(MATCH(PARAMETERS!$M132,DEFAULT!$B$5:$CG$5,0),""))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IF($AA132="","",IF($B132="I",VLOOKUP($AA132,#REF!,53,0),INDEX(VALUES!$B$1:$CC$1,1,$AA132)))</f>
        <v/>
      </c>
    </row>
    <row r="133" spans="1:29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 t="s">
        <v>9</v>
      </c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572</v>
      </c>
      <c r="N133" s="14" t="s">
        <v>573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IF(OR($M133="",NOT($O133="{array}")),"",IFERROR(MATCH(PARAMETERS!$M133,DEFAULT!$B$5:$CG$5,0),""))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IF($AA133="","",IF($B133="I",VLOOKUP($AA133,#REF!,53,0),INDEX(VALUES!$B$1:$CC$1,1,$AA133)))</f>
        <v/>
      </c>
    </row>
    <row r="134" spans="1:29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574</v>
      </c>
      <c r="N134" s="14" t="s">
        <v>575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IF(OR($M134="",NOT($O134="{array}")),"",IFERROR(MATCH(PARAMETERS!$M134,DEFAULT!$B$5:$CG$5,0),""))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IF($AA134="","",IF($B134="I",VLOOKUP($AA134,#REF!,53,0),INDEX(VALUES!$B$1:$CC$1,1,$AA134)))</f>
        <v/>
      </c>
    </row>
    <row r="135" spans="1:29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576</v>
      </c>
      <c r="N135" s="14" t="s">
        <v>577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IF(OR($M135="",NOT($O135="{array}")),"",IFERROR(MATCH(PARAMETERS!$M135,DEFAULT!$B$5:$CG$5,0),""))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IF($AA135="","",IF($B135="I",VLOOKUP($AA135,#REF!,53,0),INDEX(VALUES!$B$1:$CC$1,1,$AA135)))</f>
        <v/>
      </c>
    </row>
    <row r="136" spans="1:29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578</v>
      </c>
      <c r="N136" s="14" t="s">
        <v>579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IF(OR($M136="",NOT($O136="{array}")),"",IFERROR(MATCH(PARAMETERS!$M136,DEFAULT!$B$5:$CG$5,0),""))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IF($AA136="","",IF($B136="I",VLOOKUP($AA136,#REF!,53,0),INDEX(VALUES!$B$1:$CC$1,1,$AA136)))</f>
        <v/>
      </c>
    </row>
    <row r="137" spans="1:29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580</v>
      </c>
      <c r="N137" s="14" t="s">
        <v>581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IF(OR($M137="",NOT($O137="{array}")),"",IFERROR(MATCH(PARAMETERS!$M137,DEFAULT!$B$5:$CG$5,0),""))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IF($AA137="","",IF($B137="I",VLOOKUP($AA137,#REF!,53,0),INDEX(VALUES!$B$1:$CC$1,1,$AA137)))</f>
        <v/>
      </c>
    </row>
    <row r="138" spans="1:29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582</v>
      </c>
      <c r="N138" s="14" t="s">
        <v>583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IF(OR($M138="",NOT($O138="{array}")),"",IFERROR(MATCH(PARAMETERS!$M138,DEFAULT!$B$5:$CG$5,0),""))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IF($AA138="","",IF($B138="I",VLOOKUP($AA138,#REF!,53,0),INDEX(VALUES!$B$1:$CC$1,1,$AA138)))</f>
        <v/>
      </c>
    </row>
    <row r="139" spans="1:29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584</v>
      </c>
      <c r="N139" s="14" t="s">
        <v>585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IF(OR($M139="",NOT($O139="{array}")),"",IFERROR(MATCH(PARAMETERS!$M139,DEFAULT!$B$5:$CG$5,0),""))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IF($AA139="","",IF($B139="I",VLOOKUP($AA139,#REF!,53,0),INDEX(VALUES!$B$1:$CC$1,1,$AA139)))</f>
        <v/>
      </c>
    </row>
    <row r="140" spans="1:29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586</v>
      </c>
      <c r="N140" s="14" t="s">
        <v>587</v>
      </c>
      <c r="O140" s="43">
        <v>0.1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IF(OR($M140="",NOT($O140="{array}")),"",IFERROR(MATCH(PARAMETERS!$M140,DEFAULT!$B$5:$CG$5,0),""))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IF($AA140="","",IF($B140="I",VLOOKUP($AA140,#REF!,53,0),INDEX(VALUES!$B$1:$CC$1,1,$AA140)))</f>
        <v/>
      </c>
    </row>
    <row r="141" spans="1:29" outlineLevel="1" x14ac:dyDescent="0.3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 t="s">
        <v>9</v>
      </c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20" t="s">
        <v>588</v>
      </c>
      <c r="N141" s="14" t="s">
        <v>589</v>
      </c>
      <c r="O141" s="43">
        <v>7.0000000000000007E-2</v>
      </c>
      <c r="R141" s="38" t="s">
        <v>104</v>
      </c>
      <c r="S141" s="38"/>
      <c r="T141" s="38"/>
      <c r="W141" s="15" t="str">
        <f>IF(IFERROR(VLOOKUP($M141,#REF!,1,0),"-")="-","","GS")</f>
        <v/>
      </c>
      <c r="Z141" s="59" t="str">
        <f>IF(OR($M141="",NOT($O141="{array}")),"",IFERROR(MATCH(PARAMETERS!$M141,DEFAULT!$B$5:$CG$5,0),""))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IF($AA141="","",IF($B141="I",VLOOKUP($AA141,#REF!,53,0),INDEX(VALUES!$B$1:$CC$1,1,$AA141)))</f>
        <v/>
      </c>
    </row>
    <row r="142" spans="1:29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47</v>
      </c>
      <c r="L142" s="14" t="s">
        <v>27</v>
      </c>
      <c r="M142" s="234" t="s">
        <v>1573</v>
      </c>
      <c r="N142" s="53" t="s">
        <v>1574</v>
      </c>
      <c r="O142" s="155">
        <v>1</v>
      </c>
      <c r="P142" s="53"/>
      <c r="Q142" s="209" t="s">
        <v>9</v>
      </c>
      <c r="R142" s="38" t="s">
        <v>196</v>
      </c>
      <c r="S142" s="235" t="s">
        <v>112</v>
      </c>
      <c r="T142" s="170"/>
      <c r="U142" s="166"/>
      <c r="V142" s="166"/>
      <c r="W142" s="15"/>
      <c r="X142" s="160"/>
      <c r="Y142" s="166"/>
      <c r="Z142" s="59" t="str">
        <f>IF(OR($M142="",NOT($O142="{array}")),"",IFERROR(MATCH(PARAMETERS!$M142,DEFAULT!$B$5:$CG$5,0),""))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IF($AA142="","",IF($B142="I",VLOOKUP($AA142,#REF!,53,0),INDEX(VALUES!$B$1:$CC$1,1,$AA142)))</f>
        <v/>
      </c>
    </row>
    <row r="143" spans="1:29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4" t="s">
        <v>1575</v>
      </c>
      <c r="N143" s="53" t="s">
        <v>1576</v>
      </c>
      <c r="O143" s="155">
        <v>7.0000000000000007E-2</v>
      </c>
      <c r="P143" s="53"/>
      <c r="Q143" s="209" t="s">
        <v>9</v>
      </c>
      <c r="R143" s="38" t="s">
        <v>196</v>
      </c>
      <c r="S143" s="235" t="s">
        <v>112</v>
      </c>
      <c r="T143" s="170"/>
      <c r="U143" s="166"/>
      <c r="V143" s="166"/>
      <c r="W143" s="15"/>
      <c r="X143" s="160"/>
      <c r="Y143" s="166"/>
      <c r="Z143" s="59" t="str">
        <f>IF(OR($M143="",NOT($O143="{array}")),"",IFERROR(MATCH(PARAMETERS!$M143,DEFAULT!$B$5:$CG$5,0),""))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IF($AA143="","",IF($B143="I",VLOOKUP($AA143,#REF!,53,0),INDEX(VALUES!$B$1:$CC$1,1,$AA143)))</f>
        <v/>
      </c>
    </row>
    <row r="144" spans="1:29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4" t="s">
        <v>1577</v>
      </c>
      <c r="N144" s="53" t="s">
        <v>1578</v>
      </c>
      <c r="O144" s="155">
        <v>0.1</v>
      </c>
      <c r="P144" s="53"/>
      <c r="Q144" s="209" t="s">
        <v>9</v>
      </c>
      <c r="R144" s="38" t="s">
        <v>196</v>
      </c>
      <c r="S144" s="235" t="s">
        <v>112</v>
      </c>
      <c r="T144" s="170"/>
      <c r="U144" s="166"/>
      <c r="V144" s="166"/>
      <c r="W144" s="15"/>
      <c r="X144" s="160"/>
      <c r="Y144" s="166"/>
      <c r="Z144" s="59" t="str">
        <f>IF(OR($M144="",NOT($O144="{array}")),"",IFERROR(MATCH(PARAMETERS!$M144,DEFAULT!$B$5:$CG$5,0),""))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IF($AA144="","",IF($B144="I",VLOOKUP($AA144,#REF!,53,0),INDEX(VALUES!$B$1:$CC$1,1,$AA144)))</f>
        <v/>
      </c>
    </row>
    <row r="145" spans="1:29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4" t="s">
        <v>1579</v>
      </c>
      <c r="N145" s="53" t="s">
        <v>1580</v>
      </c>
      <c r="O145" s="155">
        <v>0.1</v>
      </c>
      <c r="P145" s="53"/>
      <c r="Q145" s="209" t="s">
        <v>9</v>
      </c>
      <c r="R145" s="38" t="s">
        <v>196</v>
      </c>
      <c r="S145" s="235" t="s">
        <v>112</v>
      </c>
      <c r="T145" s="170"/>
      <c r="U145" s="166"/>
      <c r="V145" s="166"/>
      <c r="W145" s="15"/>
      <c r="X145" s="160"/>
      <c r="Y145" s="166"/>
      <c r="Z145" s="59" t="str">
        <f>IF(OR($M145="",NOT($O145="{array}")),"",IFERROR(MATCH(PARAMETERS!$M145,DEFAULT!$B$5:$CG$5,0),""))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IF($AA145="","",IF($B145="I",VLOOKUP($AA145,#REF!,53,0),INDEX(VALUES!$B$1:$CC$1,1,$AA145)))</f>
        <v/>
      </c>
    </row>
    <row r="146" spans="1:29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4" t="s">
        <v>1581</v>
      </c>
      <c r="N146" s="53" t="s">
        <v>1582</v>
      </c>
      <c r="O146" s="155">
        <v>0.1</v>
      </c>
      <c r="P146" s="53"/>
      <c r="Q146" s="209" t="s">
        <v>9</v>
      </c>
      <c r="R146" s="38" t="s">
        <v>196</v>
      </c>
      <c r="S146" s="235" t="s">
        <v>112</v>
      </c>
      <c r="T146" s="170"/>
      <c r="U146" s="166"/>
      <c r="V146" s="166"/>
      <c r="W146" s="15"/>
      <c r="X146" s="160"/>
      <c r="Y146" s="166"/>
      <c r="Z146" s="59" t="str">
        <f>IF(OR($M146="",NOT($O146="{array}")),"",IFERROR(MATCH(PARAMETERS!$M146,DEFAULT!$B$5:$CG$5,0),""))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IF($AA146="","",IF($B146="I",VLOOKUP($AA146,#REF!,53,0),INDEX(VALUES!$B$1:$CC$1,1,$AA146)))</f>
        <v/>
      </c>
    </row>
    <row r="147" spans="1:29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4" t="s">
        <v>1583</v>
      </c>
      <c r="N147" s="53" t="s">
        <v>1584</v>
      </c>
      <c r="O147" s="155">
        <v>0.12</v>
      </c>
      <c r="P147" s="53"/>
      <c r="Q147" s="209" t="s">
        <v>9</v>
      </c>
      <c r="R147" s="38" t="s">
        <v>196</v>
      </c>
      <c r="S147" s="235" t="s">
        <v>112</v>
      </c>
      <c r="T147" s="170"/>
      <c r="U147" s="166"/>
      <c r="V147" s="166"/>
      <c r="W147" s="15"/>
      <c r="X147" s="160"/>
      <c r="Y147" s="166"/>
      <c r="Z147" s="59" t="str">
        <f>IF(OR($M147="",NOT($O147="{array}")),"",IFERROR(MATCH(PARAMETERS!$M147,DEFAULT!$B$5:$CG$5,0),""))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IF($AA147="","",IF($B147="I",VLOOKUP($AA147,#REF!,53,0),INDEX(VALUES!$B$1:$CC$1,1,$AA147)))</f>
        <v/>
      </c>
    </row>
    <row r="148" spans="1:29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4" t="s">
        <v>1585</v>
      </c>
      <c r="N148" s="53" t="s">
        <v>1586</v>
      </c>
      <c r="O148" s="155">
        <v>8.0000000000000002E-3</v>
      </c>
      <c r="P148" s="53"/>
      <c r="Q148" s="209" t="s">
        <v>9</v>
      </c>
      <c r="R148" s="38" t="s">
        <v>196</v>
      </c>
      <c r="S148" s="235" t="s">
        <v>112</v>
      </c>
      <c r="T148" s="170"/>
      <c r="U148" s="166"/>
      <c r="V148" s="166"/>
      <c r="W148" s="15"/>
      <c r="X148" s="160"/>
      <c r="Y148" s="166"/>
      <c r="Z148" s="59" t="str">
        <f>IF(OR($M148="",NOT($O148="{array}")),"",IFERROR(MATCH(PARAMETERS!$M148,DEFAULT!$B$5:$CG$5,0),""))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IF($AA148="","",IF($B148="I",VLOOKUP($AA148,#REF!,53,0),INDEX(VALUES!$B$1:$CC$1,1,$AA148)))</f>
        <v/>
      </c>
    </row>
    <row r="149" spans="1:29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4" t="s">
        <v>1587</v>
      </c>
      <c r="N149" s="53" t="s">
        <v>1588</v>
      </c>
      <c r="O149" s="155">
        <v>8.0000000000000002E-3</v>
      </c>
      <c r="P149" s="53"/>
      <c r="Q149" s="209" t="s">
        <v>9</v>
      </c>
      <c r="R149" s="38" t="s">
        <v>196</v>
      </c>
      <c r="S149" s="235" t="s">
        <v>112</v>
      </c>
      <c r="T149" s="170"/>
      <c r="U149" s="166"/>
      <c r="V149" s="166"/>
      <c r="W149" s="15"/>
      <c r="X149" s="160"/>
      <c r="Y149" s="166"/>
      <c r="Z149" s="59" t="str">
        <f>IF(OR($M149="",NOT($O149="{array}")),"",IFERROR(MATCH(PARAMETERS!$M149,DEFAULT!$B$5:$CG$5,0),""))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IF($AA149="","",IF($B149="I",VLOOKUP($AA149,#REF!,53,0),INDEX(VALUES!$B$1:$CC$1,1,$AA149)))</f>
        <v/>
      </c>
    </row>
    <row r="150" spans="1:29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4" t="s">
        <v>1593</v>
      </c>
      <c r="N150" s="166" t="s">
        <v>590</v>
      </c>
      <c r="O150" s="159">
        <v>3.5000000000000003E-2</v>
      </c>
      <c r="P150" s="160"/>
      <c r="Q150" s="171" t="s">
        <v>9</v>
      </c>
      <c r="R150" s="171" t="s">
        <v>103</v>
      </c>
      <c r="S150" s="171" t="s">
        <v>112</v>
      </c>
      <c r="T150" s="166" t="s">
        <v>265</v>
      </c>
      <c r="U150" s="166" t="s">
        <v>265</v>
      </c>
      <c r="V150" s="166" t="s">
        <v>590</v>
      </c>
      <c r="W150" s="15" t="str">
        <f>IF(IFERROR(VLOOKUP($M150,#REF!,1,0),"-")="-","","GS")</f>
        <v/>
      </c>
      <c r="X150" s="160">
        <v>53</v>
      </c>
      <c r="Y150" s="166" t="s">
        <v>591</v>
      </c>
      <c r="Z150" s="59" t="str">
        <f>IF(OR($M150="",NOT($O150="{array}")),"",IFERROR(MATCH(PARAMETERS!$M150,DEFAULT!$B$5:$CG$5,0),""))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IF($AA150="","",IF($B150="I",VLOOKUP($AA150,#REF!,53,0),INDEX(VALUES!$B$1:$CC$1,1,$AA150)))</f>
        <v/>
      </c>
    </row>
    <row r="151" spans="1:29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4" t="s">
        <v>1594</v>
      </c>
      <c r="N151" s="159" t="s">
        <v>592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265</v>
      </c>
      <c r="U151" s="159" t="s">
        <v>265</v>
      </c>
      <c r="V151" s="159" t="s">
        <v>592</v>
      </c>
      <c r="W151" s="15" t="str">
        <f>IF(IFERROR(VLOOKUP($M151,#REF!,1,0),"-")="-","","GS")</f>
        <v/>
      </c>
      <c r="X151" s="176">
        <v>53</v>
      </c>
      <c r="Y151" s="159" t="s">
        <v>591</v>
      </c>
      <c r="Z151" s="59" t="str">
        <f>IF(OR($M151="",NOT($O151="{array}")),"",IFERROR(MATCH(PARAMETERS!$M151,DEFAULT!$B$5:$CG$5,0),""))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IF($AA151="","",IF($B151="I",VLOOKUP($AA151,#REF!,53,0),INDEX(VALUES!$B$1:$CC$1,1,$AA151)))</f>
        <v/>
      </c>
    </row>
    <row r="152" spans="1:29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4" t="s">
        <v>1595</v>
      </c>
      <c r="N152" s="159" t="s">
        <v>593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265</v>
      </c>
      <c r="U152" s="159" t="s">
        <v>265</v>
      </c>
      <c r="V152" s="159" t="s">
        <v>593</v>
      </c>
      <c r="W152" s="15" t="str">
        <f>IF(IFERROR(VLOOKUP($M152,#REF!,1,0),"-")="-","","GS")</f>
        <v/>
      </c>
      <c r="X152" s="176">
        <v>53</v>
      </c>
      <c r="Y152" s="159" t="s">
        <v>591</v>
      </c>
      <c r="Z152" s="59" t="str">
        <f>IF(OR($M152="",NOT($O152="{array}")),"",IFERROR(MATCH(PARAMETERS!$M152,DEFAULT!$B$5:$CG$5,0),""))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IF($AA152="","",IF($B152="I",VLOOKUP($AA152,#REF!,53,0),INDEX(VALUES!$B$1:$CC$1,1,$AA152)))</f>
        <v/>
      </c>
    </row>
    <row r="153" spans="1:29" outlineLevel="1" x14ac:dyDescent="0.25">
      <c r="A153" s="22" t="s">
        <v>84</v>
      </c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234" t="s">
        <v>1600</v>
      </c>
      <c r="N153" s="159" t="s">
        <v>594</v>
      </c>
      <c r="O153" s="159">
        <v>3.5000000000000003E-2</v>
      </c>
      <c r="P153" s="176"/>
      <c r="Q153" s="178" t="s">
        <v>9</v>
      </c>
      <c r="R153" s="178" t="s">
        <v>103</v>
      </c>
      <c r="S153" s="178" t="s">
        <v>112</v>
      </c>
      <c r="T153" s="159" t="s">
        <v>265</v>
      </c>
      <c r="U153" s="159" t="s">
        <v>265</v>
      </c>
      <c r="V153" s="159" t="s">
        <v>594</v>
      </c>
      <c r="W153" s="15" t="str">
        <f>IF(IFERROR(VLOOKUP($M153,#REF!,1,0),"-")="-","","GS")</f>
        <v/>
      </c>
      <c r="X153" s="176">
        <v>53</v>
      </c>
      <c r="Y153" s="159" t="s">
        <v>591</v>
      </c>
      <c r="Z153" s="59" t="str">
        <f>IF(OR($M153="",NOT($O153="{array}")),"",IFERROR(MATCH(PARAMETERS!$M153,DEFAULT!$B$5:$CG$5,0),""))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IF($AA153="","",IF($B153="I",VLOOKUP($AA153,#REF!,53,0),INDEX(VALUES!$B$1:$CC$1,1,$AA153)))</f>
        <v/>
      </c>
    </row>
    <row r="154" spans="1:29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36</v>
      </c>
      <c r="L154" s="14" t="s">
        <v>27</v>
      </c>
      <c r="M154" s="166" t="s">
        <v>595</v>
      </c>
      <c r="N154" s="166" t="s">
        <v>265</v>
      </c>
      <c r="O154" s="166" t="s">
        <v>265</v>
      </c>
      <c r="P154" s="160" t="s">
        <v>128</v>
      </c>
      <c r="Q154" s="170" t="s">
        <v>9</v>
      </c>
      <c r="R154" s="171" t="s">
        <v>103</v>
      </c>
      <c r="S154" s="171" t="s">
        <v>112</v>
      </c>
      <c r="T154" s="166" t="s">
        <v>265</v>
      </c>
      <c r="U154" s="166" t="s">
        <v>265</v>
      </c>
      <c r="V154" s="166" t="s">
        <v>595</v>
      </c>
      <c r="W154" s="15" t="str">
        <f>IF(IFERROR(VLOOKUP($M154,#REF!,1,0),"-")="-","","GS")</f>
        <v/>
      </c>
      <c r="X154" s="160">
        <v>49</v>
      </c>
      <c r="Y154" s="166" t="s">
        <v>596</v>
      </c>
      <c r="Z154" s="59" t="str">
        <f>IF(OR($M154="",NOT($O154="{array}")),"",IFERROR(MATCH(PARAMETERS!$M154,DEFAULT!$B$5:$CG$5,0),""))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IF($AA154="","",IF($B154="I",VLOOKUP($AA154,#REF!,53,0),INDEX(VALUES!$B$1:$CC$1,1,$AA154)))</f>
        <v/>
      </c>
    </row>
    <row r="155" spans="1:29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597</v>
      </c>
      <c r="N155" s="166" t="s">
        <v>265</v>
      </c>
      <c r="O155" s="166" t="s">
        <v>265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265</v>
      </c>
      <c r="U155" s="166" t="s">
        <v>265</v>
      </c>
      <c r="V155" s="166" t="s">
        <v>597</v>
      </c>
      <c r="W155" s="15" t="str">
        <f>IF(IFERROR(VLOOKUP($M155,#REF!,1,0),"-")="-","","GS")</f>
        <v/>
      </c>
      <c r="X155" s="160">
        <v>52</v>
      </c>
      <c r="Y155" s="166" t="s">
        <v>598</v>
      </c>
      <c r="Z155" s="59" t="str">
        <f>IF(OR($M155="",NOT($O155="{array}")),"",IFERROR(MATCH(PARAMETERS!$M155,DEFAULT!$B$5:$CG$5,0),""))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IF($AA155="","",IF($B155="I",VLOOKUP($AA155,#REF!,53,0),INDEX(VALUES!$B$1:$CC$1,1,$AA155)))</f>
        <v/>
      </c>
    </row>
    <row r="156" spans="1:29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599</v>
      </c>
      <c r="N156" s="166" t="s">
        <v>265</v>
      </c>
      <c r="O156" s="166" t="s">
        <v>265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265</v>
      </c>
      <c r="U156" s="166" t="s">
        <v>265</v>
      </c>
      <c r="V156" s="166" t="s">
        <v>599</v>
      </c>
      <c r="W156" s="15" t="str">
        <f>IF(IFERROR(VLOOKUP($M156,#REF!,1,0),"-")="-","","GS")</f>
        <v/>
      </c>
      <c r="X156" s="160" t="s">
        <v>265</v>
      </c>
      <c r="Y156" s="166" t="s">
        <v>600</v>
      </c>
      <c r="Z156" s="59" t="str">
        <f>IF(OR($M156="",NOT($O156="{array}")),"",IFERROR(MATCH(PARAMETERS!$M156,DEFAULT!$B$5:$CG$5,0),""))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IF($AA156="","",IF($B156="I",VLOOKUP($AA156,#REF!,53,0),INDEX(VALUES!$B$1:$CC$1,1,$AA156)))</f>
        <v/>
      </c>
    </row>
    <row r="157" spans="1:29" outlineLevel="1" x14ac:dyDescent="0.25">
      <c r="A157" s="22"/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66" t="s">
        <v>601</v>
      </c>
      <c r="N157" s="166" t="s">
        <v>265</v>
      </c>
      <c r="O157" s="166" t="s">
        <v>265</v>
      </c>
      <c r="P157" s="160" t="s">
        <v>124</v>
      </c>
      <c r="Q157" s="170" t="s">
        <v>9</v>
      </c>
      <c r="R157" s="171" t="s">
        <v>103</v>
      </c>
      <c r="S157" s="171" t="s">
        <v>112</v>
      </c>
      <c r="T157" s="166" t="s">
        <v>265</v>
      </c>
      <c r="U157" s="166" t="s">
        <v>265</v>
      </c>
      <c r="V157" s="166" t="s">
        <v>601</v>
      </c>
      <c r="W157" s="15" t="str">
        <f>IF(IFERROR(VLOOKUP($M157,#REF!,1,0),"-")="-","","GS")</f>
        <v/>
      </c>
      <c r="X157" s="160">
        <v>54</v>
      </c>
      <c r="Y157" s="166" t="s">
        <v>602</v>
      </c>
      <c r="Z157" s="59" t="str">
        <f>IF(OR($M157="",NOT($O157="{array}")),"",IFERROR(MATCH(PARAMETERS!$M157,DEFAULT!$B$5:$CG$5,0),""))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IF($AA157="","",IF($B157="I",VLOOKUP($AA157,#REF!,53,0),INDEX(VALUES!$B$1:$CC$1,1,$AA157)))</f>
        <v/>
      </c>
    </row>
    <row r="158" spans="1:29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/>
      <c r="G158" s="38"/>
      <c r="H158" s="38"/>
      <c r="I158" s="38" t="s">
        <v>9</v>
      </c>
      <c r="J158" s="38"/>
      <c r="K158" s="166" t="s">
        <v>44</v>
      </c>
      <c r="L158" s="14" t="s">
        <v>27</v>
      </c>
      <c r="M158" s="175" t="s">
        <v>603</v>
      </c>
      <c r="N158" s="166" t="s">
        <v>604</v>
      </c>
      <c r="O158" s="166">
        <v>1</v>
      </c>
      <c r="P158" s="160" t="s">
        <v>265</v>
      </c>
      <c r="Q158" s="170"/>
      <c r="R158" s="171" t="s">
        <v>103</v>
      </c>
      <c r="S158" s="171" t="s">
        <v>112</v>
      </c>
      <c r="T158" s="166" t="s">
        <v>265</v>
      </c>
      <c r="U158" s="166" t="s">
        <v>265</v>
      </c>
      <c r="V158" s="166" t="s">
        <v>604</v>
      </c>
      <c r="W158" s="15" t="str">
        <f>IF(IFERROR(VLOOKUP($M158,#REF!,1,0),"-")="-","","GS")</f>
        <v/>
      </c>
      <c r="X158" s="160">
        <v>50</v>
      </c>
      <c r="Y158" s="166" t="s">
        <v>605</v>
      </c>
      <c r="Z158" s="59" t="str">
        <f>IF(OR($M158="",NOT($O158="{array}")),"",IFERROR(MATCH(PARAMETERS!$M158,DEFAULT!$B$5:$CG$5,0),""))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IF($AA158="","",IF($B158="I",VLOOKUP($AA158,#REF!,53,0),INDEX(VALUES!$B$1:$CC$1,1,$AA158)))</f>
        <v/>
      </c>
    </row>
    <row r="159" spans="1:29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606</v>
      </c>
      <c r="N159" s="14" t="s">
        <v>607</v>
      </c>
      <c r="O159" s="43">
        <v>1.4999999999999999E-2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Y159" s="53" t="s">
        <v>608</v>
      </c>
      <c r="Z159" s="59" t="str">
        <f>IF(OR($M159="",NOT($O159="{array}")),"",IFERROR(MATCH(PARAMETERS!$M159,DEFAULT!$B$5:$CG$5,0),""))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IF($AA159="","",IF($B159="I",VLOOKUP($AA159,#REF!,53,0),INDEX(VALUES!$B$1:$CC$1,1,$AA159)))</f>
        <v/>
      </c>
    </row>
    <row r="160" spans="1:29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151" t="s">
        <v>609</v>
      </c>
      <c r="N160" s="14" t="s">
        <v>610</v>
      </c>
      <c r="O160" s="43">
        <v>0.02</v>
      </c>
      <c r="Q160" s="38" t="s">
        <v>9</v>
      </c>
      <c r="R160" s="38" t="s">
        <v>104</v>
      </c>
      <c r="S160" s="38"/>
      <c r="T160" s="38"/>
      <c r="W160" s="15" t="str">
        <f>IF(IFERROR(VLOOKUP($M160,#REF!,1,0),"-")="-","","GS")</f>
        <v/>
      </c>
      <c r="Y160" s="53" t="s">
        <v>608</v>
      </c>
      <c r="Z160" s="59" t="str">
        <f>IF(OR($M160="",NOT($O160="{array}")),"",IFERROR(MATCH(PARAMETERS!$M160,DEFAULT!$B$5:$CG$5,0),""))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IF($AA160="","",IF($B160="I",VLOOKUP($AA160,#REF!,53,0),INDEX(VALUES!$B$1:$CC$1,1,$AA160)))</f>
        <v/>
      </c>
    </row>
    <row r="161" spans="1:29" outlineLevel="1" x14ac:dyDescent="0.3">
      <c r="A161" s="22" t="s">
        <v>84</v>
      </c>
      <c r="B161" s="41" t="str">
        <f t="shared" si="8"/>
        <v/>
      </c>
      <c r="C161" s="42">
        <f t="shared" si="10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234" t="s">
        <v>1598</v>
      </c>
      <c r="N161" s="53" t="s">
        <v>1599</v>
      </c>
      <c r="O161" s="155">
        <v>0</v>
      </c>
      <c r="P161" s="53"/>
      <c r="Q161" s="209" t="s">
        <v>9</v>
      </c>
      <c r="R161" s="38" t="s">
        <v>196</v>
      </c>
      <c r="S161" s="38"/>
      <c r="T161" s="38"/>
      <c r="W161" s="15"/>
      <c r="Y161" s="53"/>
      <c r="Z161" s="59" t="str">
        <f>IF(OR($M161="",NOT($O161="{array}")),"",IFERROR(MATCH(PARAMETERS!$M161,DEFAULT!$B$5:$CG$5,0),""))</f>
        <v/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IF($AA161="","",IF($B161="I",VLOOKUP($AA161,#REF!,53,0),INDEX(VALUES!$B$1:$CC$1,1,$AA161)))</f>
        <v/>
      </c>
    </row>
    <row r="162" spans="1:29" outlineLevel="1" x14ac:dyDescent="0.25">
      <c r="A162" s="22" t="s">
        <v>84</v>
      </c>
      <c r="B162" s="41" t="str">
        <f t="shared" si="8"/>
        <v>A</v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14" t="s">
        <v>27</v>
      </c>
      <c r="M162" s="159" t="s">
        <v>611</v>
      </c>
      <c r="N162" s="159" t="s">
        <v>612</v>
      </c>
      <c r="O162" s="159" t="s">
        <v>33</v>
      </c>
      <c r="P162" s="176"/>
      <c r="Q162" s="178" t="s">
        <v>9</v>
      </c>
      <c r="R162" s="178" t="s">
        <v>103</v>
      </c>
      <c r="S162" s="171"/>
      <c r="T162" s="166"/>
      <c r="U162" s="166"/>
      <c r="V162" s="166"/>
      <c r="W162" s="15"/>
      <c r="X162" s="160"/>
      <c r="Y162" s="166"/>
      <c r="Z162" s="59">
        <f>IF(OR($M162="",NOT($O162="{array}")),"",IFERROR(MATCH(PARAMETERS!$M162,DEFAULT!$B$5:$CG$5,0),""))</f>
        <v>5</v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IF($AA162="","",IF($B162="I",VLOOKUP($AA162,#REF!,53,0),INDEX(VALUES!$B$1:$CC$1,1,$AA162)))</f>
        <v/>
      </c>
    </row>
    <row r="163" spans="1:29" outlineLevel="1" x14ac:dyDescent="0.25">
      <c r="A163" s="22" t="s">
        <v>84</v>
      </c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59" t="s">
        <v>24</v>
      </c>
      <c r="L163" s="53" t="s">
        <v>27</v>
      </c>
      <c r="M163" s="223" t="s">
        <v>1557</v>
      </c>
      <c r="N163" s="53" t="s">
        <v>1559</v>
      </c>
      <c r="O163" s="155">
        <v>8.0000000000000002E-3</v>
      </c>
      <c r="P163" s="53"/>
      <c r="Q163" s="209"/>
      <c r="R163" s="178" t="s">
        <v>103</v>
      </c>
      <c r="S163" s="171"/>
      <c r="T163" s="166"/>
      <c r="U163" s="166"/>
      <c r="V163" s="166"/>
      <c r="W163" s="15"/>
      <c r="X163" s="160"/>
      <c r="Y163" s="166"/>
      <c r="Z163" s="59" t="str">
        <f>IF(OR($M163="",NOT($O163="{array}")),"",IFERROR(MATCH(PARAMETERS!$M163,DEFAULT!$B$5:$CG$5,0),""))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IF($AA163="","",IF($B163="I",VLOOKUP($AA163,#REF!,53,0),INDEX(VALUES!$B$1:$CC$1,1,$AA163)))</f>
        <v/>
      </c>
    </row>
    <row r="164" spans="1:29" outlineLevel="1" x14ac:dyDescent="0.25">
      <c r="A164" s="22"/>
      <c r="B164" s="41" t="str">
        <f t="shared" si="8"/>
        <v/>
      </c>
      <c r="C164" s="42">
        <f t="shared" si="10"/>
        <v>163</v>
      </c>
      <c r="D164" s="38"/>
      <c r="E164" s="38"/>
      <c r="F164" s="38"/>
      <c r="G164" s="38"/>
      <c r="H164" s="38"/>
      <c r="I164" s="38" t="s">
        <v>9</v>
      </c>
      <c r="J164" s="38"/>
      <c r="K164" s="166" t="s">
        <v>18</v>
      </c>
      <c r="L164" s="14" t="s">
        <v>27</v>
      </c>
      <c r="M164" s="166" t="s">
        <v>613</v>
      </c>
      <c r="N164" s="166" t="s">
        <v>265</v>
      </c>
      <c r="O164" s="166" t="s">
        <v>265</v>
      </c>
      <c r="P164" s="160" t="s">
        <v>265</v>
      </c>
      <c r="Q164" s="170" t="s">
        <v>9</v>
      </c>
      <c r="R164" s="171" t="s">
        <v>103</v>
      </c>
      <c r="S164" s="171" t="s">
        <v>112</v>
      </c>
      <c r="T164" s="166" t="s">
        <v>265</v>
      </c>
      <c r="U164" s="166" t="s">
        <v>265</v>
      </c>
      <c r="V164" s="166" t="s">
        <v>613</v>
      </c>
      <c r="W164" s="15" t="str">
        <f>IF(IFERROR(VLOOKUP($M164,#REF!,1,0),"-")="-","","GS")</f>
        <v/>
      </c>
      <c r="X164" s="160">
        <v>55</v>
      </c>
      <c r="Y164" s="166" t="s">
        <v>614</v>
      </c>
      <c r="Z164" s="59" t="str">
        <f>IF(OR($M164="",NOT($O164="{array}")),"",IFERROR(MATCH(PARAMETERS!$M164,DEFAULT!$B$5:$CG$5,0),""))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IF($AA164="","",IF($B164="I",VLOOKUP($AA164,#REF!,53,0),INDEX(VALUES!$B$1:$CC$1,1,$AA164)))</f>
        <v/>
      </c>
    </row>
    <row r="165" spans="1:29" outlineLevel="1" x14ac:dyDescent="0.3">
      <c r="A165" s="22" t="s">
        <v>84</v>
      </c>
      <c r="B165" s="41" t="str">
        <f t="shared" ref="B165:B246" si="11">IF($A165="P",IF(NOT($Z165=""),"A",IF(NOT($AA165=""),"I","")),IF(NOT($AA165=""),IF($A165="G","V","X"),IF(NOT($Z165=""),"A","")))</f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47</v>
      </c>
      <c r="L165" s="14" t="s">
        <v>27</v>
      </c>
      <c r="M165" s="20" t="s">
        <v>615</v>
      </c>
      <c r="N165" s="14" t="s">
        <v>616</v>
      </c>
      <c r="O165" s="43">
        <v>1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IF(OR($M165="",NOT($O165="{array}")),"",IFERROR(MATCH(PARAMETERS!$M165,DEFAULT!$B$5:$CG$5,0),""))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IF($AA165="","",IF($B165="I",VLOOKUP($AA165,#REF!,53,0),INDEX(VALUES!$B$1:$CC$1,1,$AA165)))</f>
        <v/>
      </c>
    </row>
    <row r="166" spans="1:29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617</v>
      </c>
      <c r="N166" s="14" t="s">
        <v>618</v>
      </c>
      <c r="O166" s="43">
        <v>0.05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IF(OR($M166="",NOT($O166="{array}")),"",IFERROR(MATCH(PARAMETERS!$M166,DEFAULT!$B$5:$CG$5,0),""))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IF($AA166="","",IF($B166="I",VLOOKUP($AA166,#REF!,53,0),INDEX(VALUES!$B$1:$CC$1,1,$AA166)))</f>
        <v/>
      </c>
    </row>
    <row r="167" spans="1:29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619</v>
      </c>
      <c r="N167" s="14" t="s">
        <v>620</v>
      </c>
      <c r="O167" s="43">
        <v>0.06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IF(OR($M167="",NOT($O167="{array}")),"",IFERROR(MATCH(PARAMETERS!$M167,DEFAULT!$B$5:$CG$5,0),""))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IF($AA167="","",IF($B167="I",VLOOKUP($AA167,#REF!,53,0),INDEX(VALUES!$B$1:$CC$1,1,$AA167)))</f>
        <v/>
      </c>
    </row>
    <row r="168" spans="1:29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621</v>
      </c>
      <c r="N168" s="14" t="s">
        <v>622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IF(OR($M168="",NOT($O168="{array}")),"",IFERROR(MATCH(PARAMETERS!$M168,DEFAULT!$B$5:$CG$5,0),""))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IF($AA168="","",IF($B168="I",VLOOKUP($AA168,#REF!,53,0),INDEX(VALUES!$B$1:$CC$1,1,$AA168)))</f>
        <v/>
      </c>
    </row>
    <row r="169" spans="1:29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623</v>
      </c>
      <c r="N169" s="14" t="s">
        <v>624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IF(OR($M169="",NOT($O169="{array}")),"",IFERROR(MATCH(PARAMETERS!$M169,DEFAULT!$B$5:$CG$5,0),""))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IF($AA169="","",IF($B169="I",VLOOKUP($AA169,#REF!,53,0),INDEX(VALUES!$B$1:$CC$1,1,$AA169)))</f>
        <v/>
      </c>
    </row>
    <row r="170" spans="1:29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20" t="s">
        <v>625</v>
      </c>
      <c r="N170" s="14" t="s">
        <v>626</v>
      </c>
      <c r="O170" s="43">
        <v>0.01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IF(OR($M170="",NOT($O170="{array}")),"",IFERROR(MATCH(PARAMETERS!$M170,DEFAULT!$B$5:$CG$5,0),""))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IF($AA170="","",IF($B170="I",VLOOKUP($AA170,#REF!,53,0),INDEX(VALUES!$B$1:$CC$1,1,$AA170)))</f>
        <v/>
      </c>
    </row>
    <row r="171" spans="1:29" outlineLevel="1" x14ac:dyDescent="0.3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50</v>
      </c>
      <c r="L171" s="14" t="s">
        <v>27</v>
      </c>
      <c r="M171" s="20" t="s">
        <v>627</v>
      </c>
      <c r="N171" s="14" t="s">
        <v>628</v>
      </c>
      <c r="O171" s="43">
        <v>133</v>
      </c>
      <c r="R171" s="38" t="s">
        <v>104</v>
      </c>
      <c r="S171" s="38"/>
      <c r="T171" s="38"/>
      <c r="W171" s="15" t="str">
        <f>IF(IFERROR(VLOOKUP($M171,#REF!,1,0),"-")="-","","GS")</f>
        <v/>
      </c>
      <c r="Z171" s="59" t="str">
        <f>IF(OR($M171="",NOT($O171="{array}")),"",IFERROR(MATCH(PARAMETERS!$M171,DEFAULT!$B$5:$CG$5,0),""))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IF($AA171="","",IF($B171="I",VLOOKUP($AA171,#REF!,53,0),INDEX(VALUES!$B$1:$CC$1,1,$AA171)))</f>
        <v/>
      </c>
    </row>
    <row r="172" spans="1:29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166" t="s">
        <v>18</v>
      </c>
      <c r="L172" s="14" t="s">
        <v>27</v>
      </c>
      <c r="M172" s="159" t="s">
        <v>1428</v>
      </c>
      <c r="N172" s="166" t="s">
        <v>629</v>
      </c>
      <c r="O172" s="166" t="s">
        <v>630</v>
      </c>
      <c r="P172" s="160" t="s">
        <v>265</v>
      </c>
      <c r="Q172" s="170" t="s">
        <v>9</v>
      </c>
      <c r="R172" s="171" t="s">
        <v>103</v>
      </c>
      <c r="S172" s="171" t="s">
        <v>112</v>
      </c>
      <c r="T172" s="166" t="s">
        <v>265</v>
      </c>
      <c r="U172" s="166" t="s">
        <v>265</v>
      </c>
      <c r="V172" s="166" t="s">
        <v>629</v>
      </c>
      <c r="W172" s="15" t="str">
        <f>IF(IFERROR(VLOOKUP($M172,#REF!,1,0),"-")="-","","GS")</f>
        <v/>
      </c>
      <c r="X172" s="160">
        <v>47</v>
      </c>
      <c r="Y172" s="166" t="s">
        <v>631</v>
      </c>
      <c r="Z172" s="59" t="str">
        <f>IF(OR($M172="",NOT($O172="{array}")),"",IFERROR(MATCH(PARAMETERS!$M172,DEFAULT!$B$5:$CG$5,0),""))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IF($AA172="","",IF($B172="I",VLOOKUP($AA172,#REF!,53,0),INDEX(VALUES!$B$1:$CC$1,1,$AA172)))</f>
        <v/>
      </c>
    </row>
    <row r="173" spans="1:29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166" t="s">
        <v>18</v>
      </c>
      <c r="L173" s="14" t="s">
        <v>27</v>
      </c>
      <c r="M173" s="159" t="s">
        <v>1429</v>
      </c>
      <c r="N173" s="159" t="s">
        <v>632</v>
      </c>
      <c r="O173" s="159" t="s">
        <v>633</v>
      </c>
      <c r="P173" s="176" t="s">
        <v>265</v>
      </c>
      <c r="Q173" s="177" t="s">
        <v>9</v>
      </c>
      <c r="R173" s="178" t="s">
        <v>103</v>
      </c>
      <c r="S173" s="178" t="s">
        <v>112</v>
      </c>
      <c r="T173" s="159" t="s">
        <v>265</v>
      </c>
      <c r="U173" s="159" t="s">
        <v>265</v>
      </c>
      <c r="V173" s="159" t="s">
        <v>632</v>
      </c>
      <c r="W173" s="15" t="str">
        <f>IF(IFERROR(VLOOKUP($M173,#REF!,1,0),"-")="-","","GS")</f>
        <v/>
      </c>
      <c r="X173" s="176">
        <v>47</v>
      </c>
      <c r="Y173" s="159" t="s">
        <v>634</v>
      </c>
      <c r="Z173" s="59" t="str">
        <f>IF(OR($M173="",NOT($O173="{array}")),"",IFERROR(MATCH(PARAMETERS!$M173,DEFAULT!$B$5:$CG$5,0),""))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IF($AA173="","",IF($B173="I",VLOOKUP($AA173,#REF!,53,0),INDEX(VALUES!$B$1:$CC$1,1,$AA173)))</f>
        <v/>
      </c>
    </row>
    <row r="174" spans="1:29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166" t="s">
        <v>18</v>
      </c>
      <c r="L174" s="14" t="s">
        <v>27</v>
      </c>
      <c r="M174" s="159" t="s">
        <v>1430</v>
      </c>
      <c r="N174" s="166" t="s">
        <v>635</v>
      </c>
      <c r="O174" s="166" t="s">
        <v>265</v>
      </c>
      <c r="P174" s="160" t="s">
        <v>265</v>
      </c>
      <c r="Q174" s="170" t="s">
        <v>9</v>
      </c>
      <c r="R174" s="171" t="s">
        <v>103</v>
      </c>
      <c r="S174" s="171" t="s">
        <v>112</v>
      </c>
      <c r="T174" s="166" t="s">
        <v>265</v>
      </c>
      <c r="U174" s="166" t="s">
        <v>265</v>
      </c>
      <c r="V174" s="166" t="s">
        <v>635</v>
      </c>
      <c r="W174" s="15" t="str">
        <f>IF(IFERROR(VLOOKUP($M174,#REF!,1,0),"-")="-","","GS")</f>
        <v/>
      </c>
      <c r="X174" s="160">
        <v>48</v>
      </c>
      <c r="Y174" s="166"/>
      <c r="Z174" s="59" t="str">
        <f>IF(OR($M174="",NOT($O174="{array}")),"",IFERROR(MATCH(PARAMETERS!$M174,DEFAULT!$B$5:$CG$5,0),""))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IF($AA174="","",IF($B174="I",VLOOKUP($AA174,#REF!,53,0),INDEX(VALUES!$B$1:$CC$1,1,$AA174)))</f>
        <v/>
      </c>
    </row>
    <row r="175" spans="1:29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166" t="s">
        <v>18</v>
      </c>
      <c r="L175" s="14" t="s">
        <v>27</v>
      </c>
      <c r="M175" s="159" t="s">
        <v>1431</v>
      </c>
      <c r="N175" s="159" t="s">
        <v>636</v>
      </c>
      <c r="O175" s="159" t="s">
        <v>265</v>
      </c>
      <c r="P175" s="176" t="s">
        <v>265</v>
      </c>
      <c r="Q175" s="177" t="s">
        <v>9</v>
      </c>
      <c r="R175" s="178" t="s">
        <v>103</v>
      </c>
      <c r="S175" s="178" t="s">
        <v>112</v>
      </c>
      <c r="T175" s="159" t="s">
        <v>265</v>
      </c>
      <c r="U175" s="159" t="s">
        <v>265</v>
      </c>
      <c r="V175" s="159" t="s">
        <v>636</v>
      </c>
      <c r="W175" s="15" t="str">
        <f>IF(IFERROR(VLOOKUP($M175,#REF!,1,0),"-")="-","","GS")</f>
        <v/>
      </c>
      <c r="X175" s="176">
        <v>48</v>
      </c>
      <c r="Y175" s="159"/>
      <c r="Z175" s="59" t="str">
        <f>IF(OR($M175="",NOT($O175="{array}")),"",IFERROR(MATCH(PARAMETERS!$M175,DEFAULT!$B$5:$CG$5,0),""))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IF($AA175="","",IF($B175="I",VLOOKUP($AA175,#REF!,53,0),INDEX(VALUES!$B$1:$CC$1,1,$AA175)))</f>
        <v/>
      </c>
    </row>
    <row r="176" spans="1:29" x14ac:dyDescent="0.3">
      <c r="A176" s="22" t="s">
        <v>84</v>
      </c>
      <c r="B176" s="41" t="str">
        <f t="shared" si="11"/>
        <v/>
      </c>
      <c r="C176" s="42">
        <f t="shared" si="10"/>
        <v>175</v>
      </c>
      <c r="D176" s="38"/>
      <c r="E176" s="38"/>
      <c r="F176" s="38"/>
      <c r="G176" s="38"/>
      <c r="H176" s="38"/>
      <c r="I176" s="38"/>
      <c r="J176" s="38"/>
      <c r="K176" s="14" t="s">
        <v>57</v>
      </c>
      <c r="L176" s="14" t="s">
        <v>38</v>
      </c>
      <c r="M176" s="48" t="s">
        <v>637</v>
      </c>
      <c r="N176" s="41" t="s">
        <v>638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IF(OR($M176="",NOT($O176="{array}")),"",IFERROR(MATCH(PARAMETERS!$M176,DEFAULT!$B$5:$CG$5,0),""))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IF($AA176="","",IF($B176="I",VLOOKUP($AA176,#REF!,53,0),INDEX(VALUES!$B$1:$CC$1,1,$AA176)))</f>
        <v/>
      </c>
    </row>
    <row r="177" spans="1:29" hidden="1" outlineLevel="1" x14ac:dyDescent="0.3">
      <c r="A177" s="22" t="s">
        <v>84</v>
      </c>
      <c r="B177" s="41" t="str">
        <f t="shared" si="11"/>
        <v/>
      </c>
      <c r="C177" s="42">
        <f t="shared" si="10"/>
        <v>176</v>
      </c>
      <c r="D177" s="38"/>
      <c r="E177" s="38"/>
      <c r="F177" s="38"/>
      <c r="G177" s="38"/>
      <c r="H177" s="38"/>
      <c r="I177" s="38" t="s">
        <v>9</v>
      </c>
      <c r="J177" s="38"/>
      <c r="K177" s="14" t="s">
        <v>47</v>
      </c>
      <c r="L177" s="14" t="s">
        <v>27</v>
      </c>
      <c r="M177" s="222" t="s">
        <v>639</v>
      </c>
      <c r="N177" s="14" t="s">
        <v>640</v>
      </c>
      <c r="O177" s="43">
        <v>1</v>
      </c>
      <c r="R177" s="38" t="s">
        <v>104</v>
      </c>
      <c r="S177" s="38"/>
      <c r="T177" s="38"/>
      <c r="W177" s="15" t="str">
        <f>IF(IFERROR(VLOOKUP($M177,#REF!,1,0),"-")="-","","GS")</f>
        <v/>
      </c>
      <c r="Z177" s="59" t="str">
        <f>IF(OR($M177="",NOT($O177="{array}")),"",IFERROR(MATCH(PARAMETERS!$M177,DEFAULT!$B$5:$CG$5,0),""))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IF($AA177="","",IF($B177="I",VLOOKUP($AA177,#REF!,53,0),INDEX(VALUES!$B$1:$CC$1,1,$AA177)))</f>
        <v/>
      </c>
    </row>
    <row r="178" spans="1:29" hidden="1" outlineLevel="1" x14ac:dyDescent="0.3">
      <c r="A178" s="22" t="s">
        <v>84</v>
      </c>
      <c r="B178" s="41" t="str">
        <f t="shared" si="11"/>
        <v/>
      </c>
      <c r="C178" s="42">
        <f t="shared" si="10"/>
        <v>177</v>
      </c>
      <c r="D178" s="38"/>
      <c r="E178" s="38"/>
      <c r="F178" s="38"/>
      <c r="G178" s="38"/>
      <c r="H178" s="38"/>
      <c r="I178" s="38" t="s">
        <v>9</v>
      </c>
      <c r="J178" s="38"/>
      <c r="K178" s="14" t="s">
        <v>24</v>
      </c>
      <c r="L178" s="14" t="s">
        <v>27</v>
      </c>
      <c r="M178" s="222" t="s">
        <v>641</v>
      </c>
      <c r="N178" s="14" t="s">
        <v>642</v>
      </c>
      <c r="O178" s="43">
        <v>0.51243780999999999</v>
      </c>
      <c r="R178" s="38" t="s">
        <v>104</v>
      </c>
      <c r="S178" s="38"/>
      <c r="T178" s="38"/>
      <c r="W178" s="15" t="str">
        <f>IF(IFERROR(VLOOKUP($M178,#REF!,1,0),"-")="-","","GS")</f>
        <v/>
      </c>
      <c r="Z178" s="59" t="str">
        <f>IF(OR($M178="",NOT($O178="{array}")),"",IFERROR(MATCH(PARAMETERS!$M178,DEFAULT!$B$5:$CG$5,0),""))</f>
        <v/>
      </c>
      <c r="AA178" s="56" t="str">
        <f t="shared" si="9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IF($AA178="","",IF($B178="I",VLOOKUP($AA178,#REF!,53,0),INDEX(VALUES!$B$1:$CC$1,1,$AA178)))</f>
        <v/>
      </c>
    </row>
    <row r="179" spans="1:29" hidden="1" outlineLevel="1" x14ac:dyDescent="0.3">
      <c r="A179" s="22" t="s">
        <v>84</v>
      </c>
      <c r="B179" s="41" t="str">
        <f t="shared" si="11"/>
        <v/>
      </c>
      <c r="C179" s="42">
        <f t="shared" si="10"/>
        <v>178</v>
      </c>
      <c r="D179" s="38"/>
      <c r="E179" s="38"/>
      <c r="F179" s="38"/>
      <c r="G179" s="38"/>
      <c r="H179" s="38"/>
      <c r="I179" s="38" t="s">
        <v>9</v>
      </c>
      <c r="J179" s="38"/>
      <c r="K179" s="14" t="s">
        <v>24</v>
      </c>
      <c r="L179" s="14" t="s">
        <v>27</v>
      </c>
      <c r="M179" s="222" t="s">
        <v>643</v>
      </c>
      <c r="N179" s="14" t="s">
        <v>644</v>
      </c>
      <c r="O179" s="43">
        <v>0.51756219000000003</v>
      </c>
      <c r="R179" s="38" t="s">
        <v>104</v>
      </c>
      <c r="S179" s="38"/>
      <c r="T179" s="38"/>
      <c r="W179" s="15" t="str">
        <f>IF(IFERROR(VLOOKUP($M179,#REF!,1,0),"-")="-","","GS")</f>
        <v/>
      </c>
      <c r="Y179" s="14" t="s">
        <v>645</v>
      </c>
      <c r="Z179" s="59" t="str">
        <f>IF(OR($M179="",NOT($O179="{array}")),"",IFERROR(MATCH(PARAMETERS!$M179,DEFAULT!$B$5:$CG$5,0),""))</f>
        <v/>
      </c>
      <c r="AA179" s="56" t="str">
        <f t="shared" si="9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IF($AA179="","",IF($B179="I",VLOOKUP($AA179,#REF!,53,0),INDEX(VALUES!$B$1:$CC$1,1,$AA179)))</f>
        <v/>
      </c>
    </row>
    <row r="180" spans="1:29" hidden="1" outlineLevel="1" x14ac:dyDescent="0.3">
      <c r="A180" s="22" t="s">
        <v>84</v>
      </c>
      <c r="B180" s="41" t="str">
        <f t="shared" si="11"/>
        <v/>
      </c>
      <c r="C180" s="42">
        <f t="shared" si="10"/>
        <v>179</v>
      </c>
      <c r="D180" s="38"/>
      <c r="E180" s="38"/>
      <c r="F180" s="38"/>
      <c r="G180" s="38"/>
      <c r="H180" s="38"/>
      <c r="I180" s="38" t="s">
        <v>9</v>
      </c>
      <c r="J180" s="38"/>
      <c r="K180" s="14" t="s">
        <v>47</v>
      </c>
      <c r="L180" s="14" t="s">
        <v>27</v>
      </c>
      <c r="M180" s="20" t="s">
        <v>646</v>
      </c>
      <c r="N180" s="14" t="s">
        <v>647</v>
      </c>
      <c r="O180" s="43">
        <v>1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IF(OR($M180="",NOT($O180="{array}")),"",IFERROR(MATCH(PARAMETERS!$M180,DEFAULT!$B$5:$CG$5,0),""))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IF($AA180="","",IF($B180="I",VLOOKUP($AA180,#REF!,53,0),INDEX(VALUES!$B$1:$CC$1,1,$AA180)))</f>
        <v/>
      </c>
    </row>
    <row r="181" spans="1:29" hidden="1" outlineLevel="1" x14ac:dyDescent="0.3">
      <c r="A181" s="22" t="s">
        <v>84</v>
      </c>
      <c r="B181" s="41" t="str">
        <f t="shared" si="11"/>
        <v/>
      </c>
      <c r="C181" s="42">
        <f t="shared" si="10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24</v>
      </c>
      <c r="L181" s="14" t="s">
        <v>27</v>
      </c>
      <c r="M181" s="20" t="s">
        <v>648</v>
      </c>
      <c r="N181" s="14" t="s">
        <v>649</v>
      </c>
      <c r="O181" s="43">
        <v>0.39743781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IF(OR($M181="",NOT($O181="{array}")),"",IFERROR(MATCH(PARAMETERS!$M181,DEFAULT!$B$5:$CG$5,0),""))</f>
        <v/>
      </c>
      <c r="AA181" s="56" t="str">
        <f t="shared" si="9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IF($AA181="","",IF($B181="I",VLOOKUP($AA181,#REF!,53,0),INDEX(VALUES!$B$1:$CC$1,1,$AA181)))</f>
        <v/>
      </c>
    </row>
    <row r="182" spans="1:29" hidden="1" outlineLevel="1" x14ac:dyDescent="0.3">
      <c r="A182" s="22" t="s">
        <v>84</v>
      </c>
      <c r="B182" s="41" t="str">
        <f t="shared" si="11"/>
        <v/>
      </c>
      <c r="C182" s="42">
        <f t="shared" si="10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24</v>
      </c>
      <c r="L182" s="14" t="s">
        <v>27</v>
      </c>
      <c r="M182" s="20" t="s">
        <v>650</v>
      </c>
      <c r="N182" s="14" t="s">
        <v>651</v>
      </c>
      <c r="O182" s="43">
        <v>0.40256218999999999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IF(OR($M182="",NOT($O182="{array}")),"",IFERROR(MATCH(PARAMETERS!$M182,DEFAULT!$B$5:$CG$5,0),""))</f>
        <v/>
      </c>
      <c r="AA182" s="56" t="str">
        <f t="shared" si="9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IF($AA182="","",IF($B182="I",VLOOKUP($AA182,#REF!,53,0),INDEX(VALUES!$B$1:$CC$1,1,$AA182)))</f>
        <v/>
      </c>
    </row>
    <row r="183" spans="1:29" hidden="1" outlineLevel="1" x14ac:dyDescent="0.3">
      <c r="A183" s="22" t="s">
        <v>84</v>
      </c>
      <c r="B183" s="41" t="str">
        <f t="shared" si="11"/>
        <v/>
      </c>
      <c r="C183" s="42">
        <f t="shared" si="10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24</v>
      </c>
      <c r="L183" s="14" t="s">
        <v>27</v>
      </c>
      <c r="M183" s="20" t="s">
        <v>652</v>
      </c>
      <c r="N183" s="14" t="s">
        <v>653</v>
      </c>
      <c r="O183" s="43">
        <v>1.9650000000000001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IF(OR($M183="",NOT($O183="{array}")),"",IFERROR(MATCH(PARAMETERS!$M183,DEFAULT!$B$5:$CG$5,0),""))</f>
        <v/>
      </c>
      <c r="AA183" s="56" t="str">
        <f t="shared" si="9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IF($AA183="","",IF($B183="I",VLOOKUP($AA183,#REF!,53,0),INDEX(VALUES!$B$1:$CC$1,1,$AA183)))</f>
        <v/>
      </c>
    </row>
    <row r="184" spans="1:29" hidden="1" outlineLevel="1" x14ac:dyDescent="0.3">
      <c r="A184" s="22" t="s">
        <v>84</v>
      </c>
      <c r="B184" s="41" t="str">
        <f t="shared" si="11"/>
        <v/>
      </c>
      <c r="C184" s="42">
        <f t="shared" si="10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44</v>
      </c>
      <c r="L184" s="14" t="s">
        <v>27</v>
      </c>
      <c r="M184" s="222" t="s">
        <v>654</v>
      </c>
      <c r="N184" s="14" t="s">
        <v>655</v>
      </c>
      <c r="O184" s="43">
        <v>0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IF(OR($M184="",NOT($O184="{array}")),"",IFERROR(MATCH(PARAMETERS!$M184,DEFAULT!$B$5:$CG$5,0),""))</f>
        <v/>
      </c>
      <c r="AA184" s="56" t="str">
        <f t="shared" si="9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IF($AA184="","",IF($B184="I",VLOOKUP($AA184,#REF!,53,0),INDEX(VALUES!$B$1:$CC$1,1,$AA184)))</f>
        <v/>
      </c>
    </row>
    <row r="185" spans="1:29" hidden="1" outlineLevel="1" x14ac:dyDescent="0.3">
      <c r="A185" s="22" t="s">
        <v>84</v>
      </c>
      <c r="B185" s="41" t="str">
        <f t="shared" si="11"/>
        <v/>
      </c>
      <c r="C185" s="42">
        <f t="shared" si="10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44</v>
      </c>
      <c r="L185" s="14" t="s">
        <v>27</v>
      </c>
      <c r="M185" s="222" t="s">
        <v>656</v>
      </c>
      <c r="N185" s="14" t="s">
        <v>657</v>
      </c>
      <c r="O185" s="43">
        <v>1</v>
      </c>
      <c r="R185" s="38" t="s">
        <v>104</v>
      </c>
      <c r="S185" s="38"/>
      <c r="T185" s="38"/>
      <c r="W185" s="15" t="str">
        <f>IF(IFERROR(VLOOKUP($M185,#REF!,1,0),"-")="-","","GS")</f>
        <v/>
      </c>
      <c r="Z185" s="59" t="str">
        <f>IF(OR($M185="",NOT($O185="{array}")),"",IFERROR(MATCH(PARAMETERS!$M185,DEFAULT!$B$5:$CG$5,0),""))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IF($AA185="","",IF($B185="I",VLOOKUP($AA185,#REF!,53,0),INDEX(VALUES!$B$1:$CC$1,1,$AA185)))</f>
        <v/>
      </c>
    </row>
    <row r="186" spans="1:29" hidden="1" outlineLevel="1" x14ac:dyDescent="0.3">
      <c r="A186" s="22" t="s">
        <v>84</v>
      </c>
      <c r="B186" s="41" t="str">
        <f t="shared" si="11"/>
        <v/>
      </c>
      <c r="C186" s="42">
        <f t="shared" si="10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24</v>
      </c>
      <c r="L186" s="14" t="s">
        <v>27</v>
      </c>
      <c r="M186" s="20" t="s">
        <v>658</v>
      </c>
      <c r="N186" s="14" t="s">
        <v>659</v>
      </c>
      <c r="O186" s="43">
        <v>0.1</v>
      </c>
      <c r="R186" s="38" t="s">
        <v>104</v>
      </c>
      <c r="S186" s="38"/>
      <c r="T186" s="38"/>
      <c r="W186" s="15" t="str">
        <f>IF(IFERROR(VLOOKUP($M186,#REF!,1,0),"-")="-","","GS")</f>
        <v/>
      </c>
      <c r="Z186" s="59" t="str">
        <f>IF(OR($M186="",NOT($O186="{array}")),"",IFERROR(MATCH(PARAMETERS!$M186,DEFAULT!$B$5:$CG$5,0),""))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IF($AA186="","",IF($B186="I",VLOOKUP($AA186,#REF!,53,0),INDEX(VALUES!$B$1:$CC$1,1,$AA186)))</f>
        <v/>
      </c>
    </row>
    <row r="187" spans="1:29" hidden="1" outlineLevel="1" x14ac:dyDescent="0.3">
      <c r="A187" s="22" t="s">
        <v>84</v>
      </c>
      <c r="B187" s="41" t="str">
        <f t="shared" si="11"/>
        <v/>
      </c>
      <c r="C187" s="42">
        <f t="shared" si="10"/>
        <v>186</v>
      </c>
      <c r="D187" s="38"/>
      <c r="E187" s="38"/>
      <c r="F187" s="38"/>
      <c r="G187" s="38"/>
      <c r="H187" s="38"/>
      <c r="I187" s="38" t="s">
        <v>9</v>
      </c>
      <c r="J187" s="38"/>
      <c r="K187" s="14" t="s">
        <v>24</v>
      </c>
      <c r="L187" s="14" t="s">
        <v>27</v>
      </c>
      <c r="M187" s="20" t="s">
        <v>660</v>
      </c>
      <c r="N187" s="14" t="s">
        <v>661</v>
      </c>
      <c r="O187" s="43">
        <v>0.1</v>
      </c>
      <c r="R187" s="38" t="s">
        <v>104</v>
      </c>
      <c r="S187" s="38"/>
      <c r="T187" s="38"/>
      <c r="W187" s="15" t="str">
        <f>IF(IFERROR(VLOOKUP($M187,#REF!,1,0),"-")="-","","GS")</f>
        <v/>
      </c>
      <c r="Z187" s="59" t="str">
        <f>IF(OR($M187="",NOT($O187="{array}")),"",IFERROR(MATCH(PARAMETERS!$M187,DEFAULT!$B$5:$CG$5,0),""))</f>
        <v/>
      </c>
      <c r="AA187" s="56" t="str">
        <f t="shared" si="9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IF($AA187="","",IF($B187="I",VLOOKUP($AA187,#REF!,53,0),INDEX(VALUES!$B$1:$CC$1,1,$AA187)))</f>
        <v/>
      </c>
    </row>
    <row r="188" spans="1:29" hidden="1" outlineLevel="1" x14ac:dyDescent="0.25">
      <c r="A188" s="22"/>
      <c r="B188" s="41" t="str">
        <f t="shared" si="11"/>
        <v/>
      </c>
      <c r="C188" s="42">
        <f t="shared" si="10"/>
        <v>187</v>
      </c>
      <c r="D188" s="38"/>
      <c r="E188" s="38"/>
      <c r="F188" s="38"/>
      <c r="G188" s="38"/>
      <c r="H188" s="38"/>
      <c r="I188" s="38"/>
      <c r="J188" s="38"/>
      <c r="K188" s="166" t="s">
        <v>18</v>
      </c>
      <c r="L188" s="167" t="s">
        <v>21</v>
      </c>
      <c r="M188" s="166" t="s">
        <v>662</v>
      </c>
      <c r="N188" s="166" t="s">
        <v>265</v>
      </c>
      <c r="O188" s="166" t="s">
        <v>265</v>
      </c>
      <c r="P188" s="160" t="s">
        <v>265</v>
      </c>
      <c r="Q188" s="171" t="s">
        <v>9</v>
      </c>
      <c r="R188" s="171" t="s">
        <v>103</v>
      </c>
      <c r="S188" s="171" t="s">
        <v>112</v>
      </c>
      <c r="T188" s="166" t="s">
        <v>265</v>
      </c>
      <c r="U188" s="166" t="s">
        <v>265</v>
      </c>
      <c r="V188" s="166" t="s">
        <v>662</v>
      </c>
      <c r="W188" s="15" t="str">
        <f>IF(IFERROR(VLOOKUP($M188,#REF!,1,0),"-")="-","","GS")</f>
        <v/>
      </c>
      <c r="X188" s="160" t="s">
        <v>265</v>
      </c>
      <c r="Y188" s="166" t="s">
        <v>265</v>
      </c>
      <c r="Z188" s="59" t="str">
        <f>IF(OR($M188="",NOT($O188="{array}")),"",IFERROR(MATCH(PARAMETERS!$M188,DEFAULT!$B$5:$CG$5,0),""))</f>
        <v/>
      </c>
      <c r="AA188" s="56" t="str">
        <f t="shared" si="9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IF($AA188="","",IF($B188="I",VLOOKUP($AA188,#REF!,53,0),INDEX(VALUES!$B$1:$CC$1,1,$AA188)))</f>
        <v/>
      </c>
    </row>
    <row r="189" spans="1:29" hidden="1" outlineLevel="1" x14ac:dyDescent="0.25">
      <c r="A189" s="22"/>
      <c r="B189" s="41" t="str">
        <f t="shared" si="11"/>
        <v/>
      </c>
      <c r="C189" s="42">
        <f t="shared" si="10"/>
        <v>188</v>
      </c>
      <c r="D189" s="38"/>
      <c r="E189" s="38"/>
      <c r="F189" s="38"/>
      <c r="G189" s="38"/>
      <c r="H189" s="38"/>
      <c r="I189" s="38"/>
      <c r="J189" s="38"/>
      <c r="K189" s="166" t="s">
        <v>18</v>
      </c>
      <c r="L189" s="167" t="s">
        <v>21</v>
      </c>
      <c r="M189" s="166" t="s">
        <v>663</v>
      </c>
      <c r="N189" s="166" t="s">
        <v>265</v>
      </c>
      <c r="O189" s="166" t="s">
        <v>265</v>
      </c>
      <c r="P189" s="160" t="s">
        <v>265</v>
      </c>
      <c r="Q189" s="171" t="s">
        <v>9</v>
      </c>
      <c r="R189" s="171" t="s">
        <v>103</v>
      </c>
      <c r="S189" s="171" t="s">
        <v>112</v>
      </c>
      <c r="T189" s="166" t="s">
        <v>265</v>
      </c>
      <c r="U189" s="166" t="s">
        <v>265</v>
      </c>
      <c r="V189" s="166" t="s">
        <v>663</v>
      </c>
      <c r="W189" s="15" t="str">
        <f>IF(IFERROR(VLOOKUP($M189,#REF!,1,0),"-")="-","","GS")</f>
        <v/>
      </c>
      <c r="X189" s="160" t="s">
        <v>265</v>
      </c>
      <c r="Y189" s="166" t="s">
        <v>265</v>
      </c>
      <c r="Z189" s="59" t="str">
        <f>IF(OR($M189="",NOT($O189="{array}")),"",IFERROR(MATCH(PARAMETERS!$M189,DEFAULT!$B$5:$CG$5,0),""))</f>
        <v/>
      </c>
      <c r="AA189" s="56" t="str">
        <f t="shared" si="9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IF($AA189="","",IF($B189="I",VLOOKUP($AA189,#REF!,53,0),INDEX(VALUES!$B$1:$CC$1,1,$AA189)))</f>
        <v/>
      </c>
    </row>
    <row r="190" spans="1:29" hidden="1" outlineLevel="1" x14ac:dyDescent="0.25">
      <c r="A190" s="22" t="s">
        <v>84</v>
      </c>
      <c r="B190" s="41" t="str">
        <f t="shared" si="11"/>
        <v/>
      </c>
      <c r="C190" s="42">
        <f t="shared" si="10"/>
        <v>189</v>
      </c>
      <c r="D190" s="38"/>
      <c r="E190" s="38"/>
      <c r="F190" s="38"/>
      <c r="G190" s="38"/>
      <c r="H190" s="38"/>
      <c r="I190" s="38" t="s">
        <v>9</v>
      </c>
      <c r="J190" s="38"/>
      <c r="K190" s="53" t="s">
        <v>24</v>
      </c>
      <c r="L190" s="53" t="s">
        <v>27</v>
      </c>
      <c r="M190" s="234" t="s">
        <v>1563</v>
      </c>
      <c r="N190" s="53" t="s">
        <v>1564</v>
      </c>
      <c r="O190" s="155">
        <v>0.15</v>
      </c>
      <c r="P190" s="53"/>
      <c r="Q190" s="209" t="s">
        <v>9</v>
      </c>
      <c r="R190" s="209" t="s">
        <v>103</v>
      </c>
      <c r="S190" s="171"/>
      <c r="T190" s="170"/>
      <c r="U190" s="166"/>
      <c r="V190" s="166"/>
      <c r="W190" s="15"/>
      <c r="X190" s="160"/>
      <c r="Y190" s="166"/>
      <c r="Z190" s="59" t="str">
        <f>IF(OR($M190="",NOT($O190="{array}")),"",IFERROR(MATCH(PARAMETERS!$M190,DEFAULT!$B$5:$CG$5,0),""))</f>
        <v/>
      </c>
      <c r="AA190" s="56" t="str">
        <f t="shared" si="9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IF($AA190="","",IF($B190="I",VLOOKUP($AA190,#REF!,53,0),INDEX(VALUES!$B$1:$CC$1,1,$AA190)))</f>
        <v/>
      </c>
    </row>
    <row r="191" spans="1:29" hidden="1" outlineLevel="1" x14ac:dyDescent="0.25">
      <c r="A191" s="22" t="s">
        <v>84</v>
      </c>
      <c r="B191" s="41" t="str">
        <f t="shared" si="11"/>
        <v/>
      </c>
      <c r="C191" s="42">
        <f t="shared" si="10"/>
        <v>190</v>
      </c>
      <c r="D191" s="38"/>
      <c r="E191" s="38"/>
      <c r="F191" s="38"/>
      <c r="G191" s="38"/>
      <c r="H191" s="38"/>
      <c r="I191" s="38" t="s">
        <v>9</v>
      </c>
      <c r="J191" s="38"/>
      <c r="K191" s="53" t="s">
        <v>44</v>
      </c>
      <c r="L191" s="53" t="s">
        <v>27</v>
      </c>
      <c r="M191" s="234" t="s">
        <v>1565</v>
      </c>
      <c r="N191" s="53" t="s">
        <v>1566</v>
      </c>
      <c r="O191" s="155">
        <v>1</v>
      </c>
      <c r="P191" s="53"/>
      <c r="Q191" s="209"/>
      <c r="R191" s="209" t="s">
        <v>103</v>
      </c>
      <c r="S191" s="171"/>
      <c r="T191" s="170"/>
      <c r="U191" s="166"/>
      <c r="V191" s="166"/>
      <c r="W191" s="15"/>
      <c r="X191" s="160"/>
      <c r="Y191" s="166"/>
      <c r="Z191" s="59" t="str">
        <f>IF(OR($M191="",NOT($O191="{array}")),"",IFERROR(MATCH(PARAMETERS!$M191,DEFAULT!$B$5:$CG$5,0),""))</f>
        <v/>
      </c>
      <c r="AA191" s="56" t="str">
        <f t="shared" si="9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IF($AA191="","",IF($B191="I",VLOOKUP($AA191,#REF!,53,0),INDEX(VALUES!$B$1:$CC$1,1,$AA191)))</f>
        <v/>
      </c>
    </row>
    <row r="192" spans="1:29" hidden="1" outlineLevel="1" x14ac:dyDescent="0.25">
      <c r="A192" s="22" t="s">
        <v>84</v>
      </c>
      <c r="B192" s="41" t="str">
        <f t="shared" si="11"/>
        <v/>
      </c>
      <c r="C192" s="42">
        <f t="shared" si="10"/>
        <v>191</v>
      </c>
      <c r="D192" s="38"/>
      <c r="E192" s="38"/>
      <c r="F192" s="38"/>
      <c r="G192" s="38"/>
      <c r="H192" s="38"/>
      <c r="I192" s="38" t="s">
        <v>9</v>
      </c>
      <c r="J192" s="38"/>
      <c r="K192" s="53" t="s">
        <v>24</v>
      </c>
      <c r="L192" s="53" t="s">
        <v>27</v>
      </c>
      <c r="M192" s="234" t="s">
        <v>1567</v>
      </c>
      <c r="N192" s="53" t="s">
        <v>1568</v>
      </c>
      <c r="O192" s="155">
        <v>0</v>
      </c>
      <c r="P192" s="53"/>
      <c r="Q192" s="209" t="s">
        <v>9</v>
      </c>
      <c r="R192" s="209" t="s">
        <v>103</v>
      </c>
      <c r="S192" s="171"/>
      <c r="T192" s="170"/>
      <c r="U192" s="166"/>
      <c r="V192" s="166"/>
      <c r="W192" s="15"/>
      <c r="X192" s="160"/>
      <c r="Y192" s="166"/>
      <c r="Z192" s="59" t="str">
        <f>IF(OR($M192="",NOT($O192="{array}")),"",IFERROR(MATCH(PARAMETERS!$M192,DEFAULT!$B$5:$CG$5,0),""))</f>
        <v/>
      </c>
      <c r="AA192" s="56" t="str">
        <f t="shared" si="9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IF($AA192="","",IF($B192="I",VLOOKUP($AA192,#REF!,53,0),INDEX(VALUES!$B$1:$CC$1,1,$AA192)))</f>
        <v/>
      </c>
    </row>
    <row r="193" spans="1:29" hidden="1" outlineLevel="1" x14ac:dyDescent="0.25">
      <c r="A193" s="22" t="s">
        <v>84</v>
      </c>
      <c r="B193" s="41" t="str">
        <f t="shared" si="11"/>
        <v/>
      </c>
      <c r="C193" s="42">
        <f t="shared" si="10"/>
        <v>192</v>
      </c>
      <c r="D193" s="38"/>
      <c r="E193" s="38"/>
      <c r="F193" s="38"/>
      <c r="G193" s="38"/>
      <c r="H193" s="38"/>
      <c r="I193" s="38" t="s">
        <v>9</v>
      </c>
      <c r="J193" s="38"/>
      <c r="K193" s="53" t="s">
        <v>24</v>
      </c>
      <c r="L193" s="53" t="s">
        <v>27</v>
      </c>
      <c r="M193" s="234" t="s">
        <v>1569</v>
      </c>
      <c r="N193" s="53" t="s">
        <v>1570</v>
      </c>
      <c r="O193" s="155">
        <v>5.0000000000000001E-3</v>
      </c>
      <c r="P193" s="53"/>
      <c r="Q193" s="209" t="s">
        <v>9</v>
      </c>
      <c r="R193" s="209" t="s">
        <v>103</v>
      </c>
      <c r="S193" s="171"/>
      <c r="T193" s="170"/>
      <c r="U193" s="166"/>
      <c r="V193" s="166"/>
      <c r="W193" s="15"/>
      <c r="X193" s="160"/>
      <c r="Y193" s="166"/>
      <c r="Z193" s="59" t="str">
        <f>IF(OR($M193="",NOT($O193="{array}")),"",IFERROR(MATCH(PARAMETERS!$M193,DEFAULT!$B$5:$CG$5,0),""))</f>
        <v/>
      </c>
      <c r="AA193" s="56" t="str">
        <f t="shared" si="9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IF($AA193="","",IF($B193="I",VLOOKUP($AA193,#REF!,53,0),INDEX(VALUES!$B$1:$CC$1,1,$AA193)))</f>
        <v/>
      </c>
    </row>
    <row r="194" spans="1:29" hidden="1" outlineLevel="1" x14ac:dyDescent="0.25">
      <c r="A194" s="22" t="s">
        <v>84</v>
      </c>
      <c r="B194" s="41" t="str">
        <f t="shared" si="11"/>
        <v/>
      </c>
      <c r="C194" s="42">
        <f t="shared" si="10"/>
        <v>193</v>
      </c>
      <c r="D194" s="38"/>
      <c r="E194" s="38"/>
      <c r="F194" s="38"/>
      <c r="G194" s="38"/>
      <c r="H194" s="38"/>
      <c r="I194" s="38" t="s">
        <v>9</v>
      </c>
      <c r="J194" s="38"/>
      <c r="K194" s="53" t="s">
        <v>24</v>
      </c>
      <c r="L194" s="53" t="s">
        <v>27</v>
      </c>
      <c r="M194" s="234" t="s">
        <v>1571</v>
      </c>
      <c r="N194" s="53" t="s">
        <v>1572</v>
      </c>
      <c r="O194" s="155">
        <v>5.0000000000000001E-3</v>
      </c>
      <c r="P194" s="53"/>
      <c r="Q194" s="209" t="s">
        <v>9</v>
      </c>
      <c r="R194" s="209" t="s">
        <v>103</v>
      </c>
      <c r="S194" s="171"/>
      <c r="T194" s="170"/>
      <c r="U194" s="166"/>
      <c r="V194" s="166"/>
      <c r="W194" s="15"/>
      <c r="X194" s="160"/>
      <c r="Y194" s="166"/>
      <c r="Z194" s="59" t="str">
        <f>IF(OR($M194="",NOT($O194="{array}")),"",IFERROR(MATCH(PARAMETERS!$M194,DEFAULT!$B$5:$CG$5,0),""))</f>
        <v/>
      </c>
      <c r="AA194" s="56" t="str">
        <f t="shared" si="9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IF($AA194="","",IF($B194="I",VLOOKUP($AA194,#REF!,53,0),INDEX(VALUES!$B$1:$CC$1,1,$AA194)))</f>
        <v/>
      </c>
    </row>
    <row r="195" spans="1:29" collapsed="1" x14ac:dyDescent="0.3">
      <c r="A195" s="22" t="s">
        <v>84</v>
      </c>
      <c r="B195" s="41" t="str">
        <f t="shared" si="11"/>
        <v/>
      </c>
      <c r="C195" s="42">
        <f t="shared" ref="C195:C269" si="12">(ROW()-1)</f>
        <v>194</v>
      </c>
      <c r="D195" s="38"/>
      <c r="E195" s="38"/>
      <c r="F195" s="38" t="s">
        <v>9</v>
      </c>
      <c r="G195" s="38"/>
      <c r="H195" s="38"/>
      <c r="I195" s="38"/>
      <c r="J195" s="38"/>
      <c r="K195" s="14" t="s">
        <v>57</v>
      </c>
      <c r="L195" s="14" t="s">
        <v>38</v>
      </c>
      <c r="M195" s="48" t="s">
        <v>664</v>
      </c>
      <c r="N195" s="41" t="s">
        <v>426</v>
      </c>
      <c r="R195" s="38" t="s">
        <v>104</v>
      </c>
      <c r="S195" s="38"/>
      <c r="T195" s="38"/>
      <c r="W195" s="15" t="str">
        <f>IF(IFERROR(VLOOKUP($M195,#REF!,1,0),"-")="-","","GS")</f>
        <v/>
      </c>
      <c r="Z195" s="59" t="str">
        <f>IF(OR($M195="",NOT($O195="{array}")),"",IFERROR(MATCH(PARAMETERS!$M195,DEFAULT!$B$5:$CG$5,0),""))</f>
        <v/>
      </c>
      <c r="AA195" s="56" t="str">
        <f t="shared" si="9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IF($AA195="","",IF($B195="I",VLOOKUP($AA195,#REF!,53,0),INDEX(VALUES!$B$1:$CC$1,1,$AA195)))</f>
        <v/>
      </c>
    </row>
    <row r="196" spans="1:29" hidden="1" outlineLevel="1" x14ac:dyDescent="0.3">
      <c r="A196" s="22" t="s">
        <v>84</v>
      </c>
      <c r="B196" s="41" t="str">
        <f t="shared" si="11"/>
        <v/>
      </c>
      <c r="C196" s="42">
        <f t="shared" si="12"/>
        <v>195</v>
      </c>
      <c r="D196" s="38"/>
      <c r="E196" s="38"/>
      <c r="F196" s="38" t="s">
        <v>9</v>
      </c>
      <c r="G196" s="38" t="s">
        <v>9</v>
      </c>
      <c r="H196" s="38" t="s">
        <v>9</v>
      </c>
      <c r="I196" s="38" t="s">
        <v>9</v>
      </c>
      <c r="J196" s="38"/>
      <c r="K196" s="14" t="s">
        <v>47</v>
      </c>
      <c r="L196" s="14" t="s">
        <v>27</v>
      </c>
      <c r="M196" s="20" t="s">
        <v>665</v>
      </c>
      <c r="N196" s="14" t="s">
        <v>666</v>
      </c>
      <c r="O196" s="43">
        <v>0</v>
      </c>
      <c r="R196" s="38" t="s">
        <v>104</v>
      </c>
      <c r="S196" s="38"/>
      <c r="T196" s="38"/>
      <c r="W196" s="15" t="str">
        <f>IF(IFERROR(VLOOKUP($M196,#REF!,1,0),"-")="-","","GS")</f>
        <v/>
      </c>
      <c r="Y196" s="14" t="s">
        <v>666</v>
      </c>
      <c r="Z196" s="59" t="str">
        <f>IF(OR($M196="",NOT($O196="{array}")),"",IFERROR(MATCH(PARAMETERS!$M196,DEFAULT!$B$5:$CG$5,0),""))</f>
        <v/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IF($AA196="","",IF($B196="I",VLOOKUP($AA196,#REF!,53,0),INDEX(VALUES!$B$1:$CC$1,1,$AA196)))</f>
        <v/>
      </c>
    </row>
    <row r="197" spans="1:29" hidden="1" outlineLevel="1" x14ac:dyDescent="0.3">
      <c r="A197" s="22" t="s">
        <v>84</v>
      </c>
      <c r="B197" s="41" t="str">
        <f t="shared" si="11"/>
        <v/>
      </c>
      <c r="C197" s="42">
        <f t="shared" si="12"/>
        <v>196</v>
      </c>
      <c r="D197" s="38"/>
      <c r="E197" s="38"/>
      <c r="F197" s="38"/>
      <c r="G197" s="38" t="s">
        <v>9</v>
      </c>
      <c r="H197" s="38"/>
      <c r="I197" s="38" t="s">
        <v>9</v>
      </c>
      <c r="J197" s="38"/>
      <c r="K197" s="14" t="s">
        <v>24</v>
      </c>
      <c r="L197" s="14" t="s">
        <v>27</v>
      </c>
      <c r="M197" s="20" t="s">
        <v>667</v>
      </c>
      <c r="N197" s="14" t="s">
        <v>668</v>
      </c>
      <c r="O197" s="43">
        <v>0</v>
      </c>
      <c r="R197" s="38" t="s">
        <v>104</v>
      </c>
      <c r="S197" s="38"/>
      <c r="T197" s="38"/>
      <c r="W197" s="15" t="str">
        <f>IF(IFERROR(VLOOKUP($M197,#REF!,1,0),"-")="-","","GS")</f>
        <v/>
      </c>
      <c r="Y197" s="14" t="s">
        <v>668</v>
      </c>
      <c r="Z197" s="59" t="str">
        <f>IF(OR($M197="",NOT($O197="{array}")),"",IFERROR(MATCH(PARAMETERS!$M197,DEFAULT!$B$5:$CG$5,0),""))</f>
        <v/>
      </c>
      <c r="AA197" s="56" t="str">
        <f t="shared" si="9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IF($AA197="","",IF($B197="I",VLOOKUP($AA197,#REF!,53,0),INDEX(VALUES!$B$1:$CC$1,1,$AA197)))</f>
        <v/>
      </c>
    </row>
    <row r="198" spans="1:29" hidden="1" outlineLevel="1" x14ac:dyDescent="0.3">
      <c r="A198" s="22" t="s">
        <v>84</v>
      </c>
      <c r="B198" s="41" t="str">
        <f t="shared" si="11"/>
        <v/>
      </c>
      <c r="C198" s="42">
        <f t="shared" si="12"/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44</v>
      </c>
      <c r="L198" s="167" t="s">
        <v>21</v>
      </c>
      <c r="M198" s="221" t="s">
        <v>669</v>
      </c>
      <c r="N198" s="159" t="s">
        <v>670</v>
      </c>
      <c r="O198" s="159">
        <v>0</v>
      </c>
      <c r="P198" s="160" t="s">
        <v>265</v>
      </c>
      <c r="Q198" s="171"/>
      <c r="R198" s="171" t="s">
        <v>103</v>
      </c>
      <c r="S198" s="171" t="s">
        <v>112</v>
      </c>
      <c r="T198" s="170" t="s">
        <v>265</v>
      </c>
      <c r="U198" s="166" t="s">
        <v>265</v>
      </c>
      <c r="V198" s="166" t="s">
        <v>671</v>
      </c>
      <c r="W198" s="15" t="str">
        <f>IF(IFERROR(VLOOKUP($M198,#REF!,1,0),"-")="-","","GS")</f>
        <v/>
      </c>
      <c r="X198" s="160" t="s">
        <v>265</v>
      </c>
      <c r="Y198" s="166" t="s">
        <v>672</v>
      </c>
      <c r="Z198" s="59" t="str">
        <f>IF(OR($M198="",NOT($O198="{array}")),"",IFERROR(MATCH(PARAMETERS!$M198,DEFAULT!$B$5:$CG$5,0),""))</f>
        <v/>
      </c>
      <c r="AA198" s="56" t="str">
        <f t="shared" si="9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IF($AA198="","",IF($B198="I",VLOOKUP($AA198,#REF!,53,0),INDEX(VALUES!$B$1:$CC$1,1,$AA198)))</f>
        <v/>
      </c>
    </row>
    <row r="199" spans="1:29" hidden="1" outlineLevel="1" x14ac:dyDescent="0.3">
      <c r="A199" s="22" t="s">
        <v>84</v>
      </c>
      <c r="B199" s="41" t="str">
        <f t="shared" si="11"/>
        <v/>
      </c>
      <c r="C199" s="42">
        <f t="shared" si="12"/>
        <v>198</v>
      </c>
      <c r="D199" s="38"/>
      <c r="E199" s="38"/>
      <c r="F199" s="38" t="s">
        <v>9</v>
      </c>
      <c r="G199" s="38"/>
      <c r="H199" s="38"/>
      <c r="I199" s="38" t="s">
        <v>9</v>
      </c>
      <c r="J199" s="38"/>
      <c r="K199" s="14" t="s">
        <v>24</v>
      </c>
      <c r="L199" s="14" t="s">
        <v>27</v>
      </c>
      <c r="M199" s="222" t="s">
        <v>673</v>
      </c>
      <c r="N199" s="14" t="s">
        <v>674</v>
      </c>
      <c r="O199" s="43">
        <v>0.5</v>
      </c>
      <c r="R199" s="38" t="s">
        <v>104</v>
      </c>
      <c r="S199" s="38"/>
      <c r="T199" s="38"/>
      <c r="W199" s="15" t="str">
        <f>IF(IFERROR(VLOOKUP($M199,#REF!,1,0),"-")="-","","GS")</f>
        <v/>
      </c>
      <c r="Y199" s="14" t="s">
        <v>674</v>
      </c>
      <c r="Z199" s="59" t="str">
        <f>IF(OR($M199="",NOT($O199="{array}")),"",IFERROR(MATCH(PARAMETERS!$M199,DEFAULT!$B$5:$CG$5,0),""))</f>
        <v/>
      </c>
      <c r="AA199" s="56" t="str">
        <f t="shared" si="9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IF($AA199="","",IF($B199="I",VLOOKUP($AA199,#REF!,53,0),INDEX(VALUES!$B$1:$CC$1,1,$AA199)))</f>
        <v/>
      </c>
    </row>
    <row r="200" spans="1:29" hidden="1" outlineLevel="1" x14ac:dyDescent="0.25">
      <c r="A200" s="22"/>
      <c r="B200" s="41" t="str">
        <f t="shared" si="11"/>
        <v/>
      </c>
      <c r="C200" s="42">
        <f t="shared" si="12"/>
        <v>199</v>
      </c>
      <c r="D200" s="38"/>
      <c r="E200" s="38"/>
      <c r="F200" s="38"/>
      <c r="G200" s="38"/>
      <c r="H200" s="38"/>
      <c r="I200" s="38"/>
      <c r="J200" s="38"/>
      <c r="K200" s="166" t="s">
        <v>18</v>
      </c>
      <c r="L200" s="167" t="s">
        <v>21</v>
      </c>
      <c r="M200" s="166" t="s">
        <v>675</v>
      </c>
      <c r="N200" s="166" t="s">
        <v>265</v>
      </c>
      <c r="O200" s="166" t="s">
        <v>265</v>
      </c>
      <c r="P200" s="160" t="s">
        <v>265</v>
      </c>
      <c r="Q200" s="171" t="s">
        <v>9</v>
      </c>
      <c r="R200" s="171" t="s">
        <v>103</v>
      </c>
      <c r="S200" s="171" t="s">
        <v>112</v>
      </c>
      <c r="T200" s="166" t="s">
        <v>265</v>
      </c>
      <c r="U200" s="166" t="s">
        <v>265</v>
      </c>
      <c r="V200" s="166" t="s">
        <v>675</v>
      </c>
      <c r="W200" s="15" t="str">
        <f>IF(IFERROR(VLOOKUP($M200,#REF!,1,0),"-")="-","","GS")</f>
        <v/>
      </c>
      <c r="X200" s="160" t="s">
        <v>265</v>
      </c>
      <c r="Y200" s="166" t="s">
        <v>265</v>
      </c>
      <c r="Z200" s="59" t="str">
        <f>IF(OR($M200="",NOT($O200="{array}")),"",IFERROR(MATCH(PARAMETERS!$M200,DEFAULT!$B$5:$CG$5,0),""))</f>
        <v/>
      </c>
      <c r="AA200" s="56" t="str">
        <f t="shared" si="9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IF($AA200="","",IF($B200="I",VLOOKUP($AA200,#REF!,53,0),INDEX(VALUES!$B$1:$CC$1,1,$AA200)))</f>
        <v/>
      </c>
    </row>
    <row r="201" spans="1:29" hidden="1" outlineLevel="1" x14ac:dyDescent="0.25">
      <c r="A201" s="22"/>
      <c r="B201" s="41" t="str">
        <f t="shared" si="11"/>
        <v/>
      </c>
      <c r="C201" s="42">
        <f t="shared" si="12"/>
        <v>200</v>
      </c>
      <c r="D201" s="38"/>
      <c r="E201" s="38"/>
      <c r="F201" s="38"/>
      <c r="G201" s="38"/>
      <c r="H201" s="38"/>
      <c r="I201" s="38"/>
      <c r="J201" s="38"/>
      <c r="K201" s="166" t="s">
        <v>18</v>
      </c>
      <c r="L201" s="167" t="s">
        <v>21</v>
      </c>
      <c r="M201" s="166" t="s">
        <v>676</v>
      </c>
      <c r="N201" s="166" t="s">
        <v>265</v>
      </c>
      <c r="O201" s="166" t="s">
        <v>265</v>
      </c>
      <c r="P201" s="160" t="s">
        <v>265</v>
      </c>
      <c r="Q201" s="171" t="s">
        <v>9</v>
      </c>
      <c r="R201" s="171" t="s">
        <v>103</v>
      </c>
      <c r="S201" s="171" t="s">
        <v>112</v>
      </c>
      <c r="T201" s="166" t="s">
        <v>265</v>
      </c>
      <c r="U201" s="166" t="s">
        <v>265</v>
      </c>
      <c r="V201" s="166" t="s">
        <v>676</v>
      </c>
      <c r="W201" s="15" t="str">
        <f>IF(IFERROR(VLOOKUP($M201,#REF!,1,0),"-")="-","","GS")</f>
        <v/>
      </c>
      <c r="X201" s="160" t="s">
        <v>265</v>
      </c>
      <c r="Y201" s="166" t="s">
        <v>265</v>
      </c>
      <c r="Z201" s="59" t="str">
        <f>IF(OR($M201="",NOT($O201="{array}")),"",IFERROR(MATCH(PARAMETERS!$M201,DEFAULT!$B$5:$CG$5,0),""))</f>
        <v/>
      </c>
      <c r="AA201" s="56" t="str">
        <f t="shared" si="9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IF($AA201="","",IF($B201="I",VLOOKUP($AA201,#REF!,53,0),INDEX(VALUES!$B$1:$CC$1,1,$AA201)))</f>
        <v/>
      </c>
    </row>
    <row r="202" spans="1:29" hidden="1" outlineLevel="1" x14ac:dyDescent="0.25">
      <c r="A202" s="22" t="s">
        <v>84</v>
      </c>
      <c r="B202" s="41" t="str">
        <f t="shared" si="11"/>
        <v/>
      </c>
      <c r="C202" s="42">
        <f t="shared" si="12"/>
        <v>201</v>
      </c>
      <c r="D202" s="38"/>
      <c r="E202" s="38"/>
      <c r="F202" s="38"/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234" t="s">
        <v>1561</v>
      </c>
      <c r="N202" s="14" t="s">
        <v>1562</v>
      </c>
      <c r="O202" s="43">
        <v>8.0000000000000002E-3</v>
      </c>
      <c r="R202" s="38" t="s">
        <v>196</v>
      </c>
      <c r="S202" s="171"/>
      <c r="T202" s="170"/>
      <c r="U202" s="166"/>
      <c r="V202" s="166"/>
      <c r="W202" s="15"/>
      <c r="X202" s="160"/>
      <c r="Y202" s="166"/>
      <c r="Z202" s="59" t="str">
        <f>IF(OR($M202="",NOT($O202="{array}")),"",IFERROR(MATCH(PARAMETERS!$M202,DEFAULT!$B$5:$CG$5,0),""))</f>
        <v/>
      </c>
      <c r="AA202" s="56" t="str">
        <f t="shared" si="9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IF($AA202="","",IF($B202="I",VLOOKUP($AA202,#REF!,53,0),INDEX(VALUES!$B$1:$CC$1,1,$AA202)))</f>
        <v/>
      </c>
    </row>
    <row r="203" spans="1:29" collapsed="1" x14ac:dyDescent="0.3">
      <c r="A203" s="22" t="s">
        <v>84</v>
      </c>
      <c r="B203" s="41" t="str">
        <f t="shared" si="11"/>
        <v/>
      </c>
      <c r="C203" s="42">
        <f t="shared" si="12"/>
        <v>202</v>
      </c>
      <c r="D203" s="38"/>
      <c r="E203" s="38"/>
      <c r="F203" s="38" t="s">
        <v>9</v>
      </c>
      <c r="G203" s="38"/>
      <c r="H203" s="38"/>
      <c r="I203" s="38"/>
      <c r="J203" s="38"/>
      <c r="K203" s="14" t="s">
        <v>57</v>
      </c>
      <c r="L203" s="14" t="s">
        <v>38</v>
      </c>
      <c r="M203" s="48" t="s">
        <v>677</v>
      </c>
      <c r="N203" s="41" t="s">
        <v>678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IF(OR($M203="",NOT($O203="{array}")),"",IFERROR(MATCH(PARAMETERS!$M203,DEFAULT!$B$5:$CG$5,0),""))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IF($AA203="","",IF($B203="I",VLOOKUP($AA203,#REF!,53,0),INDEX(VALUES!$B$1:$CC$1,1,$AA203)))</f>
        <v/>
      </c>
    </row>
    <row r="204" spans="1:29" hidden="1" outlineLevel="1" x14ac:dyDescent="0.25">
      <c r="A204" s="22" t="s">
        <v>84</v>
      </c>
      <c r="B204" s="41" t="str">
        <f t="shared" si="11"/>
        <v>V</v>
      </c>
      <c r="C204" s="42">
        <f t="shared" si="12"/>
        <v>203</v>
      </c>
      <c r="D204" s="38"/>
      <c r="E204" s="38"/>
      <c r="F204" s="38"/>
      <c r="G204" s="38"/>
      <c r="H204" s="38"/>
      <c r="I204" s="38" t="s">
        <v>9</v>
      </c>
      <c r="J204" s="38"/>
      <c r="K204" s="53" t="s">
        <v>18</v>
      </c>
      <c r="L204" s="53" t="s">
        <v>32</v>
      </c>
      <c r="M204" s="157" t="s">
        <v>679</v>
      </c>
      <c r="N204" s="53" t="s">
        <v>678</v>
      </c>
      <c r="O204" s="155" t="s">
        <v>1332</v>
      </c>
      <c r="R204" s="171" t="s">
        <v>103</v>
      </c>
      <c r="S204" s="171" t="s">
        <v>112</v>
      </c>
      <c r="T204" s="166" t="s">
        <v>265</v>
      </c>
      <c r="U204" s="166" t="s">
        <v>265</v>
      </c>
      <c r="V204" s="166" t="s">
        <v>680</v>
      </c>
      <c r="W204" s="15" t="str">
        <f>IF(IFERROR(VLOOKUP($N207,#REF!,1,0),"-")="-","","GS")</f>
        <v/>
      </c>
      <c r="X204" s="160" t="s">
        <v>265</v>
      </c>
      <c r="Y204" s="166" t="s">
        <v>681</v>
      </c>
      <c r="Z204" s="59" t="str">
        <f>IF(OR($M204="",NOT($O204="{array}")),"",IFERROR(MATCH(PARAMETERS!$M204,DEFAULT!$B$5:$CG$5,0),""))</f>
        <v/>
      </c>
      <c r="AA204" s="56">
        <f t="shared" si="9"/>
        <v>25</v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IF($AA204="","",IF($B204="I",VLOOKUP($AA204,#REF!,53,0),INDEX(VALUES!$B$1:$CC$1,1,$AA204)))</f>
        <v>VB | RF | RP</v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>V</v>
      </c>
      <c r="C205" s="42">
        <f t="shared" si="12"/>
        <v>204</v>
      </c>
      <c r="D205" s="38"/>
      <c r="E205" s="38"/>
      <c r="F205" s="38" t="s">
        <v>9</v>
      </c>
      <c r="G205" s="38"/>
      <c r="H205" s="38"/>
      <c r="I205" s="38" t="s">
        <v>9</v>
      </c>
      <c r="J205" s="38"/>
      <c r="K205" s="14" t="s">
        <v>44</v>
      </c>
      <c r="L205" s="14" t="s">
        <v>27</v>
      </c>
      <c r="M205" s="20" t="s">
        <v>694</v>
      </c>
      <c r="N205" s="14" t="s">
        <v>678</v>
      </c>
      <c r="O205" s="43">
        <v>1</v>
      </c>
      <c r="R205" s="38" t="s">
        <v>104</v>
      </c>
      <c r="S205" s="38"/>
      <c r="T205" s="38"/>
      <c r="W205" s="15" t="str">
        <f>IF(IFERROR(VLOOKUP($M205,#REF!,1,0),"-")="-","","GS")</f>
        <v/>
      </c>
      <c r="Z205" s="59" t="str">
        <f>IF(OR($M205="",NOT($O205="{array}")),"",IFERROR(MATCH(PARAMETERS!$M205,DEFAULT!$B$5:$CG$5,0),""))</f>
        <v/>
      </c>
      <c r="AA205" s="56">
        <f>IF($M205="","",IFERROR(MATCH($M205,VALUESnames,0),""))</f>
        <v>74</v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IF($AA205="","",IF($B205="I",VLOOKUP($AA205,#REF!,53,0),INDEX(VALUES!$B$1:$CC$1,1,$AA205)))</f>
        <v>1 | 2 | 3 | 4 | 5 | 6 | 7 | 8 | ...</v>
      </c>
    </row>
    <row r="206" spans="1:29" hidden="1" outlineLevel="1" x14ac:dyDescent="0.3">
      <c r="A206" s="22" t="s">
        <v>84</v>
      </c>
      <c r="B206" s="41" t="str">
        <f>IF($A206="P",IF(NOT($Z206=""),"A",IF(NOT($AA206=""),"I","")),IF(NOT($AA206=""),IF($A206="G","V","X"),IF(NOT($Z206=""),"A","")))</f>
        <v>V</v>
      </c>
      <c r="C206" s="42">
        <f t="shared" si="12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44</v>
      </c>
      <c r="L206" s="14" t="s">
        <v>27</v>
      </c>
      <c r="M206" s="20" t="s">
        <v>695</v>
      </c>
      <c r="N206" s="14" t="s">
        <v>696</v>
      </c>
      <c r="O206" s="43">
        <v>1</v>
      </c>
      <c r="R206" s="38" t="s">
        <v>104</v>
      </c>
      <c r="S206" s="38"/>
      <c r="T206" s="38"/>
      <c r="W206" s="15" t="str">
        <f>IF(IFERROR(VLOOKUP($M206,#REF!,1,0),"-")="-","","GS")</f>
        <v/>
      </c>
      <c r="Z206" s="59" t="str">
        <f>IF(OR($M206="",NOT($O206="{array}")),"",IFERROR(MATCH(PARAMETERS!$M206,DEFAULT!$B$5:$CG$5,0),""))</f>
        <v/>
      </c>
      <c r="AA206" s="56">
        <f>IF($M206="","",IFERROR(MATCH($M206,VALUESnames,0),""))</f>
        <v>77</v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IF($AA206="","",IF($B206="I",VLOOKUP($AA206,#REF!,53,0),INDEX(VALUES!$B$1:$CC$1,1,$AA206)))</f>
        <v>1 | 2 | 3 | 4 | 5 | 6 | 7 | 8 | ...</v>
      </c>
    </row>
    <row r="207" spans="1:29" hidden="1" outlineLevel="1" x14ac:dyDescent="0.3">
      <c r="A207" s="22" t="s">
        <v>84</v>
      </c>
      <c r="B207" s="41" t="str">
        <f t="shared" si="11"/>
        <v>V</v>
      </c>
      <c r="C207" s="42">
        <f t="shared" si="12"/>
        <v>206</v>
      </c>
      <c r="D207" s="38"/>
      <c r="E207" s="38"/>
      <c r="F207" s="38"/>
      <c r="G207" s="38"/>
      <c r="H207" s="38"/>
      <c r="I207" s="38" t="s">
        <v>9</v>
      </c>
      <c r="J207" s="38"/>
      <c r="K207" s="166" t="s">
        <v>18</v>
      </c>
      <c r="L207" s="167" t="s">
        <v>32</v>
      </c>
      <c r="M207" s="175" t="s">
        <v>1425</v>
      </c>
      <c r="N207" s="166" t="s">
        <v>682</v>
      </c>
      <c r="O207" s="166" t="s">
        <v>1342</v>
      </c>
      <c r="P207" s="160" t="s">
        <v>265</v>
      </c>
      <c r="Q207" s="171"/>
      <c r="R207" s="171" t="s">
        <v>103</v>
      </c>
      <c r="S207" s="171" t="s">
        <v>112</v>
      </c>
      <c r="T207" s="166" t="s">
        <v>102</v>
      </c>
      <c r="U207" s="166" t="s">
        <v>265</v>
      </c>
      <c r="V207" s="166" t="s">
        <v>682</v>
      </c>
      <c r="W207" s="15" t="str">
        <f>IF(IFERROR(VLOOKUP($M207,#REF!,1,0),"-")="-","","GS")</f>
        <v/>
      </c>
      <c r="X207" s="160" t="s">
        <v>265</v>
      </c>
      <c r="Y207" s="166" t="s">
        <v>684</v>
      </c>
      <c r="Z207" s="59" t="str">
        <f>IF(OR($M207="",NOT($O207="{array}")),"",IFERROR(MATCH(PARAMETERS!$M207,DEFAULT!$B$5:$CG$5,0),""))</f>
        <v/>
      </c>
      <c r="AA207" s="56">
        <f t="shared" si="9"/>
        <v>27</v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IF($AA207="","",IF($B207="I",VLOOKUP($AA207,#REF!,53,0),INDEX(VALUES!$B$1:$CC$1,1,$AA207)))</f>
        <v>HO | ST | AL | GL | KU</v>
      </c>
    </row>
    <row r="208" spans="1:29" hidden="1" outlineLevel="1" x14ac:dyDescent="0.25">
      <c r="A208" s="22" t="s">
        <v>84</v>
      </c>
      <c r="B208" s="41" t="str">
        <f t="shared" si="11"/>
        <v/>
      </c>
      <c r="C208" s="42">
        <f t="shared" si="12"/>
        <v>207</v>
      </c>
      <c r="D208" s="38"/>
      <c r="E208" s="38"/>
      <c r="F208" s="38"/>
      <c r="G208" s="38"/>
      <c r="H208" s="38"/>
      <c r="I208" s="38" t="s">
        <v>9</v>
      </c>
      <c r="J208" s="38"/>
      <c r="K208" s="53" t="s">
        <v>18</v>
      </c>
      <c r="L208" s="53" t="s">
        <v>27</v>
      </c>
      <c r="M208" s="157" t="s">
        <v>1337</v>
      </c>
      <c r="N208" s="53" t="s">
        <v>1339</v>
      </c>
      <c r="O208" s="155"/>
      <c r="P208" s="53"/>
      <c r="Q208" s="209" t="s">
        <v>9</v>
      </c>
      <c r="R208" s="178" t="s">
        <v>103</v>
      </c>
      <c r="S208" s="171"/>
      <c r="T208" s="166"/>
      <c r="U208" s="166"/>
      <c r="V208" s="166"/>
      <c r="W208" s="15"/>
      <c r="X208" s="160"/>
      <c r="Y208" s="166"/>
      <c r="Z208" s="59" t="str">
        <f>IF(OR($M208="",NOT($O208="{array}")),"",IFERROR(MATCH(PARAMETERS!$M208,DEFAULT!$B$5:$CG$5,0),""))</f>
        <v/>
      </c>
      <c r="AA208" s="56" t="str">
        <f t="shared" si="9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IF($AA208="","",IF($B208="I",VLOOKUP($AA208,#REF!,53,0),INDEX(VALUES!$B$1:$CC$1,1,$AA208)))</f>
        <v/>
      </c>
    </row>
    <row r="209" spans="1:29" hidden="1" outlineLevel="1" x14ac:dyDescent="0.3">
      <c r="A209" s="22" t="s">
        <v>84</v>
      </c>
      <c r="B209" s="41" t="str">
        <f>IF($A209="P",IF(NOT($Z209=""),"A",IF(NOT($AA209=""),"I","")),IF(NOT($AA209=""),IF($A209="G","V","X"),IF(NOT($Z209=""),"A","")))</f>
        <v/>
      </c>
      <c r="C209" s="42">
        <f t="shared" si="12"/>
        <v>208</v>
      </c>
      <c r="D209" s="38"/>
      <c r="E209" s="38"/>
      <c r="F209" s="38"/>
      <c r="G209" s="38"/>
      <c r="H209" s="38"/>
      <c r="I209" s="38" t="s">
        <v>9</v>
      </c>
      <c r="J209" s="38"/>
      <c r="K209" s="14" t="s">
        <v>18</v>
      </c>
      <c r="L209" s="14" t="s">
        <v>27</v>
      </c>
      <c r="M209" s="20" t="s">
        <v>685</v>
      </c>
      <c r="N209" s="14" t="s">
        <v>686</v>
      </c>
      <c r="R209" s="38" t="s">
        <v>104</v>
      </c>
      <c r="S209" s="38"/>
      <c r="T209" s="38"/>
      <c r="W209" s="15" t="str">
        <f>IF(IFERROR(VLOOKUP($M209,#REF!,1,0),"-")="-","","GS")</f>
        <v/>
      </c>
      <c r="Y209" s="14" t="s">
        <v>687</v>
      </c>
      <c r="Z209" s="59" t="str">
        <f>IF(OR($M209="",NOT($O209="{array}")),"",IFERROR(MATCH(PARAMETERS!$M209,DEFAULT!$B$5:$CG$5,0),""))</f>
        <v/>
      </c>
      <c r="AA209" s="56" t="str">
        <f>IF($M209="","",IFERROR(MATCH($M209,VALUESnames,0),""))</f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IF($AA209="","",IF($B209="I",VLOOKUP($AA209,#REF!,53,0),INDEX(VALUES!$B$1:$CC$1,1,$AA209)))</f>
        <v/>
      </c>
    </row>
    <row r="210" spans="1:29" hidden="1" outlineLevel="1" x14ac:dyDescent="0.3">
      <c r="A210" s="22" t="s">
        <v>84</v>
      </c>
      <c r="B210" s="41" t="str">
        <f>IF($A210="P",IF(NOT($Z210=""),"A",IF(NOT($AA210=""),"I","")),IF(NOT($AA210=""),IF($A210="G","V","X"),IF(NOT($Z210=""),"A","")))</f>
        <v/>
      </c>
      <c r="C210" s="42">
        <f t="shared" si="12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18</v>
      </c>
      <c r="L210" s="14" t="s">
        <v>27</v>
      </c>
      <c r="M210" s="20" t="s">
        <v>688</v>
      </c>
      <c r="N210" s="14" t="s">
        <v>689</v>
      </c>
      <c r="R210" s="38" t="s">
        <v>104</v>
      </c>
      <c r="S210" s="38"/>
      <c r="T210" s="38"/>
      <c r="W210" s="15" t="str">
        <f>IF(IFERROR(VLOOKUP($M210,#REF!,1,0),"-")="-","","GS")</f>
        <v/>
      </c>
      <c r="Y210" s="14" t="s">
        <v>687</v>
      </c>
      <c r="Z210" s="59" t="str">
        <f>IF(OR($M210="",NOT($O210="{array}")),"",IFERROR(MATCH(PARAMETERS!$M210,DEFAULT!$B$5:$CG$5,0),""))</f>
        <v/>
      </c>
      <c r="AA210" s="56" t="str">
        <f>IF($M210="","",IFERROR(MATCH($M210,VALUESnames,0),""))</f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IF($AA210="","",IF($B210="I",VLOOKUP($AA210,#REF!,53,0),INDEX(VALUES!$B$1:$CC$1,1,$AA210)))</f>
        <v/>
      </c>
    </row>
    <row r="211" spans="1:29" hidden="1" outlineLevel="1" x14ac:dyDescent="0.25">
      <c r="A211" s="22" t="s">
        <v>84</v>
      </c>
      <c r="B211" s="41" t="str">
        <f t="shared" si="11"/>
        <v/>
      </c>
      <c r="C211" s="42">
        <f t="shared" si="12"/>
        <v>210</v>
      </c>
      <c r="D211" s="38"/>
      <c r="E211" s="38"/>
      <c r="F211" s="38"/>
      <c r="G211" s="38"/>
      <c r="H211" s="38"/>
      <c r="I211" s="38" t="s">
        <v>9</v>
      </c>
      <c r="J211" s="38"/>
      <c r="K211" s="53" t="s">
        <v>18</v>
      </c>
      <c r="L211" s="53" t="s">
        <v>27</v>
      </c>
      <c r="M211" s="157" t="s">
        <v>1338</v>
      </c>
      <c r="N211" s="53" t="s">
        <v>1340</v>
      </c>
      <c r="O211" s="155" t="s">
        <v>1341</v>
      </c>
      <c r="P211" s="53"/>
      <c r="Q211" s="209" t="s">
        <v>9</v>
      </c>
      <c r="R211" s="178" t="s">
        <v>103</v>
      </c>
      <c r="S211" s="171"/>
      <c r="T211" s="166"/>
      <c r="U211" s="166"/>
      <c r="V211" s="166"/>
      <c r="W211" s="15"/>
      <c r="X211" s="160"/>
      <c r="Y211" s="166"/>
      <c r="Z211" s="59" t="str">
        <f>IF(OR($M211="",NOT($O211="{array}")),"",IFERROR(MATCH(PARAMETERS!$M211,DEFAULT!$B$5:$CG$5,0),""))</f>
        <v/>
      </c>
      <c r="AA211" s="56" t="str">
        <f t="shared" si="9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IF($AA211="","",IF($B211="I",VLOOKUP($AA211,#REF!,53,0),INDEX(VALUES!$B$1:$CC$1,1,$AA211)))</f>
        <v/>
      </c>
    </row>
    <row r="212" spans="1:29" hidden="1" outlineLevel="1" x14ac:dyDescent="0.25">
      <c r="A212" s="22"/>
      <c r="B212" s="41" t="str">
        <f>IF($A212="P",IF(NOT($Z212=""),"A",IF(NOT($AA212=""),"I","")),IF(NOT($AA212=""),IF($A212="G","V","X"),IF(NOT($Z212=""),"A","")))</f>
        <v/>
      </c>
      <c r="C212" s="42">
        <f t="shared" si="12"/>
        <v>211</v>
      </c>
      <c r="D212" s="38"/>
      <c r="E212" s="38"/>
      <c r="F212" s="38"/>
      <c r="G212" s="38"/>
      <c r="H212" s="38"/>
      <c r="I212" s="38" t="s">
        <v>9</v>
      </c>
      <c r="J212" s="38"/>
      <c r="K212" s="166" t="s">
        <v>100</v>
      </c>
      <c r="L212" s="167" t="s">
        <v>21</v>
      </c>
      <c r="M212" s="166" t="s">
        <v>744</v>
      </c>
      <c r="N212" s="166" t="s">
        <v>265</v>
      </c>
      <c r="O212" s="166" t="s">
        <v>745</v>
      </c>
      <c r="P212" s="160" t="s">
        <v>265</v>
      </c>
      <c r="Q212" s="171" t="s">
        <v>9</v>
      </c>
      <c r="R212" s="171" t="s">
        <v>103</v>
      </c>
      <c r="S212" s="171" t="s">
        <v>112</v>
      </c>
      <c r="T212" s="166" t="s">
        <v>265</v>
      </c>
      <c r="U212" s="166" t="s">
        <v>265</v>
      </c>
      <c r="V212" s="166" t="s">
        <v>744</v>
      </c>
      <c r="W212" s="15" t="str">
        <f>IF(IFERROR(VLOOKUP($M212,#REF!,1,0),"-")="-","","GS")</f>
        <v/>
      </c>
      <c r="X212" s="160" t="s">
        <v>265</v>
      </c>
      <c r="Y212" s="166" t="s">
        <v>746</v>
      </c>
      <c r="Z212" s="59" t="str">
        <f>IF(OR($M212="",NOT($O212="{array}")),"",IFERROR(MATCH(PARAMETERS!$M212,DEFAULT!$B$5:$CG$5,0),""))</f>
        <v/>
      </c>
      <c r="AA212" s="56" t="str">
        <f>IF($M212="","",IFERROR(MATCH($M212,VALUESnames,0),""))</f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IF($AA212="","",IF($B212="I",VLOOKUP($AA212,#REF!,53,0),INDEX(VALUES!$B$1:$CC$1,1,$AA212)))</f>
        <v/>
      </c>
    </row>
    <row r="213" spans="1:29" hidden="1" outlineLevel="1" x14ac:dyDescent="0.25">
      <c r="A213" s="22" t="s">
        <v>84</v>
      </c>
      <c r="B213" s="41" t="str">
        <f>IF($A213="P",IF(NOT($Z213=""),"A",IF(NOT($AA213=""),"I","")),IF(NOT($AA213=""),IF($A213="G","V","X"),IF(NOT($Z213=""),"A","")))</f>
        <v>V</v>
      </c>
      <c r="C213" s="42">
        <f t="shared" si="12"/>
        <v>212</v>
      </c>
      <c r="D213" s="38"/>
      <c r="E213" s="38"/>
      <c r="F213" s="38"/>
      <c r="G213" s="38"/>
      <c r="H213" s="38"/>
      <c r="I213" s="38" t="s">
        <v>9</v>
      </c>
      <c r="J213" s="38"/>
      <c r="K213" s="159" t="s">
        <v>44</v>
      </c>
      <c r="L213" s="53" t="s">
        <v>27</v>
      </c>
      <c r="M213" s="157" t="s">
        <v>1344</v>
      </c>
      <c r="N213" s="53" t="s">
        <v>1343</v>
      </c>
      <c r="O213" s="155">
        <v>0</v>
      </c>
      <c r="P213" s="53"/>
      <c r="Q213" s="209"/>
      <c r="R213" s="178" t="s">
        <v>103</v>
      </c>
      <c r="S213" s="171"/>
      <c r="T213" s="166"/>
      <c r="U213" s="166"/>
      <c r="V213" s="166"/>
      <c r="W213" s="15"/>
      <c r="X213" s="160"/>
      <c r="Y213" s="166"/>
      <c r="Z213" s="59" t="str">
        <f>IF(OR($M213="",NOT($O213="{array}")),"",IFERROR(MATCH(PARAMETERS!$M213,DEFAULT!$B$5:$CG$5,0),""))</f>
        <v/>
      </c>
      <c r="AA213" s="56">
        <f>IF($M213="","",IFERROR(MATCH($M213,VALUESnames,0),""))</f>
        <v>31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IF($AA213="","",IF($B213="I",VLOOKUP($AA213,#REF!,53,0),INDEX(VALUES!$B$1:$CC$1,1,$AA213)))</f>
        <v>0 | 1 | 2 | 3</v>
      </c>
    </row>
    <row r="214" spans="1:29" hidden="1" outlineLevel="1" x14ac:dyDescent="0.25">
      <c r="A214" s="22" t="s">
        <v>84</v>
      </c>
      <c r="B214" s="41" t="str">
        <f>IF($A214="P",IF(NOT($Z214=""),"A",IF(NOT($AA214=""),"I","")),IF(NOT($AA214=""),IF($A214="G","V","X"),IF(NOT($Z214=""),"A","")))</f>
        <v>V</v>
      </c>
      <c r="C214" s="42">
        <f t="shared" si="12"/>
        <v>213</v>
      </c>
      <c r="D214" s="38"/>
      <c r="E214" s="38"/>
      <c r="F214" s="38"/>
      <c r="G214" s="38"/>
      <c r="H214" s="38"/>
      <c r="I214" s="38" t="s">
        <v>9</v>
      </c>
      <c r="J214" s="38"/>
      <c r="K214" s="53" t="s">
        <v>44</v>
      </c>
      <c r="L214" s="53" t="s">
        <v>27</v>
      </c>
      <c r="M214" s="157" t="s">
        <v>1348</v>
      </c>
      <c r="N214" s="53" t="s">
        <v>1353</v>
      </c>
      <c r="O214" s="155">
        <v>0</v>
      </c>
      <c r="P214" s="53"/>
      <c r="Q214" s="209"/>
      <c r="R214" s="178" t="s">
        <v>103</v>
      </c>
      <c r="S214" s="171"/>
      <c r="T214" s="166"/>
      <c r="U214" s="166"/>
      <c r="V214" s="166"/>
      <c r="W214" s="15"/>
      <c r="X214" s="160"/>
      <c r="Y214" s="166"/>
      <c r="Z214" s="59" t="str">
        <f>IF(OR($M214="",NOT($O214="{array}")),"",IFERROR(MATCH(PARAMETERS!$M214,DEFAULT!$B$5:$CG$5,0),""))</f>
        <v/>
      </c>
      <c r="AA214" s="56">
        <f>IF($M214="","",IFERROR(MATCH($M214,VALUESnames,0),""))</f>
        <v>34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IF($AA214="","",IF($B214="I",VLOOKUP($AA214,#REF!,53,0),INDEX(VALUES!$B$1:$CC$1,1,$AA214)))</f>
        <v>0 | 2 | 4 | 64 | 128</v>
      </c>
    </row>
    <row r="215" spans="1:29" hidden="1" outlineLevel="1" x14ac:dyDescent="0.25">
      <c r="A215" s="22" t="s">
        <v>84</v>
      </c>
      <c r="B215" s="41" t="str">
        <f t="shared" si="11"/>
        <v>A</v>
      </c>
      <c r="C215" s="42">
        <f t="shared" si="12"/>
        <v>214</v>
      </c>
      <c r="D215" s="38"/>
      <c r="E215" s="38"/>
      <c r="F215" s="38"/>
      <c r="G215" s="38"/>
      <c r="H215" s="38"/>
      <c r="I215" s="38" t="s">
        <v>9</v>
      </c>
      <c r="J215" s="38"/>
      <c r="K215" s="53" t="s">
        <v>44</v>
      </c>
      <c r="L215" s="53" t="s">
        <v>27</v>
      </c>
      <c r="M215" s="157" t="s">
        <v>1345</v>
      </c>
      <c r="N215" s="53" t="s">
        <v>1346</v>
      </c>
      <c r="O215" s="155" t="s">
        <v>33</v>
      </c>
      <c r="P215" s="53"/>
      <c r="Q215" s="209" t="s">
        <v>9</v>
      </c>
      <c r="R215" s="178" t="s">
        <v>103</v>
      </c>
      <c r="S215" s="171"/>
      <c r="T215" s="166"/>
      <c r="U215" s="166"/>
      <c r="V215" s="166"/>
      <c r="W215" s="15"/>
      <c r="X215" s="160"/>
      <c r="Y215" s="166"/>
      <c r="Z215" s="59">
        <f>IF(OR($M215="",NOT($O215="{array}")),"",IFERROR(MATCH(PARAMETERS!$M215,DEFAULT!$B$5:$CG$5,0),""))</f>
        <v>11</v>
      </c>
      <c r="AA215" s="56" t="str">
        <f t="shared" si="9"/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IF($AA215="","",IF($B215="I",VLOOKUP($AA215,#REF!,53,0),INDEX(VALUES!$B$1:$CC$1,1,$AA215)))</f>
        <v/>
      </c>
    </row>
    <row r="216" spans="1:29" hidden="1" outlineLevel="1" x14ac:dyDescent="0.25">
      <c r="A216" s="22" t="s">
        <v>84</v>
      </c>
      <c r="B216" s="41" t="str">
        <f t="shared" si="11"/>
        <v>A</v>
      </c>
      <c r="C216" s="42">
        <f t="shared" si="12"/>
        <v>215</v>
      </c>
      <c r="D216" s="38"/>
      <c r="E216" s="38"/>
      <c r="F216" s="38"/>
      <c r="G216" s="38"/>
      <c r="H216" s="38"/>
      <c r="I216" s="38" t="s">
        <v>9</v>
      </c>
      <c r="J216" s="38"/>
      <c r="K216" s="53" t="s">
        <v>44</v>
      </c>
      <c r="L216" s="53" t="s">
        <v>27</v>
      </c>
      <c r="M216" s="157" t="s">
        <v>1347</v>
      </c>
      <c r="N216" s="53" t="s">
        <v>1354</v>
      </c>
      <c r="O216" s="155" t="s">
        <v>33</v>
      </c>
      <c r="P216" s="53"/>
      <c r="Q216" s="209" t="s">
        <v>9</v>
      </c>
      <c r="R216" s="178" t="s">
        <v>103</v>
      </c>
      <c r="S216" s="171"/>
      <c r="T216" s="166"/>
      <c r="U216" s="166"/>
      <c r="V216" s="166"/>
      <c r="W216" s="15"/>
      <c r="X216" s="160"/>
      <c r="Y216" s="166"/>
      <c r="Z216" s="59">
        <f>IF(OR($M216="",NOT($O216="{array}")),"",IFERROR(MATCH(PARAMETERS!$M216,DEFAULT!$B$5:$CG$5,0),""))</f>
        <v>15</v>
      </c>
      <c r="AA216" s="56" t="str">
        <f t="shared" si="9"/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IF($AA216="","",IF($B216="I",VLOOKUP($AA216,#REF!,53,0),INDEX(VALUES!$B$1:$CC$1,1,$AA216)))</f>
        <v/>
      </c>
    </row>
    <row r="217" spans="1:29" hidden="1" outlineLevel="1" x14ac:dyDescent="0.25">
      <c r="A217" s="22" t="s">
        <v>84</v>
      </c>
      <c r="B217" s="41" t="str">
        <f t="shared" si="11"/>
        <v>V</v>
      </c>
      <c r="C217" s="42">
        <f t="shared" si="12"/>
        <v>216</v>
      </c>
      <c r="D217" s="38"/>
      <c r="E217" s="38"/>
      <c r="F217" s="38"/>
      <c r="G217" s="38"/>
      <c r="H217" s="38"/>
      <c r="I217" s="38" t="s">
        <v>9</v>
      </c>
      <c r="J217" s="38"/>
      <c r="K217" s="53" t="s">
        <v>18</v>
      </c>
      <c r="L217" s="53" t="s">
        <v>27</v>
      </c>
      <c r="M217" s="157" t="s">
        <v>1350</v>
      </c>
      <c r="N217" s="53" t="s">
        <v>1351</v>
      </c>
      <c r="O217" s="155" t="s">
        <v>33</v>
      </c>
      <c r="P217" s="53"/>
      <c r="Q217" s="209"/>
      <c r="R217" s="178" t="s">
        <v>103</v>
      </c>
      <c r="S217" s="171"/>
      <c r="T217" s="166"/>
      <c r="U217" s="166"/>
      <c r="V217" s="166"/>
      <c r="W217" s="15"/>
      <c r="X217" s="160"/>
      <c r="Y217" s="166"/>
      <c r="Z217" s="59">
        <f>IF(OR($M217="",NOT($O217="{array}")),"",IFERROR(MATCH(PARAMETERS!$M217,DEFAULT!$B$5:$CG$5,0),""))</f>
        <v>19</v>
      </c>
      <c r="AA217" s="56">
        <f t="shared" si="9"/>
        <v>40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IF($AA217="","",IF($B217="I",VLOOKUP($AA217,#REF!,53,0),INDEX(VALUES!$B$1:$CC$1,1,$AA217)))</f>
        <v>G1 | G2 | G3 | PL | K1 | K2</v>
      </c>
    </row>
    <row r="218" spans="1:29" hidden="1" outlineLevel="1" x14ac:dyDescent="0.25">
      <c r="A218" s="22" t="s">
        <v>84</v>
      </c>
      <c r="B218" s="41" t="str">
        <f>IF($A218="P",IF(NOT($Z218=""),"A",IF(NOT($AA218=""),"I","")),IF(NOT($AA218=""),IF($A218="G","V","X"),IF(NOT($Z218=""),"A","")))</f>
        <v/>
      </c>
      <c r="C218" s="42">
        <f t="shared" si="12"/>
        <v>217</v>
      </c>
      <c r="D218" s="38"/>
      <c r="E218" s="38"/>
      <c r="F218" s="38"/>
      <c r="G218" s="38"/>
      <c r="H218" s="38"/>
      <c r="I218" s="38" t="s">
        <v>9</v>
      </c>
      <c r="J218" s="38"/>
      <c r="K218" s="53" t="s">
        <v>18</v>
      </c>
      <c r="L218" s="53" t="s">
        <v>27</v>
      </c>
      <c r="M218" s="220" t="s">
        <v>1362</v>
      </c>
      <c r="N218" s="53" t="s">
        <v>1352</v>
      </c>
      <c r="O218" s="155"/>
      <c r="P218" s="53"/>
      <c r="Q218" s="209"/>
      <c r="R218" s="178" t="s">
        <v>103</v>
      </c>
      <c r="S218" s="171"/>
      <c r="T218" s="166"/>
      <c r="U218" s="166"/>
      <c r="V218" s="166"/>
      <c r="W218" s="15"/>
      <c r="X218" s="160"/>
      <c r="Y218" s="166"/>
      <c r="Z218" s="59" t="str">
        <f>IF(OR($M218="",NOT($O218="{array}")),"",IFERROR(MATCH(PARAMETERS!$M218,DEFAULT!$B$5:$CG$5,0),""))</f>
        <v/>
      </c>
      <c r="AA218" s="56" t="str">
        <f>IF($M218="","",IFERROR(MATCH($M218,VALUESnames,0),""))</f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IF($AA218="","",IF($B218="I",VLOOKUP($AA218,#REF!,53,0),INDEX(VALUES!$B$1:$CC$1,1,$AA218)))</f>
        <v/>
      </c>
    </row>
    <row r="219" spans="1:29" hidden="1" outlineLevel="1" x14ac:dyDescent="0.25">
      <c r="A219" s="22" t="s">
        <v>84</v>
      </c>
      <c r="B219" s="41" t="str">
        <f t="shared" si="11"/>
        <v>V</v>
      </c>
      <c r="C219" s="42">
        <f t="shared" si="12"/>
        <v>218</v>
      </c>
      <c r="D219" s="38"/>
      <c r="E219" s="38"/>
      <c r="F219" s="38"/>
      <c r="G219" s="38"/>
      <c r="H219" s="38"/>
      <c r="I219" s="38" t="s">
        <v>9</v>
      </c>
      <c r="J219" s="38"/>
      <c r="K219" s="166" t="s">
        <v>18</v>
      </c>
      <c r="L219" s="167" t="s">
        <v>21</v>
      </c>
      <c r="M219" s="220" t="s">
        <v>1664</v>
      </c>
      <c r="N219" s="166" t="s">
        <v>709</v>
      </c>
      <c r="O219" s="166" t="s">
        <v>265</v>
      </c>
      <c r="P219" s="160" t="s">
        <v>265</v>
      </c>
      <c r="Q219" s="171"/>
      <c r="R219" s="171" t="s">
        <v>103</v>
      </c>
      <c r="S219" s="171" t="s">
        <v>112</v>
      </c>
      <c r="T219" s="166" t="s">
        <v>265</v>
      </c>
      <c r="U219" s="166" t="s">
        <v>265</v>
      </c>
      <c r="V219" s="166" t="s">
        <v>710</v>
      </c>
      <c r="W219" s="15" t="str">
        <f>IF(IFERROR(VLOOKUP($M219,#REF!,1,0),"-")="-","","GS")</f>
        <v/>
      </c>
      <c r="X219" s="160">
        <v>73</v>
      </c>
      <c r="Y219" s="166" t="s">
        <v>711</v>
      </c>
      <c r="Z219" s="59" t="str">
        <f>IF(OR($M219="",NOT($O219="{array}")),"",IFERROR(MATCH(PARAMETERS!$M219,DEFAULT!$B$5:$CG$5,0),""))</f>
        <v/>
      </c>
      <c r="AA219" s="56">
        <f t="shared" si="9"/>
        <v>7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IF($AA219="","",IF($B219="I",VLOOKUP($AA219,#REF!,53,0),INDEX(VALUES!$B$1:$CC$1,1,$AA219)))</f>
        <v>- | E | V | A | K</v>
      </c>
    </row>
    <row r="220" spans="1:29" hidden="1" outlineLevel="1" x14ac:dyDescent="0.3">
      <c r="A220" s="22" t="s">
        <v>84</v>
      </c>
      <c r="B220" s="41" t="str">
        <f t="shared" si="11"/>
        <v>V</v>
      </c>
      <c r="C220" s="42">
        <f t="shared" si="12"/>
        <v>219</v>
      </c>
      <c r="D220" s="38"/>
      <c r="E220" s="38"/>
      <c r="F220" s="38"/>
      <c r="G220" s="38"/>
      <c r="H220" s="38"/>
      <c r="I220" s="38" t="s">
        <v>9</v>
      </c>
      <c r="J220" s="38"/>
      <c r="K220" s="166" t="s">
        <v>18</v>
      </c>
      <c r="L220" s="167" t="s">
        <v>21</v>
      </c>
      <c r="M220" s="175" t="s">
        <v>1413</v>
      </c>
      <c r="N220" s="166" t="s">
        <v>712</v>
      </c>
      <c r="O220" s="166" t="s">
        <v>265</v>
      </c>
      <c r="P220" s="160" t="s">
        <v>265</v>
      </c>
      <c r="Q220" s="171" t="s">
        <v>9</v>
      </c>
      <c r="R220" s="171" t="s">
        <v>103</v>
      </c>
      <c r="S220" s="171" t="s">
        <v>112</v>
      </c>
      <c r="T220" s="166" t="s">
        <v>265</v>
      </c>
      <c r="U220" s="166" t="s">
        <v>265</v>
      </c>
      <c r="V220" s="166" t="s">
        <v>712</v>
      </c>
      <c r="W220" s="15" t="str">
        <f>IF(IFERROR(VLOOKUP($M220,#REF!,1,0),"-")="-","","GS")</f>
        <v/>
      </c>
      <c r="X220" s="160">
        <v>57</v>
      </c>
      <c r="Y220" s="166" t="s">
        <v>713</v>
      </c>
      <c r="Z220" s="59" t="str">
        <f>IF(OR($M220="",NOT($O220="{array}")),"",IFERROR(MATCH(PARAMETERS!$M220,DEFAULT!$B$5:$CG$5,0),""))</f>
        <v/>
      </c>
      <c r="AA220" s="56">
        <f t="shared" si="9"/>
        <v>10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IF($AA220="","",IF($B220="I",VLOOKUP($AA220,#REF!,53,0),INDEX(VALUES!$B$1:$CC$1,1,$AA220)))</f>
        <v>NA | AN | BE | FU | EL | HP | XX</v>
      </c>
    </row>
    <row r="221" spans="1:29" hidden="1" outlineLevel="1" x14ac:dyDescent="0.3">
      <c r="A221" s="22" t="s">
        <v>84</v>
      </c>
      <c r="B221" s="41" t="str">
        <f t="shared" si="11"/>
        <v>V</v>
      </c>
      <c r="C221" s="42">
        <f t="shared" si="12"/>
        <v>220</v>
      </c>
      <c r="D221" s="38"/>
      <c r="E221" s="38"/>
      <c r="F221" s="38"/>
      <c r="G221" s="38"/>
      <c r="H221" s="38"/>
      <c r="I221" s="38" t="s">
        <v>9</v>
      </c>
      <c r="J221" s="38"/>
      <c r="K221" s="166" t="s">
        <v>18</v>
      </c>
      <c r="L221" s="167" t="s">
        <v>21</v>
      </c>
      <c r="M221" s="175" t="s">
        <v>1414</v>
      </c>
      <c r="N221" s="166" t="s">
        <v>714</v>
      </c>
      <c r="O221" s="166" t="s">
        <v>265</v>
      </c>
      <c r="P221" s="160" t="s">
        <v>265</v>
      </c>
      <c r="Q221" s="171" t="s">
        <v>9</v>
      </c>
      <c r="R221" s="171" t="s">
        <v>103</v>
      </c>
      <c r="S221" s="171" t="s">
        <v>112</v>
      </c>
      <c r="T221" s="166" t="s">
        <v>265</v>
      </c>
      <c r="U221" s="166" t="s">
        <v>265</v>
      </c>
      <c r="V221" s="166" t="s">
        <v>714</v>
      </c>
      <c r="W221" s="15" t="str">
        <f>IF(IFERROR(VLOOKUP($M221,#REF!,1,0),"-")="-","","GS")</f>
        <v/>
      </c>
      <c r="X221" s="160">
        <v>58</v>
      </c>
      <c r="Y221" s="166" t="s">
        <v>715</v>
      </c>
      <c r="Z221" s="59" t="str">
        <f>IF(OR($M221="",NOT($O221="{array}")),"",IFERROR(MATCH(PARAMETERS!$M221,DEFAULT!$B$5:$CG$5,0),""))</f>
        <v/>
      </c>
      <c r="AA221" s="56">
        <f t="shared" si="9"/>
        <v>12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IF($AA221="","",IF($B221="I",VLOOKUP($AA221,#REF!,53,0),INDEX(VALUES!$B$1:$CC$1,1,$AA221)))</f>
        <v>NA | AN | BE | FU | EL | HP | XX</v>
      </c>
    </row>
    <row r="222" spans="1:29" hidden="1" outlineLevel="1" x14ac:dyDescent="0.3">
      <c r="A222" s="22" t="s">
        <v>84</v>
      </c>
      <c r="B222" s="41" t="str">
        <f>IF($A222="P",IF(NOT($Z222=""),"A",IF(NOT($AA222=""),"I","")),IF(NOT($AA222=""),IF($A222="G","V","X"),IF(NOT($Z222=""),"A","")))</f>
        <v>V</v>
      </c>
      <c r="C222" s="42">
        <f t="shared" si="12"/>
        <v>221</v>
      </c>
      <c r="D222" s="38"/>
      <c r="E222" s="38"/>
      <c r="F222" s="38"/>
      <c r="G222" s="38"/>
      <c r="H222" s="38"/>
      <c r="I222" s="38" t="s">
        <v>9</v>
      </c>
      <c r="J222" s="38"/>
      <c r="K222" s="166" t="s">
        <v>18</v>
      </c>
      <c r="L222" s="167" t="s">
        <v>21</v>
      </c>
      <c r="M222" s="175" t="s">
        <v>1673</v>
      </c>
      <c r="N222" s="166" t="s">
        <v>1674</v>
      </c>
      <c r="O222" s="166" t="s">
        <v>630</v>
      </c>
      <c r="P222" s="160" t="s">
        <v>265</v>
      </c>
      <c r="Q222" s="171" t="s">
        <v>9</v>
      </c>
      <c r="R222" s="171" t="s">
        <v>103</v>
      </c>
      <c r="S222" s="171" t="s">
        <v>112</v>
      </c>
      <c r="T222" s="38"/>
      <c r="Z222" s="59" t="str">
        <f>IF(OR($M222="",NOT($O222="{array}")),"",IFERROR(MATCH(PARAMETERS!$M222,DEFAULT!$B$5:$CG$5,0),""))</f>
        <v/>
      </c>
      <c r="AA222" s="56">
        <f t="shared" si="9"/>
        <v>14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IF($AA222="","",IF($B222="I",VLOOKUP($AA222,#REF!,53,0),INDEX(VALUES!$B$1:$CC$1,1,$AA222)))</f>
        <v>NA | AN | BE | FU | EL | HP | KU | AB | ...</v>
      </c>
    </row>
    <row r="223" spans="1:29" hidden="1" outlineLevel="1" x14ac:dyDescent="0.25">
      <c r="A223" s="22"/>
      <c r="B223" s="41" t="str">
        <f t="shared" si="11"/>
        <v/>
      </c>
      <c r="C223" s="42">
        <f t="shared" si="12"/>
        <v>222</v>
      </c>
      <c r="D223" s="38"/>
      <c r="E223" s="38"/>
      <c r="F223" s="38"/>
      <c r="G223" s="38"/>
      <c r="H223" s="38"/>
      <c r="I223" s="38" t="s">
        <v>9</v>
      </c>
      <c r="J223" s="38"/>
      <c r="K223" s="166" t="s">
        <v>18</v>
      </c>
      <c r="L223" s="167" t="s">
        <v>21</v>
      </c>
      <c r="M223" s="166"/>
      <c r="N223" s="166" t="s">
        <v>716</v>
      </c>
      <c r="O223" s="166" t="s">
        <v>265</v>
      </c>
      <c r="P223" s="160" t="s">
        <v>265</v>
      </c>
      <c r="Q223" s="171" t="s">
        <v>9</v>
      </c>
      <c r="R223" s="171" t="s">
        <v>103</v>
      </c>
      <c r="S223" s="171" t="s">
        <v>112</v>
      </c>
      <c r="T223" s="166" t="s">
        <v>265</v>
      </c>
      <c r="U223" s="166" t="s">
        <v>265</v>
      </c>
      <c r="V223" s="166" t="s">
        <v>716</v>
      </c>
      <c r="W223" s="15" t="str">
        <f>IF(IFERROR(VLOOKUP($M223,#REF!,1,0),"-")="-","","GS")</f>
        <v/>
      </c>
      <c r="X223" s="160" t="s">
        <v>265</v>
      </c>
      <c r="Y223" s="166" t="s">
        <v>717</v>
      </c>
      <c r="Z223" s="59" t="str">
        <f>IF(OR($M223="",NOT($O223="{array}")),"",IFERROR(MATCH(PARAMETERS!$M223,DEFAULT!$B$5:$CG$5,0),""))</f>
        <v/>
      </c>
      <c r="AA223" s="56" t="str">
        <f t="shared" si="9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IF($AA223="","",IF($B223="I",VLOOKUP($AA223,#REF!,53,0),INDEX(VALUES!$B$1:$CC$1,1,$AA223)))</f>
        <v/>
      </c>
    </row>
    <row r="224" spans="1:29" hidden="1" outlineLevel="1" x14ac:dyDescent="0.3">
      <c r="A224" s="22" t="s">
        <v>84</v>
      </c>
      <c r="B224" s="41" t="str">
        <f t="shared" si="11"/>
        <v>V</v>
      </c>
      <c r="C224" s="42">
        <f t="shared" si="12"/>
        <v>223</v>
      </c>
      <c r="D224" s="38"/>
      <c r="E224" s="38"/>
      <c r="F224" s="38"/>
      <c r="G224" s="38"/>
      <c r="H224" s="38"/>
      <c r="I224" s="38" t="s">
        <v>9</v>
      </c>
      <c r="J224" s="38"/>
      <c r="K224" s="166" t="s">
        <v>44</v>
      </c>
      <c r="L224" s="167" t="s">
        <v>21</v>
      </c>
      <c r="M224" s="221" t="s">
        <v>1712</v>
      </c>
      <c r="N224" s="166" t="s">
        <v>718</v>
      </c>
      <c r="O224" s="166">
        <v>0</v>
      </c>
      <c r="P224" s="242"/>
      <c r="Q224" s="171"/>
      <c r="R224" s="171" t="s">
        <v>103</v>
      </c>
      <c r="S224" s="171" t="s">
        <v>112</v>
      </c>
      <c r="T224" s="166" t="s">
        <v>265</v>
      </c>
      <c r="U224" s="166" t="s">
        <v>265</v>
      </c>
      <c r="V224" s="166" t="s">
        <v>718</v>
      </c>
      <c r="W224" s="15" t="str">
        <f>IF(IFERROR(VLOOKUP($M224,#REF!,1,0),"-")="-","","GS")</f>
        <v/>
      </c>
      <c r="X224" s="160" t="s">
        <v>265</v>
      </c>
      <c r="Y224" s="166" t="s">
        <v>719</v>
      </c>
      <c r="Z224" s="59" t="str">
        <f>IF(OR($M224="",NOT($O224="{array}")),"",IFERROR(MATCH(PARAMETERS!$M224,DEFAULT!$B$5:$CG$5,0),""))</f>
        <v/>
      </c>
      <c r="AA224" s="56">
        <f t="shared" si="9"/>
        <v>58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IF($AA224="","",IF($B224="I",VLOOKUP($AA224,#REF!,53,0),INDEX(VALUES!$B$1:$CC$1,1,$AA224)))</f>
        <v>0 | 1 | 2</v>
      </c>
    </row>
    <row r="225" spans="1:29" hidden="1" outlineLevel="1" x14ac:dyDescent="0.25">
      <c r="A225" s="22"/>
      <c r="B225" s="41" t="str">
        <f t="shared" si="11"/>
        <v/>
      </c>
      <c r="C225" s="42">
        <f t="shared" si="12"/>
        <v>224</v>
      </c>
      <c r="D225" s="38"/>
      <c r="E225" s="38"/>
      <c r="F225" s="38"/>
      <c r="G225" s="38"/>
      <c r="H225" s="38"/>
      <c r="I225" s="38" t="s">
        <v>9</v>
      </c>
      <c r="J225" s="38"/>
      <c r="K225" s="166" t="s">
        <v>18</v>
      </c>
      <c r="L225" s="167" t="s">
        <v>21</v>
      </c>
      <c r="M225" s="166"/>
      <c r="N225" s="166" t="s">
        <v>720</v>
      </c>
      <c r="O225" s="166" t="s">
        <v>265</v>
      </c>
      <c r="P225" s="160" t="s">
        <v>265</v>
      </c>
      <c r="Q225" s="171" t="s">
        <v>9</v>
      </c>
      <c r="R225" s="171" t="s">
        <v>103</v>
      </c>
      <c r="S225" s="171" t="s">
        <v>112</v>
      </c>
      <c r="T225" s="166" t="s">
        <v>265</v>
      </c>
      <c r="U225" s="166" t="s">
        <v>265</v>
      </c>
      <c r="V225" s="166" t="s">
        <v>720</v>
      </c>
      <c r="W225" s="15" t="str">
        <f>IF(IFERROR(VLOOKUP($M225,#REF!,1,0),"-")="-","","GS")</f>
        <v/>
      </c>
      <c r="X225" s="160">
        <v>63</v>
      </c>
      <c r="Y225" s="166" t="s">
        <v>721</v>
      </c>
      <c r="Z225" s="59" t="str">
        <f>IF(OR($M225="",NOT($O225="{array}")),"",IFERROR(MATCH(PARAMETERS!$M225,DEFAULT!$B$5:$CG$5,0),""))</f>
        <v/>
      </c>
      <c r="AA225" s="56" t="str">
        <f t="shared" si="9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IF($AA225="","",IF($B225="I",VLOOKUP($AA225,#REF!,53,0),INDEX(VALUES!$B$1:$CC$1,1,$AA225)))</f>
        <v/>
      </c>
    </row>
    <row r="226" spans="1:29" hidden="1" outlineLevel="1" x14ac:dyDescent="0.3">
      <c r="A226" s="22" t="s">
        <v>84</v>
      </c>
      <c r="B226" s="41" t="str">
        <f t="shared" si="11"/>
        <v/>
      </c>
      <c r="C226" s="42">
        <f t="shared" si="12"/>
        <v>225</v>
      </c>
      <c r="D226" s="38"/>
      <c r="E226" s="38"/>
      <c r="F226" s="38"/>
      <c r="G226" s="38"/>
      <c r="H226" s="38"/>
      <c r="I226" s="38" t="s">
        <v>9</v>
      </c>
      <c r="J226" s="38"/>
      <c r="K226" s="166" t="s">
        <v>18</v>
      </c>
      <c r="L226" s="167" t="s">
        <v>21</v>
      </c>
      <c r="M226" s="175" t="s">
        <v>1426</v>
      </c>
      <c r="N226" s="166" t="s">
        <v>722</v>
      </c>
      <c r="O226" s="166" t="s">
        <v>265</v>
      </c>
      <c r="P226" s="160" t="s">
        <v>265</v>
      </c>
      <c r="Q226" s="171" t="s">
        <v>9</v>
      </c>
      <c r="R226" s="171" t="s">
        <v>103</v>
      </c>
      <c r="S226" s="171" t="s">
        <v>112</v>
      </c>
      <c r="T226" s="166" t="s">
        <v>265</v>
      </c>
      <c r="U226" s="166" t="s">
        <v>265</v>
      </c>
      <c r="V226" s="166" t="s">
        <v>722</v>
      </c>
      <c r="W226" s="15" t="str">
        <f>IF(IFERROR(VLOOKUP($M226,#REF!,1,0),"-")="-","","GS")</f>
        <v/>
      </c>
      <c r="X226" s="160">
        <v>60</v>
      </c>
      <c r="Y226" s="166" t="s">
        <v>265</v>
      </c>
      <c r="Z226" s="59" t="str">
        <f>IF(OR($M226="",NOT($O226="{array}")),"",IFERROR(MATCH(PARAMETERS!$M226,DEFAULT!$B$5:$CG$5,0),""))</f>
        <v/>
      </c>
      <c r="AA226" s="56" t="str">
        <f t="shared" si="9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IF($AA226="","",IF($B226="I",VLOOKUP($AA226,#REF!,53,0),INDEX(VALUES!$B$1:$CC$1,1,$AA226)))</f>
        <v/>
      </c>
    </row>
    <row r="227" spans="1:29" hidden="1" outlineLevel="1" x14ac:dyDescent="0.3">
      <c r="A227" s="22" t="s">
        <v>84</v>
      </c>
      <c r="B227" s="41" t="str">
        <f t="shared" si="11"/>
        <v/>
      </c>
      <c r="C227" s="42">
        <f t="shared" si="12"/>
        <v>226</v>
      </c>
      <c r="D227" s="38"/>
      <c r="E227" s="38"/>
      <c r="F227" s="38"/>
      <c r="G227" s="38"/>
      <c r="H227" s="38"/>
      <c r="I227" s="38" t="s">
        <v>9</v>
      </c>
      <c r="J227" s="38"/>
      <c r="K227" s="159" t="s">
        <v>18</v>
      </c>
      <c r="L227" s="167" t="s">
        <v>21</v>
      </c>
      <c r="M227" s="175" t="s">
        <v>1427</v>
      </c>
      <c r="N227" s="159" t="s">
        <v>723</v>
      </c>
      <c r="O227" s="159" t="s">
        <v>265</v>
      </c>
      <c r="P227" s="176" t="s">
        <v>265</v>
      </c>
      <c r="Q227" s="178" t="s">
        <v>9</v>
      </c>
      <c r="R227" s="178" t="s">
        <v>103</v>
      </c>
      <c r="S227" s="178" t="s">
        <v>112</v>
      </c>
      <c r="T227" s="159" t="s">
        <v>265</v>
      </c>
      <c r="U227" s="159" t="s">
        <v>265</v>
      </c>
      <c r="V227" s="159" t="s">
        <v>723</v>
      </c>
      <c r="W227" s="15" t="str">
        <f>IF(IFERROR(VLOOKUP($M227,#REF!,1,0),"-")="-","","GS")</f>
        <v/>
      </c>
      <c r="X227" s="176">
        <v>60</v>
      </c>
      <c r="Y227" s="159" t="s">
        <v>265</v>
      </c>
      <c r="Z227" s="59" t="str">
        <f>IF(OR($M227="",NOT($O227="{array}")),"",IFERROR(MATCH(PARAMETERS!$M227,DEFAULT!$B$5:$CG$5,0),""))</f>
        <v/>
      </c>
      <c r="AA227" s="56" t="str">
        <f t="shared" si="9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IF($AA227="","",IF($B227="I",VLOOKUP($AA227,#REF!,53,0),INDEX(VALUES!$B$1:$CC$1,1,$AA227)))</f>
        <v/>
      </c>
    </row>
    <row r="228" spans="1:29" hidden="1" outlineLevel="1" x14ac:dyDescent="0.3">
      <c r="A228" s="22" t="s">
        <v>84</v>
      </c>
      <c r="B228" s="41" t="str">
        <f>IF($A228="P",IF(NOT($Z228=""),"A",IF(NOT($AA228=""),"I","")),IF(NOT($AA228=""),IF($A228="G","V","X"),IF(NOT($Z228=""),"A","")))</f>
        <v/>
      </c>
      <c r="C228" s="42">
        <f t="shared" si="12"/>
        <v>227</v>
      </c>
      <c r="D228" s="38"/>
      <c r="E228" s="38"/>
      <c r="F228" s="38"/>
      <c r="G228" s="38"/>
      <c r="H228" s="38"/>
      <c r="I228" s="38" t="s">
        <v>9</v>
      </c>
      <c r="J228" s="38"/>
      <c r="K228" s="159" t="s">
        <v>18</v>
      </c>
      <c r="L228" s="167" t="s">
        <v>21</v>
      </c>
      <c r="M228" s="175" t="s">
        <v>1675</v>
      </c>
      <c r="N228" s="159" t="s">
        <v>1676</v>
      </c>
      <c r="O228" s="159" t="s">
        <v>1470</v>
      </c>
      <c r="P228" s="176" t="s">
        <v>265</v>
      </c>
      <c r="Q228" s="178" t="s">
        <v>9</v>
      </c>
      <c r="R228" s="178" t="s">
        <v>103</v>
      </c>
      <c r="S228" s="178" t="s">
        <v>112</v>
      </c>
      <c r="T228" s="38"/>
      <c r="Z228" s="59" t="str">
        <f>IF(OR($M228="",NOT($O228="{array}")),"",IFERROR(MATCH(PARAMETERS!$M228,DEFAULT!$B$5:$CG$5,0),""))</f>
        <v/>
      </c>
      <c r="AA228" s="56" t="str">
        <f t="shared" si="9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IF($AA228="","",IF($B228="I",VLOOKUP($AA228,#REF!,53,0),INDEX(VALUES!$B$1:$CC$1,1,$AA228)))</f>
        <v/>
      </c>
    </row>
    <row r="229" spans="1:29" hidden="1" outlineLevel="1" x14ac:dyDescent="0.3">
      <c r="A229" s="22"/>
      <c r="B229" s="41" t="str">
        <f t="shared" si="11"/>
        <v/>
      </c>
      <c r="C229" s="42">
        <f t="shared" si="12"/>
        <v>228</v>
      </c>
      <c r="D229" s="38"/>
      <c r="E229" s="38"/>
      <c r="F229" s="38"/>
      <c r="G229" s="38"/>
      <c r="H229" s="38"/>
      <c r="I229" s="38" t="s">
        <v>9</v>
      </c>
      <c r="J229" s="38"/>
      <c r="K229" s="166" t="s">
        <v>18</v>
      </c>
      <c r="L229" s="167" t="s">
        <v>21</v>
      </c>
      <c r="M229" s="210" t="s">
        <v>724</v>
      </c>
      <c r="N229" s="166" t="s">
        <v>265</v>
      </c>
      <c r="O229" s="166" t="s">
        <v>265</v>
      </c>
      <c r="P229" s="160" t="s">
        <v>265</v>
      </c>
      <c r="Q229" s="171" t="s">
        <v>9</v>
      </c>
      <c r="R229" s="171" t="s">
        <v>103</v>
      </c>
      <c r="S229" s="171" t="s">
        <v>112</v>
      </c>
      <c r="T229" s="166" t="s">
        <v>265</v>
      </c>
      <c r="U229" s="166" t="s">
        <v>265</v>
      </c>
      <c r="V229" s="166" t="s">
        <v>724</v>
      </c>
      <c r="W229" s="15" t="str">
        <f>IF(IFERROR(VLOOKUP($M229,#REF!,1,0),"-")="-","","GS")</f>
        <v/>
      </c>
      <c r="X229" s="160">
        <v>75</v>
      </c>
      <c r="Y229" s="159" t="s">
        <v>725</v>
      </c>
      <c r="Z229" s="59" t="str">
        <f>IF(OR($M229="",NOT($O229="{array}")),"",IFERROR(MATCH(PARAMETERS!$M229,DEFAULT!$B$5:$CG$5,0),""))</f>
        <v/>
      </c>
      <c r="AA229" s="56" t="str">
        <f t="shared" si="9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IF($AA229="","",IF($B229="I",VLOOKUP($AA229,#REF!,53,0),INDEX(VALUES!$B$1:$CC$1,1,$AA229)))</f>
        <v/>
      </c>
    </row>
    <row r="230" spans="1:29" hidden="1" outlineLevel="1" x14ac:dyDescent="0.25">
      <c r="A230" s="22"/>
      <c r="B230" s="41" t="str">
        <f t="shared" si="11"/>
        <v/>
      </c>
      <c r="C230" s="42">
        <f t="shared" si="12"/>
        <v>229</v>
      </c>
      <c r="D230" s="38"/>
      <c r="E230" s="38"/>
      <c r="F230" s="38"/>
      <c r="G230" s="38"/>
      <c r="H230" s="38"/>
      <c r="I230" s="38" t="s">
        <v>9</v>
      </c>
      <c r="J230" s="38"/>
      <c r="K230" s="166" t="s">
        <v>18</v>
      </c>
      <c r="L230" s="167" t="s">
        <v>21</v>
      </c>
      <c r="M230" s="166" t="s">
        <v>726</v>
      </c>
      <c r="N230" s="166" t="s">
        <v>265</v>
      </c>
      <c r="O230" s="166" t="s">
        <v>265</v>
      </c>
      <c r="P230" s="160" t="s">
        <v>265</v>
      </c>
      <c r="Q230" s="171" t="s">
        <v>9</v>
      </c>
      <c r="R230" s="171" t="s">
        <v>103</v>
      </c>
      <c r="S230" s="171" t="s">
        <v>112</v>
      </c>
      <c r="T230" s="166" t="s">
        <v>265</v>
      </c>
      <c r="U230" s="166" t="s">
        <v>265</v>
      </c>
      <c r="V230" s="166" t="s">
        <v>726</v>
      </c>
      <c r="W230" s="15" t="str">
        <f>IF(IFERROR(VLOOKUP($M230,#REF!,1,0),"-")="-","","GS")</f>
        <v/>
      </c>
      <c r="X230" s="160"/>
      <c r="Y230" s="159"/>
      <c r="Z230" s="59" t="str">
        <f>IF(OR($M230="",NOT($O230="{array}")),"",IFERROR(MATCH(PARAMETERS!$M230,DEFAULT!$B$5:$CG$5,0),""))</f>
        <v/>
      </c>
      <c r="AA230" s="56" t="str">
        <f t="shared" si="9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IF($AA230="","",IF($B230="I",VLOOKUP($AA230,#REF!,53,0),INDEX(VALUES!$B$1:$CC$1,1,$AA230)))</f>
        <v/>
      </c>
    </row>
    <row r="231" spans="1:29" hidden="1" outlineLevel="1" x14ac:dyDescent="0.25">
      <c r="A231" s="22"/>
      <c r="B231" s="41" t="str">
        <f t="shared" si="11"/>
        <v/>
      </c>
      <c r="C231" s="42">
        <f t="shared" si="12"/>
        <v>230</v>
      </c>
      <c r="D231" s="38"/>
      <c r="E231" s="38"/>
      <c r="F231" s="38"/>
      <c r="G231" s="38"/>
      <c r="H231" s="38"/>
      <c r="I231" s="38" t="s">
        <v>9</v>
      </c>
      <c r="J231" s="38"/>
      <c r="K231" s="166" t="s">
        <v>18</v>
      </c>
      <c r="L231" s="167" t="s">
        <v>21</v>
      </c>
      <c r="M231" s="166" t="s">
        <v>727</v>
      </c>
      <c r="N231" s="166" t="s">
        <v>265</v>
      </c>
      <c r="O231" s="166" t="s">
        <v>265</v>
      </c>
      <c r="P231" s="160" t="s">
        <v>265</v>
      </c>
      <c r="Q231" s="171" t="s">
        <v>9</v>
      </c>
      <c r="R231" s="171" t="s">
        <v>103</v>
      </c>
      <c r="S231" s="171" t="s">
        <v>112</v>
      </c>
      <c r="T231" s="166" t="s">
        <v>265</v>
      </c>
      <c r="U231" s="166" t="s">
        <v>265</v>
      </c>
      <c r="V231" s="166" t="s">
        <v>727</v>
      </c>
      <c r="W231" s="15" t="str">
        <f>IF(IFERROR(VLOOKUP($M231,#REF!,1,0),"-")="-","","GS")</f>
        <v/>
      </c>
      <c r="X231" s="160">
        <v>61</v>
      </c>
      <c r="Y231" s="159"/>
      <c r="Z231" s="59" t="str">
        <f>IF(OR($M231="",NOT($O231="{array}")),"",IFERROR(MATCH(PARAMETERS!$M231,DEFAULT!$B$5:$CG$5,0),""))</f>
        <v/>
      </c>
      <c r="AA231" s="56" t="str">
        <f t="shared" si="9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IF($AA231="","",IF($B231="I",VLOOKUP($AA231,#REF!,53,0),INDEX(VALUES!$B$1:$CC$1,1,$AA231)))</f>
        <v/>
      </c>
    </row>
    <row r="232" spans="1:29" hidden="1" outlineLevel="1" x14ac:dyDescent="0.25">
      <c r="A232" s="22" t="s">
        <v>84</v>
      </c>
      <c r="B232" s="41" t="str">
        <f>IF($A232="P",IF(NOT($Z232=""),"A",IF(NOT($AA232=""),"I","")),IF(NOT($AA232=""),IF($A232="G","V","X"),IF(NOT($Z232=""),"A","")))</f>
        <v>V</v>
      </c>
      <c r="C232" s="42">
        <f t="shared" si="12"/>
        <v>231</v>
      </c>
      <c r="D232" s="38"/>
      <c r="E232" s="38"/>
      <c r="F232" s="38"/>
      <c r="G232" s="38"/>
      <c r="H232" s="38"/>
      <c r="I232" s="38" t="s">
        <v>9</v>
      </c>
      <c r="J232" s="38"/>
      <c r="K232" s="159" t="s">
        <v>44</v>
      </c>
      <c r="L232" s="53" t="s">
        <v>27</v>
      </c>
      <c r="M232" s="157" t="s">
        <v>1454</v>
      </c>
      <c r="N232" s="53" t="s">
        <v>1455</v>
      </c>
      <c r="O232" s="155">
        <v>0</v>
      </c>
      <c r="P232" s="53"/>
      <c r="Q232" s="209"/>
      <c r="R232" s="178" t="s">
        <v>103</v>
      </c>
      <c r="S232" s="178" t="s">
        <v>112</v>
      </c>
      <c r="T232" s="38"/>
      <c r="W232" s="15" t="str">
        <f>IF(IFERROR(VLOOKUP($M232,#REF!,1,0),"-")="-","","GS")</f>
        <v/>
      </c>
      <c r="Z232" s="59" t="str">
        <f>IF(OR($M232="",NOT($O232="{array}")),"",IFERROR(MATCH(PARAMETERS!$M232,DEFAULT!$B$5:$CG$5,0),""))</f>
        <v/>
      </c>
      <c r="AA232" s="56">
        <f t="shared" si="9"/>
        <v>45</v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IF($AA232="","",IF($B232="I",VLOOKUP($AA232,#REF!,53,0),INDEX(VALUES!$B$1:$CC$1,1,$AA232)))</f>
        <v>0 | 1 | 2 | 3</v>
      </c>
    </row>
    <row r="233" spans="1:29" hidden="1" outlineLevel="1" x14ac:dyDescent="0.25">
      <c r="A233" s="22" t="s">
        <v>84</v>
      </c>
      <c r="B233" s="41" t="str">
        <f>IF($A233="P",IF(NOT($Z233=""),"A",IF(NOT($AA233=""),"I","")),IF(NOT($AA233=""),IF($A233="G","V","X"),IF(NOT($Z233=""),"A","")))</f>
        <v>V</v>
      </c>
      <c r="C233" s="42">
        <f t="shared" si="12"/>
        <v>232</v>
      </c>
      <c r="D233" s="38"/>
      <c r="E233" s="38"/>
      <c r="F233" s="38"/>
      <c r="G233" s="38"/>
      <c r="H233" s="38"/>
      <c r="I233" s="38" t="s">
        <v>9</v>
      </c>
      <c r="J233" s="38"/>
      <c r="K233" s="53" t="s">
        <v>44</v>
      </c>
      <c r="L233" s="53" t="s">
        <v>27</v>
      </c>
      <c r="M233" s="157" t="s">
        <v>1456</v>
      </c>
      <c r="N233" s="53" t="s">
        <v>1457</v>
      </c>
      <c r="O233" s="155">
        <v>0</v>
      </c>
      <c r="P233" s="53"/>
      <c r="Q233" s="209"/>
      <c r="R233" s="178" t="s">
        <v>103</v>
      </c>
      <c r="S233" s="178" t="s">
        <v>112</v>
      </c>
      <c r="T233" s="38"/>
      <c r="W233" s="15" t="str">
        <f>IF(IFERROR(VLOOKUP($M233,#REF!,1,0),"-")="-","","GS")</f>
        <v/>
      </c>
      <c r="Z233" s="59" t="str">
        <f>IF(OR($M233="",NOT($O233="{array}")),"",IFERROR(MATCH(PARAMETERS!$M233,DEFAULT!$B$5:$CG$5,0),""))</f>
        <v/>
      </c>
      <c r="AA233" s="56">
        <f t="shared" si="9"/>
        <v>48</v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IF($AA233="","",IF($B233="I",VLOOKUP($AA233,#REF!,53,0),INDEX(VALUES!$B$1:$CC$1,1,$AA233)))</f>
        <v>0 | 2 | 4 | 64 | 128</v>
      </c>
    </row>
    <row r="234" spans="1:29" hidden="1" outlineLevel="1" x14ac:dyDescent="0.25">
      <c r="A234" s="22" t="s">
        <v>84</v>
      </c>
      <c r="B234" s="41" t="str">
        <f t="shared" ref="B234:B245" si="13">IF($A234="P",IF(NOT($Z234=""),"A",IF(NOT($AA234=""),"I","")),IF(NOT($AA234=""),IF($A234="G","V","X"),IF(NOT($Z234=""),"A","")))</f>
        <v>A</v>
      </c>
      <c r="C234" s="42">
        <f t="shared" si="12"/>
        <v>233</v>
      </c>
      <c r="D234" s="38"/>
      <c r="E234" s="38"/>
      <c r="F234" s="38"/>
      <c r="G234" s="38"/>
      <c r="H234" s="38"/>
      <c r="I234" s="38" t="s">
        <v>9</v>
      </c>
      <c r="J234" s="38"/>
      <c r="K234" s="53" t="s">
        <v>44</v>
      </c>
      <c r="L234" s="53" t="s">
        <v>27</v>
      </c>
      <c r="M234" s="157" t="s">
        <v>1458</v>
      </c>
      <c r="N234" s="53" t="s">
        <v>1459</v>
      </c>
      <c r="O234" s="155" t="s">
        <v>33</v>
      </c>
      <c r="P234" s="53"/>
      <c r="Q234" s="209" t="s">
        <v>9</v>
      </c>
      <c r="R234" s="178" t="s">
        <v>103</v>
      </c>
      <c r="S234" s="178" t="s">
        <v>112</v>
      </c>
      <c r="T234" s="38"/>
      <c r="W234" s="15" t="str">
        <f>IF(IFERROR(VLOOKUP($M234,#REF!,1,0),"-")="-","","GS")</f>
        <v/>
      </c>
      <c r="Z234" s="59">
        <f>IF(OR($M234="",NOT($O234="{array}")),"",IFERROR(MATCH(PARAMETERS!$M234,DEFAULT!$B$5:$CG$5,0),""))</f>
        <v>13</v>
      </c>
      <c r="AA234" s="56" t="str">
        <f t="shared" si="9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IF($AA234="","",IF($B234="I",VLOOKUP($AA234,#REF!,53,0),INDEX(VALUES!$B$1:$CC$1,1,$AA234)))</f>
        <v/>
      </c>
    </row>
    <row r="235" spans="1:29" hidden="1" outlineLevel="1" x14ac:dyDescent="0.25">
      <c r="A235" s="22" t="s">
        <v>84</v>
      </c>
      <c r="B235" s="41" t="str">
        <f t="shared" si="13"/>
        <v>A</v>
      </c>
      <c r="C235" s="42">
        <f t="shared" si="12"/>
        <v>234</v>
      </c>
      <c r="D235" s="38"/>
      <c r="E235" s="38"/>
      <c r="F235" s="38"/>
      <c r="G235" s="38"/>
      <c r="H235" s="38"/>
      <c r="I235" s="38" t="s">
        <v>9</v>
      </c>
      <c r="J235" s="38"/>
      <c r="K235" s="53" t="s">
        <v>44</v>
      </c>
      <c r="L235" s="53" t="s">
        <v>27</v>
      </c>
      <c r="M235" s="157" t="s">
        <v>1460</v>
      </c>
      <c r="N235" s="53" t="s">
        <v>1461</v>
      </c>
      <c r="O235" s="155" t="s">
        <v>33</v>
      </c>
      <c r="P235" s="53"/>
      <c r="Q235" s="209" t="s">
        <v>9</v>
      </c>
      <c r="R235" s="178" t="s">
        <v>103</v>
      </c>
      <c r="S235" s="178" t="s">
        <v>112</v>
      </c>
      <c r="T235" s="38"/>
      <c r="W235" s="15" t="str">
        <f>IF(IFERROR(VLOOKUP($M235,#REF!,1,0),"-")="-","","GS")</f>
        <v/>
      </c>
      <c r="Z235" s="59">
        <f>IF(OR($M235="",NOT($O235="{array}")),"",IFERROR(MATCH(PARAMETERS!$M235,DEFAULT!$B$5:$CG$5,0),""))</f>
        <v>17</v>
      </c>
      <c r="AA235" s="56" t="str">
        <f t="shared" si="9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IF($AA235="","",IF($B235="I",VLOOKUP($AA235,#REF!,53,0),INDEX(VALUES!$B$1:$CC$1,1,$AA235)))</f>
        <v/>
      </c>
    </row>
    <row r="236" spans="1:29" hidden="1" outlineLevel="1" x14ac:dyDescent="0.25">
      <c r="A236" s="22" t="s">
        <v>84</v>
      </c>
      <c r="B236" s="41" t="str">
        <f t="shared" si="13"/>
        <v>V</v>
      </c>
      <c r="C236" s="42">
        <f t="shared" si="12"/>
        <v>235</v>
      </c>
      <c r="D236" s="38"/>
      <c r="E236" s="38"/>
      <c r="F236" s="38"/>
      <c r="G236" s="38"/>
      <c r="H236" s="38"/>
      <c r="I236" s="38" t="s">
        <v>9</v>
      </c>
      <c r="J236" s="38"/>
      <c r="K236" s="53" t="s">
        <v>18</v>
      </c>
      <c r="L236" s="53" t="s">
        <v>27</v>
      </c>
      <c r="M236" s="157" t="s">
        <v>1452</v>
      </c>
      <c r="N236" s="53" t="s">
        <v>1462</v>
      </c>
      <c r="O236" s="155" t="s">
        <v>33</v>
      </c>
      <c r="P236" s="53"/>
      <c r="Q236" s="209"/>
      <c r="R236" s="178" t="s">
        <v>103</v>
      </c>
      <c r="S236" s="178" t="s">
        <v>112</v>
      </c>
      <c r="T236" s="38"/>
      <c r="W236" s="15" t="str">
        <f>IF(IFERROR(VLOOKUP($M236,#REF!,1,0),"-")="-","","GS")</f>
        <v/>
      </c>
      <c r="Z236" s="59">
        <f>IF(OR($M236="",NOT($O236="{array}")),"",IFERROR(MATCH(PARAMETERS!$M236,DEFAULT!$B$5:$CG$5,0),""))</f>
        <v>20</v>
      </c>
      <c r="AA236" s="56">
        <f t="shared" si="9"/>
        <v>51</v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IF($AA236="","",IF($B236="I",VLOOKUP($AA236,#REF!,53,0),INDEX(VALUES!$B$1:$CC$1,1,$AA236)))</f>
        <v>G1 | G2 | G3 | PL | K1 | K2</v>
      </c>
    </row>
    <row r="237" spans="1:29" hidden="1" outlineLevel="1" x14ac:dyDescent="0.25">
      <c r="A237" s="22" t="s">
        <v>84</v>
      </c>
      <c r="B237" s="41" t="str">
        <f>IF($A237="P",IF(NOT($Z237=""),"A",IF(NOT($AA237=""),"I","")),IF(NOT($AA237=""),IF($A237="G","V","X"),IF(NOT($Z237=""),"A","")))</f>
        <v/>
      </c>
      <c r="C237" s="42">
        <f t="shared" si="12"/>
        <v>236</v>
      </c>
      <c r="D237" s="38"/>
      <c r="E237" s="38"/>
      <c r="F237" s="38"/>
      <c r="G237" s="38"/>
      <c r="H237" s="38"/>
      <c r="I237" s="38" t="s">
        <v>9</v>
      </c>
      <c r="J237" s="38"/>
      <c r="K237" s="53" t="s">
        <v>44</v>
      </c>
      <c r="L237" s="53" t="s">
        <v>27</v>
      </c>
      <c r="M237" s="220" t="s">
        <v>1473</v>
      </c>
      <c r="N237" s="53" t="s">
        <v>1463</v>
      </c>
      <c r="O237" s="155">
        <v>0</v>
      </c>
      <c r="P237" s="53"/>
      <c r="Q237" s="209"/>
      <c r="R237" s="178" t="s">
        <v>103</v>
      </c>
      <c r="S237" s="178" t="s">
        <v>112</v>
      </c>
      <c r="T237" s="38"/>
      <c r="W237" s="15" t="str">
        <f>IF(IFERROR(VLOOKUP($M237,#REF!,1,0),"-")="-","","GS")</f>
        <v/>
      </c>
      <c r="Z237" s="59" t="str">
        <f>IF(OR($M237="",NOT($O237="{array}")),"",IFERROR(MATCH(PARAMETERS!$M237,DEFAULT!$B$5:$CG$5,0),""))</f>
        <v/>
      </c>
      <c r="AA237" s="56" t="str">
        <f t="shared" si="9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IF($AA237="","",IF($B237="I",VLOOKUP($AA237,#REF!,53,0),INDEX(VALUES!$B$1:$CC$1,1,$AA237)))</f>
        <v/>
      </c>
    </row>
    <row r="238" spans="1:29" hidden="1" outlineLevel="1" x14ac:dyDescent="0.3">
      <c r="A238" s="22" t="s">
        <v>84</v>
      </c>
      <c r="B238" s="41" t="str">
        <f t="shared" si="13"/>
        <v>V</v>
      </c>
      <c r="C238" s="42">
        <f t="shared" si="12"/>
        <v>237</v>
      </c>
      <c r="D238" s="38"/>
      <c r="E238" s="38"/>
      <c r="F238" s="38"/>
      <c r="G238" s="38"/>
      <c r="H238" s="38"/>
      <c r="I238" s="38" t="s">
        <v>9</v>
      </c>
      <c r="J238" s="38"/>
      <c r="K238" s="166" t="s">
        <v>18</v>
      </c>
      <c r="L238" s="167" t="s">
        <v>21</v>
      </c>
      <c r="M238" s="175" t="s">
        <v>1464</v>
      </c>
      <c r="N238" s="159" t="s">
        <v>1465</v>
      </c>
      <c r="O238" s="159" t="s">
        <v>630</v>
      </c>
      <c r="P238" s="176" t="s">
        <v>265</v>
      </c>
      <c r="Q238" s="178" t="s">
        <v>9</v>
      </c>
      <c r="R238" s="178" t="s">
        <v>103</v>
      </c>
      <c r="S238" s="178" t="s">
        <v>112</v>
      </c>
      <c r="T238" s="38"/>
      <c r="W238" s="15" t="str">
        <f>IF(IFERROR(VLOOKUP($M238,#REF!,1,0),"-")="-","","GS")</f>
        <v/>
      </c>
      <c r="Z238" s="59" t="str">
        <f>IF(OR($M238="",NOT($O238="{array}")),"",IFERROR(MATCH(PARAMETERS!$M238,DEFAULT!$B$5:$CG$5,0),""))</f>
        <v/>
      </c>
      <c r="AA238" s="56">
        <f t="shared" si="9"/>
        <v>16</v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IF($AA238="","",IF($B238="I",VLOOKUP($AA238,#REF!,53,0),INDEX(VALUES!$B$1:$CC$1,1,$AA238)))</f>
        <v>NA | AN | BE | FU | EL | HP | XX</v>
      </c>
    </row>
    <row r="239" spans="1:29" hidden="1" outlineLevel="1" x14ac:dyDescent="0.3">
      <c r="A239" s="22" t="s">
        <v>84</v>
      </c>
      <c r="B239" s="41" t="str">
        <f t="shared" si="13"/>
        <v>V</v>
      </c>
      <c r="C239" s="42">
        <f t="shared" si="12"/>
        <v>238</v>
      </c>
      <c r="D239" s="38"/>
      <c r="E239" s="38"/>
      <c r="F239" s="38"/>
      <c r="G239" s="38"/>
      <c r="H239" s="38"/>
      <c r="I239" s="38" t="s">
        <v>9</v>
      </c>
      <c r="J239" s="38"/>
      <c r="K239" s="166" t="s">
        <v>18</v>
      </c>
      <c r="L239" s="167" t="s">
        <v>21</v>
      </c>
      <c r="M239" s="175" t="s">
        <v>1466</v>
      </c>
      <c r="N239" s="159" t="s">
        <v>1467</v>
      </c>
      <c r="O239" s="159" t="s">
        <v>630</v>
      </c>
      <c r="P239" s="176" t="s">
        <v>265</v>
      </c>
      <c r="Q239" s="178" t="s">
        <v>9</v>
      </c>
      <c r="R239" s="178" t="s">
        <v>103</v>
      </c>
      <c r="S239" s="178" t="s">
        <v>112</v>
      </c>
      <c r="T239" s="38"/>
      <c r="W239" s="15" t="str">
        <f>IF(IFERROR(VLOOKUP($M239,#REF!,1,0),"-")="-","","GS")</f>
        <v/>
      </c>
      <c r="Z239" s="59" t="str">
        <f>IF(OR($M239="",NOT($O239="{array}")),"",IFERROR(MATCH(PARAMETERS!$M239,DEFAULT!$B$5:$CG$5,0),""))</f>
        <v/>
      </c>
      <c r="AA239" s="56">
        <f t="shared" si="9"/>
        <v>18</v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IF($AA239="","",IF($B239="I",VLOOKUP($AA239,#REF!,53,0),INDEX(VALUES!$B$1:$CC$1,1,$AA239)))</f>
        <v>NA | AN | BE | FU | EL | HP | XX</v>
      </c>
    </row>
    <row r="240" spans="1:29" hidden="1" outlineLevel="1" collapsed="1" x14ac:dyDescent="0.25">
      <c r="A240" s="22" t="s">
        <v>84</v>
      </c>
      <c r="B240" s="41" t="str">
        <f>IF($A240="P",IF(NOT($Z240=""),"A",IF(NOT($AA240=""),"I","")),IF(NOT($AA240=""),IF($A240="G","V","X"),IF(NOT($Z240=""),"A","")))</f>
        <v>V</v>
      </c>
      <c r="C240" s="42">
        <f t="shared" si="12"/>
        <v>239</v>
      </c>
      <c r="D240" s="38"/>
      <c r="E240" s="38"/>
      <c r="F240" s="38"/>
      <c r="G240" s="38"/>
      <c r="H240" s="38"/>
      <c r="I240" s="38" t="s">
        <v>9</v>
      </c>
      <c r="J240" s="38"/>
      <c r="K240" s="166" t="s">
        <v>18</v>
      </c>
      <c r="L240" s="167" t="s">
        <v>21</v>
      </c>
      <c r="M240" s="157" t="s">
        <v>1677</v>
      </c>
      <c r="N240" s="159" t="s">
        <v>1678</v>
      </c>
      <c r="O240" s="159" t="s">
        <v>630</v>
      </c>
      <c r="P240" s="176" t="s">
        <v>265</v>
      </c>
      <c r="Q240" s="178" t="s">
        <v>9</v>
      </c>
      <c r="R240" s="178" t="s">
        <v>103</v>
      </c>
      <c r="S240" s="178" t="s">
        <v>112</v>
      </c>
      <c r="T240" s="38"/>
      <c r="Z240" s="59" t="str">
        <f>IF(OR($M240="",NOT($O240="{array}")),"",IFERROR(MATCH(PARAMETERS!$M240,DEFAULT!$B$5:$CG$5,0),""))</f>
        <v/>
      </c>
      <c r="AA240" s="56">
        <f t="shared" si="9"/>
        <v>20</v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IF($AA240="","",IF($B240="I",VLOOKUP($AA240,#REF!,53,0),INDEX(VALUES!$B$1:$CC$1,1,$AA240)))</f>
        <v>NA | AN | BE | FU | EL | HP | KU | AB | ...</v>
      </c>
    </row>
    <row r="241" spans="1:29" hidden="1" outlineLevel="1" x14ac:dyDescent="0.3">
      <c r="A241" s="22" t="s">
        <v>84</v>
      </c>
      <c r="B241" s="41" t="str">
        <f t="shared" si="13"/>
        <v/>
      </c>
      <c r="C241" s="42">
        <f t="shared" si="12"/>
        <v>240</v>
      </c>
      <c r="D241" s="38"/>
      <c r="E241" s="38"/>
      <c r="F241" s="38"/>
      <c r="G241" s="38"/>
      <c r="H241" s="38"/>
      <c r="I241" s="38" t="s">
        <v>9</v>
      </c>
      <c r="J241" s="38"/>
      <c r="K241" s="166" t="s">
        <v>18</v>
      </c>
      <c r="L241" s="167" t="s">
        <v>21</v>
      </c>
      <c r="M241" s="175" t="s">
        <v>1468</v>
      </c>
      <c r="N241" s="159" t="s">
        <v>1469</v>
      </c>
      <c r="O241" s="159" t="s">
        <v>1470</v>
      </c>
      <c r="P241" s="176" t="s">
        <v>265</v>
      </c>
      <c r="Q241" s="178" t="s">
        <v>9</v>
      </c>
      <c r="R241" s="178" t="s">
        <v>103</v>
      </c>
      <c r="S241" s="178" t="s">
        <v>112</v>
      </c>
      <c r="T241" s="38"/>
      <c r="W241" s="15" t="str">
        <f>IF(IFERROR(VLOOKUP($M241,#REF!,1,0),"-")="-","","GS")</f>
        <v/>
      </c>
      <c r="Z241" s="59" t="str">
        <f>IF(OR($M241="",NOT($O241="{array}")),"",IFERROR(MATCH(PARAMETERS!$M241,DEFAULT!$B$5:$CG$5,0),""))</f>
        <v/>
      </c>
      <c r="AA241" s="56" t="str">
        <f t="shared" si="9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IF($AA241="","",IF($B241="I",VLOOKUP($AA241,#REF!,53,0),INDEX(VALUES!$B$1:$CC$1,1,$AA241)))</f>
        <v/>
      </c>
    </row>
    <row r="242" spans="1:29" hidden="1" outlineLevel="1" x14ac:dyDescent="0.3">
      <c r="A242" s="22" t="s">
        <v>84</v>
      </c>
      <c r="B242" s="41" t="str">
        <f t="shared" si="13"/>
        <v/>
      </c>
      <c r="C242" s="42">
        <f t="shared" si="12"/>
        <v>241</v>
      </c>
      <c r="D242" s="38"/>
      <c r="E242" s="38"/>
      <c r="F242" s="38"/>
      <c r="G242" s="38"/>
      <c r="H242" s="38"/>
      <c r="I242" s="38" t="s">
        <v>9</v>
      </c>
      <c r="J242" s="38"/>
      <c r="K242" s="159" t="s">
        <v>18</v>
      </c>
      <c r="L242" s="167" t="s">
        <v>21</v>
      </c>
      <c r="M242" s="175" t="s">
        <v>1471</v>
      </c>
      <c r="N242" s="159" t="s">
        <v>1472</v>
      </c>
      <c r="O242" s="159" t="s">
        <v>1470</v>
      </c>
      <c r="P242" s="176" t="s">
        <v>265</v>
      </c>
      <c r="Q242" s="178" t="s">
        <v>9</v>
      </c>
      <c r="R242" s="178" t="s">
        <v>103</v>
      </c>
      <c r="S242" s="178" t="s">
        <v>112</v>
      </c>
      <c r="T242" s="38"/>
      <c r="W242" s="15" t="str">
        <f>IF(IFERROR(VLOOKUP($M242,#REF!,1,0),"-")="-","","GS")</f>
        <v/>
      </c>
      <c r="Z242" s="59" t="str">
        <f>IF(OR($M242="",NOT($O242="{array}")),"",IFERROR(MATCH(PARAMETERS!$M242,DEFAULT!$B$5:$CG$5,0),""))</f>
        <v/>
      </c>
      <c r="AA242" s="56" t="str">
        <f t="shared" si="9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IF($AA242="","",IF($B242="I",VLOOKUP($AA242,#REF!,53,0),INDEX(VALUES!$B$1:$CC$1,1,$AA242)))</f>
        <v/>
      </c>
    </row>
    <row r="243" spans="1:29" hidden="1" outlineLevel="1" collapsed="1" x14ac:dyDescent="0.25">
      <c r="A243" s="22" t="s">
        <v>84</v>
      </c>
      <c r="B243" s="41" t="str">
        <f>IF($A243="P",IF(NOT($Z243=""),"A",IF(NOT($AA243=""),"I","")),IF(NOT($AA243=""),IF($A243="G","V","X"),IF(NOT($Z243=""),"A","")))</f>
        <v/>
      </c>
      <c r="C243" s="42">
        <f t="shared" si="12"/>
        <v>242</v>
      </c>
      <c r="D243" s="38"/>
      <c r="E243" s="38"/>
      <c r="F243" s="38"/>
      <c r="G243" s="38"/>
      <c r="H243" s="38"/>
      <c r="I243" s="38" t="s">
        <v>9</v>
      </c>
      <c r="J243" s="38"/>
      <c r="K243" s="159" t="s">
        <v>18</v>
      </c>
      <c r="L243" s="167" t="s">
        <v>21</v>
      </c>
      <c r="M243" s="157" t="s">
        <v>1679</v>
      </c>
      <c r="N243" s="159" t="s">
        <v>1680</v>
      </c>
      <c r="O243" s="159" t="s">
        <v>1470</v>
      </c>
      <c r="P243" s="176" t="s">
        <v>265</v>
      </c>
      <c r="Q243" s="178" t="s">
        <v>9</v>
      </c>
      <c r="R243" s="178" t="s">
        <v>103</v>
      </c>
      <c r="S243" s="178" t="s">
        <v>112</v>
      </c>
      <c r="T243" s="38"/>
      <c r="Z243" s="59" t="str">
        <f>IF(OR($M243="",NOT($O243="{array}")),"",IFERROR(MATCH(PARAMETERS!$M243,DEFAULT!$B$5:$CG$5,0),""))</f>
        <v/>
      </c>
      <c r="AA243" s="56" t="str">
        <f t="shared" si="9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IF($AA243="","",IF($B243="I",VLOOKUP($AA243,#REF!,53,0),INDEX(VALUES!$B$1:$CC$1,1,$AA243)))</f>
        <v/>
      </c>
    </row>
    <row r="244" spans="1:29" hidden="1" outlineLevel="1" x14ac:dyDescent="0.3">
      <c r="A244" s="22" t="s">
        <v>84</v>
      </c>
      <c r="B244" s="41" t="str">
        <f t="shared" si="13"/>
        <v/>
      </c>
      <c r="C244" s="42">
        <f t="shared" si="12"/>
        <v>243</v>
      </c>
      <c r="D244" s="38"/>
      <c r="E244" s="38"/>
      <c r="F244" s="38"/>
      <c r="G244" s="38"/>
      <c r="H244" s="38"/>
      <c r="I244" s="38" t="s">
        <v>9</v>
      </c>
      <c r="J244" s="38"/>
      <c r="K244" s="159" t="s">
        <v>36</v>
      </c>
      <c r="L244" s="167" t="s">
        <v>21</v>
      </c>
      <c r="M244" s="175" t="s">
        <v>1636</v>
      </c>
      <c r="N244" s="159" t="s">
        <v>1637</v>
      </c>
      <c r="O244" s="159">
        <v>0</v>
      </c>
      <c r="P244" s="176"/>
      <c r="Q244" s="178" t="s">
        <v>9</v>
      </c>
      <c r="R244" s="178" t="s">
        <v>103</v>
      </c>
      <c r="S244" s="178" t="s">
        <v>112</v>
      </c>
      <c r="T244" s="38"/>
      <c r="W244" s="15"/>
      <c r="AC244" s="17"/>
    </row>
    <row r="245" spans="1:29" hidden="1" outlineLevel="1" x14ac:dyDescent="0.3">
      <c r="A245" s="22" t="s">
        <v>84</v>
      </c>
      <c r="B245" s="41" t="str">
        <f t="shared" si="13"/>
        <v/>
      </c>
      <c r="C245" s="42">
        <f t="shared" si="12"/>
        <v>244</v>
      </c>
      <c r="D245" s="38"/>
      <c r="E245" s="38"/>
      <c r="F245" s="38"/>
      <c r="G245" s="38"/>
      <c r="H245" s="38"/>
      <c r="I245" s="38" t="s">
        <v>9</v>
      </c>
      <c r="J245" s="38"/>
      <c r="K245" s="159" t="s">
        <v>36</v>
      </c>
      <c r="L245" s="167" t="s">
        <v>21</v>
      </c>
      <c r="M245" s="175" t="s">
        <v>1635</v>
      </c>
      <c r="N245" s="159" t="s">
        <v>1638</v>
      </c>
      <c r="O245" s="159">
        <v>0</v>
      </c>
      <c r="P245" s="176"/>
      <c r="Q245" s="178" t="s">
        <v>9</v>
      </c>
      <c r="R245" s="178" t="s">
        <v>103</v>
      </c>
      <c r="S245" s="178" t="s">
        <v>112</v>
      </c>
      <c r="T245" s="38"/>
      <c r="W245" s="15"/>
      <c r="AC245" s="17"/>
    </row>
    <row r="246" spans="1:29" collapsed="1" x14ac:dyDescent="0.3">
      <c r="A246" s="22" t="s">
        <v>84</v>
      </c>
      <c r="B246" s="41" t="str">
        <f t="shared" si="11"/>
        <v/>
      </c>
      <c r="C246" s="42">
        <f t="shared" si="12"/>
        <v>245</v>
      </c>
      <c r="D246" s="38"/>
      <c r="E246" s="38"/>
      <c r="F246" s="38" t="s">
        <v>9</v>
      </c>
      <c r="G246" s="38"/>
      <c r="H246" s="38"/>
      <c r="I246" s="38"/>
      <c r="J246" s="38"/>
      <c r="K246" s="14" t="s">
        <v>57</v>
      </c>
      <c r="L246" s="14" t="s">
        <v>38</v>
      </c>
      <c r="M246" s="48" t="s">
        <v>737</v>
      </c>
      <c r="N246" s="41" t="s">
        <v>1363</v>
      </c>
      <c r="R246" s="38" t="s">
        <v>104</v>
      </c>
      <c r="S246" s="38"/>
      <c r="T246" s="38"/>
      <c r="W246" s="15" t="str">
        <f>IF(IFERROR(VLOOKUP($M246,#REF!,1,0),"-")="-","","GS")</f>
        <v/>
      </c>
      <c r="Z246" s="59" t="str">
        <f>IF(OR($M246="",NOT($O246="{array}")),"",IFERROR(MATCH(PARAMETERS!$M246,DEFAULT!$B$5:$CG$5,0),""))</f>
        <v/>
      </c>
      <c r="AA246" s="56" t="str">
        <f t="shared" si="9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IF($AA246="","",IF($B246="I",VLOOKUP($AA246,#REF!,53,0),INDEX(VALUES!$B$1:$CC$1,1,$AA246)))</f>
        <v/>
      </c>
    </row>
    <row r="247" spans="1:29" hidden="1" outlineLevel="1" x14ac:dyDescent="0.3">
      <c r="A247" s="22" t="s">
        <v>84</v>
      </c>
      <c r="B247" s="41" t="str">
        <f t="shared" ref="B247:B265" si="14">IF($A247="P",IF(NOT($Z247=""),"A",IF(NOT($AA247=""),"I","")),IF(NOT($AA247=""),IF($A247="G","V","X"),IF(NOT($Z247=""),"A","")))</f>
        <v/>
      </c>
      <c r="C247" s="42">
        <f t="shared" si="12"/>
        <v>246</v>
      </c>
      <c r="D247" s="38"/>
      <c r="E247" s="38"/>
      <c r="F247" s="38"/>
      <c r="G247" s="38"/>
      <c r="H247" s="38"/>
      <c r="I247" s="38" t="s">
        <v>9</v>
      </c>
      <c r="J247" s="38"/>
      <c r="K247" s="14" t="s">
        <v>47</v>
      </c>
      <c r="L247" s="14" t="s">
        <v>27</v>
      </c>
      <c r="M247" s="20" t="s">
        <v>690</v>
      </c>
      <c r="N247" s="14" t="s">
        <v>691</v>
      </c>
      <c r="O247" s="43">
        <v>0</v>
      </c>
      <c r="R247" s="38" t="s">
        <v>104</v>
      </c>
      <c r="S247" s="38"/>
      <c r="T247" s="38"/>
      <c r="W247" s="15" t="str">
        <f>IF(IFERROR(VLOOKUP($M247,#REF!,1,0),"-")="-","","GS")</f>
        <v/>
      </c>
      <c r="Z247" s="59" t="str">
        <f>IF(OR($M247="",NOT($O247="{array}")),"",IFERROR(MATCH(PARAMETERS!$M247,DEFAULT!$B$5:$CG$5,0),""))</f>
        <v/>
      </c>
      <c r="AA247" s="56" t="str">
        <f t="shared" ref="AA247:AA267" si="15">IF($M247="","",IFERROR(MATCH($M247,VALUESnames,0),""))</f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IF($AA247="","",IF($B247="I",VLOOKUP($AA247,#REF!,53,0),INDEX(VALUES!$B$1:$CC$1,1,$AA247)))</f>
        <v/>
      </c>
    </row>
    <row r="248" spans="1:29" hidden="1" outlineLevel="1" x14ac:dyDescent="0.3">
      <c r="A248" s="22" t="s">
        <v>84</v>
      </c>
      <c r="B248" s="41" t="str">
        <f t="shared" si="14"/>
        <v/>
      </c>
      <c r="C248" s="42">
        <f t="shared" si="12"/>
        <v>247</v>
      </c>
      <c r="D248" s="38"/>
      <c r="E248" s="38"/>
      <c r="F248" s="38"/>
      <c r="G248" s="38"/>
      <c r="H248" s="38"/>
      <c r="I248" s="38" t="s">
        <v>9</v>
      </c>
      <c r="J248" s="38"/>
      <c r="K248" s="14" t="s">
        <v>47</v>
      </c>
      <c r="L248" s="14" t="s">
        <v>27</v>
      </c>
      <c r="M248" s="20" t="s">
        <v>692</v>
      </c>
      <c r="N248" s="14" t="s">
        <v>693</v>
      </c>
      <c r="O248" s="43">
        <v>0</v>
      </c>
      <c r="R248" s="38" t="s">
        <v>104</v>
      </c>
      <c r="S248" s="38"/>
      <c r="T248" s="38"/>
      <c r="W248" s="15" t="str">
        <f>IF(IFERROR(VLOOKUP($M248,#REF!,1,0),"-")="-","","GS")</f>
        <v/>
      </c>
      <c r="Z248" s="59" t="str">
        <f>IF(OR($M248="",NOT($O248="{array}")),"",IFERROR(MATCH(PARAMETERS!$M248,DEFAULT!$B$5:$CG$5,0),""))</f>
        <v/>
      </c>
      <c r="AA248" s="56" t="str">
        <f t="shared" si="15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IF($AA248="","",IF($B248="I",VLOOKUP($AA248,#REF!,53,0),INDEX(VALUES!$B$1:$CC$1,1,$AA248)))</f>
        <v/>
      </c>
    </row>
    <row r="249" spans="1:29" hidden="1" outlineLevel="1" x14ac:dyDescent="0.3">
      <c r="A249" s="22" t="s">
        <v>84</v>
      </c>
      <c r="B249" s="41" t="str">
        <f t="shared" si="14"/>
        <v/>
      </c>
      <c r="C249" s="42">
        <f t="shared" si="12"/>
        <v>248</v>
      </c>
      <c r="D249" s="38"/>
      <c r="E249" s="38"/>
      <c r="F249" s="38"/>
      <c r="G249" s="38"/>
      <c r="H249" s="38"/>
      <c r="I249" s="38" t="s">
        <v>9</v>
      </c>
      <c r="J249" s="38"/>
      <c r="K249" s="14" t="s">
        <v>47</v>
      </c>
      <c r="L249" s="14" t="s">
        <v>27</v>
      </c>
      <c r="M249" s="20" t="s">
        <v>697</v>
      </c>
      <c r="N249" s="14" t="s">
        <v>698</v>
      </c>
      <c r="O249" s="43">
        <v>1</v>
      </c>
      <c r="Q249" s="38" t="s">
        <v>9</v>
      </c>
      <c r="R249" s="38" t="s">
        <v>104</v>
      </c>
      <c r="S249" s="38"/>
      <c r="T249" s="38"/>
      <c r="W249" s="15" t="str">
        <f>IF(IFERROR(VLOOKUP($M249,#REF!,1,0),"-")="-","","GS")</f>
        <v/>
      </c>
      <c r="Z249" s="59" t="str">
        <f>IF(OR($M249="",NOT($O249="{array}")),"",IFERROR(MATCH(PARAMETERS!$M249,DEFAULT!$B$5:$CG$5,0),""))</f>
        <v/>
      </c>
      <c r="AA249" s="56" t="str">
        <f t="shared" si="15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IF($AA249="","",IF($B249="I",VLOOKUP($AA249,#REF!,53,0),INDEX(VALUES!$B$1:$CC$1,1,$AA249)))</f>
        <v/>
      </c>
    </row>
    <row r="250" spans="1:29" hidden="1" outlineLevel="1" x14ac:dyDescent="0.3">
      <c r="A250" s="22" t="s">
        <v>84</v>
      </c>
      <c r="B250" s="41" t="str">
        <f t="shared" si="14"/>
        <v/>
      </c>
      <c r="C250" s="42">
        <f t="shared" si="12"/>
        <v>249</v>
      </c>
      <c r="D250" s="38"/>
      <c r="E250" s="38"/>
      <c r="F250" s="38"/>
      <c r="G250" s="38"/>
      <c r="H250" s="38"/>
      <c r="I250" s="38" t="s">
        <v>9</v>
      </c>
      <c r="J250" s="38"/>
      <c r="K250" s="14" t="s">
        <v>24</v>
      </c>
      <c r="L250" s="14" t="s">
        <v>27</v>
      </c>
      <c r="M250" s="20" t="s">
        <v>699</v>
      </c>
      <c r="N250" s="14" t="s">
        <v>700</v>
      </c>
      <c r="O250" s="43">
        <v>1</v>
      </c>
      <c r="R250" s="38" t="s">
        <v>104</v>
      </c>
      <c r="S250" s="38"/>
      <c r="T250" s="38"/>
      <c r="W250" s="15" t="str">
        <f>IF(IFERROR(VLOOKUP($M250,#REF!,1,0),"-")="-","","GS")</f>
        <v/>
      </c>
      <c r="Z250" s="59" t="str">
        <f>IF(OR($M250="",NOT($O250="{array}")),"",IFERROR(MATCH(PARAMETERS!$M250,DEFAULT!$B$5:$CG$5,0),""))</f>
        <v/>
      </c>
      <c r="AA250" s="56" t="str">
        <f t="shared" si="15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IF($AA250="","",IF($B250="I",VLOOKUP($AA250,#REF!,53,0),INDEX(VALUES!$B$1:$CC$1,1,$AA250)))</f>
        <v/>
      </c>
    </row>
    <row r="251" spans="1:29" hidden="1" outlineLevel="1" x14ac:dyDescent="0.3">
      <c r="A251" s="22" t="s">
        <v>84</v>
      </c>
      <c r="B251" s="41" t="str">
        <f t="shared" si="14"/>
        <v/>
      </c>
      <c r="C251" s="42">
        <f t="shared" si="12"/>
        <v>250</v>
      </c>
      <c r="D251" s="38"/>
      <c r="E251" s="38"/>
      <c r="F251" s="38"/>
      <c r="G251" s="38"/>
      <c r="H251" s="38"/>
      <c r="I251" s="38" t="s">
        <v>9</v>
      </c>
      <c r="J251" s="38"/>
      <c r="K251" s="159" t="s">
        <v>24</v>
      </c>
      <c r="L251" s="14" t="s">
        <v>27</v>
      </c>
      <c r="M251" s="175" t="s">
        <v>1491</v>
      </c>
      <c r="N251" s="159" t="s">
        <v>1492</v>
      </c>
      <c r="O251" s="159">
        <v>0.75</v>
      </c>
      <c r="P251" s="176"/>
      <c r="Q251" s="178" t="s">
        <v>9</v>
      </c>
      <c r="R251" s="178" t="s">
        <v>196</v>
      </c>
      <c r="S251" s="171"/>
      <c r="T251" s="166"/>
      <c r="U251" s="166"/>
      <c r="V251" s="166"/>
      <c r="W251" s="15"/>
      <c r="X251" s="160"/>
      <c r="Y251" s="166"/>
      <c r="Z251" s="59" t="str">
        <f>IF(OR($M251="",NOT($O251="{array}")),"",IFERROR(MATCH(PARAMETERS!$M251,DEFAULT!$B$5:$CG$5,0),""))</f>
        <v/>
      </c>
      <c r="AA251" s="56" t="str">
        <f t="shared" si="9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IF($AA251="","",IF($B251="I",VLOOKUP($AA251,#REF!,53,0),INDEX(VALUES!$B$1:$CC$1,1,$AA251)))</f>
        <v/>
      </c>
    </row>
    <row r="252" spans="1:29" hidden="1" outlineLevel="1" x14ac:dyDescent="0.3">
      <c r="A252" s="22" t="s">
        <v>84</v>
      </c>
      <c r="B252" s="41" t="str">
        <f t="shared" si="14"/>
        <v/>
      </c>
      <c r="C252" s="42">
        <f t="shared" si="12"/>
        <v>251</v>
      </c>
      <c r="D252" s="38"/>
      <c r="E252" s="38"/>
      <c r="F252" s="38"/>
      <c r="G252" s="38"/>
      <c r="H252" s="38"/>
      <c r="I252" s="38" t="s">
        <v>9</v>
      </c>
      <c r="J252" s="38"/>
      <c r="K252" s="159" t="s">
        <v>24</v>
      </c>
      <c r="L252" s="14" t="s">
        <v>27</v>
      </c>
      <c r="M252" s="175" t="s">
        <v>1493</v>
      </c>
      <c r="N252" s="159" t="s">
        <v>1494</v>
      </c>
      <c r="O252" s="159">
        <v>1.1499999999999999</v>
      </c>
      <c r="P252" s="176"/>
      <c r="Q252" s="178" t="s">
        <v>9</v>
      </c>
      <c r="R252" s="178" t="s">
        <v>196</v>
      </c>
      <c r="S252" s="171"/>
      <c r="T252" s="166"/>
      <c r="U252" s="166"/>
      <c r="V252" s="166"/>
      <c r="W252" s="15"/>
      <c r="X252" s="160"/>
      <c r="Y252" s="166"/>
      <c r="Z252" s="59" t="str">
        <f>IF(OR($M252="",NOT($O252="{array}")),"",IFERROR(MATCH(PARAMETERS!$M252,DEFAULT!$B$5:$CG$5,0),""))</f>
        <v/>
      </c>
      <c r="AA252" s="56" t="str">
        <f t="shared" si="9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IF($AA252="","",IF($B252="I",VLOOKUP($AA252,#REF!,53,0),INDEX(VALUES!$B$1:$CC$1,1,$AA252)))</f>
        <v/>
      </c>
    </row>
    <row r="253" spans="1:29" hidden="1" outlineLevel="1" x14ac:dyDescent="0.25">
      <c r="A253" s="22" t="s">
        <v>84</v>
      </c>
      <c r="B253" s="41" t="str">
        <f t="shared" ref="B253:B259" si="16">IF($A253="P",IF(NOT($Z253=""),"A",IF(NOT($AA253=""),"I","")),IF(NOT($AA253=""),IF($A253="G","V","X"),IF(NOT($Z253=""),"A","")))</f>
        <v>V</v>
      </c>
      <c r="C253" s="42">
        <f t="shared" si="12"/>
        <v>252</v>
      </c>
      <c r="D253" s="38"/>
      <c r="E253" s="38"/>
      <c r="F253" s="38"/>
      <c r="G253" s="38"/>
      <c r="H253" s="38"/>
      <c r="I253" s="38" t="s">
        <v>9</v>
      </c>
      <c r="J253" s="38"/>
      <c r="K253" s="159" t="s">
        <v>44</v>
      </c>
      <c r="L253" s="53" t="s">
        <v>27</v>
      </c>
      <c r="M253" s="157" t="s">
        <v>1419</v>
      </c>
      <c r="N253" s="53" t="s">
        <v>1432</v>
      </c>
      <c r="O253" s="155">
        <v>1</v>
      </c>
      <c r="P253" s="53"/>
      <c r="Q253" s="209"/>
      <c r="R253" s="178" t="s">
        <v>103</v>
      </c>
      <c r="S253" s="171"/>
      <c r="T253" s="166"/>
      <c r="U253" s="166"/>
      <c r="V253" s="166"/>
      <c r="W253" s="15"/>
      <c r="X253" s="160"/>
      <c r="Y253" s="166"/>
      <c r="Z253" s="59" t="str">
        <f>IF(OR($M253="",NOT($O253="{array}")),"",IFERROR(MATCH(PARAMETERS!$M253,DEFAULT!$B$5:$CG$5,0),""))</f>
        <v/>
      </c>
      <c r="AA253" s="56">
        <f t="shared" ref="AA253:AA259" si="17">IF($M253="","",IFERROR(MATCH($M253,VALUESnames,0),""))</f>
        <v>29</v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IF($AA253="","",IF($B253="I",VLOOKUP($AA253,#REF!,53,0),INDEX(VALUES!$B$1:$CC$1,1,$AA253)))</f>
        <v>1 | 2 | 3</v>
      </c>
    </row>
    <row r="254" spans="1:29" hidden="1" outlineLevel="1" x14ac:dyDescent="0.25">
      <c r="A254" s="22" t="s">
        <v>84</v>
      </c>
      <c r="B254" s="41" t="str">
        <f t="shared" si="16"/>
        <v>V</v>
      </c>
      <c r="C254" s="42">
        <f t="shared" si="12"/>
        <v>253</v>
      </c>
      <c r="D254" s="38"/>
      <c r="E254" s="38"/>
      <c r="F254" s="38"/>
      <c r="G254" s="38"/>
      <c r="H254" s="38"/>
      <c r="I254" s="38" t="s">
        <v>9</v>
      </c>
      <c r="J254" s="38"/>
      <c r="K254" s="159" t="s">
        <v>44</v>
      </c>
      <c r="L254" s="53" t="s">
        <v>27</v>
      </c>
      <c r="M254" s="157" t="s">
        <v>1439</v>
      </c>
      <c r="N254" s="53" t="s">
        <v>1440</v>
      </c>
      <c r="O254" s="155">
        <v>1</v>
      </c>
      <c r="P254" s="53"/>
      <c r="Q254" s="209"/>
      <c r="R254" s="178" t="s">
        <v>103</v>
      </c>
      <c r="S254" s="171"/>
      <c r="T254" s="166"/>
      <c r="U254" s="166"/>
      <c r="V254" s="166"/>
      <c r="W254" s="15"/>
      <c r="X254" s="160"/>
      <c r="Y254" s="166"/>
      <c r="Z254" s="59" t="str">
        <f>IF(OR($M254="",NOT($O254="{array}")),"",IFERROR(MATCH(PARAMETERS!$M254,DEFAULT!$B$5:$CG$5,0),""))</f>
        <v/>
      </c>
      <c r="AA254" s="56">
        <f t="shared" si="17"/>
        <v>22</v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IF($AA254="","",IF($B254="I",VLOOKUP($AA254,#REF!,53,0),INDEX(VALUES!$B$1:$CC$1,1,$AA254)))</f>
        <v>0 | 1 | 2 | 3</v>
      </c>
    </row>
    <row r="255" spans="1:29" hidden="1" outlineLevel="1" x14ac:dyDescent="0.25">
      <c r="A255" s="22" t="s">
        <v>84</v>
      </c>
      <c r="B255" s="41" t="str">
        <f t="shared" si="16"/>
        <v/>
      </c>
      <c r="C255" s="42">
        <f t="shared" si="12"/>
        <v>254</v>
      </c>
      <c r="D255" s="38"/>
      <c r="E255" s="38"/>
      <c r="F255" s="38"/>
      <c r="G255" s="38"/>
      <c r="H255" s="38"/>
      <c r="I255" s="38" t="s">
        <v>9</v>
      </c>
      <c r="J255" s="38"/>
      <c r="K255" s="159" t="s">
        <v>24</v>
      </c>
      <c r="L255" s="53" t="s">
        <v>27</v>
      </c>
      <c r="M255" s="223" t="s">
        <v>1420</v>
      </c>
      <c r="N255" s="53" t="s">
        <v>1421</v>
      </c>
      <c r="O255" s="155">
        <v>4.0000000000000001E-3</v>
      </c>
      <c r="P255" s="53"/>
      <c r="Q255" s="209"/>
      <c r="R255" s="178" t="s">
        <v>103</v>
      </c>
      <c r="S255" s="171"/>
      <c r="T255" s="166"/>
      <c r="U255" s="166"/>
      <c r="V255" s="166"/>
      <c r="W255" s="15"/>
      <c r="X255" s="160"/>
      <c r="Y255" s="166"/>
      <c r="Z255" s="59" t="str">
        <f>IF(OR($M255="",NOT($O255="{array}")),"",IFERROR(MATCH(PARAMETERS!$M255,DEFAULT!$B$5:$CG$5,0),""))</f>
        <v/>
      </c>
      <c r="AA255" s="56" t="str">
        <f t="shared" si="17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IF($AA255="","",IF($B255="I",VLOOKUP($AA255,#REF!,53,0),INDEX(VALUES!$B$1:$CC$1,1,$AA255)))</f>
        <v/>
      </c>
    </row>
    <row r="256" spans="1:29" hidden="1" outlineLevel="1" x14ac:dyDescent="0.25">
      <c r="A256" s="22" t="s">
        <v>84</v>
      </c>
      <c r="B256" s="41" t="str">
        <f t="shared" si="16"/>
        <v/>
      </c>
      <c r="C256" s="42">
        <f t="shared" si="12"/>
        <v>255</v>
      </c>
      <c r="D256" s="38"/>
      <c r="E256" s="38"/>
      <c r="F256" s="38"/>
      <c r="G256" s="38"/>
      <c r="H256" s="38"/>
      <c r="I256" s="38" t="s">
        <v>9</v>
      </c>
      <c r="J256" s="38"/>
      <c r="K256" s="159" t="s">
        <v>24</v>
      </c>
      <c r="L256" s="53" t="s">
        <v>27</v>
      </c>
      <c r="M256" s="223" t="s">
        <v>1433</v>
      </c>
      <c r="N256" s="53" t="s">
        <v>1434</v>
      </c>
      <c r="O256" s="155">
        <v>6.0000000000000001E-3</v>
      </c>
      <c r="P256" s="53"/>
      <c r="Q256" s="209"/>
      <c r="R256" s="178" t="s">
        <v>103</v>
      </c>
      <c r="S256" s="171"/>
      <c r="T256" s="166"/>
      <c r="U256" s="166"/>
      <c r="V256" s="166"/>
      <c r="W256" s="15"/>
      <c r="X256" s="160"/>
      <c r="Y256" s="166"/>
      <c r="Z256" s="59" t="str">
        <f>IF(OR($M256="",NOT($O256="{array}")),"",IFERROR(MATCH(PARAMETERS!$M256,DEFAULT!$B$5:$CG$5,0),""))</f>
        <v/>
      </c>
      <c r="AA256" s="56" t="str">
        <f t="shared" si="17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IF($AA256="","",IF($B256="I",VLOOKUP($AA256,#REF!,53,0),INDEX(VALUES!$B$1:$CC$1,1,$AA256)))</f>
        <v/>
      </c>
    </row>
    <row r="257" spans="1:29" hidden="1" outlineLevel="1" x14ac:dyDescent="0.25">
      <c r="A257" s="22" t="s">
        <v>84</v>
      </c>
      <c r="B257" s="41" t="str">
        <f t="shared" si="16"/>
        <v/>
      </c>
      <c r="C257" s="42">
        <f t="shared" si="12"/>
        <v>256</v>
      </c>
      <c r="D257" s="38"/>
      <c r="E257" s="38"/>
      <c r="F257" s="38"/>
      <c r="G257" s="38"/>
      <c r="H257" s="38"/>
      <c r="I257" s="38" t="s">
        <v>9</v>
      </c>
      <c r="J257" s="38"/>
      <c r="K257" s="159" t="s">
        <v>47</v>
      </c>
      <c r="L257" s="53" t="s">
        <v>27</v>
      </c>
      <c r="M257" s="223" t="s">
        <v>1555</v>
      </c>
      <c r="N257" s="53" t="s">
        <v>1556</v>
      </c>
      <c r="O257" s="155">
        <v>1</v>
      </c>
      <c r="P257" s="53"/>
      <c r="Q257" s="209"/>
      <c r="R257" s="178" t="s">
        <v>103</v>
      </c>
      <c r="S257" s="171"/>
      <c r="T257" s="166"/>
      <c r="U257" s="166"/>
      <c r="V257" s="166"/>
      <c r="W257" s="15"/>
      <c r="X257" s="160"/>
      <c r="Y257" s="166"/>
      <c r="Z257" s="59" t="str">
        <f>IF(OR($M257="",NOT($O257="{array}")),"",IFERROR(MATCH(PARAMETERS!$M257,DEFAULT!$B$5:$CG$5,0),""))</f>
        <v/>
      </c>
      <c r="AA257" s="56" t="str">
        <f t="shared" si="17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IF($AA257="","",IF($B257="I",VLOOKUP($AA257,#REF!,53,0),INDEX(VALUES!$B$1:$CC$1,1,$AA257)))</f>
        <v/>
      </c>
    </row>
    <row r="258" spans="1:29" hidden="1" outlineLevel="1" x14ac:dyDescent="0.25">
      <c r="A258" s="22" t="s">
        <v>84</v>
      </c>
      <c r="B258" s="41" t="str">
        <f t="shared" si="16"/>
        <v/>
      </c>
      <c r="C258" s="42">
        <f t="shared" si="12"/>
        <v>257</v>
      </c>
      <c r="D258" s="38"/>
      <c r="E258" s="38"/>
      <c r="F258" s="38"/>
      <c r="G258" s="38"/>
      <c r="H258" s="38"/>
      <c r="I258" s="38" t="s">
        <v>9</v>
      </c>
      <c r="J258" s="38"/>
      <c r="K258" s="159" t="s">
        <v>24</v>
      </c>
      <c r="L258" s="53" t="s">
        <v>27</v>
      </c>
      <c r="M258" s="223" t="s">
        <v>1558</v>
      </c>
      <c r="N258" s="53" t="s">
        <v>1560</v>
      </c>
      <c r="O258" s="155">
        <v>4.0000000000000001E-3</v>
      </c>
      <c r="P258" s="53"/>
      <c r="Q258" s="209"/>
      <c r="R258" s="178" t="s">
        <v>103</v>
      </c>
      <c r="S258" s="171"/>
      <c r="T258" s="166"/>
      <c r="U258" s="166"/>
      <c r="V258" s="166"/>
      <c r="W258" s="15"/>
      <c r="X258" s="160"/>
      <c r="Y258" s="166"/>
      <c r="Z258" s="59" t="str">
        <f>IF(OR($M258="",NOT($O258="{array}")),"",IFERROR(MATCH(PARAMETERS!$M258,DEFAULT!$B$5:$CG$5,0),""))</f>
        <v/>
      </c>
      <c r="AA258" s="56" t="str">
        <f t="shared" si="17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IF($AA258="","",IF($B258="I",VLOOKUP($AA258,#REF!,53,0),INDEX(VALUES!$B$1:$CC$1,1,$AA258)))</f>
        <v/>
      </c>
    </row>
    <row r="259" spans="1:29" hidden="1" outlineLevel="1" x14ac:dyDescent="0.25">
      <c r="A259" s="22" t="s">
        <v>84</v>
      </c>
      <c r="B259" s="41" t="str">
        <f t="shared" si="16"/>
        <v>V</v>
      </c>
      <c r="C259" s="42">
        <f t="shared" si="12"/>
        <v>258</v>
      </c>
      <c r="D259" s="38"/>
      <c r="E259" s="38"/>
      <c r="F259" s="38" t="s">
        <v>9</v>
      </c>
      <c r="G259" s="38"/>
      <c r="H259" s="38"/>
      <c r="I259" s="38" t="s">
        <v>9</v>
      </c>
      <c r="J259" s="38"/>
      <c r="K259" s="14" t="s">
        <v>24</v>
      </c>
      <c r="L259" s="14" t="s">
        <v>27</v>
      </c>
      <c r="M259" s="20" t="s">
        <v>728</v>
      </c>
      <c r="N259" s="14" t="s">
        <v>729</v>
      </c>
      <c r="O259" s="43">
        <v>5.0000000000000001E-3</v>
      </c>
      <c r="Q259" s="38" t="s">
        <v>9</v>
      </c>
      <c r="R259" s="38" t="s">
        <v>104</v>
      </c>
      <c r="S259" s="171" t="s">
        <v>112</v>
      </c>
      <c r="T259" s="166" t="s">
        <v>265</v>
      </c>
      <c r="U259" s="166" t="s">
        <v>265</v>
      </c>
      <c r="V259" s="166" t="s">
        <v>730</v>
      </c>
      <c r="W259" s="15" t="str">
        <f>IF(IFERROR(VLOOKUP($M259,#REF!,1,0),"-")="-","","GS")</f>
        <v/>
      </c>
      <c r="X259" s="160">
        <v>62</v>
      </c>
      <c r="Y259" s="166" t="s">
        <v>731</v>
      </c>
      <c r="Z259" s="59" t="str">
        <f>IF(OR($M259="",NOT($O259="{array}")),"",IFERROR(MATCH(PARAMETERS!$M259,DEFAULT!$B$5:$CG$5,0),""))</f>
        <v/>
      </c>
      <c r="AA259" s="56">
        <f t="shared" si="17"/>
        <v>57</v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IF($AA259="","",IF($B259="I",VLOOKUP($AA259,#REF!,53,0),INDEX(VALUES!$B$1:$CC$1,1,$AA259)))</f>
        <v>0,005 | 0,01 | 0,02</v>
      </c>
    </row>
    <row r="260" spans="1:29" hidden="1" outlineLevel="1" x14ac:dyDescent="0.25">
      <c r="A260" s="22" t="s">
        <v>84</v>
      </c>
      <c r="B260" s="41" t="str">
        <f t="shared" si="14"/>
        <v>V</v>
      </c>
      <c r="C260" s="42">
        <f t="shared" si="12"/>
        <v>259</v>
      </c>
      <c r="D260" s="38"/>
      <c r="E260" s="38"/>
      <c r="F260" s="38" t="s">
        <v>9</v>
      </c>
      <c r="G260" s="38"/>
      <c r="H260" s="38"/>
      <c r="I260" s="38" t="s">
        <v>9</v>
      </c>
      <c r="J260" s="38"/>
      <c r="K260" s="14" t="s">
        <v>24</v>
      </c>
      <c r="L260" s="14" t="s">
        <v>27</v>
      </c>
      <c r="M260" s="151" t="s">
        <v>701</v>
      </c>
      <c r="N260" s="14" t="s">
        <v>702</v>
      </c>
      <c r="O260" s="43">
        <v>0.04</v>
      </c>
      <c r="Q260" s="38" t="s">
        <v>9</v>
      </c>
      <c r="R260" s="38" t="s">
        <v>104</v>
      </c>
      <c r="S260" s="171" t="s">
        <v>112</v>
      </c>
      <c r="T260" s="166" t="s">
        <v>265</v>
      </c>
      <c r="U260" s="166" t="s">
        <v>265</v>
      </c>
      <c r="V260" s="166" t="s">
        <v>703</v>
      </c>
      <c r="W260" s="15" t="str">
        <f>IF(IFERROR(VLOOKUP($M260,#REF!,1,0),"-")="-","","GS")</f>
        <v/>
      </c>
      <c r="X260" s="160">
        <v>59</v>
      </c>
      <c r="Y260" s="166" t="s">
        <v>704</v>
      </c>
      <c r="Z260" s="59" t="str">
        <f>IF(OR($M260="",NOT($O260="{array}")),"",IFERROR(MATCH(PARAMETERS!$M260,DEFAULT!$B$5:$CG$5,0),""))</f>
        <v/>
      </c>
      <c r="AA260" s="56">
        <f t="shared" si="15"/>
        <v>4</v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IF($AA260="","",IF($B260="I",VLOOKUP($AA260,#REF!,53,0),INDEX(VALUES!$B$1:$CC$1,1,$AA260)))</f>
        <v>0,01 | 0,03 | 0,035 | 0,04 | 0,045 | 0,05 | 0,06</v>
      </c>
    </row>
    <row r="261" spans="1:29" hidden="1" outlineLevel="1" x14ac:dyDescent="0.3">
      <c r="A261" s="22" t="s">
        <v>84</v>
      </c>
      <c r="B261" s="41" t="str">
        <f t="shared" si="14"/>
        <v>A</v>
      </c>
      <c r="C261" s="42">
        <f t="shared" si="12"/>
        <v>260</v>
      </c>
      <c r="D261" s="38"/>
      <c r="E261" s="38"/>
      <c r="F261" s="38"/>
      <c r="G261" s="38"/>
      <c r="H261" s="38"/>
      <c r="I261" s="38" t="s">
        <v>9</v>
      </c>
      <c r="J261" s="38"/>
      <c r="K261" s="159" t="s">
        <v>24</v>
      </c>
      <c r="L261" s="14" t="s">
        <v>27</v>
      </c>
      <c r="M261" s="175" t="s">
        <v>1435</v>
      </c>
      <c r="N261" s="159" t="s">
        <v>1441</v>
      </c>
      <c r="O261" s="159" t="s">
        <v>33</v>
      </c>
      <c r="P261" s="176"/>
      <c r="Q261" s="178" t="s">
        <v>9</v>
      </c>
      <c r="R261" s="178" t="s">
        <v>196</v>
      </c>
      <c r="S261" s="171"/>
      <c r="T261" s="166"/>
      <c r="U261" s="166"/>
      <c r="V261" s="166"/>
      <c r="W261" s="15"/>
      <c r="X261" s="160"/>
      <c r="Y261" s="166"/>
      <c r="Z261" s="59">
        <f>IF(OR($M261="",NOT($O261="{array}")),"",IFERROR(MATCH(PARAMETERS!$M261,DEFAULT!$B$5:$CG$5,0),""))</f>
        <v>8</v>
      </c>
      <c r="AA261" s="56" t="str">
        <f t="shared" si="9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IF($AA261="","",IF($B261="I",VLOOKUP($AA261,#REF!,53,0),INDEX(VALUES!$B$1:$CC$1,1,$AA261)))</f>
        <v/>
      </c>
    </row>
    <row r="262" spans="1:29" hidden="1" outlineLevel="1" x14ac:dyDescent="0.3">
      <c r="A262" s="22" t="s">
        <v>84</v>
      </c>
      <c r="B262" s="41" t="str">
        <f t="shared" si="14"/>
        <v/>
      </c>
      <c r="C262" s="42">
        <f t="shared" si="12"/>
        <v>261</v>
      </c>
      <c r="D262" s="38"/>
      <c r="E262" s="38"/>
      <c r="F262" s="38"/>
      <c r="G262" s="38" t="s">
        <v>9</v>
      </c>
      <c r="H262" s="38"/>
      <c r="I262" s="38" t="s">
        <v>9</v>
      </c>
      <c r="J262" s="38"/>
      <c r="K262" s="213" t="s">
        <v>24</v>
      </c>
      <c r="L262" s="213" t="s">
        <v>27</v>
      </c>
      <c r="M262" s="214" t="s">
        <v>705</v>
      </c>
      <c r="N262" s="213" t="s">
        <v>706</v>
      </c>
      <c r="O262" s="215">
        <v>0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IF(OR($M262="",NOT($O262="{array}")),"",IFERROR(MATCH(PARAMETERS!$M262,DEFAULT!$B$5:$CG$5,0),""))</f>
        <v/>
      </c>
      <c r="AA262" s="56" t="str">
        <f t="shared" si="1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IF($AA262="","",IF($B262="I",VLOOKUP($AA262,#REF!,53,0),INDEX(VALUES!$B$1:$CC$1,1,$AA262)))</f>
        <v/>
      </c>
    </row>
    <row r="263" spans="1:29" hidden="1" outlineLevel="1" x14ac:dyDescent="0.3">
      <c r="A263" s="22" t="s">
        <v>84</v>
      </c>
      <c r="B263" s="41" t="str">
        <f t="shared" si="14"/>
        <v/>
      </c>
      <c r="C263" s="42">
        <f t="shared" si="12"/>
        <v>262</v>
      </c>
      <c r="D263" s="38"/>
      <c r="E263" s="38"/>
      <c r="F263" s="38"/>
      <c r="G263" s="38"/>
      <c r="H263" s="38"/>
      <c r="I263" s="38" t="s">
        <v>9</v>
      </c>
      <c r="J263" s="38"/>
      <c r="K263" s="159" t="s">
        <v>24</v>
      </c>
      <c r="L263" s="14" t="s">
        <v>27</v>
      </c>
      <c r="M263" s="175" t="s">
        <v>707</v>
      </c>
      <c r="N263" s="159" t="s">
        <v>708</v>
      </c>
      <c r="O263" s="159">
        <v>0.02</v>
      </c>
      <c r="P263" s="176"/>
      <c r="Q263" s="178" t="s">
        <v>9</v>
      </c>
      <c r="R263" s="178" t="s">
        <v>103</v>
      </c>
      <c r="S263" s="171"/>
      <c r="T263" s="166"/>
      <c r="U263" s="166"/>
      <c r="V263" s="166"/>
      <c r="W263" s="15"/>
      <c r="X263" s="160"/>
      <c r="Y263" s="166"/>
      <c r="Z263" s="59" t="str">
        <f>IF(OR($M263="",NOT($O263="{array}")),"",IFERROR(MATCH(PARAMETERS!$M263,DEFAULT!$B$5:$CG$5,0),""))</f>
        <v/>
      </c>
      <c r="AA263" s="56" t="str">
        <f t="shared" si="1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IF($AA263="","",IF($B263="I",VLOOKUP($AA263,#REF!,53,0),INDEX(VALUES!$B$1:$CC$1,1,$AA263)))</f>
        <v/>
      </c>
    </row>
    <row r="264" spans="1:29" hidden="1" outlineLevel="1" x14ac:dyDescent="0.3">
      <c r="A264" s="22" t="s">
        <v>84</v>
      </c>
      <c r="B264" s="41" t="str">
        <f t="shared" si="14"/>
        <v>V</v>
      </c>
      <c r="C264" s="42">
        <f t="shared" ref="C264:C330" si="18">(ROW()-1)</f>
        <v>263</v>
      </c>
      <c r="D264" s="38"/>
      <c r="E264" s="38"/>
      <c r="F264" s="38"/>
      <c r="G264" s="38"/>
      <c r="H264" s="38"/>
      <c r="I264" s="38" t="s">
        <v>9</v>
      </c>
      <c r="J264" s="38"/>
      <c r="K264" s="159" t="s">
        <v>24</v>
      </c>
      <c r="L264" s="14" t="s">
        <v>27</v>
      </c>
      <c r="M264" s="175" t="s">
        <v>1415</v>
      </c>
      <c r="N264" s="159" t="s">
        <v>1416</v>
      </c>
      <c r="O264" s="159">
        <v>0.01</v>
      </c>
      <c r="P264" s="176"/>
      <c r="Q264" s="178" t="s">
        <v>9</v>
      </c>
      <c r="R264" s="178" t="s">
        <v>103</v>
      </c>
      <c r="S264" s="171"/>
      <c r="T264" s="166"/>
      <c r="U264" s="166"/>
      <c r="V264" s="166"/>
      <c r="W264" s="15"/>
      <c r="X264" s="160"/>
      <c r="Y264" s="166"/>
      <c r="Z264" s="59" t="str">
        <f>IF(OR($M264="",NOT($O264="{array}")),"",IFERROR(MATCH(PARAMETERS!$M264,DEFAULT!$B$5:$CG$5,0),""))</f>
        <v/>
      </c>
      <c r="AA264" s="56">
        <f t="shared" si="15"/>
        <v>6</v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IF($AA264="","",IF($B264="I",VLOOKUP($AA264,#REF!,53,0),INDEX(VALUES!$B$1:$CC$1,1,$AA264)))</f>
        <v>0,015 | 0,0165 | 0,018 | 0,021 | 0,022 | 0,03</v>
      </c>
    </row>
    <row r="265" spans="1:29" hidden="1" outlineLevel="1" x14ac:dyDescent="0.3">
      <c r="A265" s="22" t="s">
        <v>84</v>
      </c>
      <c r="B265" s="41" t="str">
        <f t="shared" si="14"/>
        <v>V</v>
      </c>
      <c r="C265" s="42">
        <f t="shared" si="18"/>
        <v>264</v>
      </c>
      <c r="D265" s="38"/>
      <c r="E265" s="38"/>
      <c r="F265" s="38"/>
      <c r="G265" s="38"/>
      <c r="H265" s="38"/>
      <c r="I265" s="38" t="s">
        <v>9</v>
      </c>
      <c r="J265" s="38"/>
      <c r="K265" s="159" t="s">
        <v>24</v>
      </c>
      <c r="L265" s="14" t="s">
        <v>27</v>
      </c>
      <c r="M265" s="175" t="s">
        <v>1662</v>
      </c>
      <c r="N265" s="159" t="s">
        <v>1663</v>
      </c>
      <c r="O265" s="159">
        <v>0.01</v>
      </c>
      <c r="P265" s="176"/>
      <c r="Q265" s="178" t="s">
        <v>9</v>
      </c>
      <c r="R265" s="38" t="s">
        <v>196</v>
      </c>
      <c r="S265" s="171"/>
      <c r="T265" s="166"/>
      <c r="U265" s="166"/>
      <c r="V265" s="166"/>
      <c r="W265" s="15"/>
      <c r="X265" s="160"/>
      <c r="Y265" s="166"/>
      <c r="Z265" s="59" t="str">
        <f>IF(OR($M265="",NOT($O265="{array}")),"",IFERROR(MATCH(PARAMETERS!$M265,DEFAULT!$B$5:$CG$5,0),""))</f>
        <v/>
      </c>
      <c r="AA265" s="56">
        <f t="shared" si="15"/>
        <v>9</v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IF($AA265="","",IF($B265="I",VLOOKUP($AA265,#REF!,53,0),INDEX(VALUES!$B$1:$CC$1,1,$AA265)))</f>
        <v>0,01 | 0,035 | 0,1</v>
      </c>
    </row>
    <row r="266" spans="1:29" hidden="1" outlineLevel="1" x14ac:dyDescent="0.3">
      <c r="A266" s="22" t="s">
        <v>84</v>
      </c>
      <c r="B266" s="41" t="str">
        <f t="shared" ref="B266:B297" si="19">IF($A266="P",IF(NOT($Z266=""),"A",IF(NOT($AA266=""),"I","")),IF(NOT($AA266=""),IF($A266="G","V","X"),IF(NOT($Z266=""),"A","")))</f>
        <v/>
      </c>
      <c r="C266" s="42">
        <f t="shared" si="18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24</v>
      </c>
      <c r="L266" s="53" t="s">
        <v>27</v>
      </c>
      <c r="M266" s="203" t="s">
        <v>732</v>
      </c>
      <c r="N266" s="53" t="s">
        <v>733</v>
      </c>
      <c r="O266" s="155">
        <v>0</v>
      </c>
      <c r="P266" s="53"/>
      <c r="Q266" s="209"/>
      <c r="R266" s="38" t="s">
        <v>196</v>
      </c>
      <c r="S266" s="38"/>
      <c r="T266" s="38"/>
      <c r="W266" s="15" t="str">
        <f>IF(IFERROR(VLOOKUP($M266,#REF!,1,0),"-")="-","","GS")</f>
        <v/>
      </c>
      <c r="Y266" s="53" t="s">
        <v>734</v>
      </c>
      <c r="Z266" s="59" t="str">
        <f>IF(OR($M266="",NOT($O266="{array}")),"",IFERROR(MATCH(PARAMETERS!$M266,DEFAULT!$B$5:$CG$5,0),""))</f>
        <v/>
      </c>
      <c r="AA266" s="56" t="str">
        <f t="shared" si="1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IF($AA266="","",IF($B266="I",VLOOKUP($AA266,#REF!,53,0),INDEX(VALUES!$B$1:$CC$1,1,$AA266)))</f>
        <v/>
      </c>
    </row>
    <row r="267" spans="1:29" hidden="1" outlineLevel="1" x14ac:dyDescent="0.3">
      <c r="A267" s="22" t="s">
        <v>84</v>
      </c>
      <c r="B267" s="41" t="str">
        <f t="shared" si="19"/>
        <v/>
      </c>
      <c r="C267" s="42">
        <f t="shared" si="18"/>
        <v>266</v>
      </c>
      <c r="D267" s="38"/>
      <c r="E267" s="38"/>
      <c r="F267" s="38"/>
      <c r="G267" s="38"/>
      <c r="H267" s="38"/>
      <c r="I267" s="38" t="s">
        <v>9</v>
      </c>
      <c r="J267" s="38"/>
      <c r="K267" s="53" t="s">
        <v>24</v>
      </c>
      <c r="L267" s="53" t="s">
        <v>27</v>
      </c>
      <c r="M267" s="203" t="s">
        <v>735</v>
      </c>
      <c r="N267" s="53" t="s">
        <v>736</v>
      </c>
      <c r="O267" s="155">
        <v>0</v>
      </c>
      <c r="P267" s="53"/>
      <c r="Q267" s="209"/>
      <c r="R267" s="38" t="s">
        <v>196</v>
      </c>
      <c r="S267" s="38"/>
      <c r="T267" s="38"/>
      <c r="W267" s="15" t="str">
        <f>IF(IFERROR(VLOOKUP($M267,#REF!,1,0),"-")="-","","GS")</f>
        <v/>
      </c>
      <c r="Y267" s="53" t="s">
        <v>734</v>
      </c>
      <c r="Z267" s="59" t="str">
        <f>IF(OR($M267="",NOT($O267="{array}")),"",IFERROR(MATCH(PARAMETERS!$M267,DEFAULT!$B$5:$CG$5,0),""))</f>
        <v/>
      </c>
      <c r="AA267" s="56" t="str">
        <f t="shared" si="1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IF($AA267="","",IF($B267="I",VLOOKUP($AA267,#REF!,53,0),INDEX(VALUES!$B$1:$CC$1,1,$AA267)))</f>
        <v/>
      </c>
    </row>
    <row r="268" spans="1:29" hidden="1" outlineLevel="1" x14ac:dyDescent="0.3">
      <c r="A268" s="22" t="s">
        <v>84</v>
      </c>
      <c r="B268" s="41" t="str">
        <f t="shared" si="19"/>
        <v>V</v>
      </c>
      <c r="C268" s="42">
        <f t="shared" si="18"/>
        <v>267</v>
      </c>
      <c r="D268" s="38"/>
      <c r="E268" s="38"/>
      <c r="F268" s="38"/>
      <c r="G268" s="38"/>
      <c r="H268" s="38"/>
      <c r="I268" s="38" t="s">
        <v>9</v>
      </c>
      <c r="J268" s="38"/>
      <c r="K268" s="53" t="s">
        <v>44</v>
      </c>
      <c r="L268" s="53" t="s">
        <v>27</v>
      </c>
      <c r="M268" s="157" t="s">
        <v>1658</v>
      </c>
      <c r="N268" s="53" t="s">
        <v>1659</v>
      </c>
      <c r="O268" s="155">
        <v>0</v>
      </c>
      <c r="P268" s="53"/>
      <c r="Q268" s="209"/>
      <c r="R268" s="38" t="s">
        <v>196</v>
      </c>
      <c r="S268" s="38"/>
      <c r="T268" s="38"/>
      <c r="W268" s="15" t="str">
        <f>IF(IFERROR(VLOOKUP($M268,#REF!,1,0),"-")="-","","GS")</f>
        <v/>
      </c>
      <c r="Z268" s="59" t="str">
        <f>IF(OR($M268="",NOT($O268="{array}")),"",IFERROR(MATCH(PARAMETERS!$M268,DEFAULT!$B$5:$CG$5,0),""))</f>
        <v/>
      </c>
      <c r="AA268" s="56">
        <f t="shared" si="9"/>
        <v>55</v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IF($AA268="","",IF($B268="I",VLOOKUP($AA268,#REF!,53,0),INDEX(VALUES!$B$1:$CC$1,1,$AA268)))</f>
        <v>0 | 1</v>
      </c>
    </row>
    <row r="269" spans="1:29" hidden="1" outlineLevel="1" x14ac:dyDescent="0.25">
      <c r="A269" s="22" t="s">
        <v>84</v>
      </c>
      <c r="B269" s="41" t="str">
        <f t="shared" si="19"/>
        <v/>
      </c>
      <c r="C269" s="42">
        <f t="shared" si="12"/>
        <v>268</v>
      </c>
      <c r="D269" s="38"/>
      <c r="E269" s="38"/>
      <c r="F269" s="38"/>
      <c r="G269" s="38"/>
      <c r="H269" s="38"/>
      <c r="I269" s="38" t="s">
        <v>9</v>
      </c>
      <c r="J269" s="38"/>
      <c r="K269" s="159" t="s">
        <v>24</v>
      </c>
      <c r="L269" s="53" t="s">
        <v>27</v>
      </c>
      <c r="M269" s="157" t="s">
        <v>1550</v>
      </c>
      <c r="N269" s="53" t="s">
        <v>1661</v>
      </c>
      <c r="O269" s="155">
        <v>0</v>
      </c>
      <c r="P269" s="53"/>
      <c r="Q269" s="209"/>
      <c r="R269" s="178" t="s">
        <v>103</v>
      </c>
      <c r="S269" s="171"/>
      <c r="T269" s="166"/>
      <c r="U269" s="166"/>
      <c r="V269" s="166"/>
      <c r="W269" s="15"/>
      <c r="X269" s="160"/>
      <c r="Y269" s="166"/>
      <c r="Z269" s="59" t="str">
        <f>IF(OR($M269="",NOT($O269="{array}")),"",IFERROR(MATCH(PARAMETERS!$M269,DEFAULT!$B$5:$CG$5,0),""))</f>
        <v/>
      </c>
      <c r="AA269" s="56" t="str">
        <f>IF($M269="","",IFERROR(MATCH($M269,VALUESnames,0),""))</f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IF($AA269="","",IF($B269="I",VLOOKUP($AA269,#REF!,53,0),INDEX(VALUES!$B$1:$CC$1,1,$AA269)))</f>
        <v/>
      </c>
    </row>
    <row r="270" spans="1:29" hidden="1" outlineLevel="1" x14ac:dyDescent="0.3">
      <c r="A270" s="22" t="s">
        <v>84</v>
      </c>
      <c r="B270" s="41" t="str">
        <f t="shared" si="19"/>
        <v/>
      </c>
      <c r="C270" s="42">
        <f t="shared" si="18"/>
        <v>269</v>
      </c>
      <c r="D270" s="38"/>
      <c r="E270" s="38"/>
      <c r="F270" s="38" t="s">
        <v>9</v>
      </c>
      <c r="G270" s="38"/>
      <c r="H270" s="38"/>
      <c r="I270" s="38" t="s">
        <v>9</v>
      </c>
      <c r="J270" s="38"/>
      <c r="K270" s="213" t="s">
        <v>24</v>
      </c>
      <c r="L270" s="213" t="s">
        <v>27</v>
      </c>
      <c r="M270" s="214" t="s">
        <v>738</v>
      </c>
      <c r="N270" s="213" t="s">
        <v>739</v>
      </c>
      <c r="O270" s="215">
        <v>2.02</v>
      </c>
      <c r="P270" s="213"/>
      <c r="Q270" s="216"/>
      <c r="R270" s="216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IF(OR($M270="",NOT($O270="{array}")),"",IFERROR(MATCH(PARAMETERS!$M270,DEFAULT!$B$5:$CG$5,0),""))</f>
        <v/>
      </c>
      <c r="AA270" s="56" t="str">
        <f t="shared" si="9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IF($AA270="","",IF($B270="I",VLOOKUP($AA270,#REF!,53,0),INDEX(VALUES!$B$1:$CC$1,1,$AA270)))</f>
        <v/>
      </c>
    </row>
    <row r="271" spans="1:29" hidden="1" outlineLevel="1" x14ac:dyDescent="0.25">
      <c r="A271" s="22" t="s">
        <v>84</v>
      </c>
      <c r="B271" s="41" t="str">
        <f t="shared" si="19"/>
        <v>A</v>
      </c>
      <c r="C271" s="42">
        <f t="shared" si="18"/>
        <v>270</v>
      </c>
      <c r="D271" s="38"/>
      <c r="E271" s="38"/>
      <c r="F271" s="38"/>
      <c r="G271" s="38"/>
      <c r="H271" s="38"/>
      <c r="I271" s="38" t="s">
        <v>9</v>
      </c>
      <c r="J271" s="38"/>
      <c r="K271" s="53" t="s">
        <v>24</v>
      </c>
      <c r="L271" s="53" t="s">
        <v>27</v>
      </c>
      <c r="M271" s="157" t="s">
        <v>1371</v>
      </c>
      <c r="N271" s="53" t="s">
        <v>739</v>
      </c>
      <c r="O271" s="155" t="s">
        <v>33</v>
      </c>
      <c r="P271" s="53"/>
      <c r="Q271" s="209" t="s">
        <v>9</v>
      </c>
      <c r="R271" s="178" t="s">
        <v>103</v>
      </c>
      <c r="S271" s="171"/>
      <c r="T271" s="166"/>
      <c r="U271" s="166"/>
      <c r="V271" s="166"/>
      <c r="W271" s="15"/>
      <c r="X271" s="160"/>
      <c r="Y271" s="166"/>
      <c r="Z271" s="59">
        <f>IF(OR($M271="",NOT($O271="{array}")),"",IFERROR(MATCH(PARAMETERS!$M271,DEFAULT!$B$5:$CG$5,0),""))</f>
        <v>21</v>
      </c>
      <c r="AA271" s="56" t="str">
        <f t="shared" ref="AA271:AA287" si="20">IF($M271="","",IFERROR(MATCH($M271,VALUESnames,0),""))</f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IF($AA271="","",IF($B271="I",VLOOKUP($AA271,#REF!,53,0),INDEX(VALUES!$B$1:$CC$1,1,$AA271)))</f>
        <v/>
      </c>
    </row>
    <row r="272" spans="1:29" hidden="1" outlineLevel="1" x14ac:dyDescent="0.3">
      <c r="A272" s="22" t="s">
        <v>84</v>
      </c>
      <c r="B272" s="41" t="str">
        <f t="shared" si="19"/>
        <v/>
      </c>
      <c r="C272" s="42">
        <f t="shared" si="18"/>
        <v>271</v>
      </c>
      <c r="D272" s="38"/>
      <c r="E272" s="38"/>
      <c r="F272" s="38" t="s">
        <v>9</v>
      </c>
      <c r="G272" s="38"/>
      <c r="H272" s="38"/>
      <c r="I272" s="38" t="s">
        <v>9</v>
      </c>
      <c r="J272" s="38"/>
      <c r="K272" s="14" t="s">
        <v>24</v>
      </c>
      <c r="L272" s="14" t="s">
        <v>27</v>
      </c>
      <c r="M272" s="151" t="s">
        <v>802</v>
      </c>
      <c r="N272" s="14" t="s">
        <v>803</v>
      </c>
      <c r="O272" s="43">
        <v>0.1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IF(OR($M272="",NOT($O272="{array}")),"",IFERROR(MATCH(PARAMETERS!$M272,DEFAULT!$B$5:$CG$5,0),""))</f>
        <v/>
      </c>
      <c r="AA272" s="56" t="str">
        <f t="shared" si="20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IF($AA272="","",IF($B272="I",VLOOKUP($AA272,#REF!,53,0),INDEX(VALUES!$B$1:$CC$1,1,$AA272)))</f>
        <v/>
      </c>
    </row>
    <row r="273" spans="1:29" hidden="1" outlineLevel="1" x14ac:dyDescent="0.3">
      <c r="A273" s="22" t="s">
        <v>84</v>
      </c>
      <c r="B273" s="41" t="str">
        <f t="shared" si="19"/>
        <v/>
      </c>
      <c r="C273" s="42">
        <f t="shared" si="18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24</v>
      </c>
      <c r="L273" s="14" t="s">
        <v>27</v>
      </c>
      <c r="M273" s="151" t="s">
        <v>806</v>
      </c>
      <c r="N273" s="14" t="s">
        <v>807</v>
      </c>
      <c r="O273" s="43">
        <v>0.1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IF(OR($M273="",NOT($O273="{array}")),"",IFERROR(MATCH(PARAMETERS!$M273,DEFAULT!$B$5:$CG$5,0),""))</f>
        <v/>
      </c>
      <c r="AA273" s="56" t="str">
        <f t="shared" si="20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IF($AA273="","",IF($B273="I",VLOOKUP($AA273,#REF!,53,0),INDEX(VALUES!$B$1:$CC$1,1,$AA273)))</f>
        <v/>
      </c>
    </row>
    <row r="274" spans="1:29" hidden="1" outlineLevel="1" x14ac:dyDescent="0.3">
      <c r="A274" s="22" t="s">
        <v>84</v>
      </c>
      <c r="B274" s="41" t="str">
        <f t="shared" si="19"/>
        <v/>
      </c>
      <c r="C274" s="42">
        <f t="shared" si="18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24</v>
      </c>
      <c r="L274" s="14" t="s">
        <v>27</v>
      </c>
      <c r="M274" s="151" t="s">
        <v>810</v>
      </c>
      <c r="N274" s="14" t="s">
        <v>811</v>
      </c>
      <c r="O274" s="43">
        <v>0.2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IF(OR($M274="",NOT($O274="{array}")),"",IFERROR(MATCH(PARAMETERS!$M274,DEFAULT!$B$5:$CG$5,0),""))</f>
        <v/>
      </c>
      <c r="AA274" s="56" t="str">
        <f t="shared" si="20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IF($AA274="","",IF($B274="I",VLOOKUP($AA274,#REF!,53,0),INDEX(VALUES!$B$1:$CC$1,1,$AA274)))</f>
        <v/>
      </c>
    </row>
    <row r="275" spans="1:29" hidden="1" outlineLevel="1" x14ac:dyDescent="0.3">
      <c r="A275" s="22" t="s">
        <v>84</v>
      </c>
      <c r="B275" s="41" t="str">
        <f t="shared" si="19"/>
        <v/>
      </c>
      <c r="C275" s="42">
        <f t="shared" si="18"/>
        <v>274</v>
      </c>
      <c r="D275" s="38"/>
      <c r="E275" s="38"/>
      <c r="F275" s="38" t="s">
        <v>9</v>
      </c>
      <c r="G275" s="38"/>
      <c r="H275" s="38"/>
      <c r="I275" s="38" t="s">
        <v>9</v>
      </c>
      <c r="J275" s="38"/>
      <c r="K275" s="14" t="s">
        <v>24</v>
      </c>
      <c r="L275" s="14" t="s">
        <v>27</v>
      </c>
      <c r="M275" s="151" t="s">
        <v>814</v>
      </c>
      <c r="N275" s="14" t="s">
        <v>815</v>
      </c>
      <c r="O275" s="43">
        <v>0.1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IF(OR($M275="",NOT($O275="{array}")),"",IFERROR(MATCH(PARAMETERS!$M275,DEFAULT!$B$5:$CG$5,0),""))</f>
        <v/>
      </c>
      <c r="AA275" s="56" t="str">
        <f t="shared" si="20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IF($AA275="","",IF($B275="I",VLOOKUP($AA275,#REF!,53,0),INDEX(VALUES!$B$1:$CC$1,1,$AA275)))</f>
        <v/>
      </c>
    </row>
    <row r="276" spans="1:29" hidden="1" outlineLevel="1" x14ac:dyDescent="0.3">
      <c r="A276" s="22" t="s">
        <v>84</v>
      </c>
      <c r="B276" s="41" t="str">
        <f t="shared" si="19"/>
        <v/>
      </c>
      <c r="C276" s="42">
        <f t="shared" si="18"/>
        <v>275</v>
      </c>
      <c r="D276" s="38"/>
      <c r="E276" s="38"/>
      <c r="F276" s="38" t="s">
        <v>9</v>
      </c>
      <c r="G276" s="38"/>
      <c r="H276" s="38"/>
      <c r="I276" s="38" t="s">
        <v>9</v>
      </c>
      <c r="J276" s="38"/>
      <c r="K276" s="213" t="s">
        <v>44</v>
      </c>
      <c r="L276" s="213" t="s">
        <v>27</v>
      </c>
      <c r="M276" s="214" t="s">
        <v>818</v>
      </c>
      <c r="N276" s="213" t="s">
        <v>819</v>
      </c>
      <c r="O276" s="215">
        <v>3</v>
      </c>
      <c r="P276" s="213"/>
      <c r="Q276" s="216"/>
      <c r="R276" s="216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IF(OR($M276="",NOT($O276="{array}")),"",IFERROR(MATCH(PARAMETERS!$M276,DEFAULT!$B$5:$CG$5,0),""))</f>
        <v/>
      </c>
      <c r="AA276" s="56" t="str">
        <f t="shared" si="20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IF($AA276="","",IF($B276="I",VLOOKUP($AA276,#REF!,53,0),INDEX(VALUES!$B$1:$CC$1,1,$AA276)))</f>
        <v/>
      </c>
    </row>
    <row r="277" spans="1:29" hidden="1" outlineLevel="1" x14ac:dyDescent="0.3">
      <c r="A277" s="22" t="s">
        <v>84</v>
      </c>
      <c r="B277" s="41" t="str">
        <f t="shared" si="19"/>
        <v/>
      </c>
      <c r="C277" s="42">
        <f t="shared" si="18"/>
        <v>276</v>
      </c>
      <c r="D277" s="38"/>
      <c r="E277" s="38"/>
      <c r="F277" s="38" t="s">
        <v>9</v>
      </c>
      <c r="G277" s="38"/>
      <c r="H277" s="38"/>
      <c r="I277" s="38" t="s">
        <v>9</v>
      </c>
      <c r="J277" s="38"/>
      <c r="K277" s="213" t="s">
        <v>44</v>
      </c>
      <c r="L277" s="213" t="s">
        <v>27</v>
      </c>
      <c r="M277" s="214" t="s">
        <v>822</v>
      </c>
      <c r="N277" s="213" t="s">
        <v>823</v>
      </c>
      <c r="O277" s="215">
        <v>2</v>
      </c>
      <c r="P277" s="213"/>
      <c r="Q277" s="216"/>
      <c r="R277" s="216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IF(OR($M277="",NOT($O277="{array}")),"",IFERROR(MATCH(PARAMETERS!$M277,DEFAULT!$B$5:$CG$5,0),""))</f>
        <v/>
      </c>
      <c r="AA277" s="56" t="str">
        <f t="shared" si="20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IF($AA277="","",IF($B277="I",VLOOKUP($AA277,#REF!,53,0),INDEX(VALUES!$B$1:$CC$1,1,$AA277)))</f>
        <v/>
      </c>
    </row>
    <row r="278" spans="1:29" hidden="1" outlineLevel="1" x14ac:dyDescent="0.3">
      <c r="A278" s="22" t="s">
        <v>84</v>
      </c>
      <c r="B278" s="41" t="str">
        <f t="shared" si="19"/>
        <v/>
      </c>
      <c r="C278" s="42">
        <f t="shared" si="18"/>
        <v>277</v>
      </c>
      <c r="D278" s="38"/>
      <c r="E278" s="38"/>
      <c r="F278" s="38" t="s">
        <v>9</v>
      </c>
      <c r="G278" s="38"/>
      <c r="H278" s="38"/>
      <c r="I278" s="38" t="s">
        <v>9</v>
      </c>
      <c r="J278" s="38"/>
      <c r="K278" s="14" t="s">
        <v>24</v>
      </c>
      <c r="L278" s="14" t="s">
        <v>27</v>
      </c>
      <c r="M278" s="151" t="s">
        <v>826</v>
      </c>
      <c r="N278" s="14" t="s">
        <v>827</v>
      </c>
      <c r="O278" s="43">
        <v>2.5000000000000001E-2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IF(OR($M278="",NOT($O278="{array}")),"",IFERROR(MATCH(PARAMETERS!$M278,DEFAULT!$B$5:$CG$5,0),""))</f>
        <v/>
      </c>
      <c r="AA278" s="56" t="str">
        <f t="shared" si="20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IF($AA278="","",IF($B278="I",VLOOKUP($AA278,#REF!,53,0),INDEX(VALUES!$B$1:$CC$1,1,$AA278)))</f>
        <v/>
      </c>
    </row>
    <row r="279" spans="1:29" hidden="1" outlineLevel="1" x14ac:dyDescent="0.3">
      <c r="A279" s="22" t="s">
        <v>84</v>
      </c>
      <c r="B279" s="41" t="str">
        <f t="shared" si="19"/>
        <v/>
      </c>
      <c r="C279" s="42">
        <f t="shared" si="18"/>
        <v>278</v>
      </c>
      <c r="D279" s="38"/>
      <c r="E279" s="38"/>
      <c r="F279" s="38" t="s">
        <v>9</v>
      </c>
      <c r="G279" s="38"/>
      <c r="H279" s="38"/>
      <c r="I279" s="38" t="s">
        <v>9</v>
      </c>
      <c r="J279" s="38"/>
      <c r="K279" s="14" t="s">
        <v>24</v>
      </c>
      <c r="L279" s="14" t="s">
        <v>27</v>
      </c>
      <c r="M279" s="151" t="s">
        <v>830</v>
      </c>
      <c r="N279" s="14" t="s">
        <v>831</v>
      </c>
      <c r="O279" s="43">
        <v>2.5000000000000001E-2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IF(OR($M279="",NOT($O279="{array}")),"",IFERROR(MATCH(PARAMETERS!$M279,DEFAULT!$B$5:$CG$5,0),""))</f>
        <v/>
      </c>
      <c r="AA279" s="56" t="str">
        <f t="shared" si="20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IF($AA279="","",IF($B279="I",VLOOKUP($AA279,#REF!,53,0),INDEX(VALUES!$B$1:$CC$1,1,$AA279)))</f>
        <v/>
      </c>
    </row>
    <row r="280" spans="1:29" hidden="1" outlineLevel="1" x14ac:dyDescent="0.3">
      <c r="A280" s="22" t="s">
        <v>84</v>
      </c>
      <c r="B280" s="41" t="str">
        <f t="shared" si="19"/>
        <v/>
      </c>
      <c r="C280" s="42">
        <f t="shared" si="18"/>
        <v>279</v>
      </c>
      <c r="D280" s="38"/>
      <c r="E280" s="38"/>
      <c r="F280" s="38" t="s">
        <v>9</v>
      </c>
      <c r="G280" s="38"/>
      <c r="H280" s="38"/>
      <c r="I280" s="38" t="s">
        <v>9</v>
      </c>
      <c r="J280" s="38"/>
      <c r="K280" s="213" t="s">
        <v>24</v>
      </c>
      <c r="L280" s="213" t="s">
        <v>27</v>
      </c>
      <c r="M280" s="214" t="s">
        <v>834</v>
      </c>
      <c r="N280" s="213" t="s">
        <v>1366</v>
      </c>
      <c r="O280" s="215">
        <v>0.2</v>
      </c>
      <c r="P280" s="213"/>
      <c r="Q280" s="216"/>
      <c r="R280" s="216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IF(OR($M280="",NOT($O280="{array}")),"",IFERROR(MATCH(PARAMETERS!$M280,DEFAULT!$B$5:$CG$5,0),""))</f>
        <v/>
      </c>
      <c r="AA280" s="56" t="str">
        <f t="shared" si="20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IF($AA280="","",IF($B280="I",VLOOKUP($AA280,#REF!,53,0),INDEX(VALUES!$B$1:$CC$1,1,$AA280)))</f>
        <v/>
      </c>
    </row>
    <row r="281" spans="1:29" hidden="1" outlineLevel="1" x14ac:dyDescent="0.3">
      <c r="A281" s="22" t="s">
        <v>84</v>
      </c>
      <c r="B281" s="41" t="str">
        <f t="shared" si="19"/>
        <v/>
      </c>
      <c r="C281" s="42">
        <f t="shared" si="18"/>
        <v>280</v>
      </c>
      <c r="D281" s="38"/>
      <c r="E281" s="38"/>
      <c r="F281" s="38" t="s">
        <v>9</v>
      </c>
      <c r="G281" s="38"/>
      <c r="H281" s="38"/>
      <c r="I281" s="38" t="s">
        <v>9</v>
      </c>
      <c r="J281" s="38"/>
      <c r="K281" s="213" t="s">
        <v>24</v>
      </c>
      <c r="L281" s="213" t="s">
        <v>27</v>
      </c>
      <c r="M281" s="214" t="s">
        <v>837</v>
      </c>
      <c r="N281" s="213" t="s">
        <v>838</v>
      </c>
      <c r="O281" s="215">
        <v>0.35</v>
      </c>
      <c r="P281" s="213"/>
      <c r="Q281" s="216"/>
      <c r="R281" s="216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IF(OR($M281="",NOT($O281="{array}")),"",IFERROR(MATCH(PARAMETERS!$M281,DEFAULT!$B$5:$CG$5,0),""))</f>
        <v/>
      </c>
      <c r="AA281" s="56" t="str">
        <f t="shared" si="20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IF($AA281="","",IF($B281="I",VLOOKUP($AA281,#REF!,53,0),INDEX(VALUES!$B$1:$CC$1,1,$AA281)))</f>
        <v/>
      </c>
    </row>
    <row r="282" spans="1:29" hidden="1" outlineLevel="1" x14ac:dyDescent="0.3">
      <c r="A282" s="22" t="s">
        <v>84</v>
      </c>
      <c r="B282" s="41" t="str">
        <f t="shared" si="19"/>
        <v/>
      </c>
      <c r="C282" s="42">
        <f t="shared" si="18"/>
        <v>281</v>
      </c>
      <c r="D282" s="38"/>
      <c r="E282" s="38"/>
      <c r="F282" s="38" t="s">
        <v>9</v>
      </c>
      <c r="G282" s="38"/>
      <c r="H282" s="38"/>
      <c r="I282" s="38" t="s">
        <v>9</v>
      </c>
      <c r="J282" s="38"/>
      <c r="K282" s="213" t="s">
        <v>24</v>
      </c>
      <c r="L282" s="213" t="s">
        <v>27</v>
      </c>
      <c r="M282" s="214" t="s">
        <v>841</v>
      </c>
      <c r="N282" s="213" t="s">
        <v>842</v>
      </c>
      <c r="O282" s="215">
        <v>0.315</v>
      </c>
      <c r="P282" s="213"/>
      <c r="Q282" s="216"/>
      <c r="R282" s="216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IF(OR($M282="",NOT($O282="{array}")),"",IFERROR(MATCH(PARAMETERS!$M282,DEFAULT!$B$5:$CG$5,0),""))</f>
        <v/>
      </c>
      <c r="AA282" s="56" t="str">
        <f t="shared" si="20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IF($AA282="","",IF($B282="I",VLOOKUP($AA282,#REF!,53,0),INDEX(VALUES!$B$1:$CC$1,1,$AA282)))</f>
        <v/>
      </c>
    </row>
    <row r="283" spans="1:29" hidden="1" outlineLevel="1" x14ac:dyDescent="0.3">
      <c r="A283" s="22" t="s">
        <v>84</v>
      </c>
      <c r="B283" s="41" t="str">
        <f t="shared" si="19"/>
        <v/>
      </c>
      <c r="C283" s="42">
        <f t="shared" si="18"/>
        <v>282</v>
      </c>
      <c r="D283" s="38"/>
      <c r="E283" s="38"/>
      <c r="F283" s="38" t="s">
        <v>9</v>
      </c>
      <c r="G283" s="38"/>
      <c r="H283" s="38"/>
      <c r="I283" s="38" t="s">
        <v>9</v>
      </c>
      <c r="J283" s="38"/>
      <c r="K283" s="213" t="s">
        <v>24</v>
      </c>
      <c r="L283" s="213" t="s">
        <v>27</v>
      </c>
      <c r="M283" s="214" t="s">
        <v>845</v>
      </c>
      <c r="N283" s="213" t="s">
        <v>846</v>
      </c>
      <c r="O283" s="215">
        <v>1.4</v>
      </c>
      <c r="P283" s="213"/>
      <c r="Q283" s="216"/>
      <c r="R283" s="216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IF(OR($M283="",NOT($O283="{array}")),"",IFERROR(MATCH(PARAMETERS!$M283,DEFAULT!$B$5:$CG$5,0),""))</f>
        <v/>
      </c>
      <c r="AA283" s="56" t="str">
        <f t="shared" si="20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IF($AA283="","",IF($B283="I",VLOOKUP($AA283,#REF!,53,0),INDEX(VALUES!$B$1:$CC$1,1,$AA283)))</f>
        <v/>
      </c>
    </row>
    <row r="284" spans="1:29" hidden="1" outlineLevel="1" x14ac:dyDescent="0.3">
      <c r="A284" s="22" t="s">
        <v>84</v>
      </c>
      <c r="B284" s="41" t="str">
        <f t="shared" si="19"/>
        <v/>
      </c>
      <c r="C284" s="42">
        <f t="shared" si="18"/>
        <v>283</v>
      </c>
      <c r="D284" s="38"/>
      <c r="E284" s="38"/>
      <c r="F284" s="38" t="s">
        <v>9</v>
      </c>
      <c r="G284" s="38"/>
      <c r="H284" s="38"/>
      <c r="I284" s="38" t="s">
        <v>9</v>
      </c>
      <c r="J284" s="38"/>
      <c r="K284" s="213" t="s">
        <v>24</v>
      </c>
      <c r="L284" s="213" t="s">
        <v>27</v>
      </c>
      <c r="M284" s="214" t="s">
        <v>849</v>
      </c>
      <c r="N284" s="213" t="s">
        <v>850</v>
      </c>
      <c r="O284" s="215">
        <v>0.51500000000000001</v>
      </c>
      <c r="P284" s="213"/>
      <c r="Q284" s="216"/>
      <c r="R284" s="216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IF(OR($M284="",NOT($O284="{array}")),"",IFERROR(MATCH(PARAMETERS!$M284,DEFAULT!$B$5:$CG$5,0),""))</f>
        <v/>
      </c>
      <c r="AA284" s="56" t="str">
        <f t="shared" si="20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IF($AA284="","",IF($B284="I",VLOOKUP($AA284,#REF!,53,0),INDEX(VALUES!$B$1:$CC$1,1,$AA284)))</f>
        <v/>
      </c>
    </row>
    <row r="285" spans="1:29" hidden="1" outlineLevel="1" x14ac:dyDescent="0.25">
      <c r="A285" s="22" t="s">
        <v>84</v>
      </c>
      <c r="B285" s="41" t="str">
        <f t="shared" si="19"/>
        <v/>
      </c>
      <c r="C285" s="42">
        <f t="shared" si="18"/>
        <v>284</v>
      </c>
      <c r="D285" s="38"/>
      <c r="E285" s="38"/>
      <c r="F285" s="38"/>
      <c r="G285" s="38"/>
      <c r="H285" s="38"/>
      <c r="I285" s="38" t="s">
        <v>9</v>
      </c>
      <c r="J285" s="38"/>
      <c r="K285" s="53" t="s">
        <v>24</v>
      </c>
      <c r="L285" s="53" t="s">
        <v>27</v>
      </c>
      <c r="M285" s="157" t="s">
        <v>1367</v>
      </c>
      <c r="N285" s="53" t="s">
        <v>1369</v>
      </c>
      <c r="O285" s="155">
        <v>0.1</v>
      </c>
      <c r="P285" s="53"/>
      <c r="Q285" s="209" t="s">
        <v>9</v>
      </c>
      <c r="R285" s="178" t="s">
        <v>103</v>
      </c>
      <c r="S285" s="171"/>
      <c r="T285" s="166"/>
      <c r="U285" s="166"/>
      <c r="V285" s="166"/>
      <c r="W285" s="15"/>
      <c r="X285" s="160"/>
      <c r="Y285" s="166"/>
      <c r="Z285" s="59" t="str">
        <f>IF(OR($M285="",NOT($O285="{array}")),"",IFERROR(MATCH(PARAMETERS!$M285,DEFAULT!$B$5:$CG$5,0),""))</f>
        <v/>
      </c>
      <c r="AA285" s="56" t="str">
        <f t="shared" si="20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IF($AA285="","",IF($B285="I",VLOOKUP($AA285,#REF!,53,0),INDEX(VALUES!$B$1:$CC$1,1,$AA285)))</f>
        <v/>
      </c>
    </row>
    <row r="286" spans="1:29" hidden="1" outlineLevel="1" x14ac:dyDescent="0.25">
      <c r="A286" s="22" t="s">
        <v>84</v>
      </c>
      <c r="B286" s="41" t="str">
        <f t="shared" si="19"/>
        <v/>
      </c>
      <c r="C286" s="42">
        <f t="shared" si="18"/>
        <v>285</v>
      </c>
      <c r="D286" s="38"/>
      <c r="E286" s="38"/>
      <c r="F286" s="38"/>
      <c r="G286" s="38"/>
      <c r="H286" s="38"/>
      <c r="I286" s="38" t="s">
        <v>9</v>
      </c>
      <c r="J286" s="38"/>
      <c r="K286" s="53" t="s">
        <v>24</v>
      </c>
      <c r="L286" s="53" t="s">
        <v>27</v>
      </c>
      <c r="M286" s="157" t="s">
        <v>1368</v>
      </c>
      <c r="N286" s="53" t="s">
        <v>1370</v>
      </c>
      <c r="O286" s="155">
        <v>0.1</v>
      </c>
      <c r="P286" s="53"/>
      <c r="Q286" s="209" t="s">
        <v>9</v>
      </c>
      <c r="R286" s="178" t="s">
        <v>103</v>
      </c>
      <c r="S286" s="171"/>
      <c r="T286" s="166"/>
      <c r="U286" s="166"/>
      <c r="V286" s="166"/>
      <c r="W286" s="15"/>
      <c r="X286" s="160"/>
      <c r="Y286" s="166"/>
      <c r="Z286" s="59" t="str">
        <f>IF(OR($M286="",NOT($O286="{array}")),"",IFERROR(MATCH(PARAMETERS!$M286,DEFAULT!$B$5:$CG$5,0),""))</f>
        <v/>
      </c>
      <c r="AA286" s="56" t="str">
        <f t="shared" si="20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IF($AA286="","",IF($B286="I",VLOOKUP($AA286,#REF!,53,0),INDEX(VALUES!$B$1:$CC$1,1,$AA286)))</f>
        <v/>
      </c>
    </row>
    <row r="287" spans="1:29" hidden="1" outlineLevel="1" x14ac:dyDescent="0.25">
      <c r="A287" s="22" t="s">
        <v>84</v>
      </c>
      <c r="B287" s="41" t="str">
        <f t="shared" si="19"/>
        <v/>
      </c>
      <c r="C287" s="42">
        <f t="shared" si="18"/>
        <v>286</v>
      </c>
      <c r="D287" s="38"/>
      <c r="E287" s="38"/>
      <c r="F287" s="38"/>
      <c r="G287" s="38"/>
      <c r="H287" s="38"/>
      <c r="I287" s="38" t="s">
        <v>9</v>
      </c>
      <c r="J287" s="38"/>
      <c r="K287" s="53" t="s">
        <v>24</v>
      </c>
      <c r="L287" s="53" t="s">
        <v>27</v>
      </c>
      <c r="M287" s="157" t="s">
        <v>1372</v>
      </c>
      <c r="N287" s="53" t="s">
        <v>1373</v>
      </c>
      <c r="O287" s="155">
        <v>0.1</v>
      </c>
      <c r="P287" s="53"/>
      <c r="Q287" s="209" t="s">
        <v>9</v>
      </c>
      <c r="R287" s="178" t="s">
        <v>103</v>
      </c>
      <c r="S287" s="171"/>
      <c r="T287" s="166"/>
      <c r="U287" s="166"/>
      <c r="V287" s="166"/>
      <c r="W287" s="15"/>
      <c r="X287" s="160"/>
      <c r="Y287" s="166"/>
      <c r="Z287" s="59" t="str">
        <f>IF(OR($M287="",NOT($O287="{array}")),"",IFERROR(MATCH(PARAMETERS!$M287,DEFAULT!$B$5:$CG$5,0),""))</f>
        <v/>
      </c>
      <c r="AA287" s="56" t="str">
        <f t="shared" si="20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IF($AA287="","",IF($B287="I",VLOOKUP($AA287,#REF!,53,0),INDEX(VALUES!$B$1:$CC$1,1,$AA287)))</f>
        <v/>
      </c>
    </row>
    <row r="288" spans="1:29" hidden="1" outlineLevel="1" x14ac:dyDescent="0.3">
      <c r="A288" s="22" t="s">
        <v>84</v>
      </c>
      <c r="B288" s="41" t="str">
        <f t="shared" si="19"/>
        <v/>
      </c>
      <c r="C288" s="42">
        <f t="shared" si="18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50</v>
      </c>
      <c r="L288" s="14" t="s">
        <v>27</v>
      </c>
      <c r="M288" s="20" t="s">
        <v>742</v>
      </c>
      <c r="N288" s="14" t="s">
        <v>743</v>
      </c>
      <c r="O288" s="43">
        <v>54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IF(OR($M288="",NOT($O288="{array}")),"",IFERROR(MATCH(PARAMETERS!$M288,DEFAULT!$B$5:$CG$5,0),""))</f>
        <v/>
      </c>
      <c r="AA288" s="56" t="str">
        <f t="shared" si="9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IF($AA288="","",IF($B288="I",VLOOKUP($AA288,#REF!,53,0),INDEX(VALUES!$B$1:$CC$1,1,$AA288)))</f>
        <v/>
      </c>
    </row>
    <row r="289" spans="1:29" hidden="1" outlineLevel="1" x14ac:dyDescent="0.25">
      <c r="A289" s="22"/>
      <c r="B289" s="41" t="str">
        <f t="shared" si="19"/>
        <v/>
      </c>
      <c r="C289" s="42">
        <f t="shared" si="18"/>
        <v>288</v>
      </c>
      <c r="D289" s="38"/>
      <c r="E289" s="38"/>
      <c r="F289" s="38"/>
      <c r="G289" s="38"/>
      <c r="H289" s="38"/>
      <c r="I289" s="38" t="s">
        <v>9</v>
      </c>
      <c r="J289" s="38"/>
      <c r="K289" s="166" t="s">
        <v>44</v>
      </c>
      <c r="L289" s="167" t="s">
        <v>21</v>
      </c>
      <c r="M289" s="166" t="s">
        <v>747</v>
      </c>
      <c r="N289" s="166" t="s">
        <v>265</v>
      </c>
      <c r="O289" s="166" t="s">
        <v>265</v>
      </c>
      <c r="P289" s="160" t="s">
        <v>124</v>
      </c>
      <c r="Q289" s="171" t="s">
        <v>9</v>
      </c>
      <c r="R289" s="171" t="s">
        <v>103</v>
      </c>
      <c r="S289" s="171" t="s">
        <v>112</v>
      </c>
      <c r="T289" s="166" t="s">
        <v>265</v>
      </c>
      <c r="U289" s="166" t="s">
        <v>265</v>
      </c>
      <c r="V289" s="166" t="s">
        <v>747</v>
      </c>
      <c r="W289" s="15" t="str">
        <f>IF(IFERROR(VLOOKUP($M289,#REF!,1,0),"-")="-","","GS")</f>
        <v/>
      </c>
      <c r="X289" s="160">
        <v>65</v>
      </c>
      <c r="Y289" s="166" t="s">
        <v>748</v>
      </c>
      <c r="Z289" s="59" t="str">
        <f>IF(OR($M289="",NOT($O289="{array}")),"",IFERROR(MATCH(PARAMETERS!$M289,DEFAULT!$B$5:$CG$5,0),""))</f>
        <v/>
      </c>
      <c r="AA289" s="56" t="str">
        <f t="shared" si="9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IF($AA289="","",IF($B289="I",VLOOKUP($AA289,#REF!,53,0),INDEX(VALUES!$B$1:$CC$1,1,$AA289)))</f>
        <v/>
      </c>
    </row>
    <row r="290" spans="1:29" hidden="1" outlineLevel="1" x14ac:dyDescent="0.25">
      <c r="A290" s="22"/>
      <c r="B290" s="41" t="str">
        <f t="shared" si="19"/>
        <v/>
      </c>
      <c r="C290" s="42">
        <f t="shared" si="18"/>
        <v>289</v>
      </c>
      <c r="D290" s="38"/>
      <c r="E290" s="38"/>
      <c r="F290" s="38"/>
      <c r="G290" s="38"/>
      <c r="H290" s="38"/>
      <c r="I290" s="38" t="s">
        <v>9</v>
      </c>
      <c r="J290" s="38"/>
      <c r="K290" s="166" t="s">
        <v>44</v>
      </c>
      <c r="L290" s="167" t="s">
        <v>21</v>
      </c>
      <c r="M290" s="166" t="s">
        <v>749</v>
      </c>
      <c r="N290" s="166" t="s">
        <v>265</v>
      </c>
      <c r="O290" s="166" t="s">
        <v>265</v>
      </c>
      <c r="P290" s="160" t="s">
        <v>124</v>
      </c>
      <c r="Q290" s="171" t="s">
        <v>9</v>
      </c>
      <c r="R290" s="171" t="s">
        <v>103</v>
      </c>
      <c r="S290" s="171" t="s">
        <v>112</v>
      </c>
      <c r="T290" s="166" t="s">
        <v>265</v>
      </c>
      <c r="U290" s="166" t="s">
        <v>265</v>
      </c>
      <c r="V290" s="166" t="s">
        <v>749</v>
      </c>
      <c r="W290" s="15" t="str">
        <f>IF(IFERROR(VLOOKUP($M290,#REF!,1,0),"-")="-","","GS")</f>
        <v/>
      </c>
      <c r="X290" s="160">
        <v>66</v>
      </c>
      <c r="Y290" s="166" t="s">
        <v>750</v>
      </c>
      <c r="Z290" s="59" t="str">
        <f>IF(OR($M290="",NOT($O290="{array}")),"",IFERROR(MATCH(PARAMETERS!$M290,DEFAULT!$B$5:$CG$5,0),""))</f>
        <v/>
      </c>
      <c r="AA290" s="56" t="str">
        <f t="shared" si="9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IF($AA290="","",IF($B290="I",VLOOKUP($AA290,#REF!,53,0),INDEX(VALUES!$B$1:$CC$1,1,$AA290)))</f>
        <v/>
      </c>
    </row>
    <row r="291" spans="1:29" hidden="1" outlineLevel="1" x14ac:dyDescent="0.25">
      <c r="A291" s="22"/>
      <c r="B291" s="41" t="str">
        <f t="shared" si="19"/>
        <v/>
      </c>
      <c r="C291" s="42">
        <f t="shared" si="18"/>
        <v>290</v>
      </c>
      <c r="D291" s="38"/>
      <c r="E291" s="38"/>
      <c r="F291" s="38"/>
      <c r="G291" s="38"/>
      <c r="H291" s="38"/>
      <c r="I291" s="38" t="s">
        <v>9</v>
      </c>
      <c r="J291" s="38"/>
      <c r="K291" s="166" t="s">
        <v>36</v>
      </c>
      <c r="L291" s="167" t="s">
        <v>21</v>
      </c>
      <c r="M291" s="166" t="s">
        <v>751</v>
      </c>
      <c r="N291" s="166" t="s">
        <v>265</v>
      </c>
      <c r="O291" s="166" t="s">
        <v>265</v>
      </c>
      <c r="P291" s="160" t="s">
        <v>752</v>
      </c>
      <c r="Q291" s="171" t="s">
        <v>9</v>
      </c>
      <c r="R291" s="171" t="s">
        <v>103</v>
      </c>
      <c r="S291" s="171" t="s">
        <v>112</v>
      </c>
      <c r="T291" s="166" t="s">
        <v>265</v>
      </c>
      <c r="U291" s="166" t="s">
        <v>265</v>
      </c>
      <c r="V291" s="166" t="s">
        <v>751</v>
      </c>
      <c r="W291" s="15" t="str">
        <f>IF(IFERROR(VLOOKUP($M291,#REF!,1,0),"-")="-","","GS")</f>
        <v/>
      </c>
      <c r="X291" s="160" t="s">
        <v>265</v>
      </c>
      <c r="Y291" s="166" t="s">
        <v>753</v>
      </c>
      <c r="Z291" s="59" t="str">
        <f>IF(OR($M291="",NOT($O291="{array}")),"",IFERROR(MATCH(PARAMETERS!$M291,DEFAULT!$B$5:$CG$5,0),""))</f>
        <v/>
      </c>
      <c r="AA291" s="56" t="str">
        <f t="shared" si="9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IF($AA291="","",IF($B291="I",VLOOKUP($AA291,#REF!,53,0),INDEX(VALUES!$B$1:$CC$1,1,$AA291)))</f>
        <v/>
      </c>
    </row>
    <row r="292" spans="1:29" hidden="1" outlineLevel="1" x14ac:dyDescent="0.25">
      <c r="A292" s="22"/>
      <c r="B292" s="41" t="str">
        <f t="shared" si="19"/>
        <v/>
      </c>
      <c r="C292" s="42">
        <f t="shared" si="18"/>
        <v>291</v>
      </c>
      <c r="D292" s="38"/>
      <c r="E292" s="38"/>
      <c r="F292" s="38"/>
      <c r="G292" s="38"/>
      <c r="H292" s="38"/>
      <c r="I292" s="38" t="s">
        <v>9</v>
      </c>
      <c r="J292" s="38"/>
      <c r="K292" s="166" t="s">
        <v>44</v>
      </c>
      <c r="L292" s="167" t="s">
        <v>21</v>
      </c>
      <c r="M292" s="166" t="s">
        <v>754</v>
      </c>
      <c r="N292" s="166" t="s">
        <v>265</v>
      </c>
      <c r="O292" s="166" t="s">
        <v>265</v>
      </c>
      <c r="P292" s="160" t="s">
        <v>124</v>
      </c>
      <c r="Q292" s="171" t="s">
        <v>9</v>
      </c>
      <c r="R292" s="171" t="s">
        <v>103</v>
      </c>
      <c r="S292" s="171" t="s">
        <v>112</v>
      </c>
      <c r="T292" s="166" t="s">
        <v>265</v>
      </c>
      <c r="U292" s="166" t="s">
        <v>265</v>
      </c>
      <c r="V292" s="166" t="s">
        <v>754</v>
      </c>
      <c r="W292" s="15" t="str">
        <f>IF(IFERROR(VLOOKUP($M292,#REF!,1,0),"-")="-","","GS")</f>
        <v/>
      </c>
      <c r="X292" s="160">
        <v>67</v>
      </c>
      <c r="Y292" s="166" t="s">
        <v>755</v>
      </c>
      <c r="Z292" s="59" t="str">
        <f>IF(OR($M292="",NOT($O292="{array}")),"",IFERROR(MATCH(PARAMETERS!$M292,DEFAULT!$B$5:$CG$5,0),""))</f>
        <v/>
      </c>
      <c r="AA292" s="56" t="str">
        <f t="shared" si="9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IF($AA292="","",IF($B292="I",VLOOKUP($AA292,#REF!,53,0),INDEX(VALUES!$B$1:$CC$1,1,$AA292)))</f>
        <v/>
      </c>
    </row>
    <row r="293" spans="1:29" hidden="1" outlineLevel="1" x14ac:dyDescent="0.25">
      <c r="A293" s="22"/>
      <c r="B293" s="41" t="str">
        <f t="shared" si="19"/>
        <v/>
      </c>
      <c r="C293" s="42">
        <f t="shared" si="18"/>
        <v>292</v>
      </c>
      <c r="D293" s="38"/>
      <c r="E293" s="38"/>
      <c r="F293" s="38"/>
      <c r="G293" s="38"/>
      <c r="H293" s="38"/>
      <c r="I293" s="38" t="s">
        <v>9</v>
      </c>
      <c r="J293" s="38"/>
      <c r="K293" s="166" t="s">
        <v>47</v>
      </c>
      <c r="L293" s="167" t="s">
        <v>21</v>
      </c>
      <c r="M293" s="166" t="s">
        <v>756</v>
      </c>
      <c r="N293" s="166" t="s">
        <v>265</v>
      </c>
      <c r="O293" s="166" t="s">
        <v>265</v>
      </c>
      <c r="P293" s="160" t="s">
        <v>265</v>
      </c>
      <c r="Q293" s="171" t="s">
        <v>9</v>
      </c>
      <c r="R293" s="171" t="s">
        <v>103</v>
      </c>
      <c r="S293" s="171" t="s">
        <v>112</v>
      </c>
      <c r="T293" s="166" t="s">
        <v>265</v>
      </c>
      <c r="U293" s="166" t="s">
        <v>265</v>
      </c>
      <c r="V293" s="166" t="s">
        <v>756</v>
      </c>
      <c r="W293" s="15" t="str">
        <f>IF(IFERROR(VLOOKUP($M293,#REF!,1,0),"-")="-","","GS")</f>
        <v/>
      </c>
      <c r="X293" s="160" t="s">
        <v>265</v>
      </c>
      <c r="Y293" s="166" t="s">
        <v>757</v>
      </c>
      <c r="Z293" s="59" t="str">
        <f>IF(OR($M293="",NOT($O293="{array}")),"",IFERROR(MATCH(PARAMETERS!$M293,DEFAULT!$B$5:$CG$5,0),""))</f>
        <v/>
      </c>
      <c r="AA293" s="56" t="str">
        <f t="shared" si="9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IF($AA293="","",IF($B293="I",VLOOKUP($AA293,#REF!,53,0),INDEX(VALUES!$B$1:$CC$1,1,$AA293)))</f>
        <v/>
      </c>
    </row>
    <row r="294" spans="1:29" hidden="1" outlineLevel="1" x14ac:dyDescent="0.25">
      <c r="A294" s="22"/>
      <c r="B294" s="41" t="str">
        <f t="shared" si="19"/>
        <v/>
      </c>
      <c r="C294" s="42">
        <f t="shared" si="18"/>
        <v>293</v>
      </c>
      <c r="D294" s="38"/>
      <c r="E294" s="38"/>
      <c r="F294" s="38"/>
      <c r="G294" s="38"/>
      <c r="H294" s="38"/>
      <c r="I294" s="38" t="s">
        <v>9</v>
      </c>
      <c r="J294" s="38"/>
      <c r="K294" s="166" t="s">
        <v>47</v>
      </c>
      <c r="L294" s="167" t="s">
        <v>21</v>
      </c>
      <c r="M294" s="166" t="s">
        <v>758</v>
      </c>
      <c r="N294" s="166" t="s">
        <v>265</v>
      </c>
      <c r="O294" s="166" t="s">
        <v>265</v>
      </c>
      <c r="P294" s="160" t="s">
        <v>265</v>
      </c>
      <c r="Q294" s="171" t="s">
        <v>9</v>
      </c>
      <c r="R294" s="171" t="s">
        <v>103</v>
      </c>
      <c r="S294" s="171" t="s">
        <v>112</v>
      </c>
      <c r="T294" s="166" t="s">
        <v>265</v>
      </c>
      <c r="U294" s="166" t="s">
        <v>265</v>
      </c>
      <c r="V294" s="166" t="s">
        <v>758</v>
      </c>
      <c r="W294" s="15" t="str">
        <f>IF(IFERROR(VLOOKUP($M294,#REF!,1,0),"-")="-","","GS")</f>
        <v/>
      </c>
      <c r="X294" s="160">
        <v>69</v>
      </c>
      <c r="Y294" s="166" t="s">
        <v>759</v>
      </c>
      <c r="Z294" s="59" t="str">
        <f>IF(OR($M294="",NOT($O294="{array}")),"",IFERROR(MATCH(PARAMETERS!$M294,DEFAULT!$B$5:$CG$5,0),""))</f>
        <v/>
      </c>
      <c r="AA294" s="56" t="str">
        <f t="shared" si="9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IF($AA294="","",IF($B294="I",VLOOKUP($AA294,#REF!,53,0),INDEX(VALUES!$B$1:$CC$1,1,$AA294)))</f>
        <v/>
      </c>
    </row>
    <row r="295" spans="1:29" hidden="1" outlineLevel="1" x14ac:dyDescent="0.25">
      <c r="A295" s="22"/>
      <c r="B295" s="41" t="str">
        <f t="shared" si="19"/>
        <v/>
      </c>
      <c r="C295" s="42">
        <f t="shared" si="18"/>
        <v>294</v>
      </c>
      <c r="D295" s="38"/>
      <c r="E295" s="38"/>
      <c r="F295" s="38"/>
      <c r="G295" s="38"/>
      <c r="H295" s="38"/>
      <c r="I295" s="38" t="s">
        <v>9</v>
      </c>
      <c r="J295" s="38"/>
      <c r="K295" s="166" t="s">
        <v>18</v>
      </c>
      <c r="L295" s="167" t="s">
        <v>21</v>
      </c>
      <c r="M295" s="166" t="s">
        <v>760</v>
      </c>
      <c r="N295" s="166" t="s">
        <v>265</v>
      </c>
      <c r="O295" s="166" t="s">
        <v>761</v>
      </c>
      <c r="P295" s="160" t="s">
        <v>265</v>
      </c>
      <c r="Q295" s="171" t="s">
        <v>9</v>
      </c>
      <c r="R295" s="171" t="s">
        <v>103</v>
      </c>
      <c r="S295" s="171" t="s">
        <v>112</v>
      </c>
      <c r="T295" s="166" t="s">
        <v>265</v>
      </c>
      <c r="U295" s="166" t="s">
        <v>265</v>
      </c>
      <c r="V295" s="166" t="s">
        <v>760</v>
      </c>
      <c r="W295" s="15" t="str">
        <f>IF(IFERROR(VLOOKUP($M295,#REF!,1,0),"-")="-","","GS")</f>
        <v/>
      </c>
      <c r="X295" s="160">
        <v>68</v>
      </c>
      <c r="Y295" s="166" t="s">
        <v>762</v>
      </c>
      <c r="Z295" s="59" t="str">
        <f>IF(OR($M295="",NOT($O295="{array}")),"",IFERROR(MATCH(PARAMETERS!$M295,DEFAULT!$B$5:$CG$5,0),""))</f>
        <v/>
      </c>
      <c r="AA295" s="56" t="str">
        <f t="shared" si="9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IF($AA295="","",IF($B295="I",VLOOKUP($AA295,#REF!,53,0),INDEX(VALUES!$B$1:$CC$1,1,$AA295)))</f>
        <v/>
      </c>
    </row>
    <row r="296" spans="1:29" hidden="1" outlineLevel="1" x14ac:dyDescent="0.25">
      <c r="A296" s="22"/>
      <c r="B296" s="41" t="str">
        <f t="shared" si="19"/>
        <v/>
      </c>
      <c r="C296" s="42">
        <f t="shared" si="18"/>
        <v>295</v>
      </c>
      <c r="D296" s="38"/>
      <c r="E296" s="38"/>
      <c r="F296" s="38"/>
      <c r="G296" s="38"/>
      <c r="H296" s="38"/>
      <c r="I296" s="38" t="s">
        <v>9</v>
      </c>
      <c r="J296" s="38"/>
      <c r="K296" s="166" t="s">
        <v>100</v>
      </c>
      <c r="L296" s="167" t="s">
        <v>21</v>
      </c>
      <c r="M296" s="166" t="s">
        <v>763</v>
      </c>
      <c r="N296" s="166" t="s">
        <v>265</v>
      </c>
      <c r="O296" s="166" t="s">
        <v>467</v>
      </c>
      <c r="P296" s="160" t="s">
        <v>265</v>
      </c>
      <c r="Q296" s="171" t="s">
        <v>9</v>
      </c>
      <c r="R296" s="171" t="s">
        <v>103</v>
      </c>
      <c r="S296" s="171" t="s">
        <v>112</v>
      </c>
      <c r="T296" s="166" t="s">
        <v>265</v>
      </c>
      <c r="U296" s="166" t="s">
        <v>265</v>
      </c>
      <c r="V296" s="166" t="s">
        <v>763</v>
      </c>
      <c r="W296" s="15" t="str">
        <f>IF(IFERROR(VLOOKUP($M296,#REF!,1,0),"-")="-","","GS")</f>
        <v/>
      </c>
      <c r="X296" s="160" t="s">
        <v>265</v>
      </c>
      <c r="Y296" s="166" t="s">
        <v>764</v>
      </c>
      <c r="Z296" s="59" t="str">
        <f>IF(OR($M296="",NOT($O296="{array}")),"",IFERROR(MATCH(PARAMETERS!$M296,DEFAULT!$B$5:$CG$5,0),""))</f>
        <v/>
      </c>
      <c r="AA296" s="56" t="str">
        <f t="shared" si="9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IF($AA296="","",IF($B296="I",VLOOKUP($AA296,#REF!,53,0),INDEX(VALUES!$B$1:$CC$1,1,$AA296)))</f>
        <v/>
      </c>
    </row>
    <row r="297" spans="1:29" hidden="1" outlineLevel="1" x14ac:dyDescent="0.25">
      <c r="A297" s="22"/>
      <c r="B297" s="41" t="str">
        <f t="shared" si="19"/>
        <v/>
      </c>
      <c r="C297" s="42">
        <f t="shared" si="18"/>
        <v>296</v>
      </c>
      <c r="D297" s="38"/>
      <c r="E297" s="38"/>
      <c r="F297" s="38"/>
      <c r="G297" s="38"/>
      <c r="H297" s="38"/>
      <c r="I297" s="38" t="s">
        <v>9</v>
      </c>
      <c r="J297" s="38"/>
      <c r="K297" s="166" t="s">
        <v>44</v>
      </c>
      <c r="L297" s="167" t="s">
        <v>21</v>
      </c>
      <c r="M297" s="166" t="s">
        <v>765</v>
      </c>
      <c r="N297" s="166" t="s">
        <v>265</v>
      </c>
      <c r="O297" s="166" t="s">
        <v>265</v>
      </c>
      <c r="P297" s="160" t="s">
        <v>124</v>
      </c>
      <c r="Q297" s="171" t="s">
        <v>9</v>
      </c>
      <c r="R297" s="171" t="s">
        <v>103</v>
      </c>
      <c r="S297" s="171" t="s">
        <v>112</v>
      </c>
      <c r="T297" s="166" t="s">
        <v>265</v>
      </c>
      <c r="U297" s="166" t="s">
        <v>265</v>
      </c>
      <c r="V297" s="166" t="s">
        <v>765</v>
      </c>
      <c r="W297" s="15" t="str">
        <f>IF(IFERROR(VLOOKUP($M297,#REF!,1,0),"-")="-","","GS")</f>
        <v/>
      </c>
      <c r="X297" s="160" t="s">
        <v>265</v>
      </c>
      <c r="Y297" s="166" t="s">
        <v>766</v>
      </c>
      <c r="Z297" s="59" t="str">
        <f>IF(OR($M297="",NOT($O297="{array}")),"",IFERROR(MATCH(PARAMETERS!$M297,DEFAULT!$B$5:$CG$5,0),""))</f>
        <v/>
      </c>
      <c r="AA297" s="56" t="str">
        <f t="shared" si="9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IF($AA297="","",IF($B297="I",VLOOKUP($AA297,#REF!,53,0),INDEX(VALUES!$B$1:$CC$1,1,$AA297)))</f>
        <v/>
      </c>
    </row>
    <row r="298" spans="1:29" hidden="1" outlineLevel="1" x14ac:dyDescent="0.25">
      <c r="A298" s="22"/>
      <c r="B298" s="41" t="str">
        <f t="shared" ref="B298:B329" si="21">IF($A298="P",IF(NOT($Z298=""),"A",IF(NOT($AA298=""),"I","")),IF(NOT($AA298=""),IF($A298="G","V","X"),IF(NOT($Z298=""),"A","")))</f>
        <v/>
      </c>
      <c r="C298" s="42">
        <f t="shared" si="18"/>
        <v>297</v>
      </c>
      <c r="D298" s="38"/>
      <c r="E298" s="38"/>
      <c r="F298" s="38"/>
      <c r="G298" s="38"/>
      <c r="H298" s="38"/>
      <c r="I298" s="38" t="s">
        <v>9</v>
      </c>
      <c r="J298" s="38"/>
      <c r="K298" s="166" t="s">
        <v>44</v>
      </c>
      <c r="L298" s="167" t="s">
        <v>21</v>
      </c>
      <c r="M298" s="166" t="s">
        <v>767</v>
      </c>
      <c r="N298" s="166" t="s">
        <v>265</v>
      </c>
      <c r="O298" s="166" t="s">
        <v>265</v>
      </c>
      <c r="P298" s="160" t="s">
        <v>124</v>
      </c>
      <c r="Q298" s="171" t="s">
        <v>9</v>
      </c>
      <c r="R298" s="171" t="s">
        <v>103</v>
      </c>
      <c r="S298" s="171" t="s">
        <v>112</v>
      </c>
      <c r="T298" s="166" t="s">
        <v>265</v>
      </c>
      <c r="U298" s="166" t="s">
        <v>265</v>
      </c>
      <c r="V298" s="166" t="s">
        <v>767</v>
      </c>
      <c r="W298" s="15" t="str">
        <f>IF(IFERROR(VLOOKUP($M298,#REF!,1,0),"-")="-","","GS")</f>
        <v/>
      </c>
      <c r="X298" s="160" t="s">
        <v>265</v>
      </c>
      <c r="Y298" s="166" t="s">
        <v>768</v>
      </c>
      <c r="Z298" s="59" t="str">
        <f>IF(OR($M298="",NOT($O298="{array}")),"",IFERROR(MATCH(PARAMETERS!$M298,DEFAULT!$B$5:$CG$5,0),""))</f>
        <v/>
      </c>
      <c r="AA298" s="56" t="str">
        <f t="shared" si="9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IF($AA298="","",IF($B298="I",VLOOKUP($AA298,#REF!,53,0),INDEX(VALUES!$B$1:$CC$1,1,$AA298)))</f>
        <v/>
      </c>
    </row>
    <row r="299" spans="1:29" hidden="1" outlineLevel="1" x14ac:dyDescent="0.25">
      <c r="A299" s="22"/>
      <c r="B299" s="41" t="str">
        <f t="shared" si="21"/>
        <v/>
      </c>
      <c r="C299" s="42">
        <f t="shared" si="18"/>
        <v>298</v>
      </c>
      <c r="D299" s="38"/>
      <c r="E299" s="38"/>
      <c r="F299" s="38"/>
      <c r="G299" s="38"/>
      <c r="H299" s="38"/>
      <c r="I299" s="38" t="s">
        <v>9</v>
      </c>
      <c r="J299" s="38"/>
      <c r="K299" s="166" t="s">
        <v>44</v>
      </c>
      <c r="L299" s="167" t="s">
        <v>21</v>
      </c>
      <c r="M299" s="166" t="s">
        <v>769</v>
      </c>
      <c r="N299" s="166" t="s">
        <v>265</v>
      </c>
      <c r="O299" s="166" t="s">
        <v>265</v>
      </c>
      <c r="P299" s="160" t="s">
        <v>124</v>
      </c>
      <c r="Q299" s="171" t="s">
        <v>9</v>
      </c>
      <c r="R299" s="171" t="s">
        <v>103</v>
      </c>
      <c r="S299" s="171" t="s">
        <v>112</v>
      </c>
      <c r="T299" s="166" t="s">
        <v>265</v>
      </c>
      <c r="U299" s="166" t="s">
        <v>265</v>
      </c>
      <c r="V299" s="166" t="s">
        <v>769</v>
      </c>
      <c r="W299" s="15" t="str">
        <f>IF(IFERROR(VLOOKUP($M299,#REF!,1,0),"-")="-","","GS")</f>
        <v/>
      </c>
      <c r="X299" s="160" t="s">
        <v>265</v>
      </c>
      <c r="Y299" s="166" t="s">
        <v>770</v>
      </c>
      <c r="Z299" s="59" t="str">
        <f>IF(OR($M299="",NOT($O299="{array}")),"",IFERROR(MATCH(PARAMETERS!$M299,DEFAULT!$B$5:$CG$5,0),""))</f>
        <v/>
      </c>
      <c r="AA299" s="56" t="str">
        <f t="shared" si="9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IF($AA299="","",IF($B299="I",VLOOKUP($AA299,#REF!,53,0),INDEX(VALUES!$B$1:$CC$1,1,$AA299)))</f>
        <v/>
      </c>
    </row>
    <row r="300" spans="1:29" hidden="1" outlineLevel="1" x14ac:dyDescent="0.25">
      <c r="A300" s="22"/>
      <c r="B300" s="41" t="str">
        <f t="shared" si="21"/>
        <v/>
      </c>
      <c r="C300" s="42">
        <f t="shared" si="18"/>
        <v>299</v>
      </c>
      <c r="D300" s="38"/>
      <c r="E300" s="38"/>
      <c r="F300" s="38"/>
      <c r="G300" s="38"/>
      <c r="H300" s="38"/>
      <c r="I300" s="38" t="s">
        <v>9</v>
      </c>
      <c r="J300" s="38"/>
      <c r="K300" s="166" t="s">
        <v>44</v>
      </c>
      <c r="L300" s="167" t="s">
        <v>21</v>
      </c>
      <c r="M300" s="166" t="s">
        <v>771</v>
      </c>
      <c r="N300" s="166" t="s">
        <v>265</v>
      </c>
      <c r="O300" s="166" t="s">
        <v>265</v>
      </c>
      <c r="P300" s="160" t="s">
        <v>124</v>
      </c>
      <c r="Q300" s="171" t="s">
        <v>9</v>
      </c>
      <c r="R300" s="171" t="s">
        <v>103</v>
      </c>
      <c r="S300" s="171" t="s">
        <v>112</v>
      </c>
      <c r="T300" s="166" t="s">
        <v>265</v>
      </c>
      <c r="U300" s="166" t="s">
        <v>265</v>
      </c>
      <c r="V300" s="166" t="s">
        <v>771</v>
      </c>
      <c r="W300" s="15" t="str">
        <f>IF(IFERROR(VLOOKUP($M300,#REF!,1,0),"-")="-","","GS")</f>
        <v/>
      </c>
      <c r="X300" s="160" t="s">
        <v>265</v>
      </c>
      <c r="Y300" s="166" t="s">
        <v>772</v>
      </c>
      <c r="Z300" s="59" t="str">
        <f>IF(OR($M300="",NOT($O300="{array}")),"",IFERROR(MATCH(PARAMETERS!$M300,DEFAULT!$B$5:$CG$5,0),""))</f>
        <v/>
      </c>
      <c r="AA300" s="56" t="str">
        <f t="shared" si="9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IF($AA300="","",IF($B300="I",VLOOKUP($AA300,#REF!,53,0),INDEX(VALUES!$B$1:$CC$1,1,$AA300)))</f>
        <v/>
      </c>
    </row>
    <row r="301" spans="1:29" hidden="1" outlineLevel="1" x14ac:dyDescent="0.25">
      <c r="A301" s="22"/>
      <c r="B301" s="41" t="str">
        <f t="shared" si="21"/>
        <v/>
      </c>
      <c r="C301" s="42">
        <f t="shared" si="18"/>
        <v>300</v>
      </c>
      <c r="D301" s="38"/>
      <c r="E301" s="38"/>
      <c r="F301" s="38"/>
      <c r="G301" s="38"/>
      <c r="H301" s="38"/>
      <c r="I301" s="38" t="s">
        <v>9</v>
      </c>
      <c r="J301" s="38"/>
      <c r="K301" s="166" t="s">
        <v>18</v>
      </c>
      <c r="L301" s="167" t="s">
        <v>21</v>
      </c>
      <c r="M301" s="166" t="s">
        <v>773</v>
      </c>
      <c r="N301" s="166" t="s">
        <v>265</v>
      </c>
      <c r="O301" s="166" t="s">
        <v>774</v>
      </c>
      <c r="P301" s="160" t="s">
        <v>265</v>
      </c>
      <c r="Q301" s="171" t="s">
        <v>9</v>
      </c>
      <c r="R301" s="171" t="s">
        <v>103</v>
      </c>
      <c r="S301" s="171" t="s">
        <v>112</v>
      </c>
      <c r="T301" s="166" t="s">
        <v>265</v>
      </c>
      <c r="U301" s="166" t="s">
        <v>265</v>
      </c>
      <c r="V301" s="166" t="s">
        <v>773</v>
      </c>
      <c r="W301" s="15" t="str">
        <f>IF(IFERROR(VLOOKUP($M301,#REF!,1,0),"-")="-","","GS")</f>
        <v/>
      </c>
      <c r="X301" s="160" t="s">
        <v>265</v>
      </c>
      <c r="Y301" s="166" t="s">
        <v>775</v>
      </c>
      <c r="Z301" s="59" t="str">
        <f>IF(OR($M301="",NOT($O301="{array}")),"",IFERROR(MATCH(PARAMETERS!$M301,DEFAULT!$B$5:$CG$5,0),""))</f>
        <v/>
      </c>
      <c r="AA301" s="56" t="str">
        <f t="shared" si="9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IF($AA301="","",IF($B301="I",VLOOKUP($AA301,#REF!,53,0),INDEX(VALUES!$B$1:$CC$1,1,$AA301)))</f>
        <v/>
      </c>
    </row>
    <row r="302" spans="1:29" hidden="1" outlineLevel="1" x14ac:dyDescent="0.25">
      <c r="A302" s="22"/>
      <c r="B302" s="41" t="str">
        <f t="shared" si="21"/>
        <v/>
      </c>
      <c r="C302" s="42">
        <f t="shared" si="18"/>
        <v>301</v>
      </c>
      <c r="D302" s="38"/>
      <c r="E302" s="38"/>
      <c r="F302" s="38"/>
      <c r="G302" s="38"/>
      <c r="H302" s="38"/>
      <c r="I302" s="38" t="s">
        <v>9</v>
      </c>
      <c r="J302" s="38"/>
      <c r="K302" s="166" t="s">
        <v>18</v>
      </c>
      <c r="L302" s="167" t="s">
        <v>21</v>
      </c>
      <c r="M302" s="166" t="s">
        <v>776</v>
      </c>
      <c r="N302" s="166" t="s">
        <v>265</v>
      </c>
      <c r="O302" s="166" t="s">
        <v>777</v>
      </c>
      <c r="P302" s="160" t="s">
        <v>265</v>
      </c>
      <c r="Q302" s="171" t="s">
        <v>9</v>
      </c>
      <c r="R302" s="171" t="s">
        <v>103</v>
      </c>
      <c r="S302" s="171" t="s">
        <v>112</v>
      </c>
      <c r="T302" s="166" t="s">
        <v>265</v>
      </c>
      <c r="U302" s="166" t="s">
        <v>265</v>
      </c>
      <c r="V302" s="166" t="s">
        <v>776</v>
      </c>
      <c r="W302" s="15" t="str">
        <f>IF(IFERROR(VLOOKUP($M302,#REF!,1,0),"-")="-","","GS")</f>
        <v/>
      </c>
      <c r="X302" s="160" t="s">
        <v>265</v>
      </c>
      <c r="Y302" s="166" t="s">
        <v>778</v>
      </c>
      <c r="Z302" s="59" t="str">
        <f>IF(OR($M302="",NOT($O302="{array}")),"",IFERROR(MATCH(PARAMETERS!$M302,DEFAULT!$B$5:$CG$5,0),""))</f>
        <v/>
      </c>
      <c r="AA302" s="56" t="str">
        <f t="shared" si="9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IF($AA302="","",IF($B302="I",VLOOKUP($AA302,#REF!,53,0),INDEX(VALUES!$B$1:$CC$1,1,$AA302)))</f>
        <v/>
      </c>
    </row>
    <row r="303" spans="1:29" hidden="1" outlineLevel="1" x14ac:dyDescent="0.25">
      <c r="A303" s="22"/>
      <c r="B303" s="41" t="str">
        <f t="shared" si="21"/>
        <v/>
      </c>
      <c r="C303" s="42">
        <f t="shared" si="18"/>
        <v>302</v>
      </c>
      <c r="D303" s="38"/>
      <c r="E303" s="38"/>
      <c r="F303" s="38"/>
      <c r="G303" s="38"/>
      <c r="H303" s="38"/>
      <c r="I303" s="38" t="s">
        <v>9</v>
      </c>
      <c r="J303" s="38"/>
      <c r="K303" s="166" t="s">
        <v>100</v>
      </c>
      <c r="L303" s="167" t="s">
        <v>21</v>
      </c>
      <c r="M303" s="166" t="s">
        <v>779</v>
      </c>
      <c r="N303" s="166" t="s">
        <v>265</v>
      </c>
      <c r="O303" s="166" t="s">
        <v>780</v>
      </c>
      <c r="P303" s="160" t="s">
        <v>265</v>
      </c>
      <c r="Q303" s="171" t="s">
        <v>9</v>
      </c>
      <c r="R303" s="171" t="s">
        <v>103</v>
      </c>
      <c r="S303" s="171" t="s">
        <v>112</v>
      </c>
      <c r="T303" s="166" t="s">
        <v>265</v>
      </c>
      <c r="U303" s="166" t="s">
        <v>265</v>
      </c>
      <c r="V303" s="166" t="s">
        <v>779</v>
      </c>
      <c r="W303" s="15" t="str">
        <f>IF(IFERROR(VLOOKUP($M303,#REF!,1,0),"-")="-","","GS")</f>
        <v/>
      </c>
      <c r="X303" s="160" t="s">
        <v>265</v>
      </c>
      <c r="Y303" s="166" t="s">
        <v>781</v>
      </c>
      <c r="Z303" s="59" t="str">
        <f>IF(OR($M303="",NOT($O303="{array}")),"",IFERROR(MATCH(PARAMETERS!$M303,DEFAULT!$B$5:$CG$5,0),""))</f>
        <v/>
      </c>
      <c r="AA303" s="56" t="str">
        <f t="shared" si="9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IF($AA303="","",IF($B303="I",VLOOKUP($AA303,#REF!,53,0),INDEX(VALUES!$B$1:$CC$1,1,$AA303)))</f>
        <v/>
      </c>
    </row>
    <row r="304" spans="1:29" hidden="1" outlineLevel="1" x14ac:dyDescent="0.25">
      <c r="A304" s="22"/>
      <c r="B304" s="41" t="str">
        <f t="shared" si="21"/>
        <v/>
      </c>
      <c r="C304" s="42">
        <f t="shared" si="18"/>
        <v>303</v>
      </c>
      <c r="D304" s="38"/>
      <c r="E304" s="38"/>
      <c r="F304" s="38"/>
      <c r="G304" s="38"/>
      <c r="H304" s="38"/>
      <c r="I304" s="38" t="s">
        <v>9</v>
      </c>
      <c r="J304" s="38"/>
      <c r="K304" s="166" t="s">
        <v>100</v>
      </c>
      <c r="L304" s="167" t="s">
        <v>21</v>
      </c>
      <c r="M304" s="166" t="s">
        <v>782</v>
      </c>
      <c r="N304" s="166" t="s">
        <v>265</v>
      </c>
      <c r="O304" s="166" t="s">
        <v>783</v>
      </c>
      <c r="P304" s="160" t="s">
        <v>265</v>
      </c>
      <c r="Q304" s="171" t="s">
        <v>9</v>
      </c>
      <c r="R304" s="171" t="s">
        <v>103</v>
      </c>
      <c r="S304" s="171" t="s">
        <v>112</v>
      </c>
      <c r="T304" s="166" t="s">
        <v>265</v>
      </c>
      <c r="U304" s="166" t="s">
        <v>265</v>
      </c>
      <c r="V304" s="166" t="s">
        <v>782</v>
      </c>
      <c r="W304" s="15" t="str">
        <f>IF(IFERROR(VLOOKUP($M304,#REF!,1,0),"-")="-","","GS")</f>
        <v/>
      </c>
      <c r="X304" s="160" t="s">
        <v>265</v>
      </c>
      <c r="Y304" s="166" t="s">
        <v>784</v>
      </c>
      <c r="Z304" s="59" t="str">
        <f>IF(OR($M304="",NOT($O304="{array}")),"",IFERROR(MATCH(PARAMETERS!$M304,DEFAULT!$B$5:$CG$5,0),""))</f>
        <v/>
      </c>
      <c r="AA304" s="56" t="str">
        <f t="shared" si="9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IF($AA304="","",IF($B304="I",VLOOKUP($AA304,#REF!,53,0),INDEX(VALUES!$B$1:$CC$1,1,$AA304)))</f>
        <v/>
      </c>
    </row>
    <row r="305" spans="1:29" hidden="1" outlineLevel="1" x14ac:dyDescent="0.25">
      <c r="A305" s="22"/>
      <c r="B305" s="41" t="str">
        <f t="shared" si="21"/>
        <v/>
      </c>
      <c r="C305" s="42">
        <f t="shared" si="18"/>
        <v>304</v>
      </c>
      <c r="D305" s="38"/>
      <c r="E305" s="38"/>
      <c r="F305" s="38"/>
      <c r="G305" s="38"/>
      <c r="H305" s="38"/>
      <c r="I305" s="38" t="s">
        <v>9</v>
      </c>
      <c r="J305" s="38"/>
      <c r="K305" s="166" t="s">
        <v>18</v>
      </c>
      <c r="L305" s="167" t="s">
        <v>21</v>
      </c>
      <c r="M305" s="166" t="s">
        <v>785</v>
      </c>
      <c r="N305" s="166" t="s">
        <v>265</v>
      </c>
      <c r="O305" s="166" t="s">
        <v>265</v>
      </c>
      <c r="P305" s="160" t="s">
        <v>265</v>
      </c>
      <c r="Q305" s="171" t="s">
        <v>9</v>
      </c>
      <c r="R305" s="171" t="s">
        <v>103</v>
      </c>
      <c r="S305" s="171" t="s">
        <v>112</v>
      </c>
      <c r="T305" s="166" t="s">
        <v>265</v>
      </c>
      <c r="U305" s="166" t="s">
        <v>265</v>
      </c>
      <c r="V305" s="166" t="s">
        <v>785</v>
      </c>
      <c r="W305" s="15" t="str">
        <f>IF(IFERROR(VLOOKUP($M305,#REF!,1,0),"-")="-","","GS")</f>
        <v/>
      </c>
      <c r="X305" s="160" t="s">
        <v>265</v>
      </c>
      <c r="Y305" s="166" t="s">
        <v>786</v>
      </c>
      <c r="Z305" s="59" t="str">
        <f>IF(OR($M305="",NOT($O305="{array}")),"",IFERROR(MATCH(PARAMETERS!$M305,DEFAULT!$B$5:$CG$5,0),""))</f>
        <v/>
      </c>
      <c r="AA305" s="56" t="str">
        <f t="shared" si="9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IF($AA305="","",IF($B305="I",VLOOKUP($AA305,#REF!,53,0),INDEX(VALUES!$B$1:$CC$1,1,$AA305)))</f>
        <v/>
      </c>
    </row>
    <row r="306" spans="1:29" hidden="1" outlineLevel="1" x14ac:dyDescent="0.25">
      <c r="A306" s="22"/>
      <c r="B306" s="41" t="str">
        <f t="shared" si="21"/>
        <v/>
      </c>
      <c r="C306" s="42">
        <f t="shared" si="18"/>
        <v>305</v>
      </c>
      <c r="D306" s="38"/>
      <c r="E306" s="38"/>
      <c r="F306" s="38"/>
      <c r="G306" s="38"/>
      <c r="H306" s="38"/>
      <c r="I306" s="38" t="s">
        <v>9</v>
      </c>
      <c r="J306" s="38"/>
      <c r="K306" s="166" t="s">
        <v>18</v>
      </c>
      <c r="L306" s="167" t="s">
        <v>21</v>
      </c>
      <c r="M306" s="166" t="s">
        <v>787</v>
      </c>
      <c r="N306" s="166" t="s">
        <v>265</v>
      </c>
      <c r="O306" s="166" t="s">
        <v>265</v>
      </c>
      <c r="P306" s="160" t="s">
        <v>265</v>
      </c>
      <c r="Q306" s="171" t="s">
        <v>9</v>
      </c>
      <c r="R306" s="171" t="s">
        <v>103</v>
      </c>
      <c r="S306" s="171" t="s">
        <v>112</v>
      </c>
      <c r="T306" s="166" t="s">
        <v>265</v>
      </c>
      <c r="U306" s="166" t="s">
        <v>265</v>
      </c>
      <c r="V306" s="166" t="s">
        <v>787</v>
      </c>
      <c r="W306" s="15" t="str">
        <f>IF(IFERROR(VLOOKUP($M306,#REF!,1,0),"-")="-","","GS")</f>
        <v/>
      </c>
      <c r="X306" s="160">
        <v>70</v>
      </c>
      <c r="Y306" s="166" t="s">
        <v>265</v>
      </c>
      <c r="Z306" s="59" t="str">
        <f>IF(OR($M306="",NOT($O306="{array}")),"",IFERROR(MATCH(PARAMETERS!$M306,DEFAULT!$B$5:$CG$5,0),""))</f>
        <v/>
      </c>
      <c r="AA306" s="56" t="str">
        <f t="shared" si="9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IF($AA306="","",IF($B306="I",VLOOKUP($AA306,#REF!,53,0),INDEX(VALUES!$B$1:$CC$1,1,$AA306)))</f>
        <v/>
      </c>
    </row>
    <row r="307" spans="1:29" hidden="1" outlineLevel="1" x14ac:dyDescent="0.25">
      <c r="A307" s="22"/>
      <c r="B307" s="41" t="str">
        <f t="shared" si="21"/>
        <v/>
      </c>
      <c r="C307" s="42">
        <f t="shared" si="18"/>
        <v>306</v>
      </c>
      <c r="D307" s="38"/>
      <c r="E307" s="38"/>
      <c r="F307" s="38"/>
      <c r="G307" s="38"/>
      <c r="H307" s="38"/>
      <c r="I307" s="38" t="s">
        <v>9</v>
      </c>
      <c r="J307" s="38"/>
      <c r="K307" s="159" t="s">
        <v>18</v>
      </c>
      <c r="L307" s="167" t="s">
        <v>21</v>
      </c>
      <c r="M307" s="166" t="s">
        <v>788</v>
      </c>
      <c r="N307" s="166" t="s">
        <v>265</v>
      </c>
      <c r="O307" s="166" t="s">
        <v>265</v>
      </c>
      <c r="P307" s="160" t="s">
        <v>265</v>
      </c>
      <c r="Q307" s="171" t="s">
        <v>9</v>
      </c>
      <c r="R307" s="171" t="s">
        <v>103</v>
      </c>
      <c r="S307" s="171" t="s">
        <v>112</v>
      </c>
      <c r="T307" s="166" t="s">
        <v>265</v>
      </c>
      <c r="U307" s="166" t="s">
        <v>265</v>
      </c>
      <c r="V307" s="166" t="s">
        <v>788</v>
      </c>
      <c r="W307" s="15" t="str">
        <f>IF(IFERROR(VLOOKUP($M307,#REF!,1,0),"-")="-","","GS")</f>
        <v/>
      </c>
      <c r="X307" s="160">
        <v>71</v>
      </c>
      <c r="Y307" s="166" t="s">
        <v>265</v>
      </c>
      <c r="Z307" s="59" t="str">
        <f>IF(OR($M307="",NOT($O307="{array}")),"",IFERROR(MATCH(PARAMETERS!$M307,DEFAULT!$B$5:$CG$5,0),""))</f>
        <v/>
      </c>
      <c r="AA307" s="56" t="str">
        <f t="shared" si="9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IF($AA307="","",IF($B307="I",VLOOKUP($AA307,#REF!,53,0),INDEX(VALUES!$B$1:$CC$1,1,$AA307)))</f>
        <v/>
      </c>
    </row>
    <row r="308" spans="1:29" hidden="1" outlineLevel="1" x14ac:dyDescent="0.25">
      <c r="A308" s="22"/>
      <c r="B308" s="41" t="str">
        <f t="shared" si="21"/>
        <v/>
      </c>
      <c r="C308" s="42">
        <f t="shared" si="18"/>
        <v>307</v>
      </c>
      <c r="D308" s="38"/>
      <c r="E308" s="38"/>
      <c r="F308" s="38"/>
      <c r="G308" s="38"/>
      <c r="H308" s="38"/>
      <c r="I308" s="38"/>
      <c r="J308" s="38"/>
      <c r="K308" s="166" t="s">
        <v>18</v>
      </c>
      <c r="L308" s="167" t="s">
        <v>21</v>
      </c>
      <c r="M308" s="166" t="s">
        <v>789</v>
      </c>
      <c r="N308" s="166" t="s">
        <v>265</v>
      </c>
      <c r="O308" s="166" t="s">
        <v>265</v>
      </c>
      <c r="P308" s="160" t="s">
        <v>265</v>
      </c>
      <c r="Q308" s="171" t="s">
        <v>9</v>
      </c>
      <c r="R308" s="171" t="s">
        <v>103</v>
      </c>
      <c r="S308" s="171" t="s">
        <v>112</v>
      </c>
      <c r="T308" s="166" t="s">
        <v>265</v>
      </c>
      <c r="U308" s="166" t="s">
        <v>265</v>
      </c>
      <c r="V308" s="166" t="s">
        <v>789</v>
      </c>
      <c r="W308" s="15" t="str">
        <f>IF(IFERROR(VLOOKUP($M308,#REF!,1,0),"-")="-","","GS")</f>
        <v/>
      </c>
      <c r="X308" s="160" t="s">
        <v>265</v>
      </c>
      <c r="Y308" s="166" t="s">
        <v>790</v>
      </c>
      <c r="Z308" s="59" t="str">
        <f>IF(OR($M308="",NOT($O308="{array}")),"",IFERROR(MATCH(PARAMETERS!$M308,DEFAULT!$B$5:$CG$5,0),""))</f>
        <v/>
      </c>
      <c r="AA308" s="56" t="str">
        <f t="shared" si="9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IF($AA308="","",IF($B308="I",VLOOKUP($AA308,#REF!,53,0),INDEX(VALUES!$B$1:$CC$1,1,$AA308)))</f>
        <v/>
      </c>
    </row>
    <row r="309" spans="1:29" hidden="1" outlineLevel="1" x14ac:dyDescent="0.25">
      <c r="A309" s="22"/>
      <c r="B309" s="41" t="str">
        <f t="shared" si="21"/>
        <v/>
      </c>
      <c r="C309" s="42">
        <f t="shared" si="18"/>
        <v>308</v>
      </c>
      <c r="D309" s="38"/>
      <c r="E309" s="38"/>
      <c r="F309" s="38"/>
      <c r="G309" s="38"/>
      <c r="H309" s="38"/>
      <c r="I309" s="38"/>
      <c r="J309" s="38"/>
      <c r="K309" s="166" t="s">
        <v>18</v>
      </c>
      <c r="L309" s="167" t="s">
        <v>21</v>
      </c>
      <c r="M309" s="166" t="s">
        <v>791</v>
      </c>
      <c r="N309" s="166" t="s">
        <v>265</v>
      </c>
      <c r="O309" s="166" t="s">
        <v>265</v>
      </c>
      <c r="P309" s="160" t="s">
        <v>265</v>
      </c>
      <c r="Q309" s="171" t="s">
        <v>9</v>
      </c>
      <c r="R309" s="171" t="s">
        <v>103</v>
      </c>
      <c r="S309" s="171" t="s">
        <v>112</v>
      </c>
      <c r="T309" s="166" t="s">
        <v>265</v>
      </c>
      <c r="U309" s="166" t="s">
        <v>265</v>
      </c>
      <c r="V309" s="166" t="s">
        <v>791</v>
      </c>
      <c r="W309" s="15" t="str">
        <f>IF(IFERROR(VLOOKUP($M309,#REF!,1,0),"-")="-","","GS")</f>
        <v/>
      </c>
      <c r="X309" s="160" t="s">
        <v>265</v>
      </c>
      <c r="Y309" s="166" t="s">
        <v>792</v>
      </c>
      <c r="Z309" s="59" t="str">
        <f>IF(OR($M309="",NOT($O309="{array}")),"",IFERROR(MATCH(PARAMETERS!$M309,DEFAULT!$B$5:$CG$5,0),""))</f>
        <v/>
      </c>
      <c r="AA309" s="56" t="str">
        <f t="shared" si="9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IF($AA309="","",IF($B309="I",VLOOKUP($AA309,#REF!,53,0),INDEX(VALUES!$B$1:$CC$1,1,$AA309)))</f>
        <v/>
      </c>
    </row>
    <row r="310" spans="1:29" hidden="1" outlineLevel="1" x14ac:dyDescent="0.25">
      <c r="A310" s="22"/>
      <c r="B310" s="41" t="str">
        <f t="shared" si="21"/>
        <v/>
      </c>
      <c r="C310" s="42">
        <f t="shared" si="18"/>
        <v>309</v>
      </c>
      <c r="D310" s="38"/>
      <c r="E310" s="38"/>
      <c r="F310" s="38"/>
      <c r="G310" s="38"/>
      <c r="H310" s="38"/>
      <c r="I310" s="38"/>
      <c r="J310" s="38"/>
      <c r="K310" s="166" t="s">
        <v>100</v>
      </c>
      <c r="L310" s="167" t="s">
        <v>21</v>
      </c>
      <c r="M310" s="166" t="s">
        <v>793</v>
      </c>
      <c r="N310" s="166" t="s">
        <v>265</v>
      </c>
      <c r="O310" s="166" t="s">
        <v>794</v>
      </c>
      <c r="P310" s="160" t="s">
        <v>265</v>
      </c>
      <c r="Q310" s="171" t="s">
        <v>9</v>
      </c>
      <c r="R310" s="171" t="s">
        <v>103</v>
      </c>
      <c r="S310" s="171" t="s">
        <v>112</v>
      </c>
      <c r="T310" s="166" t="s">
        <v>265</v>
      </c>
      <c r="U310" s="166" t="s">
        <v>265</v>
      </c>
      <c r="V310" s="166" t="s">
        <v>793</v>
      </c>
      <c r="W310" s="15" t="str">
        <f>IF(IFERROR(VLOOKUP($M310,#REF!,1,0),"-")="-","","GS")</f>
        <v/>
      </c>
      <c r="X310" s="160" t="s">
        <v>265</v>
      </c>
      <c r="Y310" s="166" t="s">
        <v>795</v>
      </c>
      <c r="Z310" s="59" t="str">
        <f>IF(OR($M310="",NOT($O310="{array}")),"",IFERROR(MATCH(PARAMETERS!$M310,DEFAULT!$B$5:$CG$5,0),""))</f>
        <v/>
      </c>
      <c r="AA310" s="56" t="str">
        <f t="shared" si="9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IF($AA310="","",IF($B310="I",VLOOKUP($AA310,#REF!,53,0),INDEX(VALUES!$B$1:$CC$1,1,$AA310)))</f>
        <v/>
      </c>
    </row>
    <row r="311" spans="1:29" hidden="1" outlineLevel="1" x14ac:dyDescent="0.25">
      <c r="A311" s="22"/>
      <c r="B311" s="41" t="str">
        <f t="shared" si="21"/>
        <v/>
      </c>
      <c r="C311" s="42">
        <f t="shared" si="18"/>
        <v>310</v>
      </c>
      <c r="D311" s="38"/>
      <c r="E311" s="38"/>
      <c r="F311" s="38"/>
      <c r="G311" s="38"/>
      <c r="H311" s="38"/>
      <c r="I311" s="38"/>
      <c r="J311" s="38"/>
      <c r="K311" s="166" t="s">
        <v>44</v>
      </c>
      <c r="L311" s="167" t="s">
        <v>21</v>
      </c>
      <c r="M311" s="166" t="s">
        <v>796</v>
      </c>
      <c r="N311" s="166" t="s">
        <v>265</v>
      </c>
      <c r="O311" s="166" t="s">
        <v>265</v>
      </c>
      <c r="P311" s="160" t="s">
        <v>124</v>
      </c>
      <c r="Q311" s="171" t="s">
        <v>9</v>
      </c>
      <c r="R311" s="171" t="s">
        <v>103</v>
      </c>
      <c r="S311" s="171" t="s">
        <v>112</v>
      </c>
      <c r="T311" s="166" t="s">
        <v>265</v>
      </c>
      <c r="U311" s="166" t="s">
        <v>265</v>
      </c>
      <c r="V311" s="166" t="s">
        <v>796</v>
      </c>
      <c r="W311" s="15" t="str">
        <f>IF(IFERROR(VLOOKUP($M311,#REF!,1,0),"-")="-","","GS")</f>
        <v/>
      </c>
      <c r="X311" s="160" t="s">
        <v>265</v>
      </c>
      <c r="Y311" s="166" t="s">
        <v>797</v>
      </c>
      <c r="Z311" s="59" t="str">
        <f>IF(OR($M311="",NOT($O311="{array}")),"",IFERROR(MATCH(PARAMETERS!$M311,DEFAULT!$B$5:$CG$5,0),""))</f>
        <v/>
      </c>
      <c r="AA311" s="56" t="str">
        <f t="shared" si="9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IF($AA311="","",IF($B311="I",VLOOKUP($AA311,#REF!,53,0),INDEX(VALUES!$B$1:$CC$1,1,$AA311)))</f>
        <v/>
      </c>
    </row>
    <row r="312" spans="1:29" hidden="1" outlineLevel="1" x14ac:dyDescent="0.25">
      <c r="A312" s="22"/>
      <c r="B312" s="41" t="str">
        <f t="shared" si="21"/>
        <v/>
      </c>
      <c r="C312" s="42">
        <f t="shared" si="18"/>
        <v>311</v>
      </c>
      <c r="D312" s="38"/>
      <c r="E312" s="38"/>
      <c r="F312" s="38"/>
      <c r="G312" s="38"/>
      <c r="H312" s="38"/>
      <c r="I312" s="38"/>
      <c r="J312" s="38"/>
      <c r="K312" s="166" t="s">
        <v>47</v>
      </c>
      <c r="L312" s="167" t="s">
        <v>21</v>
      </c>
      <c r="M312" s="166" t="s">
        <v>758</v>
      </c>
      <c r="N312" s="166" t="s">
        <v>265</v>
      </c>
      <c r="O312" s="166" t="s">
        <v>265</v>
      </c>
      <c r="P312" s="160" t="s">
        <v>265</v>
      </c>
      <c r="Q312" s="171" t="s">
        <v>9</v>
      </c>
      <c r="R312" s="171" t="s">
        <v>103</v>
      </c>
      <c r="S312" s="171" t="s">
        <v>112</v>
      </c>
      <c r="T312" s="166" t="s">
        <v>265</v>
      </c>
      <c r="U312" s="166" t="s">
        <v>265</v>
      </c>
      <c r="V312" s="166" t="s">
        <v>758</v>
      </c>
      <c r="W312" s="15" t="str">
        <f>IF(IFERROR(VLOOKUP($M312,#REF!,1,0),"-")="-","","GS")</f>
        <v/>
      </c>
      <c r="X312" s="160" t="s">
        <v>265</v>
      </c>
      <c r="Y312" s="166" t="s">
        <v>759</v>
      </c>
      <c r="Z312" s="59" t="str">
        <f>IF(OR($M312="",NOT($O312="{array}")),"",IFERROR(MATCH(PARAMETERS!$M312,DEFAULT!$B$5:$CG$5,0),""))</f>
        <v/>
      </c>
      <c r="AA312" s="56" t="str">
        <f t="shared" si="9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IF($AA312="","",IF($B312="I",VLOOKUP($AA312,#REF!,53,0),INDEX(VALUES!$B$1:$CC$1,1,$AA312)))</f>
        <v/>
      </c>
    </row>
    <row r="313" spans="1:29" hidden="1" outlineLevel="1" x14ac:dyDescent="0.25">
      <c r="A313" s="22"/>
      <c r="B313" s="41" t="str">
        <f t="shared" si="21"/>
        <v/>
      </c>
      <c r="C313" s="42">
        <f t="shared" si="18"/>
        <v>312</v>
      </c>
      <c r="D313" s="38"/>
      <c r="E313" s="38"/>
      <c r="F313" s="38"/>
      <c r="G313" s="38"/>
      <c r="H313" s="38"/>
      <c r="I313" s="38"/>
      <c r="J313" s="38"/>
      <c r="K313" s="166" t="s">
        <v>18</v>
      </c>
      <c r="L313" s="167" t="s">
        <v>21</v>
      </c>
      <c r="M313" s="166" t="s">
        <v>798</v>
      </c>
      <c r="N313" s="166" t="s">
        <v>265</v>
      </c>
      <c r="O313" s="166" t="s">
        <v>265</v>
      </c>
      <c r="P313" s="160" t="s">
        <v>265</v>
      </c>
      <c r="Q313" s="171" t="s">
        <v>9</v>
      </c>
      <c r="R313" s="171" t="s">
        <v>103</v>
      </c>
      <c r="S313" s="171" t="s">
        <v>112</v>
      </c>
      <c r="T313" s="166" t="s">
        <v>265</v>
      </c>
      <c r="U313" s="166" t="s">
        <v>265</v>
      </c>
      <c r="V313" s="166" t="s">
        <v>798</v>
      </c>
      <c r="W313" s="15" t="str">
        <f>IF(IFERROR(VLOOKUP($M313,#REF!,1,0),"-")="-","","GS")</f>
        <v/>
      </c>
      <c r="X313" s="160" t="s">
        <v>265</v>
      </c>
      <c r="Y313" s="166" t="s">
        <v>799</v>
      </c>
      <c r="Z313" s="59" t="str">
        <f>IF(OR($M313="",NOT($O313="{array}")),"",IFERROR(MATCH(PARAMETERS!$M313,DEFAULT!$B$5:$CG$5,0),""))</f>
        <v/>
      </c>
      <c r="AA313" s="56" t="str">
        <f t="shared" si="9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IF($AA313="","",IF($B313="I",VLOOKUP($AA313,#REF!,53,0),INDEX(VALUES!$B$1:$CC$1,1,$AA313)))</f>
        <v/>
      </c>
    </row>
    <row r="314" spans="1:29" hidden="1" outlineLevel="1" x14ac:dyDescent="0.25">
      <c r="A314" s="22"/>
      <c r="B314" s="41" t="str">
        <f t="shared" si="21"/>
        <v/>
      </c>
      <c r="C314" s="42">
        <f t="shared" si="18"/>
        <v>313</v>
      </c>
      <c r="D314" s="38"/>
      <c r="E314" s="38"/>
      <c r="F314" s="38"/>
      <c r="G314" s="38"/>
      <c r="H314" s="38"/>
      <c r="I314" s="38"/>
      <c r="J314" s="38"/>
      <c r="K314" s="166" t="s">
        <v>44</v>
      </c>
      <c r="L314" s="167" t="s">
        <v>21</v>
      </c>
      <c r="M314" s="166" t="s">
        <v>800</v>
      </c>
      <c r="N314" s="166" t="s">
        <v>265</v>
      </c>
      <c r="O314" s="166" t="s">
        <v>265</v>
      </c>
      <c r="P314" s="160" t="s">
        <v>124</v>
      </c>
      <c r="Q314" s="171" t="s">
        <v>9</v>
      </c>
      <c r="R314" s="171" t="s">
        <v>103</v>
      </c>
      <c r="S314" s="171" t="s">
        <v>112</v>
      </c>
      <c r="T314" s="166" t="s">
        <v>265</v>
      </c>
      <c r="U314" s="166" t="s">
        <v>265</v>
      </c>
      <c r="V314" s="166" t="s">
        <v>800</v>
      </c>
      <c r="W314" s="15" t="str">
        <f>IF(IFERROR(VLOOKUP($M314,#REF!,1,0),"-")="-","","GS")</f>
        <v/>
      </c>
      <c r="X314" s="160" t="s">
        <v>265</v>
      </c>
      <c r="Y314" s="166" t="s">
        <v>801</v>
      </c>
      <c r="Z314" s="59" t="str">
        <f>IF(OR($M314="",NOT($O314="{array}")),"",IFERROR(MATCH(PARAMETERS!$M314,DEFAULT!$B$5:$CG$5,0),""))</f>
        <v/>
      </c>
      <c r="AA314" s="56" t="str">
        <f t="shared" si="9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IF($AA314="","",IF($B314="I",VLOOKUP($AA314,#REF!,53,0),INDEX(VALUES!$B$1:$CC$1,1,$AA314)))</f>
        <v/>
      </c>
    </row>
    <row r="315" spans="1:29" hidden="1" outlineLevel="1" x14ac:dyDescent="0.25">
      <c r="A315" s="22" t="s">
        <v>84</v>
      </c>
      <c r="B315" s="41" t="str">
        <f t="shared" si="21"/>
        <v/>
      </c>
      <c r="C315" s="42">
        <f t="shared" si="18"/>
        <v>314</v>
      </c>
      <c r="D315" s="38"/>
      <c r="E315" s="38"/>
      <c r="F315" s="38"/>
      <c r="G315" s="38"/>
      <c r="H315" s="38"/>
      <c r="I315" s="38" t="s">
        <v>9</v>
      </c>
      <c r="J315" s="38"/>
      <c r="K315" s="159" t="s">
        <v>24</v>
      </c>
      <c r="L315" s="14" t="s">
        <v>27</v>
      </c>
      <c r="M315" s="208" t="s">
        <v>1495</v>
      </c>
      <c r="N315" s="159" t="s">
        <v>1497</v>
      </c>
      <c r="O315" s="159">
        <v>0.75</v>
      </c>
      <c r="P315" s="176"/>
      <c r="Q315" s="178" t="s">
        <v>9</v>
      </c>
      <c r="R315" s="178" t="s">
        <v>196</v>
      </c>
      <c r="S315" s="171"/>
      <c r="T315" s="166"/>
      <c r="U315" s="166"/>
      <c r="V315" s="166"/>
      <c r="W315" s="15"/>
      <c r="X315" s="160"/>
      <c r="Y315" s="166"/>
      <c r="Z315" s="59" t="str">
        <f>IF(OR($M315="",NOT($O315="{array}")),"",IFERROR(MATCH(PARAMETERS!$M315,DEFAULT!$B$5:$CG$5,0),""))</f>
        <v/>
      </c>
      <c r="AA315" s="56" t="str">
        <f>IF($M315="","",IFERROR(MATCH($M315,VALUESnames,0),""))</f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IF($AA315="","",IF($B315="I",VLOOKUP($AA315,#REF!,53,0),INDEX(VALUES!$B$1:$CC$1,1,$AA315)))</f>
        <v/>
      </c>
    </row>
    <row r="316" spans="1:29" hidden="1" outlineLevel="1" x14ac:dyDescent="0.25">
      <c r="A316" s="22" t="s">
        <v>84</v>
      </c>
      <c r="B316" s="41" t="str">
        <f t="shared" si="21"/>
        <v/>
      </c>
      <c r="C316" s="42">
        <f t="shared" si="18"/>
        <v>315</v>
      </c>
      <c r="D316" s="38"/>
      <c r="E316" s="38"/>
      <c r="F316" s="38"/>
      <c r="G316" s="38"/>
      <c r="H316" s="38"/>
      <c r="I316" s="38" t="s">
        <v>9</v>
      </c>
      <c r="J316" s="38"/>
      <c r="K316" s="159" t="s">
        <v>24</v>
      </c>
      <c r="L316" s="14" t="s">
        <v>27</v>
      </c>
      <c r="M316" s="208" t="s">
        <v>1496</v>
      </c>
      <c r="N316" s="159" t="s">
        <v>1498</v>
      </c>
      <c r="O316" s="159">
        <v>0.75</v>
      </c>
      <c r="P316" s="176"/>
      <c r="Q316" s="178" t="s">
        <v>9</v>
      </c>
      <c r="R316" s="178" t="s">
        <v>196</v>
      </c>
      <c r="S316" s="171"/>
      <c r="T316" s="166"/>
      <c r="U316" s="166"/>
      <c r="V316" s="166"/>
      <c r="W316" s="15"/>
      <c r="X316" s="160"/>
      <c r="Y316" s="166"/>
      <c r="Z316" s="59" t="str">
        <f>IF(OR($M316="",NOT($O316="{array}")),"",IFERROR(MATCH(PARAMETERS!$M316,DEFAULT!$B$5:$CG$5,0),""))</f>
        <v/>
      </c>
      <c r="AA316" s="56" t="str">
        <f>IF($M316="","",IFERROR(MATCH($M316,VALUESnames,0),""))</f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IF($AA316="","",IF($B316="I",VLOOKUP($AA316,#REF!,53,0),INDEX(VALUES!$B$1:$CC$1,1,$AA316)))</f>
        <v/>
      </c>
    </row>
    <row r="317" spans="1:29" hidden="1" outlineLevel="1" x14ac:dyDescent="0.3">
      <c r="A317" s="22" t="s">
        <v>84</v>
      </c>
      <c r="B317" s="41" t="str">
        <f t="shared" si="21"/>
        <v/>
      </c>
      <c r="C317" s="42">
        <f t="shared" si="18"/>
        <v>316</v>
      </c>
      <c r="D317" s="38"/>
      <c r="E317" s="38"/>
      <c r="F317" s="38"/>
      <c r="G317" s="38"/>
      <c r="H317" s="38"/>
      <c r="I317" s="38" t="s">
        <v>9</v>
      </c>
      <c r="J317" s="38"/>
      <c r="K317" s="213" t="s">
        <v>24</v>
      </c>
      <c r="L317" s="213" t="s">
        <v>27</v>
      </c>
      <c r="M317" s="214" t="s">
        <v>740</v>
      </c>
      <c r="N317" s="213" t="s">
        <v>741</v>
      </c>
      <c r="O317" s="215">
        <v>0.02</v>
      </c>
      <c r="P317" s="213"/>
      <c r="Q317" s="216"/>
      <c r="R317" s="216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IF(OR($M317="",NOT($O317="{array}")),"",IFERROR(MATCH(PARAMETERS!$M317,DEFAULT!$B$5:$CG$5,0),""))</f>
        <v/>
      </c>
      <c r="AA317" s="56" t="str">
        <f>IF($M317="","",IFERROR(MATCH($M317,VALUESnames,0),""))</f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IF($AA317="","",IF($B317="I",VLOOKUP($AA317,#REF!,53,0),INDEX(VALUES!$B$1:$CC$1,1,$AA317)))</f>
        <v/>
      </c>
    </row>
    <row r="318" spans="1:29" hidden="1" outlineLevel="1" x14ac:dyDescent="0.25">
      <c r="A318" s="22" t="s">
        <v>84</v>
      </c>
      <c r="B318" s="41" t="str">
        <f t="shared" si="21"/>
        <v>A</v>
      </c>
      <c r="C318" s="42">
        <f t="shared" si="18"/>
        <v>317</v>
      </c>
      <c r="D318" s="38"/>
      <c r="E318" s="38"/>
      <c r="F318" s="38"/>
      <c r="G318" s="38"/>
      <c r="H318" s="38"/>
      <c r="I318" s="38" t="s">
        <v>9</v>
      </c>
      <c r="J318" s="38"/>
      <c r="K318" s="53" t="s">
        <v>24</v>
      </c>
      <c r="L318" s="53" t="s">
        <v>27</v>
      </c>
      <c r="M318" s="157" t="s">
        <v>1453</v>
      </c>
      <c r="N318" s="53" t="s">
        <v>1507</v>
      </c>
      <c r="O318" s="155" t="s">
        <v>33</v>
      </c>
      <c r="P318" s="53"/>
      <c r="Q318" s="209" t="s">
        <v>9</v>
      </c>
      <c r="R318" s="178" t="s">
        <v>103</v>
      </c>
      <c r="S318" s="171"/>
      <c r="T318" s="166"/>
      <c r="U318" s="166"/>
      <c r="V318" s="166"/>
      <c r="W318" s="15"/>
      <c r="X318" s="160"/>
      <c r="Y318" s="166"/>
      <c r="Z318" s="59">
        <f>IF(OR($M318="",NOT($O318="{array}")),"",IFERROR(MATCH(PARAMETERS!$M318,DEFAULT!$B$5:$CG$5,0),""))</f>
        <v>22</v>
      </c>
      <c r="AA318" s="56" t="str">
        <f>IF($M318="","",IFERROR(MATCH($M318,VALUESnames,0),""))</f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IF($AA318="","",IF($B318="I",VLOOKUP($AA318,#REF!,53,0),INDEX(VALUES!$B$1:$CC$1,1,$AA318)))</f>
        <v/>
      </c>
    </row>
    <row r="319" spans="1:29" hidden="1" outlineLevel="1" x14ac:dyDescent="0.3">
      <c r="A319" s="22" t="s">
        <v>84</v>
      </c>
      <c r="B319" s="41" t="str">
        <f t="shared" si="21"/>
        <v/>
      </c>
      <c r="C319" s="42">
        <f t="shared" si="18"/>
        <v>318</v>
      </c>
      <c r="D319" s="38"/>
      <c r="E319" s="38"/>
      <c r="F319" s="38"/>
      <c r="G319" s="38"/>
      <c r="H319" s="38"/>
      <c r="I319" s="38" t="s">
        <v>9</v>
      </c>
      <c r="J319" s="38"/>
      <c r="K319" s="14" t="s">
        <v>24</v>
      </c>
      <c r="L319" s="14" t="s">
        <v>27</v>
      </c>
      <c r="M319" s="151" t="s">
        <v>804</v>
      </c>
      <c r="N319" s="14" t="s">
        <v>805</v>
      </c>
      <c r="O319" s="43">
        <v>0.1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IF(OR($M319="",NOT($O319="{array}")),"",IFERROR(MATCH(PARAMETERS!$M319,DEFAULT!$B$5:$CG$5,0),""))</f>
        <v/>
      </c>
      <c r="AA319" s="56" t="str">
        <f t="shared" si="9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IF($AA319="","",IF($B319="I",VLOOKUP($AA319,#REF!,53,0),INDEX(VALUES!$B$1:$CC$1,1,$AA319)))</f>
        <v/>
      </c>
    </row>
    <row r="320" spans="1:29" hidden="1" outlineLevel="1" x14ac:dyDescent="0.3">
      <c r="A320" s="22" t="s">
        <v>84</v>
      </c>
      <c r="B320" s="41" t="str">
        <f t="shared" si="21"/>
        <v/>
      </c>
      <c r="C320" s="42">
        <f t="shared" si="18"/>
        <v>319</v>
      </c>
      <c r="D320" s="38"/>
      <c r="E320" s="38"/>
      <c r="F320" s="38"/>
      <c r="G320" s="38"/>
      <c r="H320" s="38"/>
      <c r="I320" s="38" t="s">
        <v>9</v>
      </c>
      <c r="J320" s="38"/>
      <c r="K320" s="14" t="s">
        <v>24</v>
      </c>
      <c r="L320" s="14" t="s">
        <v>27</v>
      </c>
      <c r="M320" s="151" t="s">
        <v>808</v>
      </c>
      <c r="N320" s="14" t="s">
        <v>809</v>
      </c>
      <c r="O320" s="43">
        <v>0.1</v>
      </c>
      <c r="R320" s="38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IF(OR($M320="",NOT($O320="{array}")),"",IFERROR(MATCH(PARAMETERS!$M320,DEFAULT!$B$5:$CG$5,0),""))</f>
        <v/>
      </c>
      <c r="AA320" s="56" t="str">
        <f t="shared" si="9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IF($AA320="","",IF($B320="I",VLOOKUP($AA320,#REF!,53,0),INDEX(VALUES!$B$1:$CC$1,1,$AA320)))</f>
        <v/>
      </c>
    </row>
    <row r="321" spans="1:29" hidden="1" outlineLevel="1" x14ac:dyDescent="0.3">
      <c r="A321" s="22" t="s">
        <v>84</v>
      </c>
      <c r="B321" s="41" t="str">
        <f t="shared" si="21"/>
        <v/>
      </c>
      <c r="C321" s="42">
        <f t="shared" si="18"/>
        <v>320</v>
      </c>
      <c r="D321" s="38"/>
      <c r="E321" s="38"/>
      <c r="F321" s="38"/>
      <c r="G321" s="38"/>
      <c r="H321" s="38"/>
      <c r="I321" s="38" t="s">
        <v>9</v>
      </c>
      <c r="J321" s="38"/>
      <c r="K321" s="14" t="s">
        <v>24</v>
      </c>
      <c r="L321" s="14" t="s">
        <v>27</v>
      </c>
      <c r="M321" s="151" t="s">
        <v>812</v>
      </c>
      <c r="N321" s="14" t="s">
        <v>813</v>
      </c>
      <c r="O321" s="43">
        <v>0.9</v>
      </c>
      <c r="R321" s="38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IF(OR($M321="",NOT($O321="{array}")),"",IFERROR(MATCH(PARAMETERS!$M321,DEFAULT!$B$5:$CG$5,0),""))</f>
        <v/>
      </c>
      <c r="AA321" s="56" t="str">
        <f t="shared" si="9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IF($AA321="","",IF($B321="I",VLOOKUP($AA321,#REF!,53,0),INDEX(VALUES!$B$1:$CC$1,1,$AA321)))</f>
        <v/>
      </c>
    </row>
    <row r="322" spans="1:29" hidden="1" outlineLevel="1" x14ac:dyDescent="0.3">
      <c r="A322" s="22" t="s">
        <v>84</v>
      </c>
      <c r="B322" s="41" t="str">
        <f t="shared" si="21"/>
        <v/>
      </c>
      <c r="C322" s="42">
        <f t="shared" si="18"/>
        <v>321</v>
      </c>
      <c r="D322" s="38"/>
      <c r="E322" s="38"/>
      <c r="F322" s="38"/>
      <c r="G322" s="38"/>
      <c r="H322" s="38"/>
      <c r="I322" s="38" t="s">
        <v>9</v>
      </c>
      <c r="J322" s="38"/>
      <c r="K322" s="14" t="s">
        <v>24</v>
      </c>
      <c r="L322" s="14" t="s">
        <v>27</v>
      </c>
      <c r="M322" s="151" t="s">
        <v>816</v>
      </c>
      <c r="N322" s="14" t="s">
        <v>817</v>
      </c>
      <c r="O322" s="43">
        <v>0.1</v>
      </c>
      <c r="R322" s="38" t="s">
        <v>104</v>
      </c>
      <c r="S322" s="38"/>
      <c r="T322" s="38"/>
      <c r="W322" s="15" t="str">
        <f>IF(IFERROR(VLOOKUP($M322,#REF!,1,0),"-")="-","","GS")</f>
        <v/>
      </c>
      <c r="Z322" s="59" t="str">
        <f>IF(OR($M322="",NOT($O322="{array}")),"",IFERROR(MATCH(PARAMETERS!$M322,DEFAULT!$B$5:$CG$5,0),""))</f>
        <v/>
      </c>
      <c r="AA322" s="56" t="str">
        <f t="shared" si="9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IF($AA322="","",IF($B322="I",VLOOKUP($AA322,#REF!,53,0),INDEX(VALUES!$B$1:$CC$1,1,$AA322)))</f>
        <v/>
      </c>
    </row>
    <row r="323" spans="1:29" hidden="1" outlineLevel="1" x14ac:dyDescent="0.3">
      <c r="A323" s="22" t="s">
        <v>84</v>
      </c>
      <c r="B323" s="41" t="str">
        <f t="shared" si="21"/>
        <v/>
      </c>
      <c r="C323" s="42">
        <f t="shared" si="18"/>
        <v>322</v>
      </c>
      <c r="D323" s="38"/>
      <c r="E323" s="38"/>
      <c r="F323" s="38"/>
      <c r="G323" s="38"/>
      <c r="H323" s="38"/>
      <c r="I323" s="38" t="s">
        <v>9</v>
      </c>
      <c r="J323" s="38"/>
      <c r="K323" s="213" t="s">
        <v>44</v>
      </c>
      <c r="L323" s="213" t="s">
        <v>27</v>
      </c>
      <c r="M323" s="214" t="s">
        <v>820</v>
      </c>
      <c r="N323" s="213" t="s">
        <v>821</v>
      </c>
      <c r="O323" s="215">
        <v>3</v>
      </c>
      <c r="P323" s="213"/>
      <c r="Q323" s="216"/>
      <c r="R323" s="216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IF(OR($M323="",NOT($O323="{array}")),"",IFERROR(MATCH(PARAMETERS!$M323,DEFAULT!$B$5:$CG$5,0),""))</f>
        <v/>
      </c>
      <c r="AA323" s="56" t="str">
        <f t="shared" si="9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IF($AA323="","",IF($B323="I",VLOOKUP($AA323,#REF!,53,0),INDEX(VALUES!$B$1:$CC$1,1,$AA323)))</f>
        <v/>
      </c>
    </row>
    <row r="324" spans="1:29" hidden="1" outlineLevel="1" x14ac:dyDescent="0.3">
      <c r="A324" s="22" t="s">
        <v>84</v>
      </c>
      <c r="B324" s="41" t="str">
        <f t="shared" si="21"/>
        <v/>
      </c>
      <c r="C324" s="42">
        <f t="shared" si="18"/>
        <v>323</v>
      </c>
      <c r="D324" s="38"/>
      <c r="E324" s="38"/>
      <c r="F324" s="38"/>
      <c r="G324" s="38"/>
      <c r="H324" s="38"/>
      <c r="I324" s="38" t="s">
        <v>9</v>
      </c>
      <c r="J324" s="38"/>
      <c r="K324" s="213" t="s">
        <v>44</v>
      </c>
      <c r="L324" s="213" t="s">
        <v>27</v>
      </c>
      <c r="M324" s="214" t="s">
        <v>824</v>
      </c>
      <c r="N324" s="213" t="s">
        <v>825</v>
      </c>
      <c r="O324" s="215">
        <v>2</v>
      </c>
      <c r="P324" s="213"/>
      <c r="Q324" s="216"/>
      <c r="R324" s="216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IF(OR($M324="",NOT($O324="{array}")),"",IFERROR(MATCH(PARAMETERS!$M324,DEFAULT!$B$5:$CG$5,0),""))</f>
        <v/>
      </c>
      <c r="AA324" s="56" t="str">
        <f t="shared" si="9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IF($AA324="","",IF($B324="I",VLOOKUP($AA324,#REF!,53,0),INDEX(VALUES!$B$1:$CC$1,1,$AA324)))</f>
        <v/>
      </c>
    </row>
    <row r="325" spans="1:29" hidden="1" outlineLevel="1" x14ac:dyDescent="0.3">
      <c r="A325" s="22" t="s">
        <v>84</v>
      </c>
      <c r="B325" s="41" t="str">
        <f t="shared" si="21"/>
        <v/>
      </c>
      <c r="C325" s="42">
        <f t="shared" si="18"/>
        <v>324</v>
      </c>
      <c r="D325" s="38"/>
      <c r="E325" s="38"/>
      <c r="F325" s="38"/>
      <c r="G325" s="38"/>
      <c r="H325" s="38"/>
      <c r="I325" s="38" t="s">
        <v>9</v>
      </c>
      <c r="J325" s="38"/>
      <c r="K325" s="14" t="s">
        <v>24</v>
      </c>
      <c r="L325" s="14" t="s">
        <v>27</v>
      </c>
      <c r="M325" s="151" t="s">
        <v>828</v>
      </c>
      <c r="N325" s="14" t="s">
        <v>829</v>
      </c>
      <c r="O325" s="43">
        <v>2.5000000000000001E-2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IF(OR($M325="",NOT($O325="{array}")),"",IFERROR(MATCH(PARAMETERS!$M325,DEFAULT!$B$5:$CG$5,0),""))</f>
        <v/>
      </c>
      <c r="AA325" s="56" t="str">
        <f t="shared" si="9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IF($AA325="","",IF($B325="I",VLOOKUP($AA325,#REF!,53,0),INDEX(VALUES!$B$1:$CC$1,1,$AA325)))</f>
        <v/>
      </c>
    </row>
    <row r="326" spans="1:29" hidden="1" outlineLevel="1" x14ac:dyDescent="0.3">
      <c r="A326" s="22" t="s">
        <v>84</v>
      </c>
      <c r="B326" s="41" t="str">
        <f t="shared" si="21"/>
        <v/>
      </c>
      <c r="C326" s="42">
        <f t="shared" si="18"/>
        <v>325</v>
      </c>
      <c r="D326" s="38"/>
      <c r="E326" s="38"/>
      <c r="F326" s="38"/>
      <c r="G326" s="38"/>
      <c r="H326" s="38"/>
      <c r="I326" s="38" t="s">
        <v>9</v>
      </c>
      <c r="J326" s="38"/>
      <c r="K326" s="14" t="s">
        <v>24</v>
      </c>
      <c r="L326" s="14" t="s">
        <v>27</v>
      </c>
      <c r="M326" s="151" t="s">
        <v>832</v>
      </c>
      <c r="N326" s="14" t="s">
        <v>833</v>
      </c>
      <c r="O326" s="43">
        <v>2.5000000000000001E-2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IF(OR($M326="",NOT($O326="{array}")),"",IFERROR(MATCH(PARAMETERS!$M326,DEFAULT!$B$5:$CG$5,0),""))</f>
        <v/>
      </c>
      <c r="AA326" s="56" t="str">
        <f t="shared" si="9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IF($AA326="","",IF($B326="I",VLOOKUP($AA326,#REF!,53,0),INDEX(VALUES!$B$1:$CC$1,1,$AA326)))</f>
        <v/>
      </c>
    </row>
    <row r="327" spans="1:29" hidden="1" outlineLevel="1" x14ac:dyDescent="0.3">
      <c r="A327" s="22" t="s">
        <v>84</v>
      </c>
      <c r="B327" s="41" t="str">
        <f t="shared" si="21"/>
        <v/>
      </c>
      <c r="C327" s="42">
        <f t="shared" si="18"/>
        <v>326</v>
      </c>
      <c r="D327" s="38"/>
      <c r="E327" s="38"/>
      <c r="F327" s="38"/>
      <c r="G327" s="38"/>
      <c r="H327" s="38"/>
      <c r="I327" s="38" t="s">
        <v>9</v>
      </c>
      <c r="J327" s="38"/>
      <c r="K327" s="14" t="s">
        <v>24</v>
      </c>
      <c r="L327" s="14" t="s">
        <v>27</v>
      </c>
      <c r="M327" s="20" t="s">
        <v>835</v>
      </c>
      <c r="N327" s="14" t="s">
        <v>836</v>
      </c>
      <c r="O327" s="43">
        <v>0.2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IF(OR($M327="",NOT($O327="{array}")),"",IFERROR(MATCH(PARAMETERS!$M327,DEFAULT!$B$5:$CG$5,0),""))</f>
        <v/>
      </c>
      <c r="AA327" s="56" t="str">
        <f t="shared" si="9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IF($AA327="","",IF($B327="I",VLOOKUP($AA327,#REF!,53,0),INDEX(VALUES!$B$1:$CC$1,1,$AA327)))</f>
        <v/>
      </c>
    </row>
    <row r="328" spans="1:29" hidden="1" outlineLevel="1" x14ac:dyDescent="0.3">
      <c r="A328" s="22" t="s">
        <v>84</v>
      </c>
      <c r="B328" s="41" t="str">
        <f t="shared" si="21"/>
        <v/>
      </c>
      <c r="C328" s="42">
        <f t="shared" si="18"/>
        <v>327</v>
      </c>
      <c r="D328" s="38"/>
      <c r="E328" s="38"/>
      <c r="F328" s="38"/>
      <c r="G328" s="38"/>
      <c r="H328" s="38"/>
      <c r="I328" s="38" t="s">
        <v>9</v>
      </c>
      <c r="J328" s="38"/>
      <c r="K328" s="14" t="s">
        <v>24</v>
      </c>
      <c r="L328" s="14" t="s">
        <v>27</v>
      </c>
      <c r="M328" s="20" t="s">
        <v>839</v>
      </c>
      <c r="N328" s="14" t="s">
        <v>840</v>
      </c>
      <c r="O328" s="43">
        <v>0.35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IF(OR($M328="",NOT($O328="{array}")),"",IFERROR(MATCH(PARAMETERS!$M328,DEFAULT!$B$5:$CG$5,0),""))</f>
        <v/>
      </c>
      <c r="AA328" s="56" t="str">
        <f t="shared" si="9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IF($AA328="","",IF($B328="I",VLOOKUP($AA328,#REF!,53,0),INDEX(VALUES!$B$1:$CC$1,1,$AA328)))</f>
        <v/>
      </c>
    </row>
    <row r="329" spans="1:29" hidden="1" outlineLevel="1" x14ac:dyDescent="0.3">
      <c r="A329" s="22" t="s">
        <v>84</v>
      </c>
      <c r="B329" s="41" t="str">
        <f t="shared" si="21"/>
        <v/>
      </c>
      <c r="C329" s="42">
        <f t="shared" si="18"/>
        <v>328</v>
      </c>
      <c r="D329" s="38"/>
      <c r="E329" s="38"/>
      <c r="F329" s="38"/>
      <c r="G329" s="38"/>
      <c r="H329" s="38"/>
      <c r="I329" s="38" t="s">
        <v>9</v>
      </c>
      <c r="J329" s="38"/>
      <c r="K329" s="14" t="s">
        <v>24</v>
      </c>
      <c r="L329" s="14" t="s">
        <v>27</v>
      </c>
      <c r="M329" s="20" t="s">
        <v>843</v>
      </c>
      <c r="N329" s="14" t="s">
        <v>844</v>
      </c>
      <c r="O329" s="43">
        <v>0.315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IF(OR($M329="",NOT($O329="{array}")),"",IFERROR(MATCH(PARAMETERS!$M329,DEFAULT!$B$5:$CG$5,0),""))</f>
        <v/>
      </c>
      <c r="AA329" s="56" t="str">
        <f t="shared" si="9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IF($AA329="","",IF($B329="I",VLOOKUP($AA329,#REF!,53,0),INDEX(VALUES!$B$1:$CC$1,1,$AA329)))</f>
        <v/>
      </c>
    </row>
    <row r="330" spans="1:29" hidden="1" outlineLevel="1" x14ac:dyDescent="0.3">
      <c r="A330" s="22" t="s">
        <v>84</v>
      </c>
      <c r="B330" s="41" t="str">
        <f t="shared" ref="B330:B361" si="22">IF($A330="P",IF(NOT($Z330=""),"A",IF(NOT($AA330=""),"I","")),IF(NOT($AA330=""),IF($A330="G","V","X"),IF(NOT($Z330=""),"A","")))</f>
        <v/>
      </c>
      <c r="C330" s="42">
        <f t="shared" si="18"/>
        <v>329</v>
      </c>
      <c r="D330" s="38"/>
      <c r="E330" s="38"/>
      <c r="F330" s="38"/>
      <c r="G330" s="38"/>
      <c r="H330" s="38"/>
      <c r="I330" s="38" t="s">
        <v>9</v>
      </c>
      <c r="J330" s="38"/>
      <c r="K330" s="14" t="s">
        <v>24</v>
      </c>
      <c r="L330" s="14" t="s">
        <v>27</v>
      </c>
      <c r="M330" s="20" t="s">
        <v>847</v>
      </c>
      <c r="N330" s="14" t="s">
        <v>848</v>
      </c>
      <c r="O330" s="43">
        <v>1.4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IF(OR($M330="",NOT($O330="{array}")),"",IFERROR(MATCH(PARAMETERS!$M330,DEFAULT!$B$5:$CG$5,0),""))</f>
        <v/>
      </c>
      <c r="AA330" s="56" t="str">
        <f>IF($M330="","",IFERROR(MATCH($M330,VALUESnames,0),""))</f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IF($AA330="","",IF($B330="I",VLOOKUP($AA330,#REF!,53,0),INDEX(VALUES!$B$1:$CC$1,1,$AA330)))</f>
        <v/>
      </c>
    </row>
    <row r="331" spans="1:29" hidden="1" outlineLevel="1" x14ac:dyDescent="0.3">
      <c r="A331" s="22" t="s">
        <v>84</v>
      </c>
      <c r="B331" s="41" t="str">
        <f t="shared" si="22"/>
        <v/>
      </c>
      <c r="C331" s="42">
        <f t="shared" ref="C331:C397" si="23">(ROW()-1)</f>
        <v>330</v>
      </c>
      <c r="D331" s="38"/>
      <c r="E331" s="38"/>
      <c r="F331" s="38"/>
      <c r="G331" s="38"/>
      <c r="H331" s="38"/>
      <c r="I331" s="38" t="s">
        <v>9</v>
      </c>
      <c r="J331" s="38"/>
      <c r="K331" s="14" t="s">
        <v>24</v>
      </c>
      <c r="L331" s="14" t="s">
        <v>27</v>
      </c>
      <c r="M331" s="20" t="s">
        <v>851</v>
      </c>
      <c r="N331" s="14" t="s">
        <v>852</v>
      </c>
      <c r="O331" s="43">
        <v>0.51500000000000001</v>
      </c>
      <c r="R331" s="38" t="s">
        <v>104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IF(OR($M331="",NOT($O331="{array}")),"",IFERROR(MATCH(PARAMETERS!$M331,DEFAULT!$B$5:$CG$5,0),""))</f>
        <v/>
      </c>
      <c r="AA331" s="56" t="str">
        <f t="shared" si="9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IF($AA331="","",IF($B331="I",VLOOKUP($AA331,#REF!,53,0),INDEX(VALUES!$B$1:$CC$1,1,$AA331)))</f>
        <v/>
      </c>
    </row>
    <row r="332" spans="1:29" hidden="1" outlineLevel="1" x14ac:dyDescent="0.25">
      <c r="A332" s="22" t="s">
        <v>84</v>
      </c>
      <c r="B332" s="41" t="str">
        <f t="shared" si="22"/>
        <v/>
      </c>
      <c r="C332" s="42">
        <f t="shared" si="23"/>
        <v>331</v>
      </c>
      <c r="D332" s="38"/>
      <c r="E332" s="38"/>
      <c r="F332" s="38"/>
      <c r="G332" s="38"/>
      <c r="H332" s="38"/>
      <c r="I332" s="38" t="s">
        <v>9</v>
      </c>
      <c r="J332" s="38"/>
      <c r="K332" s="53" t="s">
        <v>24</v>
      </c>
      <c r="L332" s="53" t="s">
        <v>27</v>
      </c>
      <c r="M332" s="157" t="s">
        <v>1499</v>
      </c>
      <c r="N332" s="53" t="s">
        <v>1500</v>
      </c>
      <c r="O332" s="155">
        <v>0.1</v>
      </c>
      <c r="P332" s="53"/>
      <c r="Q332" s="209" t="s">
        <v>9</v>
      </c>
      <c r="R332" s="178" t="s">
        <v>196</v>
      </c>
      <c r="S332" s="38"/>
      <c r="T332" s="38"/>
      <c r="W332" s="15" t="str">
        <f>IF(IFERROR(VLOOKUP($M332,#REF!,1,0),"-")="-","","GS")</f>
        <v/>
      </c>
      <c r="Z332" s="59" t="str">
        <f>IF(OR($M332="",NOT($O332="{array}")),"",IFERROR(MATCH(PARAMETERS!$M332,DEFAULT!$B$5:$CG$5,0),""))</f>
        <v/>
      </c>
      <c r="AA332" s="56" t="str">
        <f t="shared" si="9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IF($AA332="","",IF($B332="I",VLOOKUP($AA332,#REF!,53,0),INDEX(VALUES!$B$1:$CC$1,1,$AA332)))</f>
        <v/>
      </c>
    </row>
    <row r="333" spans="1:29" hidden="1" outlineLevel="1" x14ac:dyDescent="0.25">
      <c r="A333" s="22" t="s">
        <v>84</v>
      </c>
      <c r="B333" s="41" t="str">
        <f t="shared" si="22"/>
        <v/>
      </c>
      <c r="C333" s="42">
        <f t="shared" si="23"/>
        <v>332</v>
      </c>
      <c r="D333" s="38"/>
      <c r="E333" s="38"/>
      <c r="F333" s="38"/>
      <c r="G333" s="38"/>
      <c r="H333" s="38"/>
      <c r="I333" s="38" t="s">
        <v>9</v>
      </c>
      <c r="J333" s="38"/>
      <c r="K333" s="53" t="s">
        <v>24</v>
      </c>
      <c r="L333" s="53" t="s">
        <v>27</v>
      </c>
      <c r="M333" s="157" t="s">
        <v>1501</v>
      </c>
      <c r="N333" s="53" t="s">
        <v>1502</v>
      </c>
      <c r="O333" s="155">
        <v>0.1</v>
      </c>
      <c r="P333" s="53"/>
      <c r="Q333" s="209" t="s">
        <v>9</v>
      </c>
      <c r="R333" s="178" t="s">
        <v>196</v>
      </c>
      <c r="S333" s="38"/>
      <c r="T333" s="38"/>
      <c r="W333" s="15" t="str">
        <f>IF(IFERROR(VLOOKUP($M333,#REF!,1,0),"-")="-","","GS")</f>
        <v/>
      </c>
      <c r="Z333" s="59" t="str">
        <f>IF(OR($M333="",NOT($O333="{array}")),"",IFERROR(MATCH(PARAMETERS!$M333,DEFAULT!$B$5:$CG$5,0),""))</f>
        <v/>
      </c>
      <c r="AA333" s="56" t="str">
        <f>IF($M333="","",IFERROR(MATCH($M333,VALUESnames,0),""))</f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IF($AA333="","",IF($B333="I",VLOOKUP($AA333,#REF!,53,0),INDEX(VALUES!$B$1:$CC$1,1,$AA333)))</f>
        <v/>
      </c>
    </row>
    <row r="334" spans="1:29" hidden="1" outlineLevel="1" x14ac:dyDescent="0.25">
      <c r="A334" s="22" t="s">
        <v>84</v>
      </c>
      <c r="B334" s="41" t="str">
        <f t="shared" si="22"/>
        <v/>
      </c>
      <c r="C334" s="42">
        <f t="shared" si="23"/>
        <v>333</v>
      </c>
      <c r="D334" s="38"/>
      <c r="E334" s="38"/>
      <c r="F334" s="38"/>
      <c r="G334" s="38"/>
      <c r="H334" s="38"/>
      <c r="I334" s="38" t="s">
        <v>9</v>
      </c>
      <c r="J334" s="38"/>
      <c r="K334" s="53" t="s">
        <v>24</v>
      </c>
      <c r="L334" s="53" t="s">
        <v>27</v>
      </c>
      <c r="M334" s="157" t="s">
        <v>1503</v>
      </c>
      <c r="N334" s="53" t="s">
        <v>1504</v>
      </c>
      <c r="O334" s="155">
        <v>0.1</v>
      </c>
      <c r="P334" s="53"/>
      <c r="Q334" s="209" t="s">
        <v>9</v>
      </c>
      <c r="R334" s="178" t="s">
        <v>196</v>
      </c>
      <c r="S334" s="38"/>
      <c r="T334" s="38"/>
      <c r="W334" s="15" t="str">
        <f>IF(IFERROR(VLOOKUP($M334,#REF!,1,0),"-")="-","","GS")</f>
        <v/>
      </c>
      <c r="Z334" s="59" t="str">
        <f>IF(OR($M334="",NOT($O334="{array}")),"",IFERROR(MATCH(PARAMETERS!$M334,DEFAULT!$B$5:$CG$5,0),""))</f>
        <v/>
      </c>
      <c r="AA334" s="56" t="str">
        <f>IF($M334="","",IFERROR(MATCH($M334,VALUESnames,0),""))</f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IF($AA334="","",IF($B334="I",VLOOKUP($AA334,#REF!,53,0),INDEX(VALUES!$B$1:$CC$1,1,$AA334)))</f>
        <v/>
      </c>
    </row>
    <row r="335" spans="1:29" collapsed="1" x14ac:dyDescent="0.3">
      <c r="A335" s="22" t="s">
        <v>84</v>
      </c>
      <c r="B335" s="41" t="str">
        <f t="shared" si="22"/>
        <v/>
      </c>
      <c r="C335" s="42">
        <f t="shared" si="23"/>
        <v>334</v>
      </c>
      <c r="D335" s="38"/>
      <c r="E335" s="38"/>
      <c r="F335" s="38"/>
      <c r="G335" s="38"/>
      <c r="H335" s="38"/>
      <c r="I335" s="38"/>
      <c r="J335" s="38"/>
      <c r="K335" s="14" t="s">
        <v>57</v>
      </c>
      <c r="L335" s="14" t="s">
        <v>38</v>
      </c>
      <c r="M335" s="48" t="s">
        <v>853</v>
      </c>
      <c r="N335" s="41" t="s">
        <v>854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IF(OR($M335="",NOT($O335="{array}")),"",IFERROR(MATCH(PARAMETERS!$M335,DEFAULT!$B$5:$CG$5,0),""))</f>
        <v/>
      </c>
      <c r="AA335" s="56" t="str">
        <f t="shared" ref="AA335:AA427" si="24">IF($M335="","",IFERROR(MATCH($M335,VALUESnames,0),""))</f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IF($AA335="","",IF($B335="I",VLOOKUP($AA335,#REF!,53,0),INDEX(VALUES!$B$1:$CC$1,1,$AA335)))</f>
        <v/>
      </c>
    </row>
    <row r="336" spans="1:29" hidden="1" outlineLevel="1" x14ac:dyDescent="0.25">
      <c r="A336" s="22"/>
      <c r="B336" s="41" t="str">
        <f t="shared" si="22"/>
        <v/>
      </c>
      <c r="C336" s="42">
        <f t="shared" si="23"/>
        <v>335</v>
      </c>
      <c r="D336" s="38"/>
      <c r="E336" s="38"/>
      <c r="F336" s="38"/>
      <c r="G336" s="38"/>
      <c r="H336" s="38"/>
      <c r="I336" s="38"/>
      <c r="J336" s="38"/>
      <c r="K336" s="166" t="s">
        <v>18</v>
      </c>
      <c r="L336" s="167" t="s">
        <v>21</v>
      </c>
      <c r="M336" s="166" t="s">
        <v>855</v>
      </c>
      <c r="N336" s="166" t="s">
        <v>265</v>
      </c>
      <c r="O336" s="166" t="s">
        <v>265</v>
      </c>
      <c r="P336" s="160" t="s">
        <v>265</v>
      </c>
      <c r="Q336" s="171" t="s">
        <v>9</v>
      </c>
      <c r="R336" s="171" t="s">
        <v>103</v>
      </c>
      <c r="S336" s="171" t="s">
        <v>112</v>
      </c>
      <c r="T336" s="166" t="s">
        <v>265</v>
      </c>
      <c r="U336" s="166" t="s">
        <v>265</v>
      </c>
      <c r="V336" s="166" t="s">
        <v>855</v>
      </c>
      <c r="W336" s="15" t="str">
        <f>IF(IFERROR(VLOOKUP($M336,#REF!,1,0),"-")="-","","GS")</f>
        <v/>
      </c>
      <c r="X336" s="160" t="s">
        <v>265</v>
      </c>
      <c r="Y336" s="166" t="s">
        <v>856</v>
      </c>
      <c r="Z336" s="59" t="str">
        <f>IF(OR($M336="",NOT($O336="{array}")),"",IFERROR(MATCH(PARAMETERS!$M336,DEFAULT!$B$5:$CG$5,0),""))</f>
        <v/>
      </c>
      <c r="AA336" s="56" t="str">
        <f t="shared" si="24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IF($AA336="","",IF($B336="I",VLOOKUP($AA336,#REF!,53,0),INDEX(VALUES!$B$1:$CC$1,1,$AA336)))</f>
        <v/>
      </c>
    </row>
    <row r="337" spans="1:29" hidden="1" outlineLevel="1" x14ac:dyDescent="0.25">
      <c r="A337" s="22"/>
      <c r="B337" s="41" t="str">
        <f t="shared" si="22"/>
        <v/>
      </c>
      <c r="C337" s="42">
        <f t="shared" si="23"/>
        <v>336</v>
      </c>
      <c r="D337" s="38"/>
      <c r="E337" s="38"/>
      <c r="F337" s="38"/>
      <c r="G337" s="38"/>
      <c r="H337" s="38"/>
      <c r="I337" s="38"/>
      <c r="J337" s="38"/>
      <c r="K337" s="166" t="s">
        <v>18</v>
      </c>
      <c r="L337" s="167" t="s">
        <v>21</v>
      </c>
      <c r="M337" s="166" t="s">
        <v>857</v>
      </c>
      <c r="N337" s="166" t="s">
        <v>265</v>
      </c>
      <c r="O337" s="166" t="s">
        <v>265</v>
      </c>
      <c r="P337" s="160" t="s">
        <v>265</v>
      </c>
      <c r="Q337" s="171" t="s">
        <v>9</v>
      </c>
      <c r="R337" s="171" t="s">
        <v>103</v>
      </c>
      <c r="S337" s="171" t="s">
        <v>112</v>
      </c>
      <c r="T337" s="166" t="s">
        <v>265</v>
      </c>
      <c r="U337" s="166" t="s">
        <v>265</v>
      </c>
      <c r="V337" s="166" t="s">
        <v>857</v>
      </c>
      <c r="W337" s="15" t="str">
        <f>IF(IFERROR(VLOOKUP($M337,#REF!,1,0),"-")="-","","GS")</f>
        <v/>
      </c>
      <c r="X337" s="160" t="s">
        <v>265</v>
      </c>
      <c r="Y337" s="166" t="s">
        <v>858</v>
      </c>
      <c r="Z337" s="59" t="str">
        <f>IF(OR($M337="",NOT($O337="{array}")),"",IFERROR(MATCH(PARAMETERS!$M337,DEFAULT!$B$5:$CG$5,0),""))</f>
        <v/>
      </c>
      <c r="AA337" s="56" t="str">
        <f t="shared" si="24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IF($AA337="","",IF($B337="I",VLOOKUP($AA337,#REF!,53,0),INDEX(VALUES!$B$1:$CC$1,1,$AA337)))</f>
        <v/>
      </c>
    </row>
    <row r="338" spans="1:29" hidden="1" outlineLevel="1" x14ac:dyDescent="0.25">
      <c r="A338" s="22"/>
      <c r="B338" s="41" t="str">
        <f t="shared" si="22"/>
        <v/>
      </c>
      <c r="C338" s="42">
        <f t="shared" si="23"/>
        <v>337</v>
      </c>
      <c r="D338" s="38"/>
      <c r="E338" s="38"/>
      <c r="F338" s="38"/>
      <c r="G338" s="38"/>
      <c r="H338" s="38"/>
      <c r="I338" s="38"/>
      <c r="J338" s="38"/>
      <c r="K338" s="166" t="s">
        <v>18</v>
      </c>
      <c r="L338" s="167" t="s">
        <v>21</v>
      </c>
      <c r="M338" s="166" t="s">
        <v>859</v>
      </c>
      <c r="N338" s="166" t="s">
        <v>265</v>
      </c>
      <c r="O338" s="166" t="s">
        <v>265</v>
      </c>
      <c r="P338" s="160" t="s">
        <v>265</v>
      </c>
      <c r="Q338" s="171" t="s">
        <v>9</v>
      </c>
      <c r="R338" s="171" t="s">
        <v>103</v>
      </c>
      <c r="S338" s="171" t="s">
        <v>112</v>
      </c>
      <c r="T338" s="166" t="s">
        <v>265</v>
      </c>
      <c r="U338" s="166" t="s">
        <v>265</v>
      </c>
      <c r="V338" s="166" t="s">
        <v>859</v>
      </c>
      <c r="W338" s="15" t="str">
        <f>IF(IFERROR(VLOOKUP($M338,#REF!,1,0),"-")="-","","GS")</f>
        <v/>
      </c>
      <c r="X338" s="160" t="s">
        <v>265</v>
      </c>
      <c r="Y338" s="166" t="s">
        <v>860</v>
      </c>
      <c r="Z338" s="59" t="str">
        <f>IF(OR($M338="",NOT($O338="{array}")),"",IFERROR(MATCH(PARAMETERS!$M338,DEFAULT!$B$5:$CG$5,0),""))</f>
        <v/>
      </c>
      <c r="AA338" s="56" t="str">
        <f t="shared" si="24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IF($AA338="","",IF($B338="I",VLOOKUP($AA338,#REF!,53,0),INDEX(VALUES!$B$1:$CC$1,1,$AA338)))</f>
        <v/>
      </c>
    </row>
    <row r="339" spans="1:29" hidden="1" outlineLevel="1" x14ac:dyDescent="0.25">
      <c r="A339" s="22"/>
      <c r="B339" s="41" t="str">
        <f t="shared" si="22"/>
        <v/>
      </c>
      <c r="C339" s="42">
        <f t="shared" si="23"/>
        <v>338</v>
      </c>
      <c r="D339" s="38"/>
      <c r="E339" s="38"/>
      <c r="F339" s="38"/>
      <c r="G339" s="38"/>
      <c r="H339" s="38"/>
      <c r="I339" s="38"/>
      <c r="J339" s="38"/>
      <c r="K339" s="166" t="s">
        <v>18</v>
      </c>
      <c r="L339" s="167" t="s">
        <v>21</v>
      </c>
      <c r="M339" s="166" t="s">
        <v>861</v>
      </c>
      <c r="N339" s="166" t="s">
        <v>265</v>
      </c>
      <c r="O339" s="166" t="s">
        <v>265</v>
      </c>
      <c r="P339" s="160" t="s">
        <v>265</v>
      </c>
      <c r="Q339" s="171" t="s">
        <v>9</v>
      </c>
      <c r="R339" s="171" t="s">
        <v>103</v>
      </c>
      <c r="S339" s="171" t="s">
        <v>112</v>
      </c>
      <c r="T339" s="166" t="s">
        <v>265</v>
      </c>
      <c r="U339" s="166" t="s">
        <v>265</v>
      </c>
      <c r="V339" s="166" t="s">
        <v>861</v>
      </c>
      <c r="W339" s="15" t="str">
        <f>IF(IFERROR(VLOOKUP($M339,#REF!,1,0),"-")="-","","GS")</f>
        <v/>
      </c>
      <c r="X339" s="160" t="s">
        <v>265</v>
      </c>
      <c r="Y339" s="166" t="s">
        <v>862</v>
      </c>
      <c r="Z339" s="59" t="str">
        <f>IF(OR($M339="",NOT($O339="{array}")),"",IFERROR(MATCH(PARAMETERS!$M339,DEFAULT!$B$5:$CG$5,0),""))</f>
        <v/>
      </c>
      <c r="AA339" s="56" t="str">
        <f t="shared" si="24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IF($AA339="","",IF($B339="I",VLOOKUP($AA339,#REF!,53,0),INDEX(VALUES!$B$1:$CC$1,1,$AA339)))</f>
        <v/>
      </c>
    </row>
    <row r="340" spans="1:29" hidden="1" outlineLevel="1" x14ac:dyDescent="0.25">
      <c r="A340" s="22"/>
      <c r="B340" s="41" t="str">
        <f t="shared" si="22"/>
        <v/>
      </c>
      <c r="C340" s="42">
        <f t="shared" si="23"/>
        <v>339</v>
      </c>
      <c r="D340" s="38"/>
      <c r="E340" s="38"/>
      <c r="F340" s="38"/>
      <c r="G340" s="38"/>
      <c r="H340" s="38"/>
      <c r="I340" s="38"/>
      <c r="J340" s="38"/>
      <c r="K340" s="166" t="s">
        <v>18</v>
      </c>
      <c r="L340" s="167" t="s">
        <v>21</v>
      </c>
      <c r="M340" s="166" t="s">
        <v>863</v>
      </c>
      <c r="N340" s="166" t="s">
        <v>265</v>
      </c>
      <c r="O340" s="166" t="s">
        <v>265</v>
      </c>
      <c r="P340" s="160" t="s">
        <v>265</v>
      </c>
      <c r="Q340" s="171" t="s">
        <v>9</v>
      </c>
      <c r="R340" s="171" t="s">
        <v>103</v>
      </c>
      <c r="S340" s="171" t="s">
        <v>112</v>
      </c>
      <c r="T340" s="166" t="s">
        <v>265</v>
      </c>
      <c r="U340" s="166" t="s">
        <v>265</v>
      </c>
      <c r="V340" s="166" t="s">
        <v>863</v>
      </c>
      <c r="W340" s="15" t="str">
        <f>IF(IFERROR(VLOOKUP($M340,#REF!,1,0),"-")="-","","GS")</f>
        <v/>
      </c>
      <c r="X340" s="160" t="s">
        <v>265</v>
      </c>
      <c r="Y340" s="166" t="s">
        <v>864</v>
      </c>
      <c r="Z340" s="59" t="str">
        <f>IF(OR($M340="",NOT($O340="{array}")),"",IFERROR(MATCH(PARAMETERS!$M340,DEFAULT!$B$5:$CG$5,0),""))</f>
        <v/>
      </c>
      <c r="AA340" s="56" t="str">
        <f t="shared" si="24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IF($AA340="","",IF($B340="I",VLOOKUP($AA340,#REF!,53,0),INDEX(VALUES!$B$1:$CC$1,1,$AA340)))</f>
        <v/>
      </c>
    </row>
    <row r="341" spans="1:29" hidden="1" outlineLevel="1" x14ac:dyDescent="0.25">
      <c r="A341" s="22"/>
      <c r="B341" s="41" t="str">
        <f t="shared" si="22"/>
        <v/>
      </c>
      <c r="C341" s="42">
        <f t="shared" si="23"/>
        <v>340</v>
      </c>
      <c r="D341" s="38"/>
      <c r="E341" s="38"/>
      <c r="F341" s="38"/>
      <c r="G341" s="38"/>
      <c r="H341" s="38"/>
      <c r="I341" s="38"/>
      <c r="J341" s="38"/>
      <c r="K341" s="166" t="s">
        <v>18</v>
      </c>
      <c r="L341" s="167" t="s">
        <v>21</v>
      </c>
      <c r="M341" s="166" t="s">
        <v>865</v>
      </c>
      <c r="N341" s="166" t="s">
        <v>265</v>
      </c>
      <c r="O341" s="166" t="s">
        <v>265</v>
      </c>
      <c r="P341" s="160" t="s">
        <v>265</v>
      </c>
      <c r="Q341" s="171" t="s">
        <v>9</v>
      </c>
      <c r="R341" s="171" t="s">
        <v>103</v>
      </c>
      <c r="S341" s="171" t="s">
        <v>112</v>
      </c>
      <c r="T341" s="166" t="s">
        <v>265</v>
      </c>
      <c r="U341" s="166" t="s">
        <v>265</v>
      </c>
      <c r="V341" s="166" t="s">
        <v>865</v>
      </c>
      <c r="W341" s="15" t="str">
        <f>IF(IFERROR(VLOOKUP($M341,#REF!,1,0),"-")="-","","GS")</f>
        <v/>
      </c>
      <c r="X341" s="160" t="s">
        <v>265</v>
      </c>
      <c r="Y341" s="166" t="s">
        <v>866</v>
      </c>
      <c r="Z341" s="59" t="str">
        <f>IF(OR($M341="",NOT($O341="{array}")),"",IFERROR(MATCH(PARAMETERS!$M341,DEFAULT!$B$5:$CG$5,0),""))</f>
        <v/>
      </c>
      <c r="AA341" s="56" t="str">
        <f t="shared" si="24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IF($AA341="","",IF($B341="I",VLOOKUP($AA341,#REF!,53,0),INDEX(VALUES!$B$1:$CC$1,1,$AA341)))</f>
        <v/>
      </c>
    </row>
    <row r="342" spans="1:29" hidden="1" outlineLevel="1" x14ac:dyDescent="0.25">
      <c r="A342" s="22"/>
      <c r="B342" s="41" t="str">
        <f t="shared" si="22"/>
        <v/>
      </c>
      <c r="C342" s="42">
        <f t="shared" si="23"/>
        <v>341</v>
      </c>
      <c r="D342" s="38"/>
      <c r="E342" s="38"/>
      <c r="F342" s="38"/>
      <c r="G342" s="38"/>
      <c r="H342" s="38"/>
      <c r="I342" s="38"/>
      <c r="J342" s="38"/>
      <c r="K342" s="166" t="s">
        <v>18</v>
      </c>
      <c r="L342" s="167" t="s">
        <v>21</v>
      </c>
      <c r="M342" s="166" t="s">
        <v>867</v>
      </c>
      <c r="N342" s="166" t="s">
        <v>265</v>
      </c>
      <c r="O342" s="166" t="s">
        <v>265</v>
      </c>
      <c r="P342" s="160" t="s">
        <v>265</v>
      </c>
      <c r="Q342" s="171" t="s">
        <v>9</v>
      </c>
      <c r="R342" s="171" t="s">
        <v>103</v>
      </c>
      <c r="S342" s="171" t="s">
        <v>112</v>
      </c>
      <c r="T342" s="166" t="s">
        <v>265</v>
      </c>
      <c r="U342" s="166" t="s">
        <v>265</v>
      </c>
      <c r="V342" s="166" t="s">
        <v>867</v>
      </c>
      <c r="W342" s="15" t="str">
        <f>IF(IFERROR(VLOOKUP($M342,#REF!,1,0),"-")="-","","GS")</f>
        <v/>
      </c>
      <c r="X342" s="160" t="s">
        <v>265</v>
      </c>
      <c r="Y342" s="166" t="s">
        <v>868</v>
      </c>
      <c r="Z342" s="59" t="str">
        <f>IF(OR($M342="",NOT($O342="{array}")),"",IFERROR(MATCH(PARAMETERS!$M342,DEFAULT!$B$5:$CG$5,0),""))</f>
        <v/>
      </c>
      <c r="AA342" s="56" t="str">
        <f t="shared" si="24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IF($AA342="","",IF($B342="I",VLOOKUP($AA342,#REF!,53,0),INDEX(VALUES!$B$1:$CC$1,1,$AA342)))</f>
        <v/>
      </c>
    </row>
    <row r="343" spans="1:29" hidden="1" outlineLevel="1" x14ac:dyDescent="0.25">
      <c r="A343" s="22"/>
      <c r="B343" s="41" t="str">
        <f t="shared" si="22"/>
        <v/>
      </c>
      <c r="C343" s="42">
        <f t="shared" si="23"/>
        <v>342</v>
      </c>
      <c r="D343" s="38"/>
      <c r="E343" s="38"/>
      <c r="F343" s="38"/>
      <c r="G343" s="38"/>
      <c r="H343" s="38"/>
      <c r="I343" s="38"/>
      <c r="J343" s="38"/>
      <c r="K343" s="166" t="s">
        <v>18</v>
      </c>
      <c r="L343" s="167" t="s">
        <v>21</v>
      </c>
      <c r="M343" s="166" t="s">
        <v>869</v>
      </c>
      <c r="N343" s="166" t="s">
        <v>265</v>
      </c>
      <c r="O343" s="166" t="s">
        <v>265</v>
      </c>
      <c r="P343" s="160" t="s">
        <v>265</v>
      </c>
      <c r="Q343" s="171" t="s">
        <v>9</v>
      </c>
      <c r="R343" s="171" t="s">
        <v>103</v>
      </c>
      <c r="S343" s="171" t="s">
        <v>112</v>
      </c>
      <c r="T343" s="166" t="s">
        <v>265</v>
      </c>
      <c r="U343" s="166" t="s">
        <v>265</v>
      </c>
      <c r="V343" s="166" t="s">
        <v>869</v>
      </c>
      <c r="W343" s="15" t="str">
        <f>IF(IFERROR(VLOOKUP($M343,#REF!,1,0),"-")="-","","GS")</f>
        <v/>
      </c>
      <c r="X343" s="160" t="s">
        <v>265</v>
      </c>
      <c r="Y343" s="166" t="s">
        <v>870</v>
      </c>
      <c r="Z343" s="59" t="str">
        <f>IF(OR($M343="",NOT($O343="{array}")),"",IFERROR(MATCH(PARAMETERS!$M343,DEFAULT!$B$5:$CG$5,0),""))</f>
        <v/>
      </c>
      <c r="AA343" s="56" t="str">
        <f t="shared" si="24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IF($AA343="","",IF($B343="I",VLOOKUP($AA343,#REF!,53,0),INDEX(VALUES!$B$1:$CC$1,1,$AA343)))</f>
        <v/>
      </c>
    </row>
    <row r="344" spans="1:29" collapsed="1" x14ac:dyDescent="0.3">
      <c r="A344" s="22" t="s">
        <v>84</v>
      </c>
      <c r="B344" s="41" t="str">
        <f t="shared" si="22"/>
        <v/>
      </c>
      <c r="C344" s="42">
        <f t="shared" si="23"/>
        <v>343</v>
      </c>
      <c r="D344" s="38"/>
      <c r="E344" s="38"/>
      <c r="F344" s="38"/>
      <c r="G344" s="38"/>
      <c r="H344" s="38"/>
      <c r="I344" s="38"/>
      <c r="J344" s="38"/>
      <c r="K344" s="14" t="s">
        <v>57</v>
      </c>
      <c r="L344" s="14" t="s">
        <v>38</v>
      </c>
      <c r="M344" s="48" t="s">
        <v>871</v>
      </c>
      <c r="N344" s="41" t="s">
        <v>872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IF(OR($M344="",NOT($O344="{array}")),"",IFERROR(MATCH(PARAMETERS!$M344,DEFAULT!$B$5:$CG$5,0),""))</f>
        <v/>
      </c>
      <c r="AA344" s="56" t="str">
        <f t="shared" si="24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IF($AA344="","",IF($B344="I",VLOOKUP($AA344,#REF!,53,0),INDEX(VALUES!$B$1:$CC$1,1,$AA344)))</f>
        <v/>
      </c>
    </row>
    <row r="345" spans="1:29" hidden="1" outlineLevel="1" x14ac:dyDescent="0.25">
      <c r="A345" s="22"/>
      <c r="B345" s="41" t="str">
        <f t="shared" si="22"/>
        <v/>
      </c>
      <c r="C345" s="42">
        <f t="shared" si="23"/>
        <v>344</v>
      </c>
      <c r="D345" s="38"/>
      <c r="E345" s="38"/>
      <c r="F345" s="38"/>
      <c r="G345" s="38"/>
      <c r="H345" s="38"/>
      <c r="I345" s="38"/>
      <c r="J345" s="38"/>
      <c r="K345" s="166" t="s">
        <v>18</v>
      </c>
      <c r="L345" s="167" t="s">
        <v>21</v>
      </c>
      <c r="M345" s="166" t="s">
        <v>459</v>
      </c>
      <c r="N345" s="166" t="s">
        <v>265</v>
      </c>
      <c r="O345" s="166" t="s">
        <v>265</v>
      </c>
      <c r="P345" s="160" t="s">
        <v>265</v>
      </c>
      <c r="Q345" s="171" t="s">
        <v>9</v>
      </c>
      <c r="R345" s="171" t="s">
        <v>103</v>
      </c>
      <c r="S345" s="171" t="s">
        <v>112</v>
      </c>
      <c r="T345" s="166" t="s">
        <v>265</v>
      </c>
      <c r="U345" s="166" t="s">
        <v>265</v>
      </c>
      <c r="V345" s="166" t="s">
        <v>459</v>
      </c>
      <c r="W345" s="15" t="str">
        <f>IF(IFERROR(VLOOKUP($M345,#REF!,1,0),"-")="-","","GS")</f>
        <v/>
      </c>
      <c r="X345" s="160" t="s">
        <v>265</v>
      </c>
      <c r="Y345" s="166" t="s">
        <v>265</v>
      </c>
      <c r="Z345" s="59" t="str">
        <f>IF(OR($M345="",NOT($O345="{array}")),"",IFERROR(MATCH(PARAMETERS!$M345,DEFAULT!$B$5:$CG$5,0),""))</f>
        <v/>
      </c>
      <c r="AA345" s="56" t="str">
        <f t="shared" si="24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IF($AA345="","",IF($B345="I",VLOOKUP($AA345,#REF!,53,0),INDEX(VALUES!$B$1:$CC$1,1,$AA345)))</f>
        <v/>
      </c>
    </row>
    <row r="346" spans="1:29" hidden="1" outlineLevel="1" x14ac:dyDescent="0.25">
      <c r="A346" s="22"/>
      <c r="B346" s="41" t="str">
        <f t="shared" si="22"/>
        <v/>
      </c>
      <c r="C346" s="42">
        <f t="shared" si="23"/>
        <v>345</v>
      </c>
      <c r="D346" s="38"/>
      <c r="E346" s="38"/>
      <c r="F346" s="38"/>
      <c r="G346" s="38"/>
      <c r="H346" s="38"/>
      <c r="I346" s="38"/>
      <c r="J346" s="38"/>
      <c r="K346" s="166" t="s">
        <v>18</v>
      </c>
      <c r="L346" s="167" t="s">
        <v>21</v>
      </c>
      <c r="M346" s="166" t="s">
        <v>460</v>
      </c>
      <c r="N346" s="166" t="s">
        <v>265</v>
      </c>
      <c r="O346" s="166" t="s">
        <v>265</v>
      </c>
      <c r="P346" s="160" t="s">
        <v>265</v>
      </c>
      <c r="Q346" s="171" t="s">
        <v>9</v>
      </c>
      <c r="R346" s="171" t="s">
        <v>103</v>
      </c>
      <c r="S346" s="171" t="s">
        <v>112</v>
      </c>
      <c r="T346" s="166" t="s">
        <v>265</v>
      </c>
      <c r="U346" s="166" t="s">
        <v>265</v>
      </c>
      <c r="V346" s="166" t="s">
        <v>460</v>
      </c>
      <c r="W346" s="15" t="str">
        <f>IF(IFERROR(VLOOKUP($M346,#REF!,1,0),"-")="-","","GS")</f>
        <v/>
      </c>
      <c r="X346" s="160" t="s">
        <v>265</v>
      </c>
      <c r="Y346" s="166" t="s">
        <v>265</v>
      </c>
      <c r="Z346" s="59" t="str">
        <f>IF(OR($M346="",NOT($O346="{array}")),"",IFERROR(MATCH(PARAMETERS!$M346,DEFAULT!$B$5:$CG$5,0),""))</f>
        <v/>
      </c>
      <c r="AA346" s="56" t="str">
        <f t="shared" si="24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IF($AA346="","",IF($B346="I",VLOOKUP($AA346,#REF!,53,0),INDEX(VALUES!$B$1:$CC$1,1,$AA346)))</f>
        <v/>
      </c>
    </row>
    <row r="347" spans="1:29" hidden="1" outlineLevel="1" x14ac:dyDescent="0.25">
      <c r="A347" s="22"/>
      <c r="B347" s="41" t="str">
        <f t="shared" si="22"/>
        <v/>
      </c>
      <c r="C347" s="42">
        <f t="shared" si="23"/>
        <v>346</v>
      </c>
      <c r="D347" s="38"/>
      <c r="E347" s="38"/>
      <c r="F347" s="38"/>
      <c r="G347" s="38"/>
      <c r="H347" s="38"/>
      <c r="I347" s="38"/>
      <c r="J347" s="38"/>
      <c r="K347" s="166" t="s">
        <v>18</v>
      </c>
      <c r="L347" s="167" t="s">
        <v>21</v>
      </c>
      <c r="M347" s="166" t="s">
        <v>461</v>
      </c>
      <c r="N347" s="166" t="s">
        <v>265</v>
      </c>
      <c r="O347" s="166" t="s">
        <v>265</v>
      </c>
      <c r="P347" s="160" t="s">
        <v>265</v>
      </c>
      <c r="Q347" s="171" t="s">
        <v>9</v>
      </c>
      <c r="R347" s="171" t="s">
        <v>103</v>
      </c>
      <c r="S347" s="171" t="s">
        <v>112</v>
      </c>
      <c r="T347" s="166" t="s">
        <v>265</v>
      </c>
      <c r="U347" s="166" t="s">
        <v>265</v>
      </c>
      <c r="V347" s="166" t="s">
        <v>461</v>
      </c>
      <c r="W347" s="15" t="str">
        <f>IF(IFERROR(VLOOKUP($M347,#REF!,1,0),"-")="-","","GS")</f>
        <v/>
      </c>
      <c r="X347" s="160" t="s">
        <v>265</v>
      </c>
      <c r="Y347" s="166" t="s">
        <v>265</v>
      </c>
      <c r="Z347" s="59" t="str">
        <f>IF(OR($M347="",NOT($O347="{array}")),"",IFERROR(MATCH(PARAMETERS!$M347,DEFAULT!$B$5:$CG$5,0),""))</f>
        <v/>
      </c>
      <c r="AA347" s="56" t="str">
        <f t="shared" si="24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IF($AA347="","",IF($B347="I",VLOOKUP($AA347,#REF!,53,0),INDEX(VALUES!$B$1:$CC$1,1,$AA347)))</f>
        <v/>
      </c>
    </row>
    <row r="348" spans="1:29" hidden="1" outlineLevel="1" x14ac:dyDescent="0.25">
      <c r="A348" s="22"/>
      <c r="B348" s="41" t="str">
        <f t="shared" si="22"/>
        <v/>
      </c>
      <c r="C348" s="42">
        <f t="shared" si="23"/>
        <v>347</v>
      </c>
      <c r="D348" s="38"/>
      <c r="E348" s="38"/>
      <c r="F348" s="38"/>
      <c r="G348" s="38"/>
      <c r="H348" s="38"/>
      <c r="I348" s="38"/>
      <c r="J348" s="38"/>
      <c r="K348" s="166" t="s">
        <v>18</v>
      </c>
      <c r="L348" s="167" t="s">
        <v>21</v>
      </c>
      <c r="M348" s="166" t="s">
        <v>462</v>
      </c>
      <c r="N348" s="166" t="s">
        <v>265</v>
      </c>
      <c r="O348" s="166" t="s">
        <v>265</v>
      </c>
      <c r="P348" s="160" t="s">
        <v>265</v>
      </c>
      <c r="Q348" s="171" t="s">
        <v>9</v>
      </c>
      <c r="R348" s="171" t="s">
        <v>103</v>
      </c>
      <c r="S348" s="171" t="s">
        <v>112</v>
      </c>
      <c r="T348" s="166" t="s">
        <v>265</v>
      </c>
      <c r="U348" s="166" t="s">
        <v>265</v>
      </c>
      <c r="V348" s="166" t="s">
        <v>462</v>
      </c>
      <c r="W348" s="15" t="str">
        <f>IF(IFERROR(VLOOKUP($M348,#REF!,1,0),"-")="-","","GS")</f>
        <v/>
      </c>
      <c r="X348" s="160" t="s">
        <v>265</v>
      </c>
      <c r="Y348" s="166" t="s">
        <v>265</v>
      </c>
      <c r="Z348" s="59" t="str">
        <f>IF(OR($M348="",NOT($O348="{array}")),"",IFERROR(MATCH(PARAMETERS!$M348,DEFAULT!$B$5:$CG$5,0),""))</f>
        <v/>
      </c>
      <c r="AA348" s="56" t="str">
        <f t="shared" si="24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IF($AA348="","",IF($B348="I",VLOOKUP($AA348,#REF!,53,0),INDEX(VALUES!$B$1:$CC$1,1,$AA348)))</f>
        <v/>
      </c>
    </row>
    <row r="349" spans="1:29" hidden="1" outlineLevel="1" x14ac:dyDescent="0.25">
      <c r="A349" s="22"/>
      <c r="B349" s="41" t="str">
        <f t="shared" si="22"/>
        <v/>
      </c>
      <c r="C349" s="42">
        <f t="shared" si="23"/>
        <v>348</v>
      </c>
      <c r="D349" s="38"/>
      <c r="E349" s="38"/>
      <c r="F349" s="38"/>
      <c r="G349" s="38"/>
      <c r="H349" s="38"/>
      <c r="I349" s="38"/>
      <c r="J349" s="38"/>
      <c r="K349" s="166" t="s">
        <v>18</v>
      </c>
      <c r="L349" s="167" t="s">
        <v>21</v>
      </c>
      <c r="M349" s="166" t="s">
        <v>463</v>
      </c>
      <c r="N349" s="166" t="s">
        <v>265</v>
      </c>
      <c r="O349" s="166" t="s">
        <v>265</v>
      </c>
      <c r="P349" s="160" t="s">
        <v>265</v>
      </c>
      <c r="Q349" s="171" t="s">
        <v>9</v>
      </c>
      <c r="R349" s="171" t="s">
        <v>103</v>
      </c>
      <c r="S349" s="171" t="s">
        <v>112</v>
      </c>
      <c r="T349" s="166" t="s">
        <v>265</v>
      </c>
      <c r="U349" s="166" t="s">
        <v>265</v>
      </c>
      <c r="V349" s="166" t="s">
        <v>463</v>
      </c>
      <c r="W349" s="15" t="str">
        <f>IF(IFERROR(VLOOKUP($M349,#REF!,1,0),"-")="-","","GS")</f>
        <v/>
      </c>
      <c r="X349" s="160" t="s">
        <v>265</v>
      </c>
      <c r="Y349" s="166" t="s">
        <v>265</v>
      </c>
      <c r="Z349" s="59" t="str">
        <f>IF(OR($M349="",NOT($O349="{array}")),"",IFERROR(MATCH(PARAMETERS!$M349,DEFAULT!$B$5:$CG$5,0),""))</f>
        <v/>
      </c>
      <c r="AA349" s="56" t="str">
        <f t="shared" si="24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IF($AA349="","",IF($B349="I",VLOOKUP($AA349,#REF!,53,0),INDEX(VALUES!$B$1:$CC$1,1,$AA349)))</f>
        <v/>
      </c>
    </row>
    <row r="350" spans="1:29" hidden="1" outlineLevel="1" x14ac:dyDescent="0.25">
      <c r="A350" s="22"/>
      <c r="B350" s="41" t="str">
        <f t="shared" si="22"/>
        <v/>
      </c>
      <c r="C350" s="42">
        <f t="shared" si="23"/>
        <v>349</v>
      </c>
      <c r="D350" s="38"/>
      <c r="E350" s="38"/>
      <c r="F350" s="38"/>
      <c r="G350" s="38"/>
      <c r="H350" s="38"/>
      <c r="I350" s="38"/>
      <c r="J350" s="38"/>
      <c r="K350" s="166" t="s">
        <v>18</v>
      </c>
      <c r="L350" s="167" t="s">
        <v>21</v>
      </c>
      <c r="M350" s="166" t="s">
        <v>464</v>
      </c>
      <c r="N350" s="166" t="s">
        <v>265</v>
      </c>
      <c r="O350" s="166" t="s">
        <v>265</v>
      </c>
      <c r="P350" s="160" t="s">
        <v>265</v>
      </c>
      <c r="Q350" s="171" t="s">
        <v>9</v>
      </c>
      <c r="R350" s="171" t="s">
        <v>103</v>
      </c>
      <c r="S350" s="171" t="s">
        <v>112</v>
      </c>
      <c r="T350" s="166" t="s">
        <v>265</v>
      </c>
      <c r="U350" s="166" t="s">
        <v>265</v>
      </c>
      <c r="V350" s="166" t="s">
        <v>464</v>
      </c>
      <c r="W350" s="15" t="str">
        <f>IF(IFERROR(VLOOKUP($M350,#REF!,1,0),"-")="-","","GS")</f>
        <v/>
      </c>
      <c r="X350" s="160" t="s">
        <v>265</v>
      </c>
      <c r="Y350" s="166" t="s">
        <v>265</v>
      </c>
      <c r="Z350" s="59" t="str">
        <f>IF(OR($M350="",NOT($O350="{array}")),"",IFERROR(MATCH(PARAMETERS!$M350,DEFAULT!$B$5:$CG$5,0),""))</f>
        <v/>
      </c>
      <c r="AA350" s="56" t="str">
        <f t="shared" si="24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IF($AA350="","",IF($B350="I",VLOOKUP($AA350,#REF!,53,0),INDEX(VALUES!$B$1:$CC$1,1,$AA350)))</f>
        <v/>
      </c>
    </row>
    <row r="351" spans="1:29" hidden="1" outlineLevel="1" x14ac:dyDescent="0.25">
      <c r="A351" s="22"/>
      <c r="B351" s="41" t="str">
        <f t="shared" si="22"/>
        <v/>
      </c>
      <c r="C351" s="42">
        <f t="shared" si="23"/>
        <v>350</v>
      </c>
      <c r="D351" s="38"/>
      <c r="E351" s="38"/>
      <c r="F351" s="38"/>
      <c r="G351" s="38"/>
      <c r="H351" s="38"/>
      <c r="I351" s="38"/>
      <c r="J351" s="38"/>
      <c r="K351" s="166" t="s">
        <v>18</v>
      </c>
      <c r="L351" s="167" t="s">
        <v>21</v>
      </c>
      <c r="M351" s="166" t="s">
        <v>465</v>
      </c>
      <c r="N351" s="166" t="s">
        <v>265</v>
      </c>
      <c r="O351" s="166" t="s">
        <v>265</v>
      </c>
      <c r="P351" s="160" t="s">
        <v>265</v>
      </c>
      <c r="Q351" s="171" t="s">
        <v>9</v>
      </c>
      <c r="R351" s="171" t="s">
        <v>103</v>
      </c>
      <c r="S351" s="171" t="s">
        <v>112</v>
      </c>
      <c r="T351" s="166" t="s">
        <v>265</v>
      </c>
      <c r="U351" s="166" t="s">
        <v>265</v>
      </c>
      <c r="V351" s="166" t="s">
        <v>465</v>
      </c>
      <c r="W351" s="15" t="str">
        <f>IF(IFERROR(VLOOKUP($M351,#REF!,1,0),"-")="-","","GS")</f>
        <v/>
      </c>
      <c r="X351" s="160" t="s">
        <v>265</v>
      </c>
      <c r="Y351" s="166" t="s">
        <v>265</v>
      </c>
      <c r="Z351" s="59" t="str">
        <f>IF(OR($M351="",NOT($O351="{array}")),"",IFERROR(MATCH(PARAMETERS!$M351,DEFAULT!$B$5:$CG$5,0),""))</f>
        <v/>
      </c>
      <c r="AA351" s="56" t="str">
        <f t="shared" si="24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IF($AA351="","",IF($B351="I",VLOOKUP($AA351,#REF!,53,0),INDEX(VALUES!$B$1:$CC$1,1,$AA351)))</f>
        <v/>
      </c>
    </row>
    <row r="352" spans="1:29" collapsed="1" x14ac:dyDescent="0.3">
      <c r="A352" s="22" t="s">
        <v>84</v>
      </c>
      <c r="B352" s="41" t="str">
        <f t="shared" si="22"/>
        <v/>
      </c>
      <c r="C352" s="42">
        <f t="shared" si="23"/>
        <v>351</v>
      </c>
      <c r="D352" s="38"/>
      <c r="E352" s="38"/>
      <c r="F352" s="38"/>
      <c r="G352" s="38"/>
      <c r="H352" s="38"/>
      <c r="I352" s="38"/>
      <c r="J352" s="38"/>
      <c r="K352" s="14" t="s">
        <v>57</v>
      </c>
      <c r="L352" s="14" t="s">
        <v>38</v>
      </c>
      <c r="M352" s="48" t="s">
        <v>874</v>
      </c>
      <c r="N352" s="41" t="s">
        <v>875</v>
      </c>
      <c r="R352" s="38" t="s">
        <v>103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IF(OR($M352="",NOT($O352="{array}")),"",IFERROR(MATCH(PARAMETERS!$M352,DEFAULT!$B$5:$CG$5,0),""))</f>
        <v/>
      </c>
      <c r="AA352" s="56" t="str">
        <f t="shared" si="24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IF($AA352="","",IF($B352="I",VLOOKUP($AA352,#REF!,53,0),INDEX(VALUES!$B$1:$CC$1,1,$AA352)))</f>
        <v/>
      </c>
    </row>
    <row r="353" spans="1:29" hidden="1" outlineLevel="1" x14ac:dyDescent="0.25">
      <c r="A353" s="22"/>
      <c r="B353" s="41" t="str">
        <f t="shared" si="22"/>
        <v/>
      </c>
      <c r="C353" s="42">
        <f t="shared" si="23"/>
        <v>352</v>
      </c>
      <c r="D353" s="38"/>
      <c r="E353" s="38"/>
      <c r="F353" s="38"/>
      <c r="G353" s="38"/>
      <c r="H353" s="38"/>
      <c r="I353" s="38"/>
      <c r="J353" s="38"/>
      <c r="K353" s="166" t="s">
        <v>18</v>
      </c>
      <c r="L353" s="167" t="s">
        <v>21</v>
      </c>
      <c r="M353" s="166" t="s">
        <v>876</v>
      </c>
      <c r="N353" s="166" t="s">
        <v>265</v>
      </c>
      <c r="O353" s="166" t="s">
        <v>265</v>
      </c>
      <c r="P353" s="160" t="s">
        <v>265</v>
      </c>
      <c r="Q353" s="171" t="s">
        <v>9</v>
      </c>
      <c r="R353" s="171" t="s">
        <v>103</v>
      </c>
      <c r="S353" s="171" t="s">
        <v>112</v>
      </c>
      <c r="T353" s="166" t="s">
        <v>265</v>
      </c>
      <c r="U353" s="166" t="s">
        <v>265</v>
      </c>
      <c r="V353" s="166" t="s">
        <v>876</v>
      </c>
      <c r="W353" s="15" t="str">
        <f>IF(IFERROR(VLOOKUP($M353,#REF!,1,0),"-")="-","","GS")</f>
        <v/>
      </c>
      <c r="X353" s="160" t="s">
        <v>265</v>
      </c>
      <c r="Y353" s="166" t="s">
        <v>877</v>
      </c>
      <c r="Z353" s="59" t="str">
        <f>IF(OR($M353="",NOT($O353="{array}")),"",IFERROR(MATCH(PARAMETERS!$M353,DEFAULT!$B$5:$CG$5,0),""))</f>
        <v/>
      </c>
      <c r="AA353" s="56" t="str">
        <f t="shared" si="24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IF($AA353="","",IF($B353="I",VLOOKUP($AA353,#REF!,53,0),INDEX(VALUES!$B$1:$CC$1,1,$AA353)))</f>
        <v/>
      </c>
    </row>
    <row r="354" spans="1:29" hidden="1" outlineLevel="1" x14ac:dyDescent="0.25">
      <c r="A354" s="22"/>
      <c r="B354" s="41" t="str">
        <f t="shared" si="22"/>
        <v/>
      </c>
      <c r="C354" s="42">
        <f t="shared" si="23"/>
        <v>353</v>
      </c>
      <c r="D354" s="38"/>
      <c r="E354" s="38"/>
      <c r="F354" s="38"/>
      <c r="G354" s="38"/>
      <c r="H354" s="38"/>
      <c r="I354" s="38"/>
      <c r="J354" s="38"/>
      <c r="K354" s="166" t="s">
        <v>36</v>
      </c>
      <c r="L354" s="167" t="s">
        <v>21</v>
      </c>
      <c r="M354" s="166" t="s">
        <v>878</v>
      </c>
      <c r="N354" s="166" t="s">
        <v>265</v>
      </c>
      <c r="O354" s="166" t="s">
        <v>265</v>
      </c>
      <c r="P354" s="160" t="s">
        <v>265</v>
      </c>
      <c r="Q354" s="171" t="s">
        <v>9</v>
      </c>
      <c r="R354" s="171" t="s">
        <v>103</v>
      </c>
      <c r="S354" s="171" t="s">
        <v>112</v>
      </c>
      <c r="T354" s="166" t="s">
        <v>265</v>
      </c>
      <c r="U354" s="166" t="s">
        <v>265</v>
      </c>
      <c r="V354" s="166" t="s">
        <v>878</v>
      </c>
      <c r="W354" s="15" t="str">
        <f>IF(IFERROR(VLOOKUP($M354,#REF!,1,0),"-")="-","","GS")</f>
        <v/>
      </c>
      <c r="X354" s="160" t="s">
        <v>265</v>
      </c>
      <c r="Y354" s="166" t="s">
        <v>879</v>
      </c>
      <c r="Z354" s="59" t="str">
        <f>IF(OR($M354="",NOT($O354="{array}")),"",IFERROR(MATCH(PARAMETERS!$M354,DEFAULT!$B$5:$CG$5,0),""))</f>
        <v/>
      </c>
      <c r="AA354" s="56" t="str">
        <f t="shared" si="24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IF($AA354="","",IF($B354="I",VLOOKUP($AA354,#REF!,53,0),INDEX(VALUES!$B$1:$CC$1,1,$AA354)))</f>
        <v/>
      </c>
    </row>
    <row r="355" spans="1:29" hidden="1" outlineLevel="1" x14ac:dyDescent="0.25">
      <c r="A355" s="22"/>
      <c r="B355" s="41" t="str">
        <f t="shared" si="22"/>
        <v/>
      </c>
      <c r="C355" s="42">
        <f t="shared" si="23"/>
        <v>354</v>
      </c>
      <c r="D355" s="38"/>
      <c r="E355" s="38"/>
      <c r="F355" s="38"/>
      <c r="G355" s="38"/>
      <c r="H355" s="38"/>
      <c r="I355" s="38"/>
      <c r="J355" s="38"/>
      <c r="K355" s="166" t="s">
        <v>36</v>
      </c>
      <c r="L355" s="167" t="s">
        <v>21</v>
      </c>
      <c r="M355" s="166" t="s">
        <v>880</v>
      </c>
      <c r="N355" s="166" t="s">
        <v>265</v>
      </c>
      <c r="O355" s="166" t="s">
        <v>265</v>
      </c>
      <c r="P355" s="160" t="s">
        <v>265</v>
      </c>
      <c r="Q355" s="171" t="s">
        <v>9</v>
      </c>
      <c r="R355" s="171" t="s">
        <v>103</v>
      </c>
      <c r="S355" s="171" t="s">
        <v>112</v>
      </c>
      <c r="T355" s="166" t="s">
        <v>265</v>
      </c>
      <c r="U355" s="166" t="s">
        <v>265</v>
      </c>
      <c r="V355" s="166" t="s">
        <v>880</v>
      </c>
      <c r="W355" s="15" t="str">
        <f>IF(IFERROR(VLOOKUP($M355,#REF!,1,0),"-")="-","","GS")</f>
        <v/>
      </c>
      <c r="X355" s="160" t="s">
        <v>265</v>
      </c>
      <c r="Y355" s="166" t="s">
        <v>881</v>
      </c>
      <c r="Z355" s="59" t="str">
        <f>IF(OR($M355="",NOT($O355="{array}")),"",IFERROR(MATCH(PARAMETERS!$M355,DEFAULT!$B$5:$CG$5,0),""))</f>
        <v/>
      </c>
      <c r="AA355" s="56" t="str">
        <f t="shared" si="24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IF($AA355="","",IF($B355="I",VLOOKUP($AA355,#REF!,53,0),INDEX(VALUES!$B$1:$CC$1,1,$AA355)))</f>
        <v/>
      </c>
    </row>
    <row r="356" spans="1:29" hidden="1" outlineLevel="1" x14ac:dyDescent="0.25">
      <c r="A356" s="22"/>
      <c r="B356" s="41" t="str">
        <f t="shared" si="22"/>
        <v/>
      </c>
      <c r="C356" s="42">
        <f t="shared" si="23"/>
        <v>355</v>
      </c>
      <c r="D356" s="38"/>
      <c r="E356" s="38"/>
      <c r="F356" s="38"/>
      <c r="G356" s="38"/>
      <c r="H356" s="38"/>
      <c r="I356" s="38"/>
      <c r="J356" s="38"/>
      <c r="K356" s="166" t="s">
        <v>18</v>
      </c>
      <c r="L356" s="167" t="s">
        <v>21</v>
      </c>
      <c r="M356" s="166" t="s">
        <v>882</v>
      </c>
      <c r="N356" s="166" t="s">
        <v>265</v>
      </c>
      <c r="O356" s="166" t="s">
        <v>265</v>
      </c>
      <c r="P356" s="160" t="s">
        <v>265</v>
      </c>
      <c r="Q356" s="171" t="s">
        <v>9</v>
      </c>
      <c r="R356" s="171" t="s">
        <v>103</v>
      </c>
      <c r="S356" s="171" t="s">
        <v>112</v>
      </c>
      <c r="T356" s="166" t="s">
        <v>265</v>
      </c>
      <c r="U356" s="166" t="s">
        <v>265</v>
      </c>
      <c r="V356" s="166" t="s">
        <v>882</v>
      </c>
      <c r="W356" s="15" t="str">
        <f>IF(IFERROR(VLOOKUP($M356,#REF!,1,0),"-")="-","","GS")</f>
        <v/>
      </c>
      <c r="X356" s="160" t="s">
        <v>265</v>
      </c>
      <c r="Y356" s="166" t="s">
        <v>883</v>
      </c>
      <c r="Z356" s="59" t="str">
        <f>IF(OR($M356="",NOT($O356="{array}")),"",IFERROR(MATCH(PARAMETERS!$M356,DEFAULT!$B$5:$CG$5,0),""))</f>
        <v/>
      </c>
      <c r="AA356" s="56" t="str">
        <f t="shared" si="24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IF($AA356="","",IF($B356="I",VLOOKUP($AA356,#REF!,53,0),INDEX(VALUES!$B$1:$CC$1,1,$AA356)))</f>
        <v/>
      </c>
    </row>
    <row r="357" spans="1:29" hidden="1" outlineLevel="1" x14ac:dyDescent="0.25">
      <c r="A357" s="22"/>
      <c r="B357" s="41" t="str">
        <f t="shared" si="22"/>
        <v/>
      </c>
      <c r="C357" s="42">
        <f t="shared" si="23"/>
        <v>356</v>
      </c>
      <c r="D357" s="38"/>
      <c r="E357" s="38"/>
      <c r="F357" s="38"/>
      <c r="G357" s="38"/>
      <c r="H357" s="38"/>
      <c r="I357" s="38"/>
      <c r="J357" s="38"/>
      <c r="K357" s="166" t="s">
        <v>18</v>
      </c>
      <c r="L357" s="167" t="s">
        <v>21</v>
      </c>
      <c r="M357" s="166" t="s">
        <v>884</v>
      </c>
      <c r="N357" s="166" t="s">
        <v>265</v>
      </c>
      <c r="O357" s="166" t="s">
        <v>265</v>
      </c>
      <c r="P357" s="160" t="s">
        <v>265</v>
      </c>
      <c r="Q357" s="171" t="s">
        <v>9</v>
      </c>
      <c r="R357" s="171" t="s">
        <v>103</v>
      </c>
      <c r="S357" s="171" t="s">
        <v>112</v>
      </c>
      <c r="T357" s="166" t="s">
        <v>265</v>
      </c>
      <c r="U357" s="166" t="s">
        <v>265</v>
      </c>
      <c r="V357" s="166" t="s">
        <v>884</v>
      </c>
      <c r="W357" s="15" t="str">
        <f>IF(IFERROR(VLOOKUP($M357,#REF!,1,0),"-")="-","","GS")</f>
        <v/>
      </c>
      <c r="X357" s="160" t="s">
        <v>265</v>
      </c>
      <c r="Y357" s="166" t="s">
        <v>885</v>
      </c>
      <c r="Z357" s="59" t="str">
        <f>IF(OR($M357="",NOT($O357="{array}")),"",IFERROR(MATCH(PARAMETERS!$M357,DEFAULT!$B$5:$CG$5,0),""))</f>
        <v/>
      </c>
      <c r="AA357" s="56" t="str">
        <f t="shared" si="24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IF($AA357="","",IF($B357="I",VLOOKUP($AA357,#REF!,53,0),INDEX(VALUES!$B$1:$CC$1,1,$AA357)))</f>
        <v/>
      </c>
    </row>
    <row r="358" spans="1:29" hidden="1" outlineLevel="1" x14ac:dyDescent="0.25">
      <c r="A358" s="22"/>
      <c r="B358" s="41" t="str">
        <f t="shared" si="22"/>
        <v/>
      </c>
      <c r="C358" s="42">
        <f t="shared" si="23"/>
        <v>357</v>
      </c>
      <c r="D358" s="38"/>
      <c r="E358" s="38"/>
      <c r="F358" s="38"/>
      <c r="G358" s="38"/>
      <c r="H358" s="38"/>
      <c r="I358" s="38"/>
      <c r="J358" s="38"/>
      <c r="K358" s="166" t="s">
        <v>36</v>
      </c>
      <c r="L358" s="167" t="s">
        <v>21</v>
      </c>
      <c r="M358" s="166" t="s">
        <v>886</v>
      </c>
      <c r="N358" s="166" t="s">
        <v>265</v>
      </c>
      <c r="O358" s="166" t="s">
        <v>265</v>
      </c>
      <c r="P358" s="160" t="s">
        <v>265</v>
      </c>
      <c r="Q358" s="171" t="s">
        <v>9</v>
      </c>
      <c r="R358" s="171" t="s">
        <v>103</v>
      </c>
      <c r="S358" s="171" t="s">
        <v>112</v>
      </c>
      <c r="T358" s="166" t="s">
        <v>265</v>
      </c>
      <c r="U358" s="166" t="s">
        <v>265</v>
      </c>
      <c r="V358" s="166" t="s">
        <v>886</v>
      </c>
      <c r="W358" s="15" t="str">
        <f>IF(IFERROR(VLOOKUP($M358,#REF!,1,0),"-")="-","","GS")</f>
        <v/>
      </c>
      <c r="X358" s="160" t="s">
        <v>265</v>
      </c>
      <c r="Y358" s="166" t="s">
        <v>887</v>
      </c>
      <c r="Z358" s="59" t="str">
        <f>IF(OR($M358="",NOT($O358="{array}")),"",IFERROR(MATCH(PARAMETERS!$M358,DEFAULT!$B$5:$CG$5,0),""))</f>
        <v/>
      </c>
      <c r="AA358" s="56" t="str">
        <f t="shared" si="24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IF($AA358="","",IF($B358="I",VLOOKUP($AA358,#REF!,53,0),INDEX(VALUES!$B$1:$CC$1,1,$AA358)))</f>
        <v/>
      </c>
    </row>
    <row r="359" spans="1:29" hidden="1" outlineLevel="1" x14ac:dyDescent="0.25">
      <c r="A359" s="22"/>
      <c r="B359" s="41" t="str">
        <f t="shared" si="22"/>
        <v/>
      </c>
      <c r="C359" s="42">
        <f t="shared" si="23"/>
        <v>358</v>
      </c>
      <c r="D359" s="38"/>
      <c r="E359" s="38"/>
      <c r="F359" s="38"/>
      <c r="G359" s="38"/>
      <c r="H359" s="38"/>
      <c r="I359" s="38"/>
      <c r="J359" s="38"/>
      <c r="K359" s="166" t="s">
        <v>36</v>
      </c>
      <c r="L359" s="167" t="s">
        <v>21</v>
      </c>
      <c r="M359" s="166" t="s">
        <v>888</v>
      </c>
      <c r="N359" s="166" t="s">
        <v>265</v>
      </c>
      <c r="O359" s="166" t="s">
        <v>265</v>
      </c>
      <c r="P359" s="160" t="s">
        <v>265</v>
      </c>
      <c r="Q359" s="171" t="s">
        <v>9</v>
      </c>
      <c r="R359" s="171" t="s">
        <v>103</v>
      </c>
      <c r="S359" s="171" t="s">
        <v>112</v>
      </c>
      <c r="T359" s="166" t="s">
        <v>265</v>
      </c>
      <c r="U359" s="166" t="s">
        <v>265</v>
      </c>
      <c r="V359" s="166" t="s">
        <v>888</v>
      </c>
      <c r="W359" s="15" t="str">
        <f>IF(IFERROR(VLOOKUP($M359,#REF!,1,0),"-")="-","","GS")</f>
        <v/>
      </c>
      <c r="X359" s="160" t="s">
        <v>265</v>
      </c>
      <c r="Y359" s="166" t="s">
        <v>889</v>
      </c>
      <c r="Z359" s="59" t="str">
        <f>IF(OR($M359="",NOT($O359="{array}")),"",IFERROR(MATCH(PARAMETERS!$M359,DEFAULT!$B$5:$CG$5,0),""))</f>
        <v/>
      </c>
      <c r="AA359" s="56" t="str">
        <f t="shared" si="24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IF($AA359="","",IF($B359="I",VLOOKUP($AA359,#REF!,53,0),INDEX(VALUES!$B$1:$CC$1,1,$AA359)))</f>
        <v/>
      </c>
    </row>
    <row r="360" spans="1:29" hidden="1" outlineLevel="1" x14ac:dyDescent="0.25">
      <c r="A360" s="22"/>
      <c r="B360" s="41" t="str">
        <f t="shared" si="22"/>
        <v/>
      </c>
      <c r="C360" s="42">
        <f t="shared" si="23"/>
        <v>359</v>
      </c>
      <c r="D360" s="38"/>
      <c r="E360" s="38"/>
      <c r="F360" s="38"/>
      <c r="G360" s="38"/>
      <c r="H360" s="38"/>
      <c r="I360" s="38"/>
      <c r="J360" s="38"/>
      <c r="K360" s="166" t="s">
        <v>18</v>
      </c>
      <c r="L360" s="167" t="s">
        <v>21</v>
      </c>
      <c r="M360" s="166" t="s">
        <v>890</v>
      </c>
      <c r="N360" s="166" t="s">
        <v>265</v>
      </c>
      <c r="O360" s="166" t="s">
        <v>265</v>
      </c>
      <c r="P360" s="160" t="s">
        <v>265</v>
      </c>
      <c r="Q360" s="171" t="s">
        <v>9</v>
      </c>
      <c r="R360" s="171" t="s">
        <v>103</v>
      </c>
      <c r="S360" s="171" t="s">
        <v>112</v>
      </c>
      <c r="T360" s="166" t="s">
        <v>265</v>
      </c>
      <c r="U360" s="166" t="s">
        <v>265</v>
      </c>
      <c r="V360" s="166" t="s">
        <v>890</v>
      </c>
      <c r="W360" s="15" t="str">
        <f>IF(IFERROR(VLOOKUP($M360,#REF!,1,0),"-")="-","","GS")</f>
        <v/>
      </c>
      <c r="X360" s="160" t="s">
        <v>265</v>
      </c>
      <c r="Y360" s="166" t="s">
        <v>891</v>
      </c>
      <c r="Z360" s="59" t="str">
        <f>IF(OR($M360="",NOT($O360="{array}")),"",IFERROR(MATCH(PARAMETERS!$M360,DEFAULT!$B$5:$CG$5,0),""))</f>
        <v/>
      </c>
      <c r="AA360" s="56" t="str">
        <f t="shared" si="24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IF($AA360="","",IF($B360="I",VLOOKUP($AA360,#REF!,53,0),INDEX(VALUES!$B$1:$CC$1,1,$AA360)))</f>
        <v/>
      </c>
    </row>
    <row r="361" spans="1:29" collapsed="1" x14ac:dyDescent="0.3">
      <c r="A361" s="22" t="s">
        <v>84</v>
      </c>
      <c r="B361" s="41" t="str">
        <f t="shared" si="22"/>
        <v/>
      </c>
      <c r="C361" s="42">
        <f t="shared" si="23"/>
        <v>360</v>
      </c>
      <c r="D361" s="38"/>
      <c r="E361" s="38"/>
      <c r="F361" s="38"/>
      <c r="G361" s="38"/>
      <c r="H361" s="38"/>
      <c r="I361" s="38"/>
      <c r="J361" s="38"/>
      <c r="K361" s="14" t="s">
        <v>57</v>
      </c>
      <c r="L361" s="14" t="s">
        <v>38</v>
      </c>
      <c r="M361" s="48" t="s">
        <v>892</v>
      </c>
      <c r="N361" s="41" t="s">
        <v>893</v>
      </c>
      <c r="R361" s="38" t="s">
        <v>103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IF(OR($M361="",NOT($O361="{array}")),"",IFERROR(MATCH(PARAMETERS!$M361,DEFAULT!$B$5:$CG$5,0),""))</f>
        <v/>
      </c>
      <c r="AA361" s="56" t="str">
        <f t="shared" si="24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IF($AA361="","",IF($B361="I",VLOOKUP($AA361,#REF!,53,0),INDEX(VALUES!$B$1:$CC$1,1,$AA361)))</f>
        <v/>
      </c>
    </row>
    <row r="362" spans="1:29" hidden="1" outlineLevel="1" x14ac:dyDescent="0.25">
      <c r="A362" s="22" t="s">
        <v>84</v>
      </c>
      <c r="B362" s="41" t="str">
        <f t="shared" ref="B362:B393" si="25">IF($A362="P",IF(NOT($Z362=""),"A",IF(NOT($AA362=""),"I","")),IF(NOT($AA362=""),IF($A362="G","V","X"),IF(NOT($Z362=""),"A","")))</f>
        <v/>
      </c>
      <c r="C362" s="42">
        <f t="shared" si="23"/>
        <v>361</v>
      </c>
      <c r="D362" s="38"/>
      <c r="E362" s="38"/>
      <c r="F362" s="38"/>
      <c r="G362" s="38"/>
      <c r="H362" s="38"/>
      <c r="I362" s="38" t="s">
        <v>9</v>
      </c>
      <c r="J362" s="38"/>
      <c r="K362" s="53" t="s">
        <v>18</v>
      </c>
      <c r="L362" s="53" t="s">
        <v>32</v>
      </c>
      <c r="M362" s="53" t="s">
        <v>894</v>
      </c>
      <c r="N362" s="53" t="s">
        <v>895</v>
      </c>
      <c r="O362" s="155" t="s">
        <v>466</v>
      </c>
      <c r="R362" s="171" t="s">
        <v>103</v>
      </c>
      <c r="S362" s="171" t="s">
        <v>112</v>
      </c>
      <c r="T362" s="166" t="s">
        <v>265</v>
      </c>
      <c r="U362" s="166" t="s">
        <v>265</v>
      </c>
      <c r="V362" s="166" t="s">
        <v>896</v>
      </c>
      <c r="W362" s="15"/>
      <c r="Z362" s="59" t="str">
        <f>IF(OR($M362="",NOT($O362="{array}")),"",IFERROR(MATCH(PARAMETERS!$M362,DEFAULT!$B$5:$CG$5,0),""))</f>
        <v/>
      </c>
      <c r="AA362" s="56" t="str">
        <f t="shared" si="24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IF($AA362="","",IF($B362="I",VLOOKUP($AA362,#REF!,53,0),INDEX(VALUES!$B$1:$CC$1,1,$AA362)))</f>
        <v/>
      </c>
    </row>
    <row r="363" spans="1:29" hidden="1" outlineLevel="1" x14ac:dyDescent="0.25">
      <c r="A363" s="22"/>
      <c r="B363" s="41" t="str">
        <f t="shared" si="25"/>
        <v/>
      </c>
      <c r="C363" s="42">
        <f t="shared" si="23"/>
        <v>362</v>
      </c>
      <c r="D363" s="38"/>
      <c r="E363" s="38"/>
      <c r="F363" s="38"/>
      <c r="G363" s="38"/>
      <c r="H363" s="38"/>
      <c r="I363" s="38"/>
      <c r="J363" s="38"/>
      <c r="K363" s="166" t="s">
        <v>18</v>
      </c>
      <c r="L363" s="167" t="s">
        <v>21</v>
      </c>
      <c r="M363" s="166" t="s">
        <v>897</v>
      </c>
      <c r="N363" s="166" t="s">
        <v>265</v>
      </c>
      <c r="O363" s="166" t="s">
        <v>265</v>
      </c>
      <c r="P363" s="160" t="s">
        <v>265</v>
      </c>
      <c r="Q363" s="171" t="s">
        <v>9</v>
      </c>
      <c r="R363" s="171" t="s">
        <v>103</v>
      </c>
      <c r="S363" s="171" t="s">
        <v>112</v>
      </c>
      <c r="T363" s="166" t="s">
        <v>102</v>
      </c>
      <c r="U363" s="166" t="s">
        <v>265</v>
      </c>
      <c r="V363" s="166" t="s">
        <v>897</v>
      </c>
      <c r="W363" s="15" t="str">
        <f>IF(IFERROR(VLOOKUP($M363,#REF!,1,0),"-")="-","","GS")</f>
        <v/>
      </c>
      <c r="X363" s="160" t="s">
        <v>265</v>
      </c>
      <c r="Y363" s="166" t="s">
        <v>898</v>
      </c>
      <c r="Z363" s="59" t="str">
        <f>IF(OR($M363="",NOT($O363="{array}")),"",IFERROR(MATCH(PARAMETERS!$M363,DEFAULT!$B$5:$CG$5,0),""))</f>
        <v/>
      </c>
      <c r="AA363" s="56" t="str">
        <f t="shared" si="24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IF($AA363="","",IF($B363="I",VLOOKUP($AA363,#REF!,53,0),INDEX(VALUES!$B$1:$CC$1,1,$AA363)))</f>
        <v/>
      </c>
    </row>
    <row r="364" spans="1:29" hidden="1" outlineLevel="1" x14ac:dyDescent="0.25">
      <c r="A364" s="22"/>
      <c r="B364" s="41" t="str">
        <f t="shared" si="25"/>
        <v/>
      </c>
      <c r="C364" s="42">
        <f t="shared" si="23"/>
        <v>363</v>
      </c>
      <c r="D364" s="38"/>
      <c r="E364" s="38"/>
      <c r="F364" s="38"/>
      <c r="G364" s="38"/>
      <c r="H364" s="38"/>
      <c r="I364" s="38"/>
      <c r="J364" s="38"/>
      <c r="K364" s="166" t="s">
        <v>18</v>
      </c>
      <c r="L364" s="167" t="s">
        <v>21</v>
      </c>
      <c r="M364" s="166" t="s">
        <v>899</v>
      </c>
      <c r="N364" s="166" t="s">
        <v>265</v>
      </c>
      <c r="O364" s="166" t="s">
        <v>265</v>
      </c>
      <c r="P364" s="160" t="s">
        <v>265</v>
      </c>
      <c r="Q364" s="171" t="s">
        <v>9</v>
      </c>
      <c r="R364" s="171" t="s">
        <v>103</v>
      </c>
      <c r="S364" s="171" t="s">
        <v>112</v>
      </c>
      <c r="T364" s="166" t="s">
        <v>265</v>
      </c>
      <c r="U364" s="166" t="s">
        <v>265</v>
      </c>
      <c r="V364" s="166" t="s">
        <v>899</v>
      </c>
      <c r="W364" s="15" t="str">
        <f>IF(IFERROR(VLOOKUP($M364,#REF!,1,0),"-")="-","","GS")</f>
        <v/>
      </c>
      <c r="X364" s="160" t="s">
        <v>265</v>
      </c>
      <c r="Y364" s="166" t="s">
        <v>900</v>
      </c>
      <c r="Z364" s="59" t="str">
        <f>IF(OR($M364="",NOT($O364="{array}")),"",IFERROR(MATCH(PARAMETERS!$M364,DEFAULT!$B$5:$CG$5,0),""))</f>
        <v/>
      </c>
      <c r="AA364" s="56" t="str">
        <f t="shared" si="24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IF($AA364="","",IF($B364="I",VLOOKUP($AA364,#REF!,53,0),INDEX(VALUES!$B$1:$CC$1,1,$AA364)))</f>
        <v/>
      </c>
    </row>
    <row r="365" spans="1:29" hidden="1" outlineLevel="1" x14ac:dyDescent="0.25">
      <c r="A365" s="22"/>
      <c r="B365" s="41" t="str">
        <f t="shared" si="25"/>
        <v/>
      </c>
      <c r="C365" s="42">
        <f t="shared" si="23"/>
        <v>364</v>
      </c>
      <c r="D365" s="38"/>
      <c r="E365" s="38"/>
      <c r="F365" s="38"/>
      <c r="G365" s="38"/>
      <c r="H365" s="38"/>
      <c r="I365" s="38"/>
      <c r="J365" s="38"/>
      <c r="K365" s="166" t="s">
        <v>18</v>
      </c>
      <c r="L365" s="167" t="s">
        <v>21</v>
      </c>
      <c r="M365" s="166" t="s">
        <v>901</v>
      </c>
      <c r="N365" s="166" t="s">
        <v>265</v>
      </c>
      <c r="O365" s="166" t="s">
        <v>265</v>
      </c>
      <c r="P365" s="160" t="s">
        <v>265</v>
      </c>
      <c r="Q365" s="171" t="s">
        <v>9</v>
      </c>
      <c r="R365" s="171" t="s">
        <v>103</v>
      </c>
      <c r="S365" s="171" t="s">
        <v>112</v>
      </c>
      <c r="T365" s="166" t="s">
        <v>265</v>
      </c>
      <c r="U365" s="166" t="s">
        <v>265</v>
      </c>
      <c r="V365" s="166" t="s">
        <v>901</v>
      </c>
      <c r="W365" s="15" t="str">
        <f>IF(IFERROR(VLOOKUP($M365,#REF!,1,0),"-")="-","","GS")</f>
        <v/>
      </c>
      <c r="X365" s="160" t="s">
        <v>265</v>
      </c>
      <c r="Y365" s="166" t="s">
        <v>902</v>
      </c>
      <c r="Z365" s="59" t="str">
        <f>IF(OR($M365="",NOT($O365="{array}")),"",IFERROR(MATCH(PARAMETERS!$M365,DEFAULT!$B$5:$CG$5,0),""))</f>
        <v/>
      </c>
      <c r="AA365" s="56" t="str">
        <f t="shared" si="24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IF($AA365="","",IF($B365="I",VLOOKUP($AA365,#REF!,53,0),INDEX(VALUES!$B$1:$CC$1,1,$AA365)))</f>
        <v/>
      </c>
    </row>
    <row r="366" spans="1:29" hidden="1" outlineLevel="1" x14ac:dyDescent="0.25">
      <c r="A366" s="22"/>
      <c r="B366" s="41" t="str">
        <f t="shared" si="25"/>
        <v/>
      </c>
      <c r="C366" s="42">
        <f t="shared" si="23"/>
        <v>365</v>
      </c>
      <c r="D366" s="38"/>
      <c r="E366" s="38"/>
      <c r="F366" s="38"/>
      <c r="G366" s="38"/>
      <c r="H366" s="38"/>
      <c r="I366" s="38"/>
      <c r="J366" s="38"/>
      <c r="K366" s="166" t="s">
        <v>18</v>
      </c>
      <c r="L366" s="167" t="s">
        <v>21</v>
      </c>
      <c r="M366" s="166" t="s">
        <v>903</v>
      </c>
      <c r="N366" s="166" t="s">
        <v>265</v>
      </c>
      <c r="O366" s="166" t="s">
        <v>265</v>
      </c>
      <c r="P366" s="160" t="s">
        <v>265</v>
      </c>
      <c r="Q366" s="171" t="s">
        <v>9</v>
      </c>
      <c r="R366" s="171" t="s">
        <v>103</v>
      </c>
      <c r="S366" s="171" t="s">
        <v>112</v>
      </c>
      <c r="T366" s="166" t="s">
        <v>265</v>
      </c>
      <c r="U366" s="166" t="s">
        <v>265</v>
      </c>
      <c r="V366" s="166" t="s">
        <v>903</v>
      </c>
      <c r="W366" s="15" t="str">
        <f>IF(IFERROR(VLOOKUP($M366,#REF!,1,0),"-")="-","","GS")</f>
        <v/>
      </c>
      <c r="X366" s="160" t="s">
        <v>265</v>
      </c>
      <c r="Y366" s="166" t="s">
        <v>904</v>
      </c>
      <c r="Z366" s="59" t="str">
        <f>IF(OR($M366="",NOT($O366="{array}")),"",IFERROR(MATCH(PARAMETERS!$M366,DEFAULT!$B$5:$CG$5,0),""))</f>
        <v/>
      </c>
      <c r="AA366" s="56" t="str">
        <f t="shared" si="24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IF($AA366="","",IF($B366="I",VLOOKUP($AA366,#REF!,53,0),INDEX(VALUES!$B$1:$CC$1,1,$AA366)))</f>
        <v/>
      </c>
    </row>
    <row r="367" spans="1:29" hidden="1" outlineLevel="1" x14ac:dyDescent="0.25">
      <c r="A367" s="22"/>
      <c r="B367" s="41" t="str">
        <f t="shared" si="25"/>
        <v/>
      </c>
      <c r="C367" s="42">
        <f t="shared" si="23"/>
        <v>366</v>
      </c>
      <c r="D367" s="38"/>
      <c r="E367" s="38"/>
      <c r="F367" s="38"/>
      <c r="G367" s="38"/>
      <c r="H367" s="38"/>
      <c r="I367" s="38"/>
      <c r="J367" s="38"/>
      <c r="K367" s="166" t="s">
        <v>18</v>
      </c>
      <c r="L367" s="167" t="s">
        <v>21</v>
      </c>
      <c r="M367" s="166" t="s">
        <v>905</v>
      </c>
      <c r="N367" s="166" t="s">
        <v>265</v>
      </c>
      <c r="O367" s="166" t="s">
        <v>265</v>
      </c>
      <c r="P367" s="160" t="s">
        <v>265</v>
      </c>
      <c r="Q367" s="171" t="s">
        <v>9</v>
      </c>
      <c r="R367" s="171" t="s">
        <v>103</v>
      </c>
      <c r="S367" s="171" t="s">
        <v>112</v>
      </c>
      <c r="T367" s="166" t="s">
        <v>265</v>
      </c>
      <c r="U367" s="166" t="s">
        <v>265</v>
      </c>
      <c r="V367" s="166" t="s">
        <v>905</v>
      </c>
      <c r="W367" s="15" t="str">
        <f>IF(IFERROR(VLOOKUP($M367,#REF!,1,0),"-")="-","","GS")</f>
        <v/>
      </c>
      <c r="X367" s="160" t="s">
        <v>265</v>
      </c>
      <c r="Y367" s="166" t="s">
        <v>906</v>
      </c>
      <c r="Z367" s="59" t="str">
        <f>IF(OR($M367="",NOT($O367="{array}")),"",IFERROR(MATCH(PARAMETERS!$M367,DEFAULT!$B$5:$CG$5,0),""))</f>
        <v/>
      </c>
      <c r="AA367" s="56" t="str">
        <f t="shared" si="24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IF($AA367="","",IF($B367="I",VLOOKUP($AA367,#REF!,53,0),INDEX(VALUES!$B$1:$CC$1,1,$AA367)))</f>
        <v/>
      </c>
    </row>
    <row r="368" spans="1:29" hidden="1" outlineLevel="1" x14ac:dyDescent="0.25">
      <c r="A368" s="22"/>
      <c r="B368" s="41" t="str">
        <f t="shared" si="25"/>
        <v/>
      </c>
      <c r="C368" s="42">
        <f t="shared" si="23"/>
        <v>367</v>
      </c>
      <c r="D368" s="38"/>
      <c r="E368" s="38"/>
      <c r="F368" s="38"/>
      <c r="G368" s="38"/>
      <c r="H368" s="38"/>
      <c r="I368" s="38"/>
      <c r="J368" s="38"/>
      <c r="K368" s="166" t="s">
        <v>18</v>
      </c>
      <c r="L368" s="167" t="s">
        <v>21</v>
      </c>
      <c r="M368" s="166" t="s">
        <v>907</v>
      </c>
      <c r="N368" s="166" t="s">
        <v>265</v>
      </c>
      <c r="O368" s="166" t="s">
        <v>265</v>
      </c>
      <c r="P368" s="160" t="s">
        <v>265</v>
      </c>
      <c r="Q368" s="171" t="s">
        <v>9</v>
      </c>
      <c r="R368" s="171" t="s">
        <v>103</v>
      </c>
      <c r="S368" s="171" t="s">
        <v>112</v>
      </c>
      <c r="T368" s="166" t="s">
        <v>265</v>
      </c>
      <c r="U368" s="166" t="s">
        <v>265</v>
      </c>
      <c r="V368" s="166" t="s">
        <v>907</v>
      </c>
      <c r="W368" s="15" t="str">
        <f>IF(IFERROR(VLOOKUP($M368,#REF!,1,0),"-")="-","","GS")</f>
        <v/>
      </c>
      <c r="X368" s="160" t="s">
        <v>265</v>
      </c>
      <c r="Y368" s="166" t="s">
        <v>908</v>
      </c>
      <c r="Z368" s="59" t="str">
        <f>IF(OR($M368="",NOT($O368="{array}")),"",IFERROR(MATCH(PARAMETERS!$M368,DEFAULT!$B$5:$CG$5,0),""))</f>
        <v/>
      </c>
      <c r="AA368" s="56" t="str">
        <f t="shared" si="24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IF($AA368="","",IF($B368="I",VLOOKUP($AA368,#REF!,53,0),INDEX(VALUES!$B$1:$CC$1,1,$AA368)))</f>
        <v/>
      </c>
    </row>
    <row r="369" spans="1:29" hidden="1" outlineLevel="1" x14ac:dyDescent="0.25">
      <c r="A369" s="22"/>
      <c r="B369" s="41" t="str">
        <f t="shared" si="25"/>
        <v/>
      </c>
      <c r="C369" s="42">
        <f t="shared" si="23"/>
        <v>368</v>
      </c>
      <c r="D369" s="38"/>
      <c r="E369" s="38"/>
      <c r="F369" s="38"/>
      <c r="G369" s="38"/>
      <c r="H369" s="38"/>
      <c r="I369" s="38"/>
      <c r="J369" s="38"/>
      <c r="K369" s="166" t="s">
        <v>47</v>
      </c>
      <c r="L369" s="167" t="s">
        <v>21</v>
      </c>
      <c r="M369" s="166" t="s">
        <v>909</v>
      </c>
      <c r="N369" s="166" t="s">
        <v>265</v>
      </c>
      <c r="O369" s="166" t="s">
        <v>265</v>
      </c>
      <c r="P369" s="160" t="s">
        <v>265</v>
      </c>
      <c r="Q369" s="171" t="s">
        <v>9</v>
      </c>
      <c r="R369" s="171" t="s">
        <v>103</v>
      </c>
      <c r="S369" s="171" t="s">
        <v>112</v>
      </c>
      <c r="T369" s="166" t="s">
        <v>265</v>
      </c>
      <c r="U369" s="166" t="s">
        <v>265</v>
      </c>
      <c r="V369" s="166" t="s">
        <v>909</v>
      </c>
      <c r="W369" s="15" t="str">
        <f>IF(IFERROR(VLOOKUP($M369,#REF!,1,0),"-")="-","","GS")</f>
        <v/>
      </c>
      <c r="X369" s="160" t="s">
        <v>265</v>
      </c>
      <c r="Y369" s="166" t="s">
        <v>910</v>
      </c>
      <c r="Z369" s="59" t="str">
        <f>IF(OR($M369="",NOT($O369="{array}")),"",IFERROR(MATCH(PARAMETERS!$M369,DEFAULT!$B$5:$CG$5,0),""))</f>
        <v/>
      </c>
      <c r="AA369" s="56" t="str">
        <f t="shared" si="24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IF($AA369="","",IF($B369="I",VLOOKUP($AA369,#REF!,53,0),INDEX(VALUES!$B$1:$CC$1,1,$AA369)))</f>
        <v/>
      </c>
    </row>
    <row r="370" spans="1:29" hidden="1" outlineLevel="1" x14ac:dyDescent="0.25">
      <c r="A370" s="22"/>
      <c r="B370" s="41" t="str">
        <f t="shared" si="25"/>
        <v/>
      </c>
      <c r="C370" s="42">
        <f t="shared" si="23"/>
        <v>369</v>
      </c>
      <c r="D370" s="38"/>
      <c r="E370" s="38"/>
      <c r="F370" s="38"/>
      <c r="G370" s="38"/>
      <c r="H370" s="38"/>
      <c r="I370" s="38"/>
      <c r="J370" s="38"/>
      <c r="K370" s="166" t="s">
        <v>47</v>
      </c>
      <c r="L370" s="167" t="s">
        <v>21</v>
      </c>
      <c r="M370" s="166" t="s">
        <v>911</v>
      </c>
      <c r="N370" s="166" t="s">
        <v>265</v>
      </c>
      <c r="O370" s="166" t="s">
        <v>265</v>
      </c>
      <c r="P370" s="160" t="s">
        <v>265</v>
      </c>
      <c r="Q370" s="171" t="s">
        <v>9</v>
      </c>
      <c r="R370" s="171" t="s">
        <v>103</v>
      </c>
      <c r="S370" s="171" t="s">
        <v>112</v>
      </c>
      <c r="T370" s="166" t="s">
        <v>265</v>
      </c>
      <c r="U370" s="166" t="s">
        <v>265</v>
      </c>
      <c r="V370" s="166" t="s">
        <v>911</v>
      </c>
      <c r="W370" s="15" t="str">
        <f>IF(IFERROR(VLOOKUP($M370,#REF!,1,0),"-")="-","","GS")</f>
        <v/>
      </c>
      <c r="X370" s="160" t="s">
        <v>265</v>
      </c>
      <c r="Y370" s="166" t="s">
        <v>912</v>
      </c>
      <c r="Z370" s="59" t="str">
        <f>IF(OR($M370="",NOT($O370="{array}")),"",IFERROR(MATCH(PARAMETERS!$M370,DEFAULT!$B$5:$CG$5,0),""))</f>
        <v/>
      </c>
      <c r="AA370" s="56" t="str">
        <f t="shared" si="24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IF($AA370="","",IF($B370="I",VLOOKUP($AA370,#REF!,53,0),INDEX(VALUES!$B$1:$CC$1,1,$AA370)))</f>
        <v/>
      </c>
    </row>
    <row r="371" spans="1:29" hidden="1" outlineLevel="1" x14ac:dyDescent="0.25">
      <c r="A371" s="22"/>
      <c r="B371" s="41" t="str">
        <f t="shared" si="25"/>
        <v/>
      </c>
      <c r="C371" s="42">
        <f t="shared" si="23"/>
        <v>370</v>
      </c>
      <c r="D371" s="38"/>
      <c r="E371" s="38"/>
      <c r="F371" s="38"/>
      <c r="G371" s="38"/>
      <c r="H371" s="38"/>
      <c r="I371" s="38"/>
      <c r="J371" s="38"/>
      <c r="K371" s="166" t="s">
        <v>47</v>
      </c>
      <c r="L371" s="167" t="s">
        <v>21</v>
      </c>
      <c r="M371" s="166" t="s">
        <v>913</v>
      </c>
      <c r="N371" s="166" t="s">
        <v>265</v>
      </c>
      <c r="O371" s="166" t="s">
        <v>265</v>
      </c>
      <c r="P371" s="160" t="s">
        <v>265</v>
      </c>
      <c r="Q371" s="171" t="s">
        <v>9</v>
      </c>
      <c r="R371" s="171" t="s">
        <v>103</v>
      </c>
      <c r="S371" s="171" t="s">
        <v>112</v>
      </c>
      <c r="T371" s="166" t="s">
        <v>265</v>
      </c>
      <c r="U371" s="166" t="s">
        <v>265</v>
      </c>
      <c r="V371" s="166" t="s">
        <v>913</v>
      </c>
      <c r="W371" s="15" t="str">
        <f>IF(IFERROR(VLOOKUP($M371,#REF!,1,0),"-")="-","","GS")</f>
        <v/>
      </c>
      <c r="X371" s="160" t="s">
        <v>265</v>
      </c>
      <c r="Y371" s="166" t="s">
        <v>914</v>
      </c>
      <c r="Z371" s="59" t="str">
        <f>IF(OR($M371="",NOT($O371="{array}")),"",IFERROR(MATCH(PARAMETERS!$M371,DEFAULT!$B$5:$CG$5,0),""))</f>
        <v/>
      </c>
      <c r="AA371" s="56" t="str">
        <f t="shared" si="24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IF($AA371="","",IF($B371="I",VLOOKUP($AA371,#REF!,53,0),INDEX(VALUES!$B$1:$CC$1,1,$AA371)))</f>
        <v/>
      </c>
    </row>
    <row r="372" spans="1:29" hidden="1" outlineLevel="1" x14ac:dyDescent="0.25">
      <c r="A372" s="22"/>
      <c r="B372" s="41" t="str">
        <f t="shared" si="25"/>
        <v/>
      </c>
      <c r="C372" s="42">
        <f t="shared" si="23"/>
        <v>371</v>
      </c>
      <c r="D372" s="38"/>
      <c r="E372" s="38"/>
      <c r="F372" s="38"/>
      <c r="G372" s="38"/>
      <c r="H372" s="38"/>
      <c r="I372" s="38"/>
      <c r="J372" s="38"/>
      <c r="K372" s="166" t="s">
        <v>47</v>
      </c>
      <c r="L372" s="167" t="s">
        <v>21</v>
      </c>
      <c r="M372" s="166" t="s">
        <v>915</v>
      </c>
      <c r="N372" s="166" t="s">
        <v>265</v>
      </c>
      <c r="O372" s="166" t="s">
        <v>265</v>
      </c>
      <c r="P372" s="160" t="s">
        <v>265</v>
      </c>
      <c r="Q372" s="171" t="s">
        <v>9</v>
      </c>
      <c r="R372" s="171" t="s">
        <v>103</v>
      </c>
      <c r="S372" s="171" t="s">
        <v>112</v>
      </c>
      <c r="T372" s="166" t="s">
        <v>265</v>
      </c>
      <c r="U372" s="166" t="s">
        <v>265</v>
      </c>
      <c r="V372" s="166" t="s">
        <v>915</v>
      </c>
      <c r="W372" s="15" t="str">
        <f>IF(IFERROR(VLOOKUP($M372,#REF!,1,0),"-")="-","","GS")</f>
        <v/>
      </c>
      <c r="X372" s="160" t="s">
        <v>265</v>
      </c>
      <c r="Y372" s="166" t="s">
        <v>916</v>
      </c>
      <c r="Z372" s="59" t="str">
        <f>IF(OR($M372="",NOT($O372="{array}")),"",IFERROR(MATCH(PARAMETERS!$M372,DEFAULT!$B$5:$CG$5,0),""))</f>
        <v/>
      </c>
      <c r="AA372" s="56" t="str">
        <f t="shared" si="24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IF($AA372="","",IF($B372="I",VLOOKUP($AA372,#REF!,53,0),INDEX(VALUES!$B$1:$CC$1,1,$AA372)))</f>
        <v/>
      </c>
    </row>
    <row r="373" spans="1:29" hidden="1" outlineLevel="1" x14ac:dyDescent="0.25">
      <c r="A373" s="22"/>
      <c r="B373" s="41" t="str">
        <f t="shared" si="25"/>
        <v/>
      </c>
      <c r="C373" s="42">
        <f t="shared" si="23"/>
        <v>372</v>
      </c>
      <c r="D373" s="38"/>
      <c r="E373" s="38"/>
      <c r="F373" s="38"/>
      <c r="G373" s="38"/>
      <c r="H373" s="38"/>
      <c r="I373" s="38"/>
      <c r="J373" s="38"/>
      <c r="K373" s="166" t="s">
        <v>47</v>
      </c>
      <c r="L373" s="167" t="s">
        <v>21</v>
      </c>
      <c r="M373" s="166" t="s">
        <v>917</v>
      </c>
      <c r="N373" s="166" t="s">
        <v>265</v>
      </c>
      <c r="O373" s="166" t="s">
        <v>265</v>
      </c>
      <c r="P373" s="160" t="s">
        <v>265</v>
      </c>
      <c r="Q373" s="171" t="s">
        <v>9</v>
      </c>
      <c r="R373" s="171" t="s">
        <v>103</v>
      </c>
      <c r="S373" s="171" t="s">
        <v>112</v>
      </c>
      <c r="T373" s="166" t="s">
        <v>265</v>
      </c>
      <c r="U373" s="166" t="s">
        <v>265</v>
      </c>
      <c r="V373" s="166" t="s">
        <v>917</v>
      </c>
      <c r="W373" s="15" t="str">
        <f>IF(IFERROR(VLOOKUP($M373,#REF!,1,0),"-")="-","","GS")</f>
        <v/>
      </c>
      <c r="X373" s="160" t="s">
        <v>265</v>
      </c>
      <c r="Y373" s="166" t="s">
        <v>918</v>
      </c>
      <c r="Z373" s="59" t="str">
        <f>IF(OR($M373="",NOT($O373="{array}")),"",IFERROR(MATCH(PARAMETERS!$M373,DEFAULT!$B$5:$CG$5,0),""))</f>
        <v/>
      </c>
      <c r="AA373" s="56" t="str">
        <f t="shared" si="24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IF($AA373="","",IF($B373="I",VLOOKUP($AA373,#REF!,53,0),INDEX(VALUES!$B$1:$CC$1,1,$AA373)))</f>
        <v/>
      </c>
    </row>
    <row r="374" spans="1:29" hidden="1" outlineLevel="1" x14ac:dyDescent="0.25">
      <c r="A374" s="22"/>
      <c r="B374" s="41" t="str">
        <f t="shared" si="25"/>
        <v/>
      </c>
      <c r="C374" s="42">
        <f t="shared" si="23"/>
        <v>373</v>
      </c>
      <c r="D374" s="38"/>
      <c r="E374" s="38"/>
      <c r="F374" s="38"/>
      <c r="G374" s="38"/>
      <c r="H374" s="38"/>
      <c r="I374" s="38"/>
      <c r="J374" s="38"/>
      <c r="K374" s="166" t="s">
        <v>47</v>
      </c>
      <c r="L374" s="167" t="s">
        <v>21</v>
      </c>
      <c r="M374" s="166" t="s">
        <v>919</v>
      </c>
      <c r="N374" s="166" t="s">
        <v>265</v>
      </c>
      <c r="O374" s="166" t="s">
        <v>265</v>
      </c>
      <c r="P374" s="160" t="s">
        <v>265</v>
      </c>
      <c r="Q374" s="171" t="s">
        <v>9</v>
      </c>
      <c r="R374" s="171" t="s">
        <v>103</v>
      </c>
      <c r="S374" s="171" t="s">
        <v>112</v>
      </c>
      <c r="T374" s="166" t="s">
        <v>265</v>
      </c>
      <c r="U374" s="166" t="s">
        <v>265</v>
      </c>
      <c r="V374" s="166" t="s">
        <v>919</v>
      </c>
      <c r="W374" s="15" t="str">
        <f>IF(IFERROR(VLOOKUP($M374,#REF!,1,0),"-")="-","","GS")</f>
        <v/>
      </c>
      <c r="X374" s="160" t="s">
        <v>265</v>
      </c>
      <c r="Y374" s="166" t="s">
        <v>920</v>
      </c>
      <c r="Z374" s="59" t="str">
        <f>IF(OR($M374="",NOT($O374="{array}")),"",IFERROR(MATCH(PARAMETERS!$M374,DEFAULT!$B$5:$CG$5,0),""))</f>
        <v/>
      </c>
      <c r="AA374" s="56" t="str">
        <f t="shared" si="24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IF($AA374="","",IF($B374="I",VLOOKUP($AA374,#REF!,53,0),INDEX(VALUES!$B$1:$CC$1,1,$AA374)))</f>
        <v/>
      </c>
    </row>
    <row r="375" spans="1:29" hidden="1" outlineLevel="1" x14ac:dyDescent="0.25">
      <c r="A375" s="22"/>
      <c r="B375" s="41" t="str">
        <f t="shared" si="25"/>
        <v/>
      </c>
      <c r="C375" s="42">
        <f t="shared" si="23"/>
        <v>374</v>
      </c>
      <c r="D375" s="38"/>
      <c r="E375" s="38"/>
      <c r="F375" s="38"/>
      <c r="G375" s="38"/>
      <c r="H375" s="38"/>
      <c r="I375" s="38"/>
      <c r="J375" s="38"/>
      <c r="K375" s="166" t="s">
        <v>18</v>
      </c>
      <c r="L375" s="167" t="s">
        <v>21</v>
      </c>
      <c r="M375" s="166" t="s">
        <v>921</v>
      </c>
      <c r="N375" s="166" t="s">
        <v>265</v>
      </c>
      <c r="O375" s="166" t="s">
        <v>265</v>
      </c>
      <c r="P375" s="160" t="s">
        <v>265</v>
      </c>
      <c r="Q375" s="171" t="s">
        <v>9</v>
      </c>
      <c r="R375" s="171" t="s">
        <v>103</v>
      </c>
      <c r="S375" s="171" t="s">
        <v>112</v>
      </c>
      <c r="T375" s="166" t="s">
        <v>265</v>
      </c>
      <c r="U375" s="166" t="s">
        <v>265</v>
      </c>
      <c r="V375" s="166" t="s">
        <v>921</v>
      </c>
      <c r="W375" s="15" t="str">
        <f>IF(IFERROR(VLOOKUP($M375,#REF!,1,0),"-")="-","","GS")</f>
        <v/>
      </c>
      <c r="X375" s="160" t="s">
        <v>265</v>
      </c>
      <c r="Y375" s="166" t="s">
        <v>922</v>
      </c>
      <c r="Z375" s="59" t="str">
        <f>IF(OR($M375="",NOT($O375="{array}")),"",IFERROR(MATCH(PARAMETERS!$M375,DEFAULT!$B$5:$CG$5,0),""))</f>
        <v/>
      </c>
      <c r="AA375" s="56" t="str">
        <f t="shared" si="24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IF($AA375="","",IF($B375="I",VLOOKUP($AA375,#REF!,53,0),INDEX(VALUES!$B$1:$CC$1,1,$AA375)))</f>
        <v/>
      </c>
    </row>
    <row r="376" spans="1:29" hidden="1" outlineLevel="1" x14ac:dyDescent="0.25">
      <c r="A376" s="22"/>
      <c r="B376" s="41" t="str">
        <f t="shared" si="25"/>
        <v/>
      </c>
      <c r="C376" s="42">
        <f t="shared" si="23"/>
        <v>375</v>
      </c>
      <c r="D376" s="38"/>
      <c r="E376" s="38"/>
      <c r="F376" s="38"/>
      <c r="G376" s="38"/>
      <c r="H376" s="38"/>
      <c r="I376" s="38"/>
      <c r="J376" s="38"/>
      <c r="K376" s="166" t="s">
        <v>18</v>
      </c>
      <c r="L376" s="167" t="s">
        <v>21</v>
      </c>
      <c r="M376" s="166" t="s">
        <v>923</v>
      </c>
      <c r="N376" s="166" t="s">
        <v>265</v>
      </c>
      <c r="O376" s="166" t="s">
        <v>924</v>
      </c>
      <c r="P376" s="160" t="s">
        <v>265</v>
      </c>
      <c r="Q376" s="171" t="s">
        <v>9</v>
      </c>
      <c r="R376" s="171" t="s">
        <v>103</v>
      </c>
      <c r="S376" s="171" t="s">
        <v>112</v>
      </c>
      <c r="T376" s="166" t="s">
        <v>102</v>
      </c>
      <c r="U376" s="166" t="s">
        <v>265</v>
      </c>
      <c r="V376" s="166" t="s">
        <v>923</v>
      </c>
      <c r="W376" s="15" t="str">
        <f>IF(IFERROR(VLOOKUP($M376,#REF!,1,0),"-")="-","","GS")</f>
        <v/>
      </c>
      <c r="X376" s="160" t="s">
        <v>265</v>
      </c>
      <c r="Y376" s="166" t="s">
        <v>925</v>
      </c>
      <c r="Z376" s="59" t="str">
        <f>IF(OR($M376="",NOT($O376="{array}")),"",IFERROR(MATCH(PARAMETERS!$M376,DEFAULT!$B$5:$CG$5,0),""))</f>
        <v/>
      </c>
      <c r="AA376" s="56" t="str">
        <f t="shared" si="24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IF($AA376="","",IF($B376="I",VLOOKUP($AA376,#REF!,53,0),INDEX(VALUES!$B$1:$CC$1,1,$AA376)))</f>
        <v/>
      </c>
    </row>
    <row r="377" spans="1:29" hidden="1" outlineLevel="1" x14ac:dyDescent="0.25">
      <c r="A377" s="22"/>
      <c r="B377" s="41" t="str">
        <f t="shared" si="25"/>
        <v/>
      </c>
      <c r="C377" s="42">
        <f t="shared" si="23"/>
        <v>376</v>
      </c>
      <c r="D377" s="38"/>
      <c r="E377" s="38"/>
      <c r="F377" s="38"/>
      <c r="G377" s="38"/>
      <c r="H377" s="38"/>
      <c r="I377" s="38"/>
      <c r="J377" s="38"/>
      <c r="K377" s="166" t="s">
        <v>18</v>
      </c>
      <c r="L377" s="167" t="s">
        <v>21</v>
      </c>
      <c r="M377" s="166" t="s">
        <v>926</v>
      </c>
      <c r="N377" s="166" t="s">
        <v>265</v>
      </c>
      <c r="O377" s="166" t="s">
        <v>924</v>
      </c>
      <c r="P377" s="160" t="s">
        <v>265</v>
      </c>
      <c r="Q377" s="171" t="s">
        <v>9</v>
      </c>
      <c r="R377" s="171" t="s">
        <v>103</v>
      </c>
      <c r="S377" s="171" t="s">
        <v>112</v>
      </c>
      <c r="T377" s="166" t="s">
        <v>102</v>
      </c>
      <c r="U377" s="166" t="s">
        <v>265</v>
      </c>
      <c r="V377" s="166" t="s">
        <v>926</v>
      </c>
      <c r="W377" s="15" t="str">
        <f>IF(IFERROR(VLOOKUP($M377,#REF!,1,0),"-")="-","","GS")</f>
        <v/>
      </c>
      <c r="X377" s="160" t="s">
        <v>265</v>
      </c>
      <c r="Y377" s="166" t="s">
        <v>927</v>
      </c>
      <c r="Z377" s="59" t="str">
        <f>IF(OR($M377="",NOT($O377="{array}")),"",IFERROR(MATCH(PARAMETERS!$M377,DEFAULT!$B$5:$CG$5,0),""))</f>
        <v/>
      </c>
      <c r="AA377" s="56" t="str">
        <f t="shared" si="24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IF($AA377="","",IF($B377="I",VLOOKUP($AA377,#REF!,53,0),INDEX(VALUES!$B$1:$CC$1,1,$AA377)))</f>
        <v/>
      </c>
    </row>
    <row r="378" spans="1:29" hidden="1" outlineLevel="1" x14ac:dyDescent="0.25">
      <c r="A378" s="22"/>
      <c r="B378" s="41" t="str">
        <f t="shared" si="25"/>
        <v/>
      </c>
      <c r="C378" s="42">
        <f t="shared" si="23"/>
        <v>377</v>
      </c>
      <c r="D378" s="38"/>
      <c r="E378" s="38"/>
      <c r="F378" s="38"/>
      <c r="G378" s="38"/>
      <c r="H378" s="38"/>
      <c r="I378" s="38"/>
      <c r="J378" s="38"/>
      <c r="K378" s="166" t="s">
        <v>18</v>
      </c>
      <c r="L378" s="167" t="s">
        <v>21</v>
      </c>
      <c r="M378" s="166" t="s">
        <v>928</v>
      </c>
      <c r="N378" s="166" t="s">
        <v>265</v>
      </c>
      <c r="O378" s="166" t="s">
        <v>265</v>
      </c>
      <c r="P378" s="160" t="s">
        <v>265</v>
      </c>
      <c r="Q378" s="171" t="s">
        <v>9</v>
      </c>
      <c r="R378" s="171" t="s">
        <v>103</v>
      </c>
      <c r="S378" s="171" t="s">
        <v>112</v>
      </c>
      <c r="T378" s="166" t="s">
        <v>265</v>
      </c>
      <c r="U378" s="166" t="s">
        <v>265</v>
      </c>
      <c r="V378" s="166" t="s">
        <v>928</v>
      </c>
      <c r="W378" s="15" t="str">
        <f>IF(IFERROR(VLOOKUP($M378,#REF!,1,0),"-")="-","","GS")</f>
        <v/>
      </c>
      <c r="X378" s="160" t="s">
        <v>265</v>
      </c>
      <c r="Y378" s="166" t="s">
        <v>929</v>
      </c>
      <c r="Z378" s="59" t="str">
        <f>IF(OR($M378="",NOT($O378="{array}")),"",IFERROR(MATCH(PARAMETERS!$M378,DEFAULT!$B$5:$CG$5,0),""))</f>
        <v/>
      </c>
      <c r="AA378" s="56" t="str">
        <f t="shared" si="24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IF($AA378="","",IF($B378="I",VLOOKUP($AA378,#REF!,53,0),INDEX(VALUES!$B$1:$CC$1,1,$AA378)))</f>
        <v/>
      </c>
    </row>
    <row r="379" spans="1:29" hidden="1" outlineLevel="1" x14ac:dyDescent="0.25">
      <c r="A379" s="22"/>
      <c r="B379" s="41" t="str">
        <f t="shared" si="25"/>
        <v/>
      </c>
      <c r="C379" s="42">
        <f t="shared" si="23"/>
        <v>378</v>
      </c>
      <c r="D379" s="38"/>
      <c r="E379" s="38"/>
      <c r="F379" s="38"/>
      <c r="G379" s="38"/>
      <c r="H379" s="38"/>
      <c r="I379" s="38"/>
      <c r="J379" s="38"/>
      <c r="K379" s="166" t="s">
        <v>18</v>
      </c>
      <c r="L379" s="167" t="s">
        <v>21</v>
      </c>
      <c r="M379" s="166" t="s">
        <v>930</v>
      </c>
      <c r="N379" s="166" t="s">
        <v>265</v>
      </c>
      <c r="O379" s="166" t="s">
        <v>265</v>
      </c>
      <c r="P379" s="160" t="s">
        <v>265</v>
      </c>
      <c r="Q379" s="171" t="s">
        <v>9</v>
      </c>
      <c r="R379" s="171" t="s">
        <v>103</v>
      </c>
      <c r="S379" s="171" t="s">
        <v>112</v>
      </c>
      <c r="T379" s="166" t="s">
        <v>265</v>
      </c>
      <c r="U379" s="166" t="s">
        <v>265</v>
      </c>
      <c r="V379" s="166" t="s">
        <v>930</v>
      </c>
      <c r="W379" s="15" t="str">
        <f>IF(IFERROR(VLOOKUP($M379,#REF!,1,0),"-")="-","","GS")</f>
        <v/>
      </c>
      <c r="X379" s="160" t="s">
        <v>265</v>
      </c>
      <c r="Y379" s="166" t="s">
        <v>931</v>
      </c>
      <c r="Z379" s="59" t="str">
        <f>IF(OR($M379="",NOT($O379="{array}")),"",IFERROR(MATCH(PARAMETERS!$M379,DEFAULT!$B$5:$CG$5,0),""))</f>
        <v/>
      </c>
      <c r="AA379" s="56" t="str">
        <f t="shared" si="24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IF($AA379="","",IF($B379="I",VLOOKUP($AA379,#REF!,53,0),INDEX(VALUES!$B$1:$CC$1,1,$AA379)))</f>
        <v/>
      </c>
    </row>
    <row r="380" spans="1:29" hidden="1" outlineLevel="1" x14ac:dyDescent="0.25">
      <c r="A380" s="22"/>
      <c r="B380" s="41" t="str">
        <f t="shared" si="25"/>
        <v/>
      </c>
      <c r="C380" s="42">
        <f t="shared" si="23"/>
        <v>379</v>
      </c>
      <c r="D380" s="38"/>
      <c r="E380" s="38"/>
      <c r="F380" s="38"/>
      <c r="G380" s="38"/>
      <c r="H380" s="38"/>
      <c r="I380" s="38"/>
      <c r="J380" s="38"/>
      <c r="K380" s="166" t="s">
        <v>265</v>
      </c>
      <c r="L380" s="167" t="s">
        <v>21</v>
      </c>
      <c r="M380" s="166" t="s">
        <v>932</v>
      </c>
      <c r="N380" s="166" t="s">
        <v>265</v>
      </c>
      <c r="O380" s="166" t="s">
        <v>265</v>
      </c>
      <c r="P380" s="160" t="s">
        <v>265</v>
      </c>
      <c r="Q380" s="171" t="s">
        <v>9</v>
      </c>
      <c r="R380" s="171" t="s">
        <v>103</v>
      </c>
      <c r="S380" s="171" t="s">
        <v>112</v>
      </c>
      <c r="T380" s="166" t="s">
        <v>265</v>
      </c>
      <c r="U380" s="166" t="s">
        <v>265</v>
      </c>
      <c r="V380" s="166" t="s">
        <v>932</v>
      </c>
      <c r="W380" s="15" t="str">
        <f>IF(IFERROR(VLOOKUP($M380,#REF!,1,0),"-")="-","","GS")</f>
        <v/>
      </c>
      <c r="X380" s="160" t="s">
        <v>265</v>
      </c>
      <c r="Y380" s="166" t="s">
        <v>265</v>
      </c>
      <c r="Z380" s="59" t="str">
        <f>IF(OR($M380="",NOT($O380="{array}")),"",IFERROR(MATCH(PARAMETERS!$M380,DEFAULT!$B$5:$CG$5,0),""))</f>
        <v/>
      </c>
      <c r="AA380" s="56" t="str">
        <f t="shared" si="24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IF($AA380="","",IF($B380="I",VLOOKUP($AA380,#REF!,53,0),INDEX(VALUES!$B$1:$CC$1,1,$AA380)))</f>
        <v/>
      </c>
    </row>
    <row r="381" spans="1:29" collapsed="1" x14ac:dyDescent="0.3">
      <c r="A381" s="22" t="s">
        <v>84</v>
      </c>
      <c r="B381" s="41" t="str">
        <f t="shared" si="25"/>
        <v/>
      </c>
      <c r="C381" s="42">
        <f t="shared" si="23"/>
        <v>380</v>
      </c>
      <c r="D381" s="38"/>
      <c r="E381" s="38"/>
      <c r="F381" s="38"/>
      <c r="G381" s="38"/>
      <c r="H381" s="38"/>
      <c r="I381" s="38"/>
      <c r="J381" s="38"/>
      <c r="K381" s="14" t="s">
        <v>57</v>
      </c>
      <c r="L381" s="14" t="s">
        <v>38</v>
      </c>
      <c r="M381" s="48" t="s">
        <v>933</v>
      </c>
      <c r="N381" s="41" t="s">
        <v>934</v>
      </c>
      <c r="R381" s="38" t="s">
        <v>103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IF(OR($M381="",NOT($O381="{array}")),"",IFERROR(MATCH(PARAMETERS!$M381,DEFAULT!$B$5:$CG$5,0),""))</f>
        <v/>
      </c>
      <c r="AA381" s="56" t="str">
        <f t="shared" si="24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IF($AA381="","",IF($B381="I",VLOOKUP($AA381,#REF!,53,0),INDEX(VALUES!$B$1:$CC$1,1,$AA381)))</f>
        <v/>
      </c>
    </row>
    <row r="382" spans="1:29" hidden="1" outlineLevel="1" x14ac:dyDescent="0.3">
      <c r="A382" s="22" t="s">
        <v>84</v>
      </c>
      <c r="B382" s="41" t="str">
        <f t="shared" si="25"/>
        <v/>
      </c>
      <c r="C382" s="42">
        <f t="shared" si="23"/>
        <v>381</v>
      </c>
      <c r="D382" s="38"/>
      <c r="E382" s="38"/>
      <c r="F382" s="38"/>
      <c r="G382" s="38"/>
      <c r="H382" s="38"/>
      <c r="I382" s="38" t="s">
        <v>9</v>
      </c>
      <c r="J382" s="38"/>
      <c r="K382" s="159" t="s">
        <v>18</v>
      </c>
      <c r="L382" s="167" t="s">
        <v>21</v>
      </c>
      <c r="M382" s="236" t="s">
        <v>1604</v>
      </c>
      <c r="N382" s="166" t="s">
        <v>935</v>
      </c>
      <c r="O382" s="166" t="s">
        <v>448</v>
      </c>
      <c r="P382" s="160" t="s">
        <v>265</v>
      </c>
      <c r="Q382" s="171"/>
      <c r="R382" s="171" t="s">
        <v>103</v>
      </c>
      <c r="S382" s="171" t="s">
        <v>112</v>
      </c>
      <c r="T382" s="166" t="s">
        <v>265</v>
      </c>
      <c r="U382" s="166" t="s">
        <v>265</v>
      </c>
      <c r="V382" s="166"/>
      <c r="W382" s="15" t="str">
        <f>IF(IFERROR(VLOOKUP($M382,#REF!,1,0),"-")="-","","GS")</f>
        <v/>
      </c>
      <c r="X382" s="160" t="s">
        <v>265</v>
      </c>
      <c r="Y382" s="166" t="s">
        <v>936</v>
      </c>
      <c r="Z382" s="59" t="str">
        <f>IF(OR($M382="",NOT($O382="{array}")),"",IFERROR(MATCH(PARAMETERS!$M382,DEFAULT!$B$5:$CG$5,0),""))</f>
        <v/>
      </c>
      <c r="AA382" s="56" t="str">
        <f t="shared" si="24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IF($AA382="","",IF($B382="I",VLOOKUP($AA382,#REF!,53,0),INDEX(VALUES!$B$1:$CC$1,1,$AA382)))</f>
        <v/>
      </c>
    </row>
    <row r="383" spans="1:29" hidden="1" outlineLevel="1" x14ac:dyDescent="0.3">
      <c r="A383" s="22" t="s">
        <v>84</v>
      </c>
      <c r="B383" s="41" t="str">
        <f t="shared" si="25"/>
        <v/>
      </c>
      <c r="C383" s="42">
        <f t="shared" si="23"/>
        <v>382</v>
      </c>
      <c r="D383" s="38"/>
      <c r="E383" s="38"/>
      <c r="F383" s="38"/>
      <c r="G383" s="38"/>
      <c r="H383" s="38"/>
      <c r="I383" s="38" t="s">
        <v>9</v>
      </c>
      <c r="J383" s="38"/>
      <c r="K383" s="159" t="s">
        <v>18</v>
      </c>
      <c r="L383" s="167" t="s">
        <v>21</v>
      </c>
      <c r="M383" s="236" t="s">
        <v>1605</v>
      </c>
      <c r="N383" s="159" t="s">
        <v>1606</v>
      </c>
      <c r="O383" s="166" t="s">
        <v>265</v>
      </c>
      <c r="P383" s="160" t="s">
        <v>265</v>
      </c>
      <c r="Q383" s="178" t="s">
        <v>9</v>
      </c>
      <c r="R383" s="171" t="s">
        <v>103</v>
      </c>
      <c r="S383" s="171" t="s">
        <v>112</v>
      </c>
      <c r="T383" s="166" t="s">
        <v>265</v>
      </c>
      <c r="U383" s="166" t="s">
        <v>265</v>
      </c>
      <c r="V383" s="166"/>
      <c r="W383" s="15" t="str">
        <f>IF(IFERROR(VLOOKUP($M383,#REF!,1,0),"-")="-","","GS")</f>
        <v/>
      </c>
      <c r="X383" s="160" t="s">
        <v>265</v>
      </c>
      <c r="Y383" s="166" t="s">
        <v>938</v>
      </c>
      <c r="Z383" s="59" t="str">
        <f>IF(OR($M383="",NOT($O383="{array}")),"",IFERROR(MATCH(PARAMETERS!$M383,DEFAULT!$B$5:$CG$5,0),""))</f>
        <v/>
      </c>
      <c r="AA383" s="56" t="str">
        <f t="shared" si="24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IF($AA383="","",IF($B383="I",VLOOKUP($AA383,#REF!,53,0),INDEX(VALUES!$B$1:$CC$1,1,$AA383)))</f>
        <v/>
      </c>
    </row>
    <row r="384" spans="1:29" hidden="1" outlineLevel="1" x14ac:dyDescent="0.3">
      <c r="A384" s="22" t="s">
        <v>84</v>
      </c>
      <c r="B384" s="41" t="str">
        <f t="shared" si="25"/>
        <v/>
      </c>
      <c r="C384" s="42">
        <f t="shared" si="23"/>
        <v>383</v>
      </c>
      <c r="D384" s="38"/>
      <c r="E384" s="38"/>
      <c r="F384" s="38"/>
      <c r="G384" s="38"/>
      <c r="H384" s="38"/>
      <c r="I384" s="38" t="s">
        <v>9</v>
      </c>
      <c r="J384" s="38"/>
      <c r="K384" s="159" t="s">
        <v>18</v>
      </c>
      <c r="L384" s="167" t="s">
        <v>21</v>
      </c>
      <c r="M384" s="236" t="s">
        <v>1607</v>
      </c>
      <c r="N384" s="166" t="s">
        <v>951</v>
      </c>
      <c r="O384" s="166" t="s">
        <v>265</v>
      </c>
      <c r="P384" s="160" t="s">
        <v>265</v>
      </c>
      <c r="Q384" s="178" t="s">
        <v>9</v>
      </c>
      <c r="R384" s="171" t="s">
        <v>103</v>
      </c>
      <c r="S384" s="171" t="s">
        <v>112</v>
      </c>
      <c r="T384" s="166" t="s">
        <v>265</v>
      </c>
      <c r="U384" s="166" t="s">
        <v>265</v>
      </c>
      <c r="V384" s="166"/>
      <c r="W384" s="15" t="str">
        <f>IF(IFERROR(VLOOKUP($M384,#REF!,1,0),"-")="-","","GS")</f>
        <v/>
      </c>
      <c r="X384" s="160" t="s">
        <v>265</v>
      </c>
      <c r="Y384" s="166" t="s">
        <v>941</v>
      </c>
      <c r="Z384" s="59" t="str">
        <f>IF(OR($M384="",NOT($O384="{array}")),"",IFERROR(MATCH(PARAMETERS!$M384,DEFAULT!$B$5:$CG$5,0),""))</f>
        <v/>
      </c>
      <c r="AA384" s="56" t="str">
        <f t="shared" si="24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IF($AA384="","",IF($B384="I",VLOOKUP($AA384,#REF!,53,0),INDEX(VALUES!$B$1:$CC$1,1,$AA384)))</f>
        <v/>
      </c>
    </row>
    <row r="385" spans="1:29" hidden="1" outlineLevel="1" x14ac:dyDescent="0.3">
      <c r="A385" s="22" t="s">
        <v>84</v>
      </c>
      <c r="B385" s="41" t="str">
        <f t="shared" si="25"/>
        <v/>
      </c>
      <c r="C385" s="42">
        <f t="shared" si="23"/>
        <v>384</v>
      </c>
      <c r="D385" s="38"/>
      <c r="E385" s="38"/>
      <c r="F385" s="38"/>
      <c r="G385" s="38"/>
      <c r="H385" s="38"/>
      <c r="I385" s="38" t="s">
        <v>9</v>
      </c>
      <c r="J385" s="38"/>
      <c r="K385" s="159" t="s">
        <v>18</v>
      </c>
      <c r="L385" s="167" t="s">
        <v>21</v>
      </c>
      <c r="M385" s="236" t="s">
        <v>1608</v>
      </c>
      <c r="N385" s="166" t="s">
        <v>937</v>
      </c>
      <c r="O385" s="166" t="s">
        <v>265</v>
      </c>
      <c r="P385" s="160" t="s">
        <v>265</v>
      </c>
      <c r="Q385" s="178"/>
      <c r="R385" s="171" t="s">
        <v>103</v>
      </c>
      <c r="S385" s="171" t="s">
        <v>112</v>
      </c>
      <c r="T385" s="166" t="s">
        <v>265</v>
      </c>
      <c r="U385" s="166" t="s">
        <v>265</v>
      </c>
      <c r="V385" s="166"/>
      <c r="W385" s="15" t="str">
        <f>IF(IFERROR(VLOOKUP($M385,#REF!,1,0),"-")="-","","GS")</f>
        <v/>
      </c>
      <c r="X385" s="160" t="s">
        <v>265</v>
      </c>
      <c r="Y385" s="166" t="s">
        <v>943</v>
      </c>
      <c r="Z385" s="59" t="str">
        <f>IF(OR($M385="",NOT($O385="{array}")),"",IFERROR(MATCH(PARAMETERS!$M385,DEFAULT!$B$5:$CG$5,0),""))</f>
        <v/>
      </c>
      <c r="AA385" s="56" t="str">
        <f t="shared" si="24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IF($AA385="","",IF($B385="I",VLOOKUP($AA385,#REF!,53,0),INDEX(VALUES!$B$1:$CC$1,1,$AA385)))</f>
        <v/>
      </c>
    </row>
    <row r="386" spans="1:29" hidden="1" outlineLevel="1" x14ac:dyDescent="0.3">
      <c r="A386" s="22" t="s">
        <v>84</v>
      </c>
      <c r="B386" s="41" t="str">
        <f t="shared" si="25"/>
        <v/>
      </c>
      <c r="C386" s="42">
        <f t="shared" si="23"/>
        <v>385</v>
      </c>
      <c r="D386" s="38"/>
      <c r="E386" s="38"/>
      <c r="F386" s="38"/>
      <c r="G386" s="38"/>
      <c r="H386" s="38"/>
      <c r="I386" s="38" t="s">
        <v>9</v>
      </c>
      <c r="J386" s="38"/>
      <c r="K386" s="159" t="s">
        <v>18</v>
      </c>
      <c r="L386" s="167" t="s">
        <v>21</v>
      </c>
      <c r="M386" s="236" t="s">
        <v>1609</v>
      </c>
      <c r="N386" s="159" t="s">
        <v>947</v>
      </c>
      <c r="O386" s="166" t="s">
        <v>265</v>
      </c>
      <c r="P386" s="160" t="s">
        <v>265</v>
      </c>
      <c r="Q386" s="178"/>
      <c r="R386" s="171" t="s">
        <v>103</v>
      </c>
      <c r="S386" s="171" t="s">
        <v>112</v>
      </c>
      <c r="T386" s="166" t="s">
        <v>265</v>
      </c>
      <c r="U386" s="166" t="s">
        <v>265</v>
      </c>
      <c r="V386" s="166"/>
      <c r="W386" s="15" t="str">
        <f>IF(IFERROR(VLOOKUP($M386,#REF!,1,0),"-")="-","","GS")</f>
        <v/>
      </c>
      <c r="X386" s="160" t="s">
        <v>265</v>
      </c>
      <c r="Y386" s="166" t="s">
        <v>944</v>
      </c>
      <c r="Z386" s="59" t="str">
        <f>IF(OR($M386="",NOT($O386="{array}")),"",IFERROR(MATCH(PARAMETERS!$M386,DEFAULT!$B$5:$CG$5,0),""))</f>
        <v/>
      </c>
      <c r="AA386" s="56" t="str">
        <f t="shared" si="24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IF($AA386="","",IF($B386="I",VLOOKUP($AA386,#REF!,53,0),INDEX(VALUES!$B$1:$CC$1,1,$AA386)))</f>
        <v/>
      </c>
    </row>
    <row r="387" spans="1:29" hidden="1" outlineLevel="1" x14ac:dyDescent="0.3">
      <c r="A387" s="22" t="s">
        <v>84</v>
      </c>
      <c r="B387" s="41" t="str">
        <f t="shared" si="25"/>
        <v/>
      </c>
      <c r="C387" s="42">
        <f t="shared" si="23"/>
        <v>386</v>
      </c>
      <c r="D387" s="38"/>
      <c r="E387" s="38"/>
      <c r="F387" s="38"/>
      <c r="G387" s="38"/>
      <c r="H387" s="38"/>
      <c r="I387" s="38" t="s">
        <v>9</v>
      </c>
      <c r="J387" s="38"/>
      <c r="K387" s="159" t="s">
        <v>18</v>
      </c>
      <c r="L387" s="167" t="s">
        <v>21</v>
      </c>
      <c r="M387" s="236" t="s">
        <v>1610</v>
      </c>
      <c r="N387" s="166" t="s">
        <v>939</v>
      </c>
      <c r="O387" s="166" t="s">
        <v>940</v>
      </c>
      <c r="P387" s="160" t="s">
        <v>265</v>
      </c>
      <c r="Q387" s="178"/>
      <c r="R387" s="171" t="s">
        <v>103</v>
      </c>
      <c r="S387" s="171" t="s">
        <v>112</v>
      </c>
      <c r="T387" s="166" t="s">
        <v>265</v>
      </c>
      <c r="U387" s="166" t="s">
        <v>265</v>
      </c>
      <c r="V387" s="166"/>
      <c r="W387" s="15" t="str">
        <f>IF(IFERROR(VLOOKUP($M387,#REF!,1,0),"-")="-","","GS")</f>
        <v/>
      </c>
      <c r="X387" s="160" t="s">
        <v>265</v>
      </c>
      <c r="Y387" s="166" t="s">
        <v>945</v>
      </c>
      <c r="Z387" s="59" t="str">
        <f>IF(OR($M387="",NOT($O387="{array}")),"",IFERROR(MATCH(PARAMETERS!$M387,DEFAULT!$B$5:$CG$5,0),""))</f>
        <v/>
      </c>
      <c r="AA387" s="56" t="str">
        <f t="shared" si="24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IF($AA387="","",IF($B387="I",VLOOKUP($AA387,#REF!,53,0),INDEX(VALUES!$B$1:$CC$1,1,$AA387)))</f>
        <v/>
      </c>
    </row>
    <row r="388" spans="1:29" hidden="1" outlineLevel="1" x14ac:dyDescent="0.3">
      <c r="A388" s="22" t="s">
        <v>84</v>
      </c>
      <c r="B388" s="41" t="str">
        <f t="shared" si="25"/>
        <v/>
      </c>
      <c r="C388" s="42">
        <f t="shared" si="23"/>
        <v>387</v>
      </c>
      <c r="D388" s="38"/>
      <c r="E388" s="38"/>
      <c r="F388" s="38"/>
      <c r="G388" s="38"/>
      <c r="H388" s="38"/>
      <c r="I388" s="38" t="s">
        <v>9</v>
      </c>
      <c r="J388" s="38"/>
      <c r="K388" s="159" t="s">
        <v>44</v>
      </c>
      <c r="L388" s="167" t="s">
        <v>21</v>
      </c>
      <c r="M388" s="236" t="s">
        <v>1611</v>
      </c>
      <c r="N388" s="166" t="s">
        <v>942</v>
      </c>
      <c r="O388" s="166">
        <v>2</v>
      </c>
      <c r="P388" s="160" t="s">
        <v>265</v>
      </c>
      <c r="Q388" s="178"/>
      <c r="R388" s="171" t="s">
        <v>103</v>
      </c>
      <c r="S388" s="171" t="s">
        <v>112</v>
      </c>
      <c r="T388" s="166" t="s">
        <v>265</v>
      </c>
      <c r="U388" s="166" t="s">
        <v>265</v>
      </c>
      <c r="V388" s="166"/>
      <c r="W388" s="15" t="str">
        <f>IF(IFERROR(VLOOKUP($M388,#REF!,1,0),"-")="-","","GS")</f>
        <v/>
      </c>
      <c r="X388" s="160" t="s">
        <v>265</v>
      </c>
      <c r="Y388" s="166" t="s">
        <v>946</v>
      </c>
      <c r="Z388" s="59" t="str">
        <f>IF(OR($M388="",NOT($O388="{array}")),"",IFERROR(MATCH(PARAMETERS!$M388,DEFAULT!$B$5:$CG$5,0),""))</f>
        <v/>
      </c>
      <c r="AA388" s="56" t="str">
        <f t="shared" si="24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IF($AA388="","",IF($B388="I",VLOOKUP($AA388,#REF!,53,0),INDEX(VALUES!$B$1:$CC$1,1,$AA388)))</f>
        <v/>
      </c>
    </row>
    <row r="389" spans="1:29" hidden="1" outlineLevel="1" x14ac:dyDescent="0.3">
      <c r="A389" s="22" t="s">
        <v>84</v>
      </c>
      <c r="B389" s="41" t="str">
        <f t="shared" si="25"/>
        <v/>
      </c>
      <c r="C389" s="42">
        <f t="shared" si="23"/>
        <v>388</v>
      </c>
      <c r="D389" s="38"/>
      <c r="E389" s="38"/>
      <c r="F389" s="38"/>
      <c r="G389" s="38"/>
      <c r="H389" s="38"/>
      <c r="I389" s="38" t="s">
        <v>9</v>
      </c>
      <c r="J389" s="38"/>
      <c r="K389" s="159" t="s">
        <v>24</v>
      </c>
      <c r="L389" s="167" t="s">
        <v>21</v>
      </c>
      <c r="M389" s="236" t="s">
        <v>1612</v>
      </c>
      <c r="N389" s="166" t="s">
        <v>1613</v>
      </c>
      <c r="O389" s="166">
        <v>0.02</v>
      </c>
      <c r="P389" s="160" t="s">
        <v>265</v>
      </c>
      <c r="Q389" s="178" t="s">
        <v>9</v>
      </c>
      <c r="R389" s="171" t="s">
        <v>103</v>
      </c>
      <c r="S389" s="171" t="s">
        <v>112</v>
      </c>
      <c r="T389" s="166" t="s">
        <v>265</v>
      </c>
      <c r="U389" s="166" t="s">
        <v>265</v>
      </c>
      <c r="V389" s="166"/>
      <c r="W389" s="15" t="str">
        <f>IF(IFERROR(VLOOKUP($M389,#REF!,1,0),"-")="-","","GS")</f>
        <v/>
      </c>
      <c r="X389" s="160" t="s">
        <v>265</v>
      </c>
      <c r="Y389" s="166" t="s">
        <v>948</v>
      </c>
      <c r="Z389" s="59" t="str">
        <f>IF(OR($M389="",NOT($O389="{array}")),"",IFERROR(MATCH(PARAMETERS!$M389,DEFAULT!$B$5:$CG$5,0),""))</f>
        <v/>
      </c>
      <c r="AA389" s="56" t="str">
        <f t="shared" si="24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IF($AA389="","",IF($B389="I",VLOOKUP($AA389,#REF!,53,0),INDEX(VALUES!$B$1:$CC$1,1,$AA389)))</f>
        <v/>
      </c>
    </row>
    <row r="390" spans="1:29" hidden="1" outlineLevel="1" x14ac:dyDescent="0.3">
      <c r="A390" s="22" t="s">
        <v>84</v>
      </c>
      <c r="B390" s="41" t="str">
        <f t="shared" si="25"/>
        <v/>
      </c>
      <c r="C390" s="42">
        <f t="shared" si="23"/>
        <v>389</v>
      </c>
      <c r="D390" s="38"/>
      <c r="E390" s="38"/>
      <c r="F390" s="38"/>
      <c r="G390" s="38"/>
      <c r="H390" s="38"/>
      <c r="I390" s="38" t="s">
        <v>9</v>
      </c>
      <c r="J390" s="38"/>
      <c r="K390" s="159" t="s">
        <v>24</v>
      </c>
      <c r="L390" s="167" t="s">
        <v>21</v>
      </c>
      <c r="M390" s="236" t="s">
        <v>1622</v>
      </c>
      <c r="N390" s="159" t="s">
        <v>1621</v>
      </c>
      <c r="O390" s="166">
        <v>0.35</v>
      </c>
      <c r="P390" s="160" t="s">
        <v>265</v>
      </c>
      <c r="Q390" s="178" t="s">
        <v>9</v>
      </c>
      <c r="R390" s="171" t="s">
        <v>103</v>
      </c>
      <c r="S390" s="171" t="s">
        <v>112</v>
      </c>
      <c r="T390" s="166" t="s">
        <v>265</v>
      </c>
      <c r="U390" s="166" t="s">
        <v>265</v>
      </c>
      <c r="V390" s="166"/>
      <c r="W390" s="15" t="str">
        <f>IF(IFERROR(VLOOKUP($M390,#REF!,1,0),"-")="-","","GS")</f>
        <v/>
      </c>
      <c r="X390" s="160" t="s">
        <v>265</v>
      </c>
      <c r="Y390" s="166" t="s">
        <v>950</v>
      </c>
      <c r="Z390" s="59" t="str">
        <f>IF(OR($M390="",NOT($O390="{array}")),"",IFERROR(MATCH(PARAMETERS!$M390,DEFAULT!$B$5:$CG$5,0),""))</f>
        <v/>
      </c>
      <c r="AA390" s="56" t="str">
        <f t="shared" si="24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IF($AA390="","",IF($B390="I",VLOOKUP($AA390,#REF!,53,0),INDEX(VALUES!$B$1:$CC$1,1,$AA390)))</f>
        <v/>
      </c>
    </row>
    <row r="391" spans="1:29" hidden="1" outlineLevel="1" x14ac:dyDescent="0.3">
      <c r="A391" s="22" t="s">
        <v>84</v>
      </c>
      <c r="B391" s="41" t="str">
        <f t="shared" si="25"/>
        <v/>
      </c>
      <c r="C391" s="42">
        <f t="shared" si="23"/>
        <v>390</v>
      </c>
      <c r="D391" s="38"/>
      <c r="E391" s="38"/>
      <c r="F391" s="38"/>
      <c r="G391" s="38"/>
      <c r="H391" s="38"/>
      <c r="I391" s="38" t="s">
        <v>9</v>
      </c>
      <c r="J391" s="38"/>
      <c r="K391" s="159" t="s">
        <v>24</v>
      </c>
      <c r="L391" s="167" t="s">
        <v>21</v>
      </c>
      <c r="M391" s="236" t="s">
        <v>1614</v>
      </c>
      <c r="N391" s="159" t="s">
        <v>1615</v>
      </c>
      <c r="O391" s="166">
        <v>0.04</v>
      </c>
      <c r="P391" s="160" t="s">
        <v>265</v>
      </c>
      <c r="Q391" s="178" t="s">
        <v>9</v>
      </c>
      <c r="R391" s="171" t="s">
        <v>103</v>
      </c>
      <c r="S391" s="171" t="s">
        <v>112</v>
      </c>
      <c r="T391" s="166" t="s">
        <v>265</v>
      </c>
      <c r="U391" s="166" t="s">
        <v>265</v>
      </c>
      <c r="V391" s="166"/>
      <c r="W391" s="15" t="str">
        <f>IF(IFERROR(VLOOKUP($M391,#REF!,1,0),"-")="-","","GS")</f>
        <v/>
      </c>
      <c r="X391" s="160" t="s">
        <v>265</v>
      </c>
      <c r="Y391" s="166" t="s">
        <v>265</v>
      </c>
      <c r="Z391" s="59" t="str">
        <f>IF(OR($M391="",NOT($O391="{array}")),"",IFERROR(MATCH(PARAMETERS!$M391,DEFAULT!$B$5:$CG$5,0),""))</f>
        <v/>
      </c>
      <c r="AA391" s="56" t="str">
        <f t="shared" si="24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IF($AA391="","",IF($B391="I",VLOOKUP($AA391,#REF!,53,0),INDEX(VALUES!$B$1:$CC$1,1,$AA391)))</f>
        <v/>
      </c>
    </row>
    <row r="392" spans="1:29" hidden="1" outlineLevel="1" x14ac:dyDescent="0.3">
      <c r="A392" s="22" t="s">
        <v>84</v>
      </c>
      <c r="B392" s="41" t="str">
        <f t="shared" si="25"/>
        <v/>
      </c>
      <c r="C392" s="42">
        <f t="shared" si="23"/>
        <v>391</v>
      </c>
      <c r="D392" s="38"/>
      <c r="E392" s="38"/>
      <c r="F392" s="38"/>
      <c r="G392" s="38"/>
      <c r="H392" s="38"/>
      <c r="I392" s="38" t="s">
        <v>9</v>
      </c>
      <c r="J392" s="38"/>
      <c r="K392" s="159" t="s">
        <v>44</v>
      </c>
      <c r="L392" s="167" t="s">
        <v>21</v>
      </c>
      <c r="M392" s="236" t="s">
        <v>1616</v>
      </c>
      <c r="N392" s="166" t="s">
        <v>949</v>
      </c>
      <c r="O392" s="166">
        <v>0</v>
      </c>
      <c r="P392" s="160" t="s">
        <v>265</v>
      </c>
      <c r="Q392" s="178" t="s">
        <v>9</v>
      </c>
      <c r="R392" s="171" t="s">
        <v>103</v>
      </c>
      <c r="S392" s="171" t="s">
        <v>112</v>
      </c>
      <c r="T392" s="38"/>
      <c r="W392" s="15" t="str">
        <f>IF(IFERROR(VLOOKUP($M392,#REF!,1,0),"-")="-","","GS")</f>
        <v/>
      </c>
      <c r="Y392" s="53" t="s">
        <v>734</v>
      </c>
      <c r="Z392" s="59" t="str">
        <f>IF(OR($M392="",NOT($O392="{array}")),"",IFERROR(MATCH(PARAMETERS!$M392,DEFAULT!$B$5:$CG$5,0),""))</f>
        <v/>
      </c>
      <c r="AA392" s="56" t="str">
        <f t="shared" si="24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IF($AA392="","",IF($B392="I",VLOOKUP($AA392,#REF!,53,0),INDEX(VALUES!$B$1:$CC$1,1,$AA392)))</f>
        <v/>
      </c>
    </row>
    <row r="393" spans="1:29" hidden="1" outlineLevel="1" x14ac:dyDescent="0.3">
      <c r="A393" s="22" t="s">
        <v>84</v>
      </c>
      <c r="B393" s="41" t="str">
        <f t="shared" si="25"/>
        <v/>
      </c>
      <c r="C393" s="42">
        <f t="shared" si="23"/>
        <v>392</v>
      </c>
      <c r="D393" s="38"/>
      <c r="E393" s="38"/>
      <c r="F393" s="38"/>
      <c r="G393" s="38"/>
      <c r="H393" s="38"/>
      <c r="I393" s="38" t="s">
        <v>9</v>
      </c>
      <c r="J393" s="38"/>
      <c r="K393" s="159" t="s">
        <v>24</v>
      </c>
      <c r="L393" s="167" t="s">
        <v>21</v>
      </c>
      <c r="M393" s="236" t="s">
        <v>1617</v>
      </c>
      <c r="N393" s="159" t="s">
        <v>1618</v>
      </c>
      <c r="O393" s="166">
        <v>0.02</v>
      </c>
      <c r="P393" s="160" t="s">
        <v>265</v>
      </c>
      <c r="Q393" s="178" t="s">
        <v>9</v>
      </c>
      <c r="R393" s="171" t="s">
        <v>103</v>
      </c>
      <c r="S393" s="171" t="s">
        <v>112</v>
      </c>
      <c r="T393" s="38"/>
      <c r="W393" s="15" t="str">
        <f>IF(IFERROR(VLOOKUP($M393,#REF!,1,0),"-")="-","","GS")</f>
        <v/>
      </c>
      <c r="Y393" s="53" t="s">
        <v>734</v>
      </c>
      <c r="Z393" s="59" t="str">
        <f>IF(OR($M393="",NOT($O393="{array}")),"",IFERROR(MATCH(PARAMETERS!$M393,DEFAULT!$B$5:$CG$5,0),""))</f>
        <v/>
      </c>
      <c r="AA393" s="56" t="str">
        <f t="shared" si="24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IF($AA393="","",IF($B393="I",VLOOKUP($AA393,#REF!,53,0),INDEX(VALUES!$B$1:$CC$1,1,$AA393)))</f>
        <v/>
      </c>
    </row>
    <row r="394" spans="1:29" hidden="1" outlineLevel="1" x14ac:dyDescent="0.3">
      <c r="A394" s="22" t="s">
        <v>84</v>
      </c>
      <c r="B394" s="41" t="str">
        <f t="shared" ref="B394:B427" si="26">IF($A394="P",IF(NOT($Z394=""),"A",IF(NOT($AA394=""),"I","")),IF(NOT($AA394=""),IF($A394="G","V","X"),IF(NOT($Z394=""),"A","")))</f>
        <v/>
      </c>
      <c r="C394" s="42">
        <f t="shared" si="23"/>
        <v>393</v>
      </c>
      <c r="D394" s="38"/>
      <c r="E394" s="38"/>
      <c r="F394" s="38"/>
      <c r="G394" s="38"/>
      <c r="H394" s="38"/>
      <c r="I394" s="38" t="s">
        <v>9</v>
      </c>
      <c r="J394" s="38"/>
      <c r="K394" s="159" t="s">
        <v>24</v>
      </c>
      <c r="L394" s="167" t="s">
        <v>21</v>
      </c>
      <c r="M394" s="236" t="s">
        <v>1619</v>
      </c>
      <c r="N394" s="159" t="s">
        <v>1620</v>
      </c>
      <c r="O394" s="166">
        <v>0.02</v>
      </c>
      <c r="P394" s="160" t="s">
        <v>265</v>
      </c>
      <c r="Q394" s="178" t="s">
        <v>9</v>
      </c>
      <c r="R394" s="171" t="s">
        <v>103</v>
      </c>
      <c r="S394" s="171" t="s">
        <v>112</v>
      </c>
      <c r="T394" s="38"/>
      <c r="W394" s="15" t="str">
        <f>IF(IFERROR(VLOOKUP($M394,#REF!,1,0),"-")="-","","GS")</f>
        <v/>
      </c>
      <c r="Y394" s="53" t="s">
        <v>734</v>
      </c>
      <c r="Z394" s="59" t="str">
        <f>IF(OR($M394="",NOT($O394="{array}")),"",IFERROR(MATCH(PARAMETERS!$M394,DEFAULT!$B$5:$CG$5,0),""))</f>
        <v/>
      </c>
      <c r="AA394" s="56" t="str">
        <f t="shared" si="24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IF($AA394="","",IF($B394="I",VLOOKUP($AA394,#REF!,53,0),INDEX(VALUES!$B$1:$CC$1,1,$AA394)))</f>
        <v/>
      </c>
    </row>
    <row r="395" spans="1:29" hidden="1" outlineLevel="1" x14ac:dyDescent="0.25">
      <c r="A395" s="22" t="s">
        <v>84</v>
      </c>
      <c r="B395" s="41" t="str">
        <f t="shared" si="26"/>
        <v/>
      </c>
      <c r="C395" s="42">
        <f t="shared" si="23"/>
        <v>394</v>
      </c>
      <c r="D395" s="38"/>
      <c r="E395" s="38"/>
      <c r="F395" s="38"/>
      <c r="G395" s="38"/>
      <c r="H395" s="38"/>
      <c r="I395" s="38" t="s">
        <v>9</v>
      </c>
      <c r="J395" s="38"/>
      <c r="K395" s="53" t="s">
        <v>24</v>
      </c>
      <c r="L395" s="53" t="s">
        <v>27</v>
      </c>
      <c r="M395" s="203" t="s">
        <v>952</v>
      </c>
      <c r="N395" s="53" t="s">
        <v>953</v>
      </c>
      <c r="O395" s="155">
        <v>0</v>
      </c>
      <c r="P395" s="53"/>
      <c r="Q395" s="171" t="s">
        <v>9</v>
      </c>
      <c r="R395" s="38" t="s">
        <v>196</v>
      </c>
      <c r="S395" s="38"/>
      <c r="T395" s="38"/>
      <c r="W395" s="15" t="str">
        <f>IF(IFERROR(VLOOKUP($M395,#REF!,1,0),"-")="-","","GS")</f>
        <v/>
      </c>
      <c r="Y395" s="53" t="s">
        <v>734</v>
      </c>
      <c r="Z395" s="59" t="str">
        <f>IF(OR($M395="",NOT($O395="{array}")),"",IFERROR(MATCH(PARAMETERS!$M395,DEFAULT!$B$5:$CG$5,0),""))</f>
        <v/>
      </c>
      <c r="AA395" s="56" t="str">
        <f t="shared" si="24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IF($AA395="","",IF($B395="I",VLOOKUP($AA395,#REF!,53,0),INDEX(VALUES!$B$1:$CC$1,1,$AA395)))</f>
        <v/>
      </c>
    </row>
    <row r="396" spans="1:29" hidden="1" outlineLevel="1" x14ac:dyDescent="0.25">
      <c r="A396" s="22" t="s">
        <v>84</v>
      </c>
      <c r="B396" s="41" t="str">
        <f t="shared" si="26"/>
        <v/>
      </c>
      <c r="C396" s="42">
        <f t="shared" si="23"/>
        <v>395</v>
      </c>
      <c r="D396" s="38"/>
      <c r="E396" s="38"/>
      <c r="F396" s="38"/>
      <c r="G396" s="38"/>
      <c r="H396" s="38"/>
      <c r="I396" s="38" t="s">
        <v>9</v>
      </c>
      <c r="J396" s="38"/>
      <c r="K396" s="53" t="s">
        <v>24</v>
      </c>
      <c r="L396" s="53" t="s">
        <v>27</v>
      </c>
      <c r="M396" s="203" t="s">
        <v>954</v>
      </c>
      <c r="N396" s="53" t="s">
        <v>955</v>
      </c>
      <c r="O396" s="155">
        <v>0</v>
      </c>
      <c r="P396" s="53"/>
      <c r="Q396" s="171" t="s">
        <v>9</v>
      </c>
      <c r="R396" s="38" t="s">
        <v>196</v>
      </c>
      <c r="S396" s="38"/>
      <c r="T396" s="38"/>
      <c r="W396" s="15" t="str">
        <f>IF(IFERROR(VLOOKUP($M396,#REF!,1,0),"-")="-","","GS")</f>
        <v/>
      </c>
      <c r="Y396" s="53" t="s">
        <v>734</v>
      </c>
      <c r="Z396" s="59" t="str">
        <f>IF(OR($M396="",NOT($O396="{array}")),"",IFERROR(MATCH(PARAMETERS!$M396,DEFAULT!$B$5:$CG$5,0),""))</f>
        <v/>
      </c>
      <c r="AA396" s="56" t="str">
        <f t="shared" si="24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IF($AA396="","",IF($B396="I",VLOOKUP($AA396,#REF!,53,0),INDEX(VALUES!$B$1:$CC$1,1,$AA396)))</f>
        <v/>
      </c>
    </row>
    <row r="397" spans="1:29" collapsed="1" x14ac:dyDescent="0.3">
      <c r="A397" s="22" t="s">
        <v>84</v>
      </c>
      <c r="B397" s="41" t="str">
        <f t="shared" si="26"/>
        <v/>
      </c>
      <c r="C397" s="42">
        <f t="shared" si="23"/>
        <v>396</v>
      </c>
      <c r="D397" s="38"/>
      <c r="E397" s="38"/>
      <c r="F397" s="38"/>
      <c r="G397" s="38"/>
      <c r="H397" s="38"/>
      <c r="I397" s="38"/>
      <c r="J397" s="38"/>
      <c r="K397" s="14" t="s">
        <v>57</v>
      </c>
      <c r="L397" s="14" t="s">
        <v>38</v>
      </c>
      <c r="M397" s="48" t="s">
        <v>956</v>
      </c>
      <c r="N397" s="41" t="s">
        <v>957</v>
      </c>
      <c r="R397" s="38" t="s">
        <v>196</v>
      </c>
      <c r="S397" s="38"/>
      <c r="T397" s="38"/>
      <c r="W397" s="15" t="str">
        <f>IF(IFERROR(VLOOKUP($M397,#REF!,1,0),"-")="-","","GS")</f>
        <v/>
      </c>
      <c r="Y397" s="53"/>
      <c r="Z397" s="59" t="str">
        <f>IF(OR($M397="",NOT($O397="{array}")),"",IFERROR(MATCH(PARAMETERS!$M397,DEFAULT!$B$5:$CG$5,0),""))</f>
        <v/>
      </c>
      <c r="AA397" s="56" t="str">
        <f t="shared" si="24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IF($AA397="","",IF($B397="I",VLOOKUP($AA397,#REF!,53,0),INDEX(VALUES!$B$1:$CC$1,1,$AA397)))</f>
        <v/>
      </c>
    </row>
    <row r="398" spans="1:29" x14ac:dyDescent="0.3">
      <c r="A398" s="22" t="s">
        <v>84</v>
      </c>
      <c r="B398" s="41" t="str">
        <f t="shared" si="26"/>
        <v/>
      </c>
      <c r="C398" s="42">
        <f t="shared" ref="C398:C427" si="27">(ROW()-1)</f>
        <v>397</v>
      </c>
      <c r="D398" s="38"/>
      <c r="E398" s="38"/>
      <c r="F398" s="38"/>
      <c r="G398" s="38"/>
      <c r="H398" s="38"/>
      <c r="I398" s="38"/>
      <c r="J398" s="38"/>
      <c r="K398" s="14" t="s">
        <v>57</v>
      </c>
      <c r="L398" s="14" t="s">
        <v>38</v>
      </c>
      <c r="M398" s="48" t="s">
        <v>958</v>
      </c>
      <c r="N398" s="41" t="s">
        <v>959</v>
      </c>
      <c r="R398" s="38" t="s">
        <v>103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IF(OR($M398="",NOT($O398="{array}")),"",IFERROR(MATCH(PARAMETERS!$M398,DEFAULT!$B$5:$CG$5,0),""))</f>
        <v/>
      </c>
      <c r="AA398" s="56" t="str">
        <f t="shared" si="24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IF($AA398="","",IF($B398="I",VLOOKUP($AA398,#REF!,53,0),INDEX(VALUES!$B$1:$CC$1,1,$AA398)))</f>
        <v/>
      </c>
    </row>
    <row r="399" spans="1:29" hidden="1" outlineLevel="1" x14ac:dyDescent="0.25">
      <c r="A399" s="22" t="s">
        <v>84</v>
      </c>
      <c r="B399" s="41" t="str">
        <f t="shared" si="26"/>
        <v/>
      </c>
      <c r="C399" s="42">
        <f t="shared" si="27"/>
        <v>398</v>
      </c>
      <c r="D399" s="38"/>
      <c r="E399" s="38"/>
      <c r="F399" s="38"/>
      <c r="G399" s="38"/>
      <c r="H399" s="38"/>
      <c r="I399" s="38" t="s">
        <v>9</v>
      </c>
      <c r="J399" s="38"/>
      <c r="K399" s="53" t="s">
        <v>18</v>
      </c>
      <c r="L399" s="53" t="s">
        <v>32</v>
      </c>
      <c r="M399" s="53" t="s">
        <v>960</v>
      </c>
      <c r="N399" s="53" t="s">
        <v>961</v>
      </c>
      <c r="O399" s="155" t="s">
        <v>466</v>
      </c>
      <c r="Q399" s="171"/>
      <c r="R399" s="171" t="s">
        <v>103</v>
      </c>
      <c r="S399" s="171" t="s">
        <v>112</v>
      </c>
      <c r="T399" s="166" t="s">
        <v>265</v>
      </c>
      <c r="U399" s="166" t="s">
        <v>265</v>
      </c>
      <c r="V399" s="166" t="s">
        <v>962</v>
      </c>
      <c r="W399" s="15"/>
      <c r="Z399" s="59" t="str">
        <f>IF(OR($M399="",NOT($O399="{array}")),"",IFERROR(MATCH(PARAMETERS!$M399,DEFAULT!$B$5:$CG$5,0),""))</f>
        <v/>
      </c>
      <c r="AA399" s="56" t="str">
        <f t="shared" si="24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IF($AA399="","",IF($B399="I",VLOOKUP($AA399,#REF!,53,0),INDEX(VALUES!$B$1:$CC$1,1,$AA399)))</f>
        <v/>
      </c>
    </row>
    <row r="400" spans="1:29" hidden="1" outlineLevel="1" x14ac:dyDescent="0.25">
      <c r="A400" s="22"/>
      <c r="B400" s="41" t="str">
        <f t="shared" si="26"/>
        <v/>
      </c>
      <c r="C400" s="42">
        <f t="shared" si="27"/>
        <v>399</v>
      </c>
      <c r="D400" s="38"/>
      <c r="E400" s="38"/>
      <c r="F400" s="38"/>
      <c r="G400" s="38"/>
      <c r="H400" s="38"/>
      <c r="I400" s="38" t="s">
        <v>9</v>
      </c>
      <c r="J400" s="38"/>
      <c r="K400" s="166" t="s">
        <v>18</v>
      </c>
      <c r="L400" s="167" t="s">
        <v>21</v>
      </c>
      <c r="M400" s="166" t="s">
        <v>963</v>
      </c>
      <c r="N400" s="166" t="s">
        <v>265</v>
      </c>
      <c r="O400" s="166" t="s">
        <v>265</v>
      </c>
      <c r="P400" s="160" t="s">
        <v>265</v>
      </c>
      <c r="Q400" s="171" t="s">
        <v>9</v>
      </c>
      <c r="R400" s="171" t="s">
        <v>103</v>
      </c>
      <c r="S400" s="171" t="s">
        <v>112</v>
      </c>
      <c r="T400" s="166" t="s">
        <v>265</v>
      </c>
      <c r="U400" s="166" t="s">
        <v>265</v>
      </c>
      <c r="V400" s="166" t="s">
        <v>963</v>
      </c>
      <c r="W400" s="15" t="str">
        <f>IF(IFERROR(VLOOKUP($M400,#REF!,1,0),"-")="-","","GS")</f>
        <v/>
      </c>
      <c r="X400" s="160" t="s">
        <v>265</v>
      </c>
      <c r="Y400" s="166" t="s">
        <v>964</v>
      </c>
      <c r="Z400" s="59" t="str">
        <f>IF(OR($M400="",NOT($O400="{array}")),"",IFERROR(MATCH(PARAMETERS!$M400,DEFAULT!$B$5:$CG$5,0),""))</f>
        <v/>
      </c>
      <c r="AA400" s="56" t="str">
        <f t="shared" si="24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IF($AA400="","",IF($B400="I",VLOOKUP($AA400,#REF!,53,0),INDEX(VALUES!$B$1:$CC$1,1,$AA400)))</f>
        <v/>
      </c>
    </row>
    <row r="401" spans="1:29" hidden="1" outlineLevel="1" x14ac:dyDescent="0.25">
      <c r="A401" s="22"/>
      <c r="B401" s="41" t="str">
        <f t="shared" si="26"/>
        <v/>
      </c>
      <c r="C401" s="42">
        <f t="shared" si="27"/>
        <v>400</v>
      </c>
      <c r="D401" s="38"/>
      <c r="E401" s="38"/>
      <c r="F401" s="38"/>
      <c r="G401" s="38"/>
      <c r="H401" s="38"/>
      <c r="I401" s="38" t="s">
        <v>9</v>
      </c>
      <c r="J401" s="38"/>
      <c r="K401" s="166" t="s">
        <v>18</v>
      </c>
      <c r="L401" s="167" t="s">
        <v>21</v>
      </c>
      <c r="M401" s="166" t="s">
        <v>965</v>
      </c>
      <c r="N401" s="166" t="s">
        <v>265</v>
      </c>
      <c r="O401" s="166" t="s">
        <v>265</v>
      </c>
      <c r="P401" s="160" t="s">
        <v>265</v>
      </c>
      <c r="Q401" s="171" t="s">
        <v>9</v>
      </c>
      <c r="R401" s="171" t="s">
        <v>103</v>
      </c>
      <c r="S401" s="171" t="s">
        <v>112</v>
      </c>
      <c r="T401" s="166" t="s">
        <v>265</v>
      </c>
      <c r="U401" s="166" t="s">
        <v>265</v>
      </c>
      <c r="V401" s="166" t="s">
        <v>965</v>
      </c>
      <c r="W401" s="15" t="str">
        <f>IF(IFERROR(VLOOKUP($M401,#REF!,1,0),"-")="-","","GS")</f>
        <v/>
      </c>
      <c r="X401" s="160" t="s">
        <v>265</v>
      </c>
      <c r="Y401" s="166" t="s">
        <v>966</v>
      </c>
      <c r="Z401" s="59" t="str">
        <f>IF(OR($M401="",NOT($O401="{array}")),"",IFERROR(MATCH(PARAMETERS!$M401,DEFAULT!$B$5:$CG$5,0),""))</f>
        <v/>
      </c>
      <c r="AA401" s="56" t="str">
        <f t="shared" si="24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IF($AA401="","",IF($B401="I",VLOOKUP($AA401,#REF!,53,0),INDEX(VALUES!$B$1:$CC$1,1,$AA401)))</f>
        <v/>
      </c>
    </row>
    <row r="402" spans="1:29" hidden="1" outlineLevel="1" x14ac:dyDescent="0.25">
      <c r="A402" s="22"/>
      <c r="B402" s="41" t="str">
        <f t="shared" si="26"/>
        <v/>
      </c>
      <c r="C402" s="42">
        <f t="shared" si="27"/>
        <v>401</v>
      </c>
      <c r="D402" s="38"/>
      <c r="E402" s="38"/>
      <c r="F402" s="38"/>
      <c r="G402" s="38"/>
      <c r="H402" s="38"/>
      <c r="I402" s="38" t="s">
        <v>9</v>
      </c>
      <c r="J402" s="38"/>
      <c r="K402" s="166" t="s">
        <v>18</v>
      </c>
      <c r="L402" s="167" t="s">
        <v>21</v>
      </c>
      <c r="M402" s="166" t="s">
        <v>967</v>
      </c>
      <c r="N402" s="166" t="s">
        <v>265</v>
      </c>
      <c r="O402" s="166" t="s">
        <v>265</v>
      </c>
      <c r="P402" s="160" t="s">
        <v>265</v>
      </c>
      <c r="Q402" s="171" t="s">
        <v>9</v>
      </c>
      <c r="R402" s="171" t="s">
        <v>103</v>
      </c>
      <c r="S402" s="171" t="s">
        <v>112</v>
      </c>
      <c r="T402" s="166" t="s">
        <v>265</v>
      </c>
      <c r="U402" s="166" t="s">
        <v>265</v>
      </c>
      <c r="V402" s="166" t="s">
        <v>967</v>
      </c>
      <c r="W402" s="15" t="str">
        <f>IF(IFERROR(VLOOKUP($M402,#REF!,1,0),"-")="-","","GS")</f>
        <v/>
      </c>
      <c r="X402" s="160" t="s">
        <v>265</v>
      </c>
      <c r="Y402" s="166" t="s">
        <v>968</v>
      </c>
      <c r="Z402" s="59" t="str">
        <f>IF(OR($M402="",NOT($O402="{array}")),"",IFERROR(MATCH(PARAMETERS!$M402,DEFAULT!$B$5:$CG$5,0),""))</f>
        <v/>
      </c>
      <c r="AA402" s="56" t="str">
        <f t="shared" si="24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IF($AA402="","",IF($B402="I",VLOOKUP($AA402,#REF!,53,0),INDEX(VALUES!$B$1:$CC$1,1,$AA402)))</f>
        <v/>
      </c>
    </row>
    <row r="403" spans="1:29" hidden="1" outlineLevel="1" x14ac:dyDescent="0.25">
      <c r="A403" s="22"/>
      <c r="B403" s="41" t="str">
        <f t="shared" si="26"/>
        <v/>
      </c>
      <c r="C403" s="42">
        <f t="shared" si="27"/>
        <v>402</v>
      </c>
      <c r="D403" s="38"/>
      <c r="E403" s="38"/>
      <c r="F403" s="38"/>
      <c r="G403" s="38"/>
      <c r="H403" s="38"/>
      <c r="I403" s="38" t="s">
        <v>9</v>
      </c>
      <c r="J403" s="38"/>
      <c r="K403" s="166" t="s">
        <v>18</v>
      </c>
      <c r="L403" s="167" t="s">
        <v>21</v>
      </c>
      <c r="M403" s="166" t="s">
        <v>969</v>
      </c>
      <c r="N403" s="166" t="s">
        <v>265</v>
      </c>
      <c r="O403" s="166" t="s">
        <v>265</v>
      </c>
      <c r="P403" s="160" t="s">
        <v>265</v>
      </c>
      <c r="Q403" s="171" t="s">
        <v>9</v>
      </c>
      <c r="R403" s="171" t="s">
        <v>103</v>
      </c>
      <c r="S403" s="171" t="s">
        <v>112</v>
      </c>
      <c r="T403" s="166" t="s">
        <v>265</v>
      </c>
      <c r="U403" s="166" t="s">
        <v>265</v>
      </c>
      <c r="V403" s="166" t="s">
        <v>969</v>
      </c>
      <c r="W403" s="15" t="str">
        <f>IF(IFERROR(VLOOKUP($M403,#REF!,1,0),"-")="-","","GS")</f>
        <v/>
      </c>
      <c r="X403" s="160" t="s">
        <v>265</v>
      </c>
      <c r="Y403" s="166" t="s">
        <v>970</v>
      </c>
      <c r="Z403" s="59" t="str">
        <f>IF(OR($M403="",NOT($O403="{array}")),"",IFERROR(MATCH(PARAMETERS!$M403,DEFAULT!$B$5:$CG$5,0),""))</f>
        <v/>
      </c>
      <c r="AA403" s="56" t="str">
        <f t="shared" si="24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IF($AA403="","",IF($B403="I",VLOOKUP($AA403,#REF!,53,0),INDEX(VALUES!$B$1:$CC$1,1,$AA403)))</f>
        <v/>
      </c>
    </row>
    <row r="404" spans="1:29" hidden="1" outlineLevel="1" x14ac:dyDescent="0.25">
      <c r="A404" s="22"/>
      <c r="B404" s="41" t="str">
        <f t="shared" si="26"/>
        <v/>
      </c>
      <c r="C404" s="42">
        <f t="shared" si="27"/>
        <v>403</v>
      </c>
      <c r="D404" s="38"/>
      <c r="E404" s="38"/>
      <c r="F404" s="38"/>
      <c r="G404" s="38"/>
      <c r="H404" s="38"/>
      <c r="I404" s="38" t="s">
        <v>9</v>
      </c>
      <c r="J404" s="38"/>
      <c r="K404" s="166" t="s">
        <v>36</v>
      </c>
      <c r="L404" s="167" t="s">
        <v>21</v>
      </c>
      <c r="M404" s="166" t="s">
        <v>971</v>
      </c>
      <c r="N404" s="166" t="s">
        <v>265</v>
      </c>
      <c r="O404" s="166" t="s">
        <v>265</v>
      </c>
      <c r="P404" s="160" t="s">
        <v>126</v>
      </c>
      <c r="Q404" s="171" t="s">
        <v>9</v>
      </c>
      <c r="R404" s="171" t="s">
        <v>103</v>
      </c>
      <c r="S404" s="171" t="s">
        <v>112</v>
      </c>
      <c r="T404" s="166" t="s">
        <v>265</v>
      </c>
      <c r="U404" s="166" t="s">
        <v>265</v>
      </c>
      <c r="V404" s="166" t="s">
        <v>971</v>
      </c>
      <c r="W404" s="15" t="str">
        <f>IF(IFERROR(VLOOKUP($M404,#REF!,1,0),"-")="-","","GS")</f>
        <v/>
      </c>
      <c r="X404" s="160" t="s">
        <v>265</v>
      </c>
      <c r="Y404" s="166" t="s">
        <v>972</v>
      </c>
      <c r="Z404" s="59" t="str">
        <f>IF(OR($M404="",NOT($O404="{array}")),"",IFERROR(MATCH(PARAMETERS!$M404,DEFAULT!$B$5:$CG$5,0),""))</f>
        <v/>
      </c>
      <c r="AA404" s="56" t="str">
        <f t="shared" si="24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IF($AA404="","",IF($B404="I",VLOOKUP($AA404,#REF!,53,0),INDEX(VALUES!$B$1:$CC$1,1,$AA404)))</f>
        <v/>
      </c>
    </row>
    <row r="405" spans="1:29" hidden="1" outlineLevel="1" x14ac:dyDescent="0.25">
      <c r="A405" s="22"/>
      <c r="B405" s="41" t="str">
        <f t="shared" si="26"/>
        <v/>
      </c>
      <c r="C405" s="42">
        <f t="shared" si="27"/>
        <v>404</v>
      </c>
      <c r="D405" s="38"/>
      <c r="E405" s="38"/>
      <c r="F405" s="38"/>
      <c r="G405" s="38"/>
      <c r="H405" s="38"/>
      <c r="I405" s="38" t="s">
        <v>9</v>
      </c>
      <c r="J405" s="38"/>
      <c r="K405" s="166" t="s">
        <v>36</v>
      </c>
      <c r="L405" s="167" t="s">
        <v>21</v>
      </c>
      <c r="M405" s="166" t="s">
        <v>973</v>
      </c>
      <c r="N405" s="166" t="s">
        <v>265</v>
      </c>
      <c r="O405" s="166" t="s">
        <v>265</v>
      </c>
      <c r="P405" s="160" t="s">
        <v>126</v>
      </c>
      <c r="Q405" s="171" t="s">
        <v>9</v>
      </c>
      <c r="R405" s="171" t="s">
        <v>103</v>
      </c>
      <c r="S405" s="171" t="s">
        <v>112</v>
      </c>
      <c r="T405" s="166" t="s">
        <v>265</v>
      </c>
      <c r="U405" s="166" t="s">
        <v>265</v>
      </c>
      <c r="V405" s="166" t="s">
        <v>973</v>
      </c>
      <c r="W405" s="15" t="str">
        <f>IF(IFERROR(VLOOKUP($M405,#REF!,1,0),"-")="-","","GS")</f>
        <v/>
      </c>
      <c r="X405" s="160" t="s">
        <v>265</v>
      </c>
      <c r="Y405" s="166" t="s">
        <v>974</v>
      </c>
      <c r="Z405" s="59" t="str">
        <f>IF(OR($M405="",NOT($O405="{array}")),"",IFERROR(MATCH(PARAMETERS!$M405,DEFAULT!$B$5:$CG$5,0),""))</f>
        <v/>
      </c>
      <c r="AA405" s="56" t="str">
        <f t="shared" si="24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IF($AA405="","",IF($B405="I",VLOOKUP($AA405,#REF!,53,0),INDEX(VALUES!$B$1:$CC$1,1,$AA405)))</f>
        <v/>
      </c>
    </row>
    <row r="406" spans="1:29" hidden="1" outlineLevel="1" x14ac:dyDescent="0.25">
      <c r="A406" s="22"/>
      <c r="B406" s="41" t="str">
        <f t="shared" si="26"/>
        <v/>
      </c>
      <c r="C406" s="42">
        <f t="shared" si="27"/>
        <v>405</v>
      </c>
      <c r="D406" s="38"/>
      <c r="E406" s="38"/>
      <c r="F406" s="38"/>
      <c r="G406" s="38"/>
      <c r="H406" s="38"/>
      <c r="I406" s="38" t="s">
        <v>9</v>
      </c>
      <c r="J406" s="38"/>
      <c r="K406" s="166" t="s">
        <v>47</v>
      </c>
      <c r="L406" s="167" t="s">
        <v>21</v>
      </c>
      <c r="M406" s="166" t="s">
        <v>975</v>
      </c>
      <c r="N406" s="166" t="s">
        <v>265</v>
      </c>
      <c r="O406" s="166" t="s">
        <v>265</v>
      </c>
      <c r="P406" s="160" t="s">
        <v>265</v>
      </c>
      <c r="Q406" s="171" t="s">
        <v>9</v>
      </c>
      <c r="R406" s="171" t="s">
        <v>103</v>
      </c>
      <c r="S406" s="171" t="s">
        <v>112</v>
      </c>
      <c r="T406" s="166" t="s">
        <v>265</v>
      </c>
      <c r="U406" s="166" t="s">
        <v>265</v>
      </c>
      <c r="V406" s="166" t="s">
        <v>975</v>
      </c>
      <c r="W406" s="15" t="str">
        <f>IF(IFERROR(VLOOKUP($M406,#REF!,1,0),"-")="-","","GS")</f>
        <v/>
      </c>
      <c r="X406" s="160" t="s">
        <v>265</v>
      </c>
      <c r="Y406" s="166" t="s">
        <v>976</v>
      </c>
      <c r="Z406" s="59" t="str">
        <f>IF(OR($M406="",NOT($O406="{array}")),"",IFERROR(MATCH(PARAMETERS!$M406,DEFAULT!$B$5:$CG$5,0),""))</f>
        <v/>
      </c>
      <c r="AA406" s="56" t="str">
        <f t="shared" si="24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IF($AA406="","",IF($B406="I",VLOOKUP($AA406,#REF!,53,0),INDEX(VALUES!$B$1:$CC$1,1,$AA406)))</f>
        <v/>
      </c>
    </row>
    <row r="407" spans="1:29" hidden="1" outlineLevel="1" x14ac:dyDescent="0.25">
      <c r="A407" s="22"/>
      <c r="B407" s="41" t="str">
        <f t="shared" si="26"/>
        <v/>
      </c>
      <c r="C407" s="42">
        <f t="shared" si="27"/>
        <v>406</v>
      </c>
      <c r="D407" s="38"/>
      <c r="E407" s="38"/>
      <c r="F407" s="38"/>
      <c r="G407" s="38"/>
      <c r="H407" s="38"/>
      <c r="I407" s="38" t="s">
        <v>9</v>
      </c>
      <c r="J407" s="38"/>
      <c r="K407" s="166" t="s">
        <v>18</v>
      </c>
      <c r="L407" s="167" t="s">
        <v>21</v>
      </c>
      <c r="M407" s="166" t="s">
        <v>977</v>
      </c>
      <c r="N407" s="166" t="s">
        <v>265</v>
      </c>
      <c r="O407" s="166" t="s">
        <v>265</v>
      </c>
      <c r="P407" s="160" t="s">
        <v>265</v>
      </c>
      <c r="Q407" s="171" t="s">
        <v>9</v>
      </c>
      <c r="R407" s="171" t="s">
        <v>103</v>
      </c>
      <c r="S407" s="171" t="s">
        <v>112</v>
      </c>
      <c r="T407" s="166" t="s">
        <v>265</v>
      </c>
      <c r="U407" s="166" t="s">
        <v>265</v>
      </c>
      <c r="V407" s="166" t="s">
        <v>977</v>
      </c>
      <c r="W407" s="15" t="str">
        <f>IF(IFERROR(VLOOKUP($M407,#REF!,1,0),"-")="-","","GS")</f>
        <v/>
      </c>
      <c r="X407" s="160" t="s">
        <v>265</v>
      </c>
      <c r="Y407" s="166" t="s">
        <v>978</v>
      </c>
      <c r="Z407" s="59" t="str">
        <f>IF(OR($M407="",NOT($O407="{array}")),"",IFERROR(MATCH(PARAMETERS!$M407,DEFAULT!$B$5:$CG$5,0),""))</f>
        <v/>
      </c>
      <c r="AA407" s="56" t="str">
        <f t="shared" si="24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IF($AA407="","",IF($B407="I",VLOOKUP($AA407,#REF!,53,0),INDEX(VALUES!$B$1:$CC$1,1,$AA407)))</f>
        <v/>
      </c>
    </row>
    <row r="408" spans="1:29" hidden="1" outlineLevel="1" x14ac:dyDescent="0.25">
      <c r="A408" s="22"/>
      <c r="B408" s="41" t="str">
        <f t="shared" si="26"/>
        <v/>
      </c>
      <c r="C408" s="42">
        <f t="shared" si="27"/>
        <v>407</v>
      </c>
      <c r="D408" s="38"/>
      <c r="E408" s="38"/>
      <c r="F408" s="38"/>
      <c r="G408" s="38"/>
      <c r="H408" s="38"/>
      <c r="I408" s="38" t="s">
        <v>9</v>
      </c>
      <c r="J408" s="38"/>
      <c r="K408" s="166" t="s">
        <v>18</v>
      </c>
      <c r="L408" s="167" t="s">
        <v>21</v>
      </c>
      <c r="M408" s="166" t="s">
        <v>979</v>
      </c>
      <c r="N408" s="166" t="s">
        <v>265</v>
      </c>
      <c r="O408" s="166" t="s">
        <v>265</v>
      </c>
      <c r="P408" s="160" t="s">
        <v>265</v>
      </c>
      <c r="Q408" s="171" t="s">
        <v>9</v>
      </c>
      <c r="R408" s="171" t="s">
        <v>103</v>
      </c>
      <c r="S408" s="171" t="s">
        <v>112</v>
      </c>
      <c r="T408" s="166" t="s">
        <v>265</v>
      </c>
      <c r="U408" s="166" t="s">
        <v>265</v>
      </c>
      <c r="V408" s="166" t="s">
        <v>979</v>
      </c>
      <c r="W408" s="15" t="str">
        <f>IF(IFERROR(VLOOKUP($M408,#REF!,1,0),"-")="-","","GS")</f>
        <v/>
      </c>
      <c r="X408" s="160" t="s">
        <v>265</v>
      </c>
      <c r="Y408" s="166" t="s">
        <v>980</v>
      </c>
      <c r="Z408" s="59" t="str">
        <f>IF(OR($M408="",NOT($O408="{array}")),"",IFERROR(MATCH(PARAMETERS!$M408,DEFAULT!$B$5:$CG$5,0),""))</f>
        <v/>
      </c>
      <c r="AA408" s="56" t="str">
        <f t="shared" si="24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IF($AA408="","",IF($B408="I",VLOOKUP($AA408,#REF!,53,0),INDEX(VALUES!$B$1:$CC$1,1,$AA408)))</f>
        <v/>
      </c>
    </row>
    <row r="409" spans="1:29" hidden="1" outlineLevel="1" x14ac:dyDescent="0.25">
      <c r="A409" s="22"/>
      <c r="B409" s="41" t="str">
        <f t="shared" si="26"/>
        <v/>
      </c>
      <c r="C409" s="42">
        <f t="shared" si="27"/>
        <v>408</v>
      </c>
      <c r="D409" s="38"/>
      <c r="E409" s="38"/>
      <c r="F409" s="38"/>
      <c r="G409" s="38"/>
      <c r="H409" s="38"/>
      <c r="I409" s="38" t="s">
        <v>9</v>
      </c>
      <c r="J409" s="38"/>
      <c r="K409" s="166" t="s">
        <v>18</v>
      </c>
      <c r="L409" s="167" t="s">
        <v>21</v>
      </c>
      <c r="M409" s="166" t="s">
        <v>981</v>
      </c>
      <c r="N409" s="166" t="s">
        <v>265</v>
      </c>
      <c r="O409" s="166" t="s">
        <v>265</v>
      </c>
      <c r="P409" s="160" t="s">
        <v>265</v>
      </c>
      <c r="Q409" s="171" t="s">
        <v>9</v>
      </c>
      <c r="R409" s="171" t="s">
        <v>103</v>
      </c>
      <c r="S409" s="171" t="s">
        <v>112</v>
      </c>
      <c r="T409" s="166" t="s">
        <v>265</v>
      </c>
      <c r="U409" s="166" t="s">
        <v>265</v>
      </c>
      <c r="V409" s="166" t="s">
        <v>981</v>
      </c>
      <c r="W409" s="15" t="str">
        <f>IF(IFERROR(VLOOKUP($M409,#REF!,1,0),"-")="-","","GS")</f>
        <v/>
      </c>
      <c r="X409" s="160" t="s">
        <v>265</v>
      </c>
      <c r="Y409" s="166" t="s">
        <v>982</v>
      </c>
      <c r="Z409" s="59" t="str">
        <f>IF(OR($M409="",NOT($O409="{array}")),"",IFERROR(MATCH(PARAMETERS!$M409,DEFAULT!$B$5:$CG$5,0),""))</f>
        <v/>
      </c>
      <c r="AA409" s="56" t="str">
        <f t="shared" si="24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IF($AA409="","",IF($B409="I",VLOOKUP($AA409,#REF!,53,0),INDEX(VALUES!$B$1:$CC$1,1,$AA409)))</f>
        <v/>
      </c>
    </row>
    <row r="410" spans="1:29" hidden="1" outlineLevel="1" x14ac:dyDescent="0.25">
      <c r="A410" s="22"/>
      <c r="B410" s="41" t="str">
        <f t="shared" si="26"/>
        <v/>
      </c>
      <c r="C410" s="42">
        <f t="shared" si="27"/>
        <v>409</v>
      </c>
      <c r="D410" s="38"/>
      <c r="E410" s="38"/>
      <c r="F410" s="38"/>
      <c r="G410" s="38"/>
      <c r="H410" s="38"/>
      <c r="I410" s="38" t="s">
        <v>9</v>
      </c>
      <c r="J410" s="38"/>
      <c r="K410" s="166" t="s">
        <v>18</v>
      </c>
      <c r="L410" s="167" t="s">
        <v>21</v>
      </c>
      <c r="M410" s="166" t="s">
        <v>983</v>
      </c>
      <c r="N410" s="166" t="s">
        <v>265</v>
      </c>
      <c r="O410" s="166" t="s">
        <v>265</v>
      </c>
      <c r="P410" s="160" t="s">
        <v>265</v>
      </c>
      <c r="Q410" s="171" t="s">
        <v>9</v>
      </c>
      <c r="R410" s="171" t="s">
        <v>103</v>
      </c>
      <c r="S410" s="171" t="s">
        <v>112</v>
      </c>
      <c r="T410" s="166" t="s">
        <v>265</v>
      </c>
      <c r="U410" s="166" t="s">
        <v>265</v>
      </c>
      <c r="V410" s="166" t="s">
        <v>983</v>
      </c>
      <c r="W410" s="15" t="str">
        <f>IF(IFERROR(VLOOKUP($M410,#REF!,1,0),"-")="-","","GS")</f>
        <v/>
      </c>
      <c r="X410" s="160" t="s">
        <v>265</v>
      </c>
      <c r="Y410" s="166" t="s">
        <v>984</v>
      </c>
      <c r="Z410" s="59" t="str">
        <f>IF(OR($M410="",NOT($O410="{array}")),"",IFERROR(MATCH(PARAMETERS!$M410,DEFAULT!$B$5:$CG$5,0),""))</f>
        <v/>
      </c>
      <c r="AA410" s="56" t="str">
        <f t="shared" si="24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IF($AA410="","",IF($B410="I",VLOOKUP($AA410,#REF!,53,0),INDEX(VALUES!$B$1:$CC$1,1,$AA410)))</f>
        <v/>
      </c>
    </row>
    <row r="411" spans="1:29" hidden="1" outlineLevel="1" x14ac:dyDescent="0.25">
      <c r="A411" s="22"/>
      <c r="B411" s="41" t="str">
        <f t="shared" si="26"/>
        <v/>
      </c>
      <c r="C411" s="42">
        <f t="shared" si="27"/>
        <v>410</v>
      </c>
      <c r="D411" s="38"/>
      <c r="E411" s="38"/>
      <c r="F411" s="38"/>
      <c r="G411" s="38"/>
      <c r="H411" s="38"/>
      <c r="I411" s="38" t="s">
        <v>9</v>
      </c>
      <c r="J411" s="38"/>
      <c r="K411" s="166" t="s">
        <v>18</v>
      </c>
      <c r="L411" s="167" t="s">
        <v>21</v>
      </c>
      <c r="M411" s="166" t="s">
        <v>985</v>
      </c>
      <c r="N411" s="166" t="s">
        <v>265</v>
      </c>
      <c r="O411" s="166" t="s">
        <v>265</v>
      </c>
      <c r="P411" s="160" t="s">
        <v>265</v>
      </c>
      <c r="Q411" s="171" t="s">
        <v>9</v>
      </c>
      <c r="R411" s="171" t="s">
        <v>103</v>
      </c>
      <c r="S411" s="171" t="s">
        <v>112</v>
      </c>
      <c r="T411" s="166" t="s">
        <v>265</v>
      </c>
      <c r="U411" s="166" t="s">
        <v>265</v>
      </c>
      <c r="V411" s="166" t="s">
        <v>985</v>
      </c>
      <c r="W411" s="15" t="str">
        <f>IF(IFERROR(VLOOKUP($M411,#REF!,1,0),"-")="-","","GS")</f>
        <v/>
      </c>
      <c r="X411" s="160" t="s">
        <v>265</v>
      </c>
      <c r="Y411" s="166" t="s">
        <v>986</v>
      </c>
      <c r="Z411" s="59" t="str">
        <f>IF(OR($M411="",NOT($O411="{array}")),"",IFERROR(MATCH(PARAMETERS!$M411,DEFAULT!$B$5:$CG$5,0),""))</f>
        <v/>
      </c>
      <c r="AA411" s="56" t="str">
        <f t="shared" si="24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IF($AA411="","",IF($B411="I",VLOOKUP($AA411,#REF!,53,0),INDEX(VALUES!$B$1:$CC$1,1,$AA411)))</f>
        <v/>
      </c>
    </row>
    <row r="412" spans="1:29" hidden="1" outlineLevel="1" x14ac:dyDescent="0.25">
      <c r="A412" s="22"/>
      <c r="B412" s="41" t="str">
        <f t="shared" si="26"/>
        <v/>
      </c>
      <c r="C412" s="42">
        <f t="shared" si="27"/>
        <v>411</v>
      </c>
      <c r="D412" s="38"/>
      <c r="E412" s="38"/>
      <c r="F412" s="38"/>
      <c r="G412" s="38"/>
      <c r="H412" s="38"/>
      <c r="I412" s="38" t="s">
        <v>9</v>
      </c>
      <c r="J412" s="38"/>
      <c r="K412" s="166" t="s">
        <v>18</v>
      </c>
      <c r="L412" s="167" t="s">
        <v>21</v>
      </c>
      <c r="M412" s="166" t="s">
        <v>987</v>
      </c>
      <c r="N412" s="166" t="s">
        <v>265</v>
      </c>
      <c r="O412" s="166" t="s">
        <v>265</v>
      </c>
      <c r="P412" s="160" t="s">
        <v>265</v>
      </c>
      <c r="Q412" s="171" t="s">
        <v>9</v>
      </c>
      <c r="R412" s="171" t="s">
        <v>103</v>
      </c>
      <c r="S412" s="171" t="s">
        <v>112</v>
      </c>
      <c r="T412" s="166" t="s">
        <v>265</v>
      </c>
      <c r="U412" s="166" t="s">
        <v>265</v>
      </c>
      <c r="V412" s="166" t="s">
        <v>987</v>
      </c>
      <c r="W412" s="15" t="str">
        <f>IF(IFERROR(VLOOKUP($M412,#REF!,1,0),"-")="-","","GS")</f>
        <v/>
      </c>
      <c r="X412" s="160" t="s">
        <v>265</v>
      </c>
      <c r="Y412" s="166" t="s">
        <v>988</v>
      </c>
      <c r="Z412" s="59" t="str">
        <f>IF(OR($M412="",NOT($O412="{array}")),"",IFERROR(MATCH(PARAMETERS!$M412,DEFAULT!$B$5:$CG$5,0),""))</f>
        <v/>
      </c>
      <c r="AA412" s="56" t="str">
        <f t="shared" si="24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IF($AA412="","",IF($B412="I",VLOOKUP($AA412,#REF!,53,0),INDEX(VALUES!$B$1:$CC$1,1,$AA412)))</f>
        <v/>
      </c>
    </row>
    <row r="413" spans="1:29" hidden="1" outlineLevel="1" x14ac:dyDescent="0.25">
      <c r="A413" s="22"/>
      <c r="B413" s="41" t="str">
        <f t="shared" si="26"/>
        <v/>
      </c>
      <c r="C413" s="42">
        <f t="shared" si="27"/>
        <v>412</v>
      </c>
      <c r="D413" s="38"/>
      <c r="E413" s="38"/>
      <c r="F413" s="38"/>
      <c r="G413" s="38"/>
      <c r="H413" s="38"/>
      <c r="I413" s="38" t="s">
        <v>9</v>
      </c>
      <c r="J413" s="38"/>
      <c r="K413" s="166" t="s">
        <v>18</v>
      </c>
      <c r="L413" s="167" t="s">
        <v>21</v>
      </c>
      <c r="M413" s="166" t="s">
        <v>989</v>
      </c>
      <c r="N413" s="166" t="s">
        <v>265</v>
      </c>
      <c r="O413" s="166" t="s">
        <v>265</v>
      </c>
      <c r="P413" s="160" t="s">
        <v>265</v>
      </c>
      <c r="Q413" s="171" t="s">
        <v>9</v>
      </c>
      <c r="R413" s="171" t="s">
        <v>103</v>
      </c>
      <c r="S413" s="171" t="s">
        <v>112</v>
      </c>
      <c r="T413" s="166" t="s">
        <v>265</v>
      </c>
      <c r="U413" s="166" t="s">
        <v>265</v>
      </c>
      <c r="V413" s="166" t="s">
        <v>989</v>
      </c>
      <c r="W413" s="15" t="str">
        <f>IF(IFERROR(VLOOKUP($M413,#REF!,1,0),"-")="-","","GS")</f>
        <v/>
      </c>
      <c r="X413" s="160" t="s">
        <v>265</v>
      </c>
      <c r="Y413" s="166" t="s">
        <v>990</v>
      </c>
      <c r="Z413" s="59" t="str">
        <f>IF(OR($M413="",NOT($O413="{array}")),"",IFERROR(MATCH(PARAMETERS!$M413,DEFAULT!$B$5:$CG$5,0),""))</f>
        <v/>
      </c>
      <c r="AA413" s="56" t="str">
        <f t="shared" si="24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IF($AA413="","",IF($B413="I",VLOOKUP($AA413,#REF!,53,0),INDEX(VALUES!$B$1:$CC$1,1,$AA413)))</f>
        <v/>
      </c>
    </row>
    <row r="414" spans="1:29" hidden="1" outlineLevel="1" x14ac:dyDescent="0.25">
      <c r="A414" s="22"/>
      <c r="B414" s="41" t="str">
        <f t="shared" si="26"/>
        <v/>
      </c>
      <c r="C414" s="42">
        <f t="shared" si="27"/>
        <v>413</v>
      </c>
      <c r="D414" s="38"/>
      <c r="E414" s="38"/>
      <c r="F414" s="38"/>
      <c r="G414" s="38"/>
      <c r="H414" s="38"/>
      <c r="I414" s="38" t="s">
        <v>9</v>
      </c>
      <c r="J414" s="38"/>
      <c r="K414" s="166" t="s">
        <v>18</v>
      </c>
      <c r="L414" s="167" t="s">
        <v>21</v>
      </c>
      <c r="M414" s="166" t="s">
        <v>991</v>
      </c>
      <c r="N414" s="166" t="s">
        <v>265</v>
      </c>
      <c r="O414" s="166" t="s">
        <v>265</v>
      </c>
      <c r="P414" s="160" t="s">
        <v>265</v>
      </c>
      <c r="Q414" s="171" t="s">
        <v>9</v>
      </c>
      <c r="R414" s="171" t="s">
        <v>103</v>
      </c>
      <c r="S414" s="171" t="s">
        <v>112</v>
      </c>
      <c r="T414" s="166" t="s">
        <v>265</v>
      </c>
      <c r="U414" s="166" t="s">
        <v>265</v>
      </c>
      <c r="V414" s="166" t="s">
        <v>991</v>
      </c>
      <c r="W414" s="15" t="str">
        <f>IF(IFERROR(VLOOKUP($M414,#REF!,1,0),"-")="-","","GS")</f>
        <v/>
      </c>
      <c r="X414" s="160" t="s">
        <v>265</v>
      </c>
      <c r="Y414" s="166" t="s">
        <v>992</v>
      </c>
      <c r="Z414" s="59" t="str">
        <f>IF(OR($M414="",NOT($O414="{array}")),"",IFERROR(MATCH(PARAMETERS!$M414,DEFAULT!$B$5:$CG$5,0),""))</f>
        <v/>
      </c>
      <c r="AA414" s="56" t="str">
        <f t="shared" si="24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IF($AA414="","",IF($B414="I",VLOOKUP($AA414,#REF!,53,0),INDEX(VALUES!$B$1:$CC$1,1,$AA414)))</f>
        <v/>
      </c>
    </row>
    <row r="415" spans="1:29" hidden="1" outlineLevel="1" x14ac:dyDescent="0.25">
      <c r="A415" s="22"/>
      <c r="B415" s="41" t="str">
        <f t="shared" si="26"/>
        <v/>
      </c>
      <c r="C415" s="42">
        <f t="shared" si="27"/>
        <v>414</v>
      </c>
      <c r="D415" s="38"/>
      <c r="E415" s="38"/>
      <c r="F415" s="38"/>
      <c r="G415" s="38"/>
      <c r="H415" s="38"/>
      <c r="I415" s="38" t="s">
        <v>9</v>
      </c>
      <c r="J415" s="38"/>
      <c r="K415" s="166" t="s">
        <v>18</v>
      </c>
      <c r="L415" s="167" t="s">
        <v>21</v>
      </c>
      <c r="M415" s="166" t="s">
        <v>993</v>
      </c>
      <c r="N415" s="166" t="s">
        <v>265</v>
      </c>
      <c r="O415" s="166" t="s">
        <v>265</v>
      </c>
      <c r="P415" s="160" t="s">
        <v>265</v>
      </c>
      <c r="Q415" s="171" t="s">
        <v>9</v>
      </c>
      <c r="R415" s="171" t="s">
        <v>103</v>
      </c>
      <c r="S415" s="171" t="s">
        <v>112</v>
      </c>
      <c r="T415" s="166" t="s">
        <v>265</v>
      </c>
      <c r="U415" s="166" t="s">
        <v>265</v>
      </c>
      <c r="V415" s="166" t="s">
        <v>993</v>
      </c>
      <c r="W415" s="15" t="str">
        <f>IF(IFERROR(VLOOKUP($M415,#REF!,1,0),"-")="-","","GS")</f>
        <v/>
      </c>
      <c r="X415" s="160" t="s">
        <v>265</v>
      </c>
      <c r="Y415" s="166" t="s">
        <v>994</v>
      </c>
      <c r="Z415" s="59" t="str">
        <f>IF(OR($M415="",NOT($O415="{array}")),"",IFERROR(MATCH(PARAMETERS!$M415,DEFAULT!$B$5:$CG$5,0),""))</f>
        <v/>
      </c>
      <c r="AA415" s="56" t="str">
        <f t="shared" si="24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IF($AA415="","",IF($B415="I",VLOOKUP($AA415,#REF!,53,0),INDEX(VALUES!$B$1:$CC$1,1,$AA415)))</f>
        <v/>
      </c>
    </row>
    <row r="416" spans="1:29" hidden="1" outlineLevel="1" x14ac:dyDescent="0.25">
      <c r="A416" s="22"/>
      <c r="B416" s="41" t="str">
        <f t="shared" si="26"/>
        <v/>
      </c>
      <c r="C416" s="42">
        <f t="shared" si="27"/>
        <v>415</v>
      </c>
      <c r="D416" s="38"/>
      <c r="E416" s="38"/>
      <c r="F416" s="38"/>
      <c r="G416" s="38"/>
      <c r="H416" s="38"/>
      <c r="I416" s="38" t="s">
        <v>9</v>
      </c>
      <c r="J416" s="38"/>
      <c r="K416" s="166" t="s">
        <v>18</v>
      </c>
      <c r="L416" s="167" t="s">
        <v>21</v>
      </c>
      <c r="M416" s="166" t="s">
        <v>995</v>
      </c>
      <c r="N416" s="166" t="s">
        <v>265</v>
      </c>
      <c r="O416" s="166" t="s">
        <v>265</v>
      </c>
      <c r="P416" s="160" t="s">
        <v>265</v>
      </c>
      <c r="Q416" s="171" t="s">
        <v>9</v>
      </c>
      <c r="R416" s="171" t="s">
        <v>103</v>
      </c>
      <c r="S416" s="171" t="s">
        <v>112</v>
      </c>
      <c r="T416" s="166" t="s">
        <v>265</v>
      </c>
      <c r="U416" s="166" t="s">
        <v>265</v>
      </c>
      <c r="V416" s="166" t="s">
        <v>995</v>
      </c>
      <c r="W416" s="15" t="str">
        <f>IF(IFERROR(VLOOKUP($M416,#REF!,1,0),"-")="-","","GS")</f>
        <v/>
      </c>
      <c r="X416" s="160" t="s">
        <v>265</v>
      </c>
      <c r="Y416" s="166" t="s">
        <v>265</v>
      </c>
      <c r="Z416" s="59" t="str">
        <f>IF(OR($M416="",NOT($O416="{array}")),"",IFERROR(MATCH(PARAMETERS!$M416,DEFAULT!$B$5:$CG$5,0),""))</f>
        <v/>
      </c>
      <c r="AA416" s="56" t="str">
        <f t="shared" si="24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IF($AA416="","",IF($B416="I",VLOOKUP($AA416,#REF!,53,0),INDEX(VALUES!$B$1:$CC$1,1,$AA416)))</f>
        <v/>
      </c>
    </row>
    <row r="417" spans="1:29" hidden="1" outlineLevel="1" x14ac:dyDescent="0.25">
      <c r="A417" s="22"/>
      <c r="B417" s="41" t="str">
        <f t="shared" si="26"/>
        <v/>
      </c>
      <c r="C417" s="42">
        <f t="shared" si="27"/>
        <v>416</v>
      </c>
      <c r="D417" s="38"/>
      <c r="E417" s="38"/>
      <c r="F417" s="38"/>
      <c r="G417" s="38"/>
      <c r="H417" s="38"/>
      <c r="I417" s="38" t="s">
        <v>9</v>
      </c>
      <c r="J417" s="38"/>
      <c r="K417" s="166" t="s">
        <v>18</v>
      </c>
      <c r="L417" s="167" t="s">
        <v>21</v>
      </c>
      <c r="M417" s="166" t="s">
        <v>996</v>
      </c>
      <c r="N417" s="166" t="s">
        <v>265</v>
      </c>
      <c r="O417" s="166" t="s">
        <v>265</v>
      </c>
      <c r="P417" s="160" t="s">
        <v>265</v>
      </c>
      <c r="Q417" s="171" t="s">
        <v>9</v>
      </c>
      <c r="R417" s="171" t="s">
        <v>103</v>
      </c>
      <c r="S417" s="171" t="s">
        <v>112</v>
      </c>
      <c r="T417" s="166" t="s">
        <v>265</v>
      </c>
      <c r="U417" s="166" t="s">
        <v>265</v>
      </c>
      <c r="V417" s="166" t="s">
        <v>996</v>
      </c>
      <c r="W417" s="15" t="str">
        <f>IF(IFERROR(VLOOKUP($M417,#REF!,1,0),"-")="-","","GS")</f>
        <v/>
      </c>
      <c r="X417" s="160" t="s">
        <v>265</v>
      </c>
      <c r="Y417" s="166" t="s">
        <v>265</v>
      </c>
      <c r="Z417" s="59" t="str">
        <f>IF(OR($M417="",NOT($O417="{array}")),"",IFERROR(MATCH(PARAMETERS!$M417,DEFAULT!$B$5:$CG$5,0),""))</f>
        <v/>
      </c>
      <c r="AA417" s="56" t="str">
        <f t="shared" si="24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IF($AA417="","",IF($B417="I",VLOOKUP($AA417,#REF!,53,0),INDEX(VALUES!$B$1:$CC$1,1,$AA417)))</f>
        <v/>
      </c>
    </row>
    <row r="418" spans="1:29" collapsed="1" x14ac:dyDescent="0.3">
      <c r="A418" s="22" t="s">
        <v>84</v>
      </c>
      <c r="B418" s="41" t="str">
        <f t="shared" si="26"/>
        <v/>
      </c>
      <c r="C418" s="42">
        <f t="shared" si="27"/>
        <v>417</v>
      </c>
      <c r="D418" s="38"/>
      <c r="E418" s="38"/>
      <c r="F418" s="38"/>
      <c r="G418" s="38"/>
      <c r="H418" s="38"/>
      <c r="I418" s="38"/>
      <c r="J418" s="38"/>
      <c r="K418" s="14" t="s">
        <v>57</v>
      </c>
      <c r="L418" s="14" t="s">
        <v>38</v>
      </c>
      <c r="M418" s="48" t="s">
        <v>997</v>
      </c>
      <c r="N418" s="41" t="s">
        <v>998</v>
      </c>
      <c r="R418" s="38" t="s">
        <v>103</v>
      </c>
      <c r="S418" s="38"/>
      <c r="T418" s="38"/>
      <c r="W418" s="15" t="str">
        <f>IF(IFERROR(VLOOKUP($M418,#REF!,1,0),"-")="-","","GS")</f>
        <v/>
      </c>
      <c r="Y418" s="53"/>
      <c r="Z418" s="59" t="str">
        <f>IF(OR($M418="",NOT($O418="{array}")),"",IFERROR(MATCH(PARAMETERS!$M418,DEFAULT!$B$5:$CG$5,0),""))</f>
        <v/>
      </c>
      <c r="AA418" s="56" t="str">
        <f t="shared" si="24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IF($AA418="","",IF($B418="I",VLOOKUP($AA418,#REF!,53,0),INDEX(VALUES!$B$1:$CC$1,1,$AA418)))</f>
        <v/>
      </c>
    </row>
    <row r="419" spans="1:29" hidden="1" outlineLevel="1" x14ac:dyDescent="0.3">
      <c r="A419" s="22" t="s">
        <v>84</v>
      </c>
      <c r="B419" s="41" t="str">
        <f t="shared" si="26"/>
        <v/>
      </c>
      <c r="C419" s="42">
        <f t="shared" si="27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18</v>
      </c>
      <c r="L419" s="14" t="s">
        <v>21</v>
      </c>
      <c r="M419" s="20" t="s">
        <v>1020</v>
      </c>
      <c r="N419" s="14" t="s">
        <v>1021</v>
      </c>
      <c r="Q419" s="38" t="s">
        <v>9</v>
      </c>
      <c r="R419" s="38" t="s">
        <v>104</v>
      </c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IF(OR($M419="",NOT($O419="{array}")),"",IFERROR(MATCH(PARAMETERS!$M419,DEFAULT!$B$5:$CG$5,0),""))</f>
        <v/>
      </c>
      <c r="AA419" s="56" t="str">
        <f t="shared" si="24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IF($AA419="","",IF($B419="I",VLOOKUP($AA419,#REF!,53,0),INDEX(VALUES!$B$1:$CC$1,1,$AA419)))</f>
        <v/>
      </c>
    </row>
    <row r="420" spans="1:29" hidden="1" outlineLevel="1" x14ac:dyDescent="0.25">
      <c r="A420" s="22"/>
      <c r="B420" s="41" t="str">
        <f t="shared" si="26"/>
        <v/>
      </c>
      <c r="C420" s="42">
        <f t="shared" si="27"/>
        <v>419</v>
      </c>
      <c r="D420" s="38"/>
      <c r="E420" s="38"/>
      <c r="F420" s="38"/>
      <c r="G420" s="38"/>
      <c r="H420" s="38"/>
      <c r="I420" s="38" t="s">
        <v>9</v>
      </c>
      <c r="J420" s="38"/>
      <c r="K420" s="166" t="s">
        <v>18</v>
      </c>
      <c r="L420" s="167" t="s">
        <v>21</v>
      </c>
      <c r="M420" s="166" t="s">
        <v>1022</v>
      </c>
      <c r="N420" s="166" t="s">
        <v>265</v>
      </c>
      <c r="O420" s="166" t="s">
        <v>265</v>
      </c>
      <c r="P420" s="160" t="s">
        <v>265</v>
      </c>
      <c r="Q420" s="160" t="s">
        <v>9</v>
      </c>
      <c r="R420" s="160" t="s">
        <v>103</v>
      </c>
      <c r="S420" s="160" t="s">
        <v>112</v>
      </c>
      <c r="T420" s="166" t="s">
        <v>265</v>
      </c>
      <c r="U420" s="166" t="s">
        <v>265</v>
      </c>
      <c r="V420" s="166" t="s">
        <v>1022</v>
      </c>
      <c r="W420" s="15" t="str">
        <f>IF(IFERROR(VLOOKUP($M420,#REF!,1,0),"-")="-","","GS")</f>
        <v/>
      </c>
      <c r="X420" s="160" t="s">
        <v>265</v>
      </c>
      <c r="Y420" s="166" t="s">
        <v>1023</v>
      </c>
      <c r="Z420" s="59" t="str">
        <f>IF(OR($M420="",NOT($O420="{array}")),"",IFERROR(MATCH(PARAMETERS!$M420,DEFAULT!$B$5:$CG$5,0),""))</f>
        <v/>
      </c>
      <c r="AA420" s="56" t="str">
        <f t="shared" si="24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IF($AA420="","",IF($B420="I",VLOOKUP($AA420,#REF!,53,0),INDEX(VALUES!$B$1:$CC$1,1,$AA420)))</f>
        <v/>
      </c>
    </row>
    <row r="421" spans="1:29" hidden="1" outlineLevel="1" x14ac:dyDescent="0.25">
      <c r="A421" s="22"/>
      <c r="B421" s="41" t="str">
        <f t="shared" si="26"/>
        <v/>
      </c>
      <c r="C421" s="42">
        <f t="shared" si="27"/>
        <v>420</v>
      </c>
      <c r="D421" s="38"/>
      <c r="E421" s="38"/>
      <c r="F421" s="38"/>
      <c r="G421" s="38"/>
      <c r="H421" s="38"/>
      <c r="I421" s="38" t="s">
        <v>9</v>
      </c>
      <c r="J421" s="38"/>
      <c r="K421" s="166" t="s">
        <v>100</v>
      </c>
      <c r="L421" s="167" t="s">
        <v>21</v>
      </c>
      <c r="M421" s="166" t="s">
        <v>1024</v>
      </c>
      <c r="N421" s="166" t="s">
        <v>265</v>
      </c>
      <c r="O421" s="166" t="s">
        <v>1025</v>
      </c>
      <c r="P421" s="160" t="s">
        <v>265</v>
      </c>
      <c r="Q421" s="160" t="s">
        <v>9</v>
      </c>
      <c r="R421" s="160" t="s">
        <v>103</v>
      </c>
      <c r="S421" s="160" t="s">
        <v>112</v>
      </c>
      <c r="T421" s="166" t="s">
        <v>265</v>
      </c>
      <c r="U421" s="166" t="s">
        <v>265</v>
      </c>
      <c r="V421" s="166" t="s">
        <v>1024</v>
      </c>
      <c r="W421" s="15" t="str">
        <f>IF(IFERROR(VLOOKUP($M421,#REF!,1,0),"-")="-","","GS")</f>
        <v/>
      </c>
      <c r="X421" s="160" t="s">
        <v>265</v>
      </c>
      <c r="Y421" s="166" t="s">
        <v>1026</v>
      </c>
      <c r="Z421" s="59" t="str">
        <f>IF(OR($M421="",NOT($O421="{array}")),"",IFERROR(MATCH(PARAMETERS!$M421,DEFAULT!$B$5:$CG$5,0),""))</f>
        <v/>
      </c>
      <c r="AA421" s="56" t="str">
        <f t="shared" si="24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IF($AA421="","",IF($B421="I",VLOOKUP($AA421,#REF!,53,0),INDEX(VALUES!$B$1:$CC$1,1,$AA421)))</f>
        <v/>
      </c>
    </row>
    <row r="422" spans="1:29" hidden="1" outlineLevel="1" x14ac:dyDescent="0.25">
      <c r="A422" s="22"/>
      <c r="B422" s="41" t="str">
        <f t="shared" si="26"/>
        <v/>
      </c>
      <c r="C422" s="42">
        <f t="shared" si="27"/>
        <v>421</v>
      </c>
      <c r="D422" s="38"/>
      <c r="E422" s="38"/>
      <c r="F422" s="38"/>
      <c r="G422" s="38"/>
      <c r="H422" s="38"/>
      <c r="I422" s="38" t="s">
        <v>9</v>
      </c>
      <c r="J422" s="38"/>
      <c r="K422" s="166" t="s">
        <v>100</v>
      </c>
      <c r="L422" s="167" t="s">
        <v>21</v>
      </c>
      <c r="M422" s="166" t="s">
        <v>1027</v>
      </c>
      <c r="N422" s="166" t="s">
        <v>265</v>
      </c>
      <c r="O422" s="166" t="s">
        <v>1028</v>
      </c>
      <c r="P422" s="160" t="s">
        <v>265</v>
      </c>
      <c r="Q422" s="160" t="s">
        <v>9</v>
      </c>
      <c r="R422" s="160" t="s">
        <v>103</v>
      </c>
      <c r="S422" s="160" t="s">
        <v>112</v>
      </c>
      <c r="T422" s="166" t="s">
        <v>265</v>
      </c>
      <c r="U422" s="166" t="s">
        <v>265</v>
      </c>
      <c r="V422" s="166" t="s">
        <v>1027</v>
      </c>
      <c r="W422" s="15" t="str">
        <f>IF(IFERROR(VLOOKUP($M422,#REF!,1,0),"-")="-","","GS")</f>
        <v/>
      </c>
      <c r="X422" s="160" t="s">
        <v>265</v>
      </c>
      <c r="Y422" s="166" t="s">
        <v>1026</v>
      </c>
      <c r="Z422" s="59" t="str">
        <f>IF(OR($M422="",NOT($O422="{array}")),"",IFERROR(MATCH(PARAMETERS!$M422,DEFAULT!$B$5:$CG$5,0),""))</f>
        <v/>
      </c>
      <c r="AA422" s="56" t="str">
        <f t="shared" si="24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IF($AA422="","",IF($B422="I",VLOOKUP($AA422,#REF!,53,0),INDEX(VALUES!$B$1:$CC$1,1,$AA422)))</f>
        <v/>
      </c>
    </row>
    <row r="423" spans="1:29" hidden="1" outlineLevel="1" x14ac:dyDescent="0.25">
      <c r="A423" s="22"/>
      <c r="B423" s="41" t="str">
        <f t="shared" si="26"/>
        <v/>
      </c>
      <c r="C423" s="42">
        <f t="shared" si="27"/>
        <v>422</v>
      </c>
      <c r="D423" s="38"/>
      <c r="E423" s="38"/>
      <c r="F423" s="38"/>
      <c r="G423" s="38"/>
      <c r="H423" s="38"/>
      <c r="I423" s="38" t="s">
        <v>9</v>
      </c>
      <c r="J423" s="38"/>
      <c r="K423" s="166" t="s">
        <v>47</v>
      </c>
      <c r="L423" s="167" t="s">
        <v>21</v>
      </c>
      <c r="M423" s="166" t="s">
        <v>1029</v>
      </c>
      <c r="N423" s="166" t="s">
        <v>265</v>
      </c>
      <c r="O423" s="166" t="s">
        <v>265</v>
      </c>
      <c r="P423" s="160" t="s">
        <v>265</v>
      </c>
      <c r="Q423" s="160" t="s">
        <v>9</v>
      </c>
      <c r="R423" s="160" t="s">
        <v>103</v>
      </c>
      <c r="S423" s="160" t="s">
        <v>112</v>
      </c>
      <c r="T423" s="166" t="s">
        <v>265</v>
      </c>
      <c r="U423" s="166" t="s">
        <v>265</v>
      </c>
      <c r="V423" s="166" t="s">
        <v>1029</v>
      </c>
      <c r="W423" s="15" t="str">
        <f>IF(IFERROR(VLOOKUP($M423,#REF!,1,0),"-")="-","","GS")</f>
        <v/>
      </c>
      <c r="X423" s="160" t="s">
        <v>265</v>
      </c>
      <c r="Y423" s="166" t="s">
        <v>1030</v>
      </c>
      <c r="Z423" s="59" t="str">
        <f>IF(OR($M423="",NOT($O423="{array}")),"",IFERROR(MATCH(PARAMETERS!$M423,DEFAULT!$B$5:$CG$5,0),""))</f>
        <v/>
      </c>
      <c r="AA423" s="56" t="str">
        <f t="shared" si="24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IF($AA423="","",IF($B423="I",VLOOKUP($AA423,#REF!,53,0),INDEX(VALUES!$B$1:$CC$1,1,$AA423)))</f>
        <v/>
      </c>
    </row>
    <row r="424" spans="1:29" hidden="1" outlineLevel="1" x14ac:dyDescent="0.25">
      <c r="A424" s="22"/>
      <c r="B424" s="41" t="str">
        <f t="shared" si="26"/>
        <v/>
      </c>
      <c r="C424" s="42">
        <f t="shared" si="27"/>
        <v>423</v>
      </c>
      <c r="D424" s="38"/>
      <c r="E424" s="38"/>
      <c r="F424" s="38"/>
      <c r="G424" s="38"/>
      <c r="H424" s="38"/>
      <c r="I424" s="38" t="s">
        <v>9</v>
      </c>
      <c r="J424" s="38"/>
      <c r="K424" s="166" t="s">
        <v>47</v>
      </c>
      <c r="L424" s="167" t="s">
        <v>21</v>
      </c>
      <c r="M424" s="166" t="s">
        <v>1031</v>
      </c>
      <c r="N424" s="166" t="s">
        <v>265</v>
      </c>
      <c r="O424" s="166" t="s">
        <v>265</v>
      </c>
      <c r="P424" s="160" t="s">
        <v>265</v>
      </c>
      <c r="Q424" s="160" t="s">
        <v>9</v>
      </c>
      <c r="R424" s="160" t="s">
        <v>103</v>
      </c>
      <c r="S424" s="160" t="s">
        <v>112</v>
      </c>
      <c r="T424" s="166" t="s">
        <v>265</v>
      </c>
      <c r="U424" s="166" t="s">
        <v>265</v>
      </c>
      <c r="V424" s="166" t="s">
        <v>1031</v>
      </c>
      <c r="W424" s="15" t="str">
        <f>IF(IFERROR(VLOOKUP($M424,#REF!,1,0),"-")="-","","GS")</f>
        <v/>
      </c>
      <c r="X424" s="160" t="s">
        <v>265</v>
      </c>
      <c r="Y424" s="166" t="s">
        <v>1032</v>
      </c>
      <c r="Z424" s="59" t="str">
        <f>IF(OR($M424="",NOT($O424="{array}")),"",IFERROR(MATCH(PARAMETERS!$M424,DEFAULT!$B$5:$CG$5,0),""))</f>
        <v/>
      </c>
      <c r="AA424" s="56" t="str">
        <f t="shared" si="24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IF($AA424="","",IF($B424="I",VLOOKUP($AA424,#REF!,53,0),INDEX(VALUES!$B$1:$CC$1,1,$AA424)))</f>
        <v/>
      </c>
    </row>
    <row r="425" spans="1:29" hidden="1" outlineLevel="1" x14ac:dyDescent="0.25">
      <c r="A425" s="22"/>
      <c r="B425" s="41" t="str">
        <f t="shared" si="26"/>
        <v/>
      </c>
      <c r="C425" s="42">
        <f t="shared" si="27"/>
        <v>424</v>
      </c>
      <c r="D425" s="38"/>
      <c r="E425" s="38"/>
      <c r="F425" s="38"/>
      <c r="G425" s="38"/>
      <c r="H425" s="38"/>
      <c r="I425" s="38" t="s">
        <v>9</v>
      </c>
      <c r="J425" s="38"/>
      <c r="K425" s="166" t="s">
        <v>100</v>
      </c>
      <c r="L425" s="167" t="s">
        <v>21</v>
      </c>
      <c r="M425" s="166" t="s">
        <v>1033</v>
      </c>
      <c r="N425" s="166" t="s">
        <v>265</v>
      </c>
      <c r="O425" s="166" t="s">
        <v>1034</v>
      </c>
      <c r="P425" s="160" t="s">
        <v>265</v>
      </c>
      <c r="Q425" s="160" t="s">
        <v>9</v>
      </c>
      <c r="R425" s="160" t="s">
        <v>103</v>
      </c>
      <c r="S425" s="160" t="s">
        <v>112</v>
      </c>
      <c r="T425" s="166" t="s">
        <v>265</v>
      </c>
      <c r="U425" s="166" t="s">
        <v>265</v>
      </c>
      <c r="V425" s="166" t="s">
        <v>1033</v>
      </c>
      <c r="W425" s="15" t="str">
        <f>IF(IFERROR(VLOOKUP($M425,#REF!,1,0),"-")="-","","GS")</f>
        <v/>
      </c>
      <c r="X425" s="160" t="s">
        <v>265</v>
      </c>
      <c r="Y425" s="166" t="s">
        <v>1035</v>
      </c>
      <c r="Z425" s="59" t="str">
        <f>IF(OR($M425="",NOT($O425="{array}")),"",IFERROR(MATCH(PARAMETERS!$M425,DEFAULT!$B$5:$CG$5,0),""))</f>
        <v/>
      </c>
      <c r="AA425" s="56" t="str">
        <f t="shared" si="24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IF($AA425="","",IF($B425="I",VLOOKUP($AA425,#REF!,53,0),INDEX(VALUES!$B$1:$CC$1,1,$AA425)))</f>
        <v/>
      </c>
    </row>
    <row r="426" spans="1:29" hidden="1" outlineLevel="1" x14ac:dyDescent="0.25">
      <c r="A426" s="22"/>
      <c r="B426" s="41" t="str">
        <f t="shared" si="26"/>
        <v/>
      </c>
      <c r="C426" s="42">
        <f t="shared" si="27"/>
        <v>425</v>
      </c>
      <c r="D426" s="38"/>
      <c r="E426" s="38"/>
      <c r="F426" s="38"/>
      <c r="G426" s="38"/>
      <c r="H426" s="38"/>
      <c r="I426" s="38" t="s">
        <v>9</v>
      </c>
      <c r="J426" s="38"/>
      <c r="K426" s="166" t="s">
        <v>47</v>
      </c>
      <c r="L426" s="167" t="s">
        <v>21</v>
      </c>
      <c r="M426" s="166" t="s">
        <v>1036</v>
      </c>
      <c r="N426" s="166" t="s">
        <v>265</v>
      </c>
      <c r="O426" s="166" t="s">
        <v>265</v>
      </c>
      <c r="P426" s="160" t="s">
        <v>265</v>
      </c>
      <c r="Q426" s="160" t="s">
        <v>9</v>
      </c>
      <c r="R426" s="160" t="s">
        <v>103</v>
      </c>
      <c r="S426" s="160" t="s">
        <v>112</v>
      </c>
      <c r="T426" s="166" t="s">
        <v>265</v>
      </c>
      <c r="U426" s="166" t="s">
        <v>265</v>
      </c>
      <c r="V426" s="166" t="s">
        <v>1036</v>
      </c>
      <c r="W426" s="15" t="str">
        <f>IF(IFERROR(VLOOKUP($M426,#REF!,1,0),"-")="-","","GS")</f>
        <v/>
      </c>
      <c r="X426" s="160" t="s">
        <v>265</v>
      </c>
      <c r="Y426" s="166" t="s">
        <v>265</v>
      </c>
      <c r="Z426" s="59" t="str">
        <f>IF(OR($M426="",NOT($O426="{array}")),"",IFERROR(MATCH(PARAMETERS!$M426,DEFAULT!$B$5:$CG$5,0),""))</f>
        <v/>
      </c>
      <c r="AA426" s="56" t="str">
        <f t="shared" si="24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IF($AA426="","",IF($B426="I",VLOOKUP($AA426,#REF!,53,0),INDEX(VALUES!$B$1:$CC$1,1,$AA426)))</f>
        <v/>
      </c>
    </row>
    <row r="427" spans="1:29" hidden="1" outlineLevel="1" x14ac:dyDescent="0.3">
      <c r="A427" s="22" t="s">
        <v>84</v>
      </c>
      <c r="B427" s="41" t="str">
        <f t="shared" si="26"/>
        <v/>
      </c>
      <c r="C427" s="42">
        <f t="shared" si="27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18</v>
      </c>
      <c r="L427" s="14" t="s">
        <v>21</v>
      </c>
      <c r="M427" s="20" t="s">
        <v>1037</v>
      </c>
      <c r="N427" s="14" t="s">
        <v>1038</v>
      </c>
      <c r="Q427" s="38" t="s">
        <v>9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IF(OR($M427="",NOT($O427="{array}")),"",IFERROR(MATCH(PARAMETERS!$M427,DEFAULT!$B$5:$CG$5,0),""))</f>
        <v/>
      </c>
      <c r="AA427" s="56" t="str">
        <f t="shared" si="24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IF($AA427="","",IF($B427="I",VLOOKUP($AA427,#REF!,53,0),INDEX(VALUES!$B$1:$CC$1,1,$AA427)))</f>
        <v/>
      </c>
    </row>
    <row r="428" spans="1:29" collapsed="1" x14ac:dyDescent="0.3">
      <c r="A428" s="22" t="s">
        <v>189</v>
      </c>
      <c r="B428" s="41"/>
      <c r="C428" s="42"/>
      <c r="D428" s="38"/>
      <c r="E428" s="38"/>
      <c r="F428" s="38"/>
      <c r="G428" s="38"/>
      <c r="H428" s="38"/>
      <c r="I428" s="38"/>
      <c r="J428" s="38"/>
      <c r="R428" s="38"/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IF(OR($M428="",NOT($O428="{array}")),"",IFERROR(MATCH(PARAMETERS!$M428,DEFAULT!$B$5:$CG$5,0),""))</f>
        <v/>
      </c>
      <c r="AA428" s="56" t="str">
        <f t="shared" ref="AA428:AA459" si="28">IF($M428="","",IFERROR(MATCH($M428,VALUESnames,0),""))</f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IF($AA428="","",IF($B428="I",VLOOKUP($AA428,#REF!,53,0),INDEX(VALUES!$B$1:$CC$1,1,$AA428)))</f>
        <v/>
      </c>
    </row>
    <row r="429" spans="1:29" x14ac:dyDescent="0.3">
      <c r="A429" s="22" t="s">
        <v>84</v>
      </c>
      <c r="B429" s="41" t="str">
        <f t="shared" ref="B429:B460" si="29">IF($A429="P",IF(NOT($Z429=""),"A",IF(NOT($AA429=""),"I","")),IF(NOT($AA429=""),IF($A429="G","V","X"),IF(NOT($Z429=""),"A","")))</f>
        <v/>
      </c>
      <c r="C429" s="42">
        <f t="shared" ref="C429:C460" si="30">(ROW()-1)</f>
        <v>428</v>
      </c>
      <c r="D429" s="38"/>
      <c r="E429" s="38"/>
      <c r="F429" s="38" t="s">
        <v>9</v>
      </c>
      <c r="G429" s="38" t="s">
        <v>9</v>
      </c>
      <c r="H429" s="38"/>
      <c r="I429" s="38"/>
      <c r="J429" s="38"/>
      <c r="K429" s="14" t="s">
        <v>57</v>
      </c>
      <c r="L429" s="14" t="s">
        <v>38</v>
      </c>
      <c r="M429" s="48" t="s">
        <v>190</v>
      </c>
      <c r="N429" s="41" t="s">
        <v>191</v>
      </c>
      <c r="R429" s="38" t="s">
        <v>104</v>
      </c>
      <c r="S429" s="38"/>
      <c r="T429" s="38"/>
      <c r="W429" s="15" t="str">
        <f>IF(IFERROR(VLOOKUP($M429,#REF!,1,0),"-")="-","","GS")</f>
        <v/>
      </c>
      <c r="Z429" s="59" t="str">
        <f>IF(OR($M429="",NOT($O429="{array}")),"",IFERROR(MATCH(PARAMETERS!$M429,DEFAULT!$B$5:$CG$5,0),""))</f>
        <v/>
      </c>
      <c r="AA429" s="56" t="str">
        <f t="shared" si="28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IF($AA429="","",IF($B429="I",VLOOKUP($AA429,#REF!,53,0),INDEX(VALUES!$B$1:$CC$1,1,$AA429)))</f>
        <v/>
      </c>
    </row>
    <row r="430" spans="1:29" x14ac:dyDescent="0.3">
      <c r="A430" s="22" t="s">
        <v>84</v>
      </c>
      <c r="B430" s="41" t="str">
        <f t="shared" si="29"/>
        <v/>
      </c>
      <c r="C430" s="42">
        <f t="shared" si="30"/>
        <v>429</v>
      </c>
      <c r="D430" s="38"/>
      <c r="E430" s="38"/>
      <c r="F430" s="38" t="s">
        <v>9</v>
      </c>
      <c r="G430" s="38"/>
      <c r="H430" s="38"/>
      <c r="I430" s="38"/>
      <c r="J430" s="38"/>
      <c r="K430" s="14" t="s">
        <v>57</v>
      </c>
      <c r="L430" s="14" t="s">
        <v>38</v>
      </c>
      <c r="M430" s="48" t="s">
        <v>192</v>
      </c>
      <c r="N430" s="41" t="s">
        <v>193</v>
      </c>
      <c r="R430" s="38" t="s">
        <v>104</v>
      </c>
      <c r="S430" s="38"/>
      <c r="T430" s="38"/>
      <c r="W430" s="15" t="str">
        <f>IF(IFERROR(VLOOKUP($M430,#REF!,1,0),"-")="-","","GS")</f>
        <v/>
      </c>
      <c r="Z430" s="59" t="str">
        <f>IF(OR($M430="",NOT($O430="{array}")),"",IFERROR(MATCH(PARAMETERS!$M430,DEFAULT!$B$5:$CG$5,0),""))</f>
        <v/>
      </c>
      <c r="AA430" s="56" t="str">
        <f t="shared" si="28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IF($AA430="","",IF($B430="I",VLOOKUP($AA430,#REF!,53,0),INDEX(VALUES!$B$1:$CC$1,1,$AA430)))</f>
        <v/>
      </c>
    </row>
    <row r="431" spans="1:29" hidden="1" outlineLevel="1" x14ac:dyDescent="0.3">
      <c r="A431" s="22" t="s">
        <v>84</v>
      </c>
      <c r="B431" s="41" t="str">
        <f t="shared" si="29"/>
        <v>A</v>
      </c>
      <c r="C431" s="42">
        <f t="shared" si="30"/>
        <v>430</v>
      </c>
      <c r="D431" s="38"/>
      <c r="E431" s="38"/>
      <c r="F431" s="38"/>
      <c r="G431" s="38"/>
      <c r="H431" s="38"/>
      <c r="I431" s="38" t="s">
        <v>9</v>
      </c>
      <c r="J431" s="38"/>
      <c r="K431" s="14" t="s">
        <v>52</v>
      </c>
      <c r="L431" s="14" t="s">
        <v>27</v>
      </c>
      <c r="M431" s="151" t="s">
        <v>194</v>
      </c>
      <c r="N431" s="14" t="s">
        <v>195</v>
      </c>
      <c r="O431" s="43" t="s">
        <v>33</v>
      </c>
      <c r="R431" s="38" t="s">
        <v>196</v>
      </c>
      <c r="S431" s="38"/>
      <c r="T431" s="38"/>
      <c r="W431" s="15" t="str">
        <f>IF(IFERROR(VLOOKUP($M431,#REF!,1,0),"-")="-","","GS")</f>
        <v/>
      </c>
      <c r="Z431" s="59">
        <f>IF(OR($M431="",NOT($O431="{array}")),"",IFERROR(MATCH(PARAMETERS!$M431,DEFAULT!$B$5:$CG$5,0),""))</f>
        <v>81</v>
      </c>
      <c r="AA431" s="56" t="str">
        <f t="shared" si="28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IF($AA431="","",IF($B431="I",VLOOKUP($AA431,#REF!,53,0),INDEX(VALUES!$B$1:$CC$1,1,$AA431)))</f>
        <v/>
      </c>
    </row>
    <row r="432" spans="1:29" collapsed="1" x14ac:dyDescent="0.3">
      <c r="A432" s="22" t="s">
        <v>84</v>
      </c>
      <c r="B432" s="41" t="str">
        <f t="shared" si="29"/>
        <v/>
      </c>
      <c r="C432" s="42">
        <f t="shared" si="30"/>
        <v>431</v>
      </c>
      <c r="D432" s="38"/>
      <c r="E432" s="38"/>
      <c r="F432" s="38" t="s">
        <v>9</v>
      </c>
      <c r="G432" s="38"/>
      <c r="H432" s="38"/>
      <c r="I432" s="38"/>
      <c r="J432" s="38"/>
      <c r="K432" s="14" t="s">
        <v>57</v>
      </c>
      <c r="L432" s="14" t="s">
        <v>38</v>
      </c>
      <c r="M432" s="48" t="s">
        <v>197</v>
      </c>
      <c r="N432" s="41" t="s">
        <v>198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 t="str">
        <f>IF(OR($M432="",NOT($O432="{array}")),"",IFERROR(MATCH(PARAMETERS!$M432,DEFAULT!$B$5:$CG$5,0),""))</f>
        <v/>
      </c>
      <c r="AA432" s="56" t="str">
        <f t="shared" si="28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IF($AA432="","",IF($B432="I",VLOOKUP($AA432,#REF!,53,0),INDEX(VALUES!$B$1:$CC$1,1,$AA432)))</f>
        <v/>
      </c>
    </row>
    <row r="433" spans="1:29" hidden="1" outlineLevel="1" x14ac:dyDescent="0.3">
      <c r="A433" s="22" t="s">
        <v>84</v>
      </c>
      <c r="B433" s="41" t="str">
        <f t="shared" si="29"/>
        <v>A</v>
      </c>
      <c r="C433" s="42">
        <f t="shared" si="30"/>
        <v>432</v>
      </c>
      <c r="D433" s="38"/>
      <c r="E433" s="38"/>
      <c r="F433" s="38"/>
      <c r="G433" s="38"/>
      <c r="H433" s="38"/>
      <c r="I433" s="38" t="s">
        <v>9</v>
      </c>
      <c r="J433" s="38"/>
      <c r="K433" s="14" t="s">
        <v>53</v>
      </c>
      <c r="L433" s="14" t="s">
        <v>27</v>
      </c>
      <c r="M433" s="151" t="s">
        <v>199</v>
      </c>
      <c r="N433" s="14" t="s">
        <v>200</v>
      </c>
      <c r="O433" s="43" t="s">
        <v>33</v>
      </c>
      <c r="R433" s="38" t="s">
        <v>196</v>
      </c>
      <c r="S433" s="38"/>
      <c r="T433" s="38"/>
      <c r="W433" s="15" t="str">
        <f>IF(IFERROR(VLOOKUP($M433,#REF!,1,0),"-")="-","","GS")</f>
        <v/>
      </c>
      <c r="Z433" s="59">
        <f>IF(OR($M433="",NOT($O433="{array}")),"",IFERROR(MATCH(PARAMETERS!$M433,DEFAULT!$B$5:$CG$5,0),""))</f>
        <v>75</v>
      </c>
      <c r="AA433" s="56" t="str">
        <f t="shared" si="28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IF($AA433="","",IF($B433="I",VLOOKUP($AA433,#REF!,53,0),INDEX(VALUES!$B$1:$CC$1,1,$AA433)))</f>
        <v/>
      </c>
    </row>
    <row r="434" spans="1:29" hidden="1" outlineLevel="1" x14ac:dyDescent="0.3">
      <c r="A434" s="22" t="s">
        <v>84</v>
      </c>
      <c r="B434" s="41" t="str">
        <f t="shared" si="29"/>
        <v>A</v>
      </c>
      <c r="C434" s="42">
        <f t="shared" si="30"/>
        <v>433</v>
      </c>
      <c r="D434" s="38"/>
      <c r="E434" s="38"/>
      <c r="F434" s="38"/>
      <c r="G434" s="38"/>
      <c r="H434" s="38"/>
      <c r="I434" s="38" t="s">
        <v>9</v>
      </c>
      <c r="J434" s="38"/>
      <c r="K434" s="14" t="s">
        <v>53</v>
      </c>
      <c r="L434" s="14" t="s">
        <v>27</v>
      </c>
      <c r="M434" s="151" t="s">
        <v>201</v>
      </c>
      <c r="N434" s="14" t="s">
        <v>202</v>
      </c>
      <c r="O434" s="43" t="s">
        <v>33</v>
      </c>
      <c r="R434" s="38" t="s">
        <v>196</v>
      </c>
      <c r="S434" s="38"/>
      <c r="T434" s="38"/>
      <c r="W434" s="15" t="str">
        <f>IF(IFERROR(VLOOKUP($M434,#REF!,1,0),"-")="-","","GS")</f>
        <v/>
      </c>
      <c r="Z434" s="59">
        <f>IF(OR($M434="",NOT($O434="{array}")),"",IFERROR(MATCH(PARAMETERS!$M434,DEFAULT!$B$5:$CG$5,0),""))</f>
        <v>77</v>
      </c>
      <c r="AA434" s="56" t="str">
        <f t="shared" si="28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IF($AA434="","",IF($B434="I",VLOOKUP($AA434,#REF!,53,0),INDEX(VALUES!$B$1:$CC$1,1,$AA434)))</f>
        <v/>
      </c>
    </row>
    <row r="435" spans="1:29" hidden="1" outlineLevel="1" x14ac:dyDescent="0.3">
      <c r="A435" s="22" t="s">
        <v>84</v>
      </c>
      <c r="B435" s="41" t="str">
        <f t="shared" si="29"/>
        <v>A</v>
      </c>
      <c r="C435" s="42">
        <f t="shared" si="30"/>
        <v>434</v>
      </c>
      <c r="D435" s="38"/>
      <c r="E435" s="38"/>
      <c r="F435" s="38"/>
      <c r="G435" s="38"/>
      <c r="H435" s="38"/>
      <c r="I435" s="38" t="s">
        <v>9</v>
      </c>
      <c r="J435" s="38"/>
      <c r="K435" s="14" t="s">
        <v>53</v>
      </c>
      <c r="L435" s="14" t="s">
        <v>27</v>
      </c>
      <c r="M435" s="151" t="s">
        <v>203</v>
      </c>
      <c r="N435" s="14" t="s">
        <v>204</v>
      </c>
      <c r="O435" s="43" t="s">
        <v>33</v>
      </c>
      <c r="R435" s="38" t="s">
        <v>196</v>
      </c>
      <c r="S435" s="38"/>
      <c r="T435" s="38"/>
      <c r="W435" s="15" t="str">
        <f>IF(IFERROR(VLOOKUP($M435,#REF!,1,0),"-")="-","","GS")</f>
        <v/>
      </c>
      <c r="Z435" s="59">
        <f>IF(OR($M435="",NOT($O435="{array}")),"",IFERROR(MATCH(PARAMETERS!$M435,DEFAULT!$B$5:$CG$5,0),""))</f>
        <v>79</v>
      </c>
      <c r="AA435" s="56" t="str">
        <f t="shared" si="28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IF($AA435="","",IF($B435="I",VLOOKUP($AA435,#REF!,53,0),INDEX(VALUES!$B$1:$CC$1,1,$AA435)))</f>
        <v/>
      </c>
    </row>
    <row r="436" spans="1:29" hidden="1" outlineLevel="1" x14ac:dyDescent="0.3">
      <c r="A436" s="22" t="s">
        <v>84</v>
      </c>
      <c r="B436" s="41" t="str">
        <f t="shared" si="29"/>
        <v/>
      </c>
      <c r="C436" s="42">
        <f t="shared" si="30"/>
        <v>435</v>
      </c>
      <c r="D436" s="38"/>
      <c r="E436" s="38"/>
      <c r="F436" s="38" t="s">
        <v>9</v>
      </c>
      <c r="G436" s="38"/>
      <c r="H436" s="38"/>
      <c r="I436" s="38" t="s">
        <v>9</v>
      </c>
      <c r="J436" s="38"/>
      <c r="K436" s="14" t="s">
        <v>53</v>
      </c>
      <c r="L436" s="14" t="s">
        <v>27</v>
      </c>
      <c r="M436" s="20" t="s">
        <v>1039</v>
      </c>
      <c r="N436" s="14" t="s">
        <v>1040</v>
      </c>
      <c r="O436" s="43">
        <v>2</v>
      </c>
      <c r="R436" s="38" t="s">
        <v>104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IF(OR($M436="",NOT($O436="{array}")),"",IFERROR(MATCH(PARAMETERS!$M436,DEFAULT!$B$5:$CG$5,0),""))</f>
        <v/>
      </c>
      <c r="AA436" s="56" t="str">
        <f t="shared" si="28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IF($AA436="","",IF($B436="I",VLOOKUP($AA436,#REF!,53,0),INDEX(VALUES!$B$1:$CC$1,1,$AA436)))</f>
        <v/>
      </c>
    </row>
    <row r="437" spans="1:29" hidden="1" outlineLevel="1" x14ac:dyDescent="0.3">
      <c r="A437" s="22" t="s">
        <v>84</v>
      </c>
      <c r="B437" s="41" t="str">
        <f t="shared" si="29"/>
        <v/>
      </c>
      <c r="C437" s="42">
        <f t="shared" si="30"/>
        <v>436</v>
      </c>
      <c r="D437" s="38"/>
      <c r="E437" s="38"/>
      <c r="F437" s="38" t="s">
        <v>9</v>
      </c>
      <c r="G437" s="38"/>
      <c r="H437" s="38"/>
      <c r="I437" s="38" t="s">
        <v>9</v>
      </c>
      <c r="J437" s="38"/>
      <c r="K437" s="14" t="s">
        <v>53</v>
      </c>
      <c r="L437" s="14" t="s">
        <v>27</v>
      </c>
      <c r="M437" s="20" t="s">
        <v>1041</v>
      </c>
      <c r="N437" s="14" t="s">
        <v>1042</v>
      </c>
      <c r="O437" s="43">
        <v>2</v>
      </c>
      <c r="R437" s="38" t="s">
        <v>104</v>
      </c>
      <c r="S437" s="38"/>
      <c r="T437" s="38"/>
      <c r="W437" s="15" t="str">
        <f>IF(IFERROR(VLOOKUP($M437,#REF!,1,0),"-")="-","","GS")</f>
        <v/>
      </c>
      <c r="Z437" s="59" t="str">
        <f>IF(OR($M437="",NOT($O437="{array}")),"",IFERROR(MATCH(PARAMETERS!$M437,DEFAULT!$B$5:$CG$5,0),""))</f>
        <v/>
      </c>
      <c r="AA437" s="56" t="str">
        <f t="shared" si="28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IF($AA437="","",IF($B437="I",VLOOKUP($AA437,#REF!,53,0),INDEX(VALUES!$B$1:$CC$1,1,$AA437)))</f>
        <v/>
      </c>
    </row>
    <row r="438" spans="1:29" hidden="1" outlineLevel="1" x14ac:dyDescent="0.3">
      <c r="A438" s="22" t="s">
        <v>84</v>
      </c>
      <c r="B438" s="41" t="str">
        <f t="shared" si="29"/>
        <v/>
      </c>
      <c r="C438" s="42">
        <f t="shared" si="30"/>
        <v>437</v>
      </c>
      <c r="D438" s="38"/>
      <c r="E438" s="38"/>
      <c r="F438" s="38"/>
      <c r="G438" s="38"/>
      <c r="H438" s="38"/>
      <c r="I438" s="38" t="s">
        <v>9</v>
      </c>
      <c r="J438" s="38"/>
      <c r="K438" s="14" t="s">
        <v>52</v>
      </c>
      <c r="L438" s="14" t="s">
        <v>27</v>
      </c>
      <c r="M438" s="20" t="s">
        <v>1043</v>
      </c>
      <c r="N438" s="14" t="s">
        <v>1044</v>
      </c>
      <c r="O438" s="43">
        <v>65</v>
      </c>
      <c r="R438" s="38" t="s">
        <v>104</v>
      </c>
      <c r="S438" s="38"/>
      <c r="T438" s="38"/>
      <c r="W438" s="15" t="str">
        <f>IF(IFERROR(VLOOKUP($M438,#REF!,1,0),"-")="-","","GS")</f>
        <v/>
      </c>
      <c r="Z438" s="59" t="str">
        <f>IF(OR($M438="",NOT($O438="{array}")),"",IFERROR(MATCH(PARAMETERS!$M438,DEFAULT!$B$5:$CG$5,0),""))</f>
        <v/>
      </c>
      <c r="AA438" s="56" t="str">
        <f t="shared" si="28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IF($AA438="","",IF($B438="I",VLOOKUP($AA438,#REF!,53,0),INDEX(VALUES!$B$1:$CC$1,1,$AA438)))</f>
        <v/>
      </c>
    </row>
    <row r="439" spans="1:29" hidden="1" outlineLevel="1" x14ac:dyDescent="0.3">
      <c r="A439" s="22" t="s">
        <v>84</v>
      </c>
      <c r="B439" s="41" t="str">
        <f t="shared" si="29"/>
        <v/>
      </c>
      <c r="C439" s="42">
        <f t="shared" si="30"/>
        <v>438</v>
      </c>
      <c r="D439" s="38"/>
      <c r="E439" s="38"/>
      <c r="F439" s="38"/>
      <c r="G439" s="38"/>
      <c r="H439" s="38"/>
      <c r="I439" s="38" t="s">
        <v>9</v>
      </c>
      <c r="J439" s="38"/>
      <c r="K439" s="14" t="s">
        <v>53</v>
      </c>
      <c r="L439" s="14" t="s">
        <v>27</v>
      </c>
      <c r="M439" s="20" t="s">
        <v>1045</v>
      </c>
      <c r="N439" s="14" t="s">
        <v>1046</v>
      </c>
      <c r="O439" s="43">
        <v>19</v>
      </c>
      <c r="R439" s="38" t="s">
        <v>104</v>
      </c>
      <c r="S439" s="38"/>
      <c r="T439" s="38"/>
      <c r="W439" s="15" t="str">
        <f>IF(IFERROR(VLOOKUP($M439,#REF!,1,0),"-")="-","","GS")</f>
        <v/>
      </c>
      <c r="Z439" s="59" t="str">
        <f>IF(OR($M439="",NOT($O439="{array}")),"",IFERROR(MATCH(PARAMETERS!$M439,DEFAULT!$B$5:$CG$5,0),""))</f>
        <v/>
      </c>
      <c r="AA439" s="56" t="str">
        <f t="shared" si="28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IF($AA439="","",IF($B439="I",VLOOKUP($AA439,#REF!,53,0),INDEX(VALUES!$B$1:$CC$1,1,$AA439)))</f>
        <v/>
      </c>
    </row>
    <row r="440" spans="1:29" hidden="1" outlineLevel="1" x14ac:dyDescent="0.3">
      <c r="A440" s="22" t="s">
        <v>84</v>
      </c>
      <c r="B440" s="41" t="str">
        <f t="shared" si="29"/>
        <v/>
      </c>
      <c r="C440" s="42">
        <f t="shared" si="30"/>
        <v>439</v>
      </c>
      <c r="D440" s="38"/>
      <c r="E440" s="38"/>
      <c r="F440" s="38"/>
      <c r="G440" s="38"/>
      <c r="H440" s="38"/>
      <c r="I440" s="38" t="s">
        <v>9</v>
      </c>
      <c r="J440" s="38"/>
      <c r="K440" s="14" t="s">
        <v>53</v>
      </c>
      <c r="L440" s="14" t="s">
        <v>27</v>
      </c>
      <c r="M440" s="20" t="s">
        <v>1047</v>
      </c>
      <c r="N440" s="14" t="s">
        <v>1048</v>
      </c>
      <c r="O440" s="43">
        <v>19</v>
      </c>
      <c r="R440" s="38" t="s">
        <v>104</v>
      </c>
      <c r="S440" s="38"/>
      <c r="T440" s="38"/>
      <c r="W440" s="15" t="str">
        <f>IF(IFERROR(VLOOKUP($M440,#REF!,1,0),"-")="-","","GS")</f>
        <v/>
      </c>
      <c r="Z440" s="59" t="str">
        <f>IF(OR($M440="",NOT($O440="{array}")),"",IFERROR(MATCH(PARAMETERS!$M440,DEFAULT!$B$5:$CG$5,0),""))</f>
        <v/>
      </c>
      <c r="AA440" s="56" t="str">
        <f t="shared" si="28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IF($AA440="","",IF($B440="I",VLOOKUP($AA440,#REF!,53,0),INDEX(VALUES!$B$1:$CC$1,1,$AA440)))</f>
        <v/>
      </c>
    </row>
    <row r="441" spans="1:29" hidden="1" outlineLevel="1" x14ac:dyDescent="0.3">
      <c r="A441" s="22" t="s">
        <v>84</v>
      </c>
      <c r="B441" s="41" t="str">
        <f t="shared" si="29"/>
        <v/>
      </c>
      <c r="C441" s="42">
        <f t="shared" si="30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53</v>
      </c>
      <c r="L441" s="14" t="s">
        <v>27</v>
      </c>
      <c r="M441" s="20" t="s">
        <v>1049</v>
      </c>
      <c r="N441" s="14" t="s">
        <v>1050</v>
      </c>
      <c r="O441" s="43">
        <v>2</v>
      </c>
      <c r="R441" s="38" t="s">
        <v>104</v>
      </c>
      <c r="S441" s="38"/>
      <c r="T441" s="38"/>
      <c r="W441" s="15" t="str">
        <f>IF(IFERROR(VLOOKUP($M441,#REF!,1,0),"-")="-","","GS")</f>
        <v/>
      </c>
      <c r="Z441" s="59" t="str">
        <f>IF(OR($M441="",NOT($O441="{array}")),"",IFERROR(MATCH(PARAMETERS!$M441,DEFAULT!$B$5:$CG$5,0),""))</f>
        <v/>
      </c>
      <c r="AA441" s="56" t="str">
        <f t="shared" si="28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IF($AA441="","",IF($B441="I",VLOOKUP($AA441,#REF!,53,0),INDEX(VALUES!$B$1:$CC$1,1,$AA441)))</f>
        <v/>
      </c>
    </row>
    <row r="442" spans="1:29" hidden="1" outlineLevel="1" x14ac:dyDescent="0.3">
      <c r="A442" s="22" t="s">
        <v>84</v>
      </c>
      <c r="B442" s="41" t="str">
        <f t="shared" si="29"/>
        <v/>
      </c>
      <c r="C442" s="42">
        <f t="shared" si="30"/>
        <v>441</v>
      </c>
      <c r="D442" s="38"/>
      <c r="E442" s="38"/>
      <c r="F442" s="38"/>
      <c r="G442" s="38"/>
      <c r="H442" s="38"/>
      <c r="I442" s="38" t="s">
        <v>9</v>
      </c>
      <c r="J442" s="38"/>
      <c r="K442" s="14" t="s">
        <v>52</v>
      </c>
      <c r="L442" s="14" t="s">
        <v>27</v>
      </c>
      <c r="M442" s="20" t="s">
        <v>1051</v>
      </c>
      <c r="N442" s="14" t="s">
        <v>1052</v>
      </c>
      <c r="O442" s="43">
        <v>16</v>
      </c>
      <c r="R442" s="38" t="s">
        <v>104</v>
      </c>
      <c r="S442" s="38"/>
      <c r="T442" s="38"/>
      <c r="W442" s="15" t="str">
        <f>IF(IFERROR(VLOOKUP($M442,#REF!,1,0),"-")="-","","GS")</f>
        <v/>
      </c>
      <c r="Z442" s="59" t="str">
        <f>IF(OR($M442="",NOT($O442="{array}")),"",IFERROR(MATCH(PARAMETERS!$M442,DEFAULT!$B$5:$CG$5,0),""))</f>
        <v/>
      </c>
      <c r="AA442" s="56" t="str">
        <f t="shared" si="28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IF($AA442="","",IF($B442="I",VLOOKUP($AA442,#REF!,53,0),INDEX(VALUES!$B$1:$CC$1,1,$AA442)))</f>
        <v/>
      </c>
    </row>
    <row r="443" spans="1:29" hidden="1" outlineLevel="1" x14ac:dyDescent="0.3">
      <c r="A443" s="22" t="s">
        <v>84</v>
      </c>
      <c r="B443" s="41" t="str">
        <f t="shared" si="29"/>
        <v/>
      </c>
      <c r="C443" s="42">
        <f t="shared" si="30"/>
        <v>442</v>
      </c>
      <c r="D443" s="38"/>
      <c r="E443" s="38"/>
      <c r="F443" s="38"/>
      <c r="G443" s="38"/>
      <c r="H443" s="38"/>
      <c r="I443" s="38" t="s">
        <v>9</v>
      </c>
      <c r="J443" s="38"/>
      <c r="K443" s="14" t="s">
        <v>53</v>
      </c>
      <c r="L443" s="14" t="s">
        <v>27</v>
      </c>
      <c r="M443" s="20" t="s">
        <v>1053</v>
      </c>
      <c r="N443" s="14" t="s">
        <v>1054</v>
      </c>
      <c r="O443" s="43">
        <v>19</v>
      </c>
      <c r="R443" s="38" t="s">
        <v>104</v>
      </c>
      <c r="S443" s="38"/>
      <c r="T443" s="38"/>
      <c r="W443" s="15" t="str">
        <f>IF(IFERROR(VLOOKUP($M443,#REF!,1,0),"-")="-","","GS")</f>
        <v/>
      </c>
      <c r="Z443" s="59" t="str">
        <f>IF(OR($M443="",NOT($O443="{array}")),"",IFERROR(MATCH(PARAMETERS!$M443,DEFAULT!$B$5:$CG$5,0),""))</f>
        <v/>
      </c>
      <c r="AA443" s="56" t="str">
        <f t="shared" si="28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IF($AA443="","",IF($B443="I",VLOOKUP($AA443,#REF!,53,0),INDEX(VALUES!$B$1:$CC$1,1,$AA443)))</f>
        <v/>
      </c>
    </row>
    <row r="444" spans="1:29" hidden="1" outlineLevel="1" x14ac:dyDescent="0.3">
      <c r="A444" s="22" t="s">
        <v>84</v>
      </c>
      <c r="B444" s="41" t="str">
        <f t="shared" si="29"/>
        <v/>
      </c>
      <c r="C444" s="42">
        <f t="shared" si="30"/>
        <v>443</v>
      </c>
      <c r="D444" s="38"/>
      <c r="E444" s="38"/>
      <c r="F444" s="38"/>
      <c r="G444" s="38"/>
      <c r="H444" s="38"/>
      <c r="I444" s="38" t="s">
        <v>9</v>
      </c>
      <c r="J444" s="38"/>
      <c r="K444" s="14" t="s">
        <v>53</v>
      </c>
      <c r="L444" s="14" t="s">
        <v>27</v>
      </c>
      <c r="M444" s="20" t="s">
        <v>1055</v>
      </c>
      <c r="N444" s="14" t="s">
        <v>1056</v>
      </c>
      <c r="O444" s="43">
        <v>19</v>
      </c>
      <c r="R444" s="38" t="s">
        <v>104</v>
      </c>
      <c r="S444" s="38"/>
      <c r="T444" s="38"/>
      <c r="W444" s="15" t="str">
        <f>IF(IFERROR(VLOOKUP($M444,#REF!,1,0),"-")="-","","GS")</f>
        <v/>
      </c>
      <c r="Z444" s="59" t="str">
        <f>IF(OR($M444="",NOT($O444="{array}")),"",IFERROR(MATCH(PARAMETERS!$M444,DEFAULT!$B$5:$CG$5,0),""))</f>
        <v/>
      </c>
      <c r="AA444" s="56" t="str">
        <f t="shared" si="28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IF($AA444="","",IF($B444="I",VLOOKUP($AA444,#REF!,53,0),INDEX(VALUES!$B$1:$CC$1,1,$AA444)))</f>
        <v/>
      </c>
    </row>
    <row r="445" spans="1:29" hidden="1" outlineLevel="1" x14ac:dyDescent="0.3">
      <c r="A445" s="22" t="s">
        <v>84</v>
      </c>
      <c r="B445" s="41" t="str">
        <f t="shared" si="29"/>
        <v/>
      </c>
      <c r="C445" s="42">
        <f t="shared" si="30"/>
        <v>444</v>
      </c>
      <c r="D445" s="38"/>
      <c r="E445" s="38"/>
      <c r="F445" s="38"/>
      <c r="G445" s="38"/>
      <c r="H445" s="38"/>
      <c r="I445" s="38" t="s">
        <v>9</v>
      </c>
      <c r="J445" s="38"/>
      <c r="K445" s="14" t="s">
        <v>53</v>
      </c>
      <c r="L445" s="14" t="s">
        <v>27</v>
      </c>
      <c r="M445" s="20" t="s">
        <v>1057</v>
      </c>
      <c r="N445" s="14" t="s">
        <v>1058</v>
      </c>
      <c r="O445" s="43">
        <v>2</v>
      </c>
      <c r="R445" s="38" t="s">
        <v>104</v>
      </c>
      <c r="S445" s="38"/>
      <c r="T445" s="38"/>
      <c r="W445" s="15" t="str">
        <f>IF(IFERROR(VLOOKUP($M445,#REF!,1,0),"-")="-","","GS")</f>
        <v/>
      </c>
      <c r="Z445" s="59" t="str">
        <f>IF(OR($M445="",NOT($O445="{array}")),"",IFERROR(MATCH(PARAMETERS!$M445,DEFAULT!$B$5:$CG$5,0),""))</f>
        <v/>
      </c>
      <c r="AA445" s="56" t="str">
        <f t="shared" si="28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IF($AA445="","",IF($B445="I",VLOOKUP($AA445,#REF!,53,0),INDEX(VALUES!$B$1:$CC$1,1,$AA445)))</f>
        <v/>
      </c>
    </row>
    <row r="446" spans="1:29" hidden="1" outlineLevel="1" x14ac:dyDescent="0.3">
      <c r="A446" s="22" t="s">
        <v>84</v>
      </c>
      <c r="B446" s="41" t="str">
        <f t="shared" si="29"/>
        <v/>
      </c>
      <c r="C446" s="42">
        <f t="shared" si="30"/>
        <v>445</v>
      </c>
      <c r="D446" s="38"/>
      <c r="E446" s="38"/>
      <c r="F446" s="38"/>
      <c r="G446" s="38" t="s">
        <v>9</v>
      </c>
      <c r="H446" s="38"/>
      <c r="I446" s="38" t="s">
        <v>9</v>
      </c>
      <c r="J446" s="38"/>
      <c r="K446" s="14" t="s">
        <v>52</v>
      </c>
      <c r="L446" s="14" t="s">
        <v>27</v>
      </c>
      <c r="M446" s="20" t="s">
        <v>1059</v>
      </c>
      <c r="N446" s="14" t="s">
        <v>1060</v>
      </c>
      <c r="O446" s="43">
        <v>65</v>
      </c>
      <c r="R446" s="38" t="s">
        <v>104</v>
      </c>
      <c r="S446" s="38"/>
      <c r="T446" s="38"/>
      <c r="W446" s="15" t="str">
        <f>IF(IFERROR(VLOOKUP($M446,#REF!,1,0),"-")="-","","GS")</f>
        <v/>
      </c>
      <c r="Z446" s="59" t="str">
        <f>IF(OR($M446="",NOT($O446="{array}")),"",IFERROR(MATCH(PARAMETERS!$M446,DEFAULT!$B$5:$CG$5,0),""))</f>
        <v/>
      </c>
      <c r="AA446" s="56" t="str">
        <f t="shared" si="28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IF($AA446="","",IF($B446="I",VLOOKUP($AA446,#REF!,53,0),INDEX(VALUES!$B$1:$CC$1,1,$AA446)))</f>
        <v/>
      </c>
    </row>
    <row r="447" spans="1:29" hidden="1" outlineLevel="1" x14ac:dyDescent="0.3">
      <c r="A447" s="22" t="s">
        <v>84</v>
      </c>
      <c r="B447" s="41" t="str">
        <f t="shared" si="29"/>
        <v/>
      </c>
      <c r="C447" s="42">
        <f t="shared" si="30"/>
        <v>446</v>
      </c>
      <c r="D447" s="38"/>
      <c r="E447" s="38"/>
      <c r="F447" s="38"/>
      <c r="G447" s="38" t="s">
        <v>9</v>
      </c>
      <c r="H447" s="38"/>
      <c r="I447" s="38" t="s">
        <v>9</v>
      </c>
      <c r="J447" s="38"/>
      <c r="K447" s="14" t="s">
        <v>53</v>
      </c>
      <c r="L447" s="14" t="s">
        <v>27</v>
      </c>
      <c r="M447" s="20" t="s">
        <v>1061</v>
      </c>
      <c r="N447" s="14" t="s">
        <v>1062</v>
      </c>
      <c r="O447" s="43">
        <v>19</v>
      </c>
      <c r="R447" s="38" t="s">
        <v>104</v>
      </c>
      <c r="S447" s="38"/>
      <c r="T447" s="38"/>
      <c r="W447" s="15" t="str">
        <f>IF(IFERROR(VLOOKUP($M447,#REF!,1,0),"-")="-","","GS")</f>
        <v/>
      </c>
      <c r="Z447" s="59" t="str">
        <f>IF(OR($M447="",NOT($O447="{array}")),"",IFERROR(MATCH(PARAMETERS!$M447,DEFAULT!$B$5:$CG$5,0),""))</f>
        <v/>
      </c>
      <c r="AA447" s="56" t="str">
        <f t="shared" si="28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IF($AA447="","",IF($B447="I",VLOOKUP($AA447,#REF!,53,0),INDEX(VALUES!$B$1:$CC$1,1,$AA447)))</f>
        <v/>
      </c>
    </row>
    <row r="448" spans="1:29" hidden="1" outlineLevel="1" x14ac:dyDescent="0.3">
      <c r="A448" s="22" t="s">
        <v>84</v>
      </c>
      <c r="B448" s="41" t="str">
        <f t="shared" si="29"/>
        <v/>
      </c>
      <c r="C448" s="42">
        <f t="shared" si="30"/>
        <v>447</v>
      </c>
      <c r="D448" s="38"/>
      <c r="E448" s="38"/>
      <c r="F448" s="38"/>
      <c r="G448" s="38" t="s">
        <v>9</v>
      </c>
      <c r="H448" s="38"/>
      <c r="I448" s="38" t="s">
        <v>9</v>
      </c>
      <c r="J448" s="38"/>
      <c r="K448" s="14" t="s">
        <v>53</v>
      </c>
      <c r="L448" s="14" t="s">
        <v>27</v>
      </c>
      <c r="M448" s="20" t="s">
        <v>1063</v>
      </c>
      <c r="N448" s="14" t="s">
        <v>1064</v>
      </c>
      <c r="O448" s="43">
        <v>19</v>
      </c>
      <c r="R448" s="38" t="s">
        <v>104</v>
      </c>
      <c r="S448" s="38"/>
      <c r="T448" s="38"/>
      <c r="W448" s="15" t="str">
        <f>IF(IFERROR(VLOOKUP($M448,#REF!,1,0),"-")="-","","GS")</f>
        <v/>
      </c>
      <c r="Z448" s="59" t="str">
        <f>IF(OR($M448="",NOT($O448="{array}")),"",IFERROR(MATCH(PARAMETERS!$M448,DEFAULT!$B$5:$CG$5,0),""))</f>
        <v/>
      </c>
      <c r="AA448" s="56" t="str">
        <f t="shared" si="28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IF($AA448="","",IF($B448="I",VLOOKUP($AA448,#REF!,53,0),INDEX(VALUES!$B$1:$CC$1,1,$AA448)))</f>
        <v/>
      </c>
    </row>
    <row r="449" spans="1:29" hidden="1" outlineLevel="1" x14ac:dyDescent="0.3">
      <c r="A449" s="22" t="s">
        <v>84</v>
      </c>
      <c r="B449" s="41" t="str">
        <f t="shared" si="29"/>
        <v/>
      </c>
      <c r="C449" s="42">
        <f t="shared" si="30"/>
        <v>448</v>
      </c>
      <c r="D449" s="38"/>
      <c r="E449" s="38"/>
      <c r="F449" s="38"/>
      <c r="G449" s="38"/>
      <c r="H449" s="38"/>
      <c r="I449" s="38" t="s">
        <v>9</v>
      </c>
      <c r="J449" s="38"/>
      <c r="K449" s="14" t="s">
        <v>53</v>
      </c>
      <c r="L449" s="14" t="s">
        <v>27</v>
      </c>
      <c r="M449" s="20" t="s">
        <v>1065</v>
      </c>
      <c r="N449" s="14" t="s">
        <v>1066</v>
      </c>
      <c r="O449" s="43">
        <v>2</v>
      </c>
      <c r="R449" s="38" t="s">
        <v>104</v>
      </c>
      <c r="S449" s="38"/>
      <c r="T449" s="38"/>
      <c r="W449" s="15" t="str">
        <f>IF(IFERROR(VLOOKUP($M449,#REF!,1,0),"-")="-","","GS")</f>
        <v/>
      </c>
      <c r="Z449" s="59" t="str">
        <f>IF(OR($M449="",NOT($O449="{array}")),"",IFERROR(MATCH(PARAMETERS!$M449,DEFAULT!$B$5:$CG$5,0),""))</f>
        <v/>
      </c>
      <c r="AA449" s="56" t="str">
        <f t="shared" si="28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IF($AA449="","",IF($B449="I",VLOOKUP($AA449,#REF!,53,0),INDEX(VALUES!$B$1:$CC$1,1,$AA449)))</f>
        <v/>
      </c>
    </row>
    <row r="450" spans="1:29" hidden="1" outlineLevel="1" x14ac:dyDescent="0.3">
      <c r="A450" s="22" t="s">
        <v>84</v>
      </c>
      <c r="B450" s="41" t="str">
        <f t="shared" si="29"/>
        <v/>
      </c>
      <c r="C450" s="42">
        <f t="shared" si="30"/>
        <v>449</v>
      </c>
      <c r="D450" s="38"/>
      <c r="E450" s="38"/>
      <c r="F450" s="38"/>
      <c r="G450" s="38"/>
      <c r="H450" s="38"/>
      <c r="I450" s="38" t="s">
        <v>9</v>
      </c>
      <c r="J450" s="38"/>
      <c r="K450" s="14" t="s">
        <v>52</v>
      </c>
      <c r="L450" s="14" t="s">
        <v>27</v>
      </c>
      <c r="M450" s="20" t="s">
        <v>1067</v>
      </c>
      <c r="N450" s="14" t="s">
        <v>1068</v>
      </c>
      <c r="O450" s="43">
        <v>65</v>
      </c>
      <c r="R450" s="38" t="s">
        <v>104</v>
      </c>
      <c r="S450" s="38"/>
      <c r="T450" s="38"/>
      <c r="W450" s="15" t="str">
        <f>IF(IFERROR(VLOOKUP($M450,#REF!,1,0),"-")="-","","GS")</f>
        <v/>
      </c>
      <c r="Z450" s="59" t="str">
        <f>IF(OR($M450="",NOT($O450="{array}")),"",IFERROR(MATCH(PARAMETERS!$M450,DEFAULT!$B$5:$CG$5,0),""))</f>
        <v/>
      </c>
      <c r="AA450" s="56" t="str">
        <f t="shared" si="28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IF($AA450="","",IF($B450="I",VLOOKUP($AA450,#REF!,53,0),INDEX(VALUES!$B$1:$CC$1,1,$AA450)))</f>
        <v/>
      </c>
    </row>
    <row r="451" spans="1:29" hidden="1" outlineLevel="1" x14ac:dyDescent="0.3">
      <c r="A451" s="22" t="s">
        <v>84</v>
      </c>
      <c r="B451" s="41" t="str">
        <f t="shared" si="29"/>
        <v/>
      </c>
      <c r="C451" s="42">
        <f t="shared" si="30"/>
        <v>450</v>
      </c>
      <c r="D451" s="38"/>
      <c r="E451" s="38"/>
      <c r="F451" s="38"/>
      <c r="G451" s="38"/>
      <c r="H451" s="38"/>
      <c r="I451" s="38" t="s">
        <v>9</v>
      </c>
      <c r="J451" s="38"/>
      <c r="K451" s="14" t="s">
        <v>53</v>
      </c>
      <c r="L451" s="14" t="s">
        <v>27</v>
      </c>
      <c r="M451" s="20" t="s">
        <v>1069</v>
      </c>
      <c r="N451" s="14" t="s">
        <v>1070</v>
      </c>
      <c r="O451" s="43">
        <v>19</v>
      </c>
      <c r="R451" s="38" t="s">
        <v>104</v>
      </c>
      <c r="S451" s="38"/>
      <c r="T451" s="38"/>
      <c r="W451" s="15" t="str">
        <f>IF(IFERROR(VLOOKUP($M451,#REF!,1,0),"-")="-","","GS")</f>
        <v/>
      </c>
      <c r="Z451" s="59" t="str">
        <f>IF(OR($M451="",NOT($O451="{array}")),"",IFERROR(MATCH(PARAMETERS!$M451,DEFAULT!$B$5:$CG$5,0),""))</f>
        <v/>
      </c>
      <c r="AA451" s="56" t="str">
        <f t="shared" si="28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IF($AA451="","",IF($B451="I",VLOOKUP($AA451,#REF!,53,0),INDEX(VALUES!$B$1:$CC$1,1,$AA451)))</f>
        <v/>
      </c>
    </row>
    <row r="452" spans="1:29" collapsed="1" x14ac:dyDescent="0.3">
      <c r="A452" s="22" t="s">
        <v>84</v>
      </c>
      <c r="B452" s="41" t="str">
        <f t="shared" si="29"/>
        <v/>
      </c>
      <c r="C452" s="42">
        <f t="shared" si="30"/>
        <v>451</v>
      </c>
      <c r="D452" s="38"/>
      <c r="E452" s="38"/>
      <c r="F452" s="38"/>
      <c r="G452" s="38"/>
      <c r="H452" s="38"/>
      <c r="I452" s="38"/>
      <c r="J452" s="38"/>
      <c r="K452" s="14" t="s">
        <v>57</v>
      </c>
      <c r="L452" s="14" t="s">
        <v>38</v>
      </c>
      <c r="M452" s="48" t="s">
        <v>1071</v>
      </c>
      <c r="N452" s="41" t="s">
        <v>1072</v>
      </c>
      <c r="R452" s="38" t="s">
        <v>104</v>
      </c>
      <c r="S452" s="38"/>
      <c r="T452" s="38"/>
      <c r="W452" s="15" t="str">
        <f>IF(IFERROR(VLOOKUP($M452,#REF!,1,0),"-")="-","","GS")</f>
        <v/>
      </c>
      <c r="Z452" s="59" t="str">
        <f>IF(OR($M452="",NOT($O452="{array}")),"",IFERROR(MATCH(PARAMETERS!$M452,DEFAULT!$B$5:$CG$5,0),""))</f>
        <v/>
      </c>
      <c r="AA452" s="56" t="str">
        <f t="shared" si="28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IF($AA452="","",IF($B452="I",VLOOKUP($AA452,#REF!,53,0),INDEX(VALUES!$B$1:$CC$1,1,$AA452)))</f>
        <v/>
      </c>
    </row>
    <row r="453" spans="1:29" hidden="1" outlineLevel="1" x14ac:dyDescent="0.3">
      <c r="A453" s="22" t="s">
        <v>84</v>
      </c>
      <c r="B453" s="41" t="str">
        <f t="shared" si="29"/>
        <v/>
      </c>
      <c r="C453" s="42">
        <f t="shared" si="30"/>
        <v>452</v>
      </c>
      <c r="D453" s="38"/>
      <c r="E453" s="38"/>
      <c r="F453" s="38" t="s">
        <v>9</v>
      </c>
      <c r="G453" s="38"/>
      <c r="H453" s="38"/>
      <c r="I453" s="38" t="s">
        <v>9</v>
      </c>
      <c r="J453" s="38"/>
      <c r="K453" s="14" t="s">
        <v>53</v>
      </c>
      <c r="L453" s="14" t="s">
        <v>27</v>
      </c>
      <c r="M453" s="20" t="s">
        <v>1073</v>
      </c>
      <c r="N453" s="14" t="s">
        <v>1074</v>
      </c>
      <c r="O453" s="43">
        <v>1</v>
      </c>
      <c r="R453" s="38" t="s">
        <v>104</v>
      </c>
      <c r="S453" s="38"/>
      <c r="T453" s="38"/>
      <c r="W453" s="15" t="str">
        <f>IF(IFERROR(VLOOKUP($M453,#REF!,1,0),"-")="-","","GS")</f>
        <v/>
      </c>
      <c r="Z453" s="59" t="str">
        <f>IF(OR($M453="",NOT($O453="{array}")),"",IFERROR(MATCH(PARAMETERS!$M453,DEFAULT!$B$5:$CG$5,0),""))</f>
        <v/>
      </c>
      <c r="AA453" s="56" t="str">
        <f t="shared" si="28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IF($AA453="","",IF($B453="I",VLOOKUP($AA453,#REF!,53,0),INDEX(VALUES!$B$1:$CC$1,1,$AA453)))</f>
        <v/>
      </c>
    </row>
    <row r="454" spans="1:29" hidden="1" outlineLevel="1" x14ac:dyDescent="0.3">
      <c r="A454" s="22" t="s">
        <v>84</v>
      </c>
      <c r="B454" s="41" t="str">
        <f t="shared" si="29"/>
        <v/>
      </c>
      <c r="C454" s="42">
        <f t="shared" si="30"/>
        <v>453</v>
      </c>
      <c r="D454" s="38"/>
      <c r="E454" s="38"/>
      <c r="F454" s="38" t="s">
        <v>9</v>
      </c>
      <c r="G454" s="38"/>
      <c r="H454" s="38"/>
      <c r="I454" s="38" t="s">
        <v>9</v>
      </c>
      <c r="J454" s="38"/>
      <c r="K454" s="14" t="s">
        <v>53</v>
      </c>
      <c r="L454" s="14" t="s">
        <v>27</v>
      </c>
      <c r="M454" s="20" t="s">
        <v>1075</v>
      </c>
      <c r="N454" s="14" t="s">
        <v>1076</v>
      </c>
      <c r="O454" s="43">
        <v>1</v>
      </c>
      <c r="R454" s="38" t="s">
        <v>104</v>
      </c>
      <c r="S454" s="38"/>
      <c r="T454" s="38"/>
      <c r="W454" s="15" t="str">
        <f>IF(IFERROR(VLOOKUP($M454,#REF!,1,0),"-")="-","","GS")</f>
        <v/>
      </c>
      <c r="Z454" s="59" t="str">
        <f>IF(OR($M454="",NOT($O454="{array}")),"",IFERROR(MATCH(PARAMETERS!$M454,DEFAULT!$B$5:$CG$5,0),""))</f>
        <v/>
      </c>
      <c r="AA454" s="56" t="str">
        <f t="shared" si="28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IF($AA454="","",IF($B454="I",VLOOKUP($AA454,#REF!,53,0),INDEX(VALUES!$B$1:$CC$1,1,$AA454)))</f>
        <v/>
      </c>
    </row>
    <row r="455" spans="1:29" hidden="1" outlineLevel="1" x14ac:dyDescent="0.3">
      <c r="A455" s="22" t="s">
        <v>84</v>
      </c>
      <c r="B455" s="41" t="str">
        <f t="shared" si="29"/>
        <v/>
      </c>
      <c r="C455" s="42">
        <f t="shared" si="30"/>
        <v>454</v>
      </c>
      <c r="D455" s="38"/>
      <c r="E455" s="38"/>
      <c r="F455" s="38" t="s">
        <v>9</v>
      </c>
      <c r="G455" s="38"/>
      <c r="H455" s="38"/>
      <c r="I455" s="38" t="s">
        <v>9</v>
      </c>
      <c r="J455" s="38"/>
      <c r="K455" s="14" t="s">
        <v>18</v>
      </c>
      <c r="L455" s="14" t="s">
        <v>27</v>
      </c>
      <c r="M455" s="20" t="s">
        <v>1077</v>
      </c>
      <c r="N455" s="14" t="s">
        <v>1078</v>
      </c>
      <c r="O455" s="43" t="s">
        <v>1079</v>
      </c>
      <c r="R455" s="38" t="s">
        <v>104</v>
      </c>
      <c r="S455" s="38"/>
      <c r="T455" s="38"/>
      <c r="W455" s="15" t="str">
        <f>IF(IFERROR(VLOOKUP($M455,#REF!,1,0),"-")="-","","GS")</f>
        <v/>
      </c>
      <c r="Z455" s="59" t="str">
        <f>IF(OR($M455="",NOT($O455="{array}")),"",IFERROR(MATCH(PARAMETERS!$M455,DEFAULT!$B$5:$CG$5,0),""))</f>
        <v/>
      </c>
      <c r="AA455" s="56" t="str">
        <f t="shared" si="28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IF($AA455="","",IF($B455="I",VLOOKUP($AA455,#REF!,53,0),INDEX(VALUES!$B$1:$CC$1,1,$AA455)))</f>
        <v/>
      </c>
    </row>
    <row r="456" spans="1:29" hidden="1" outlineLevel="1" x14ac:dyDescent="0.3">
      <c r="A456" s="22" t="s">
        <v>84</v>
      </c>
      <c r="B456" s="41" t="str">
        <f t="shared" si="29"/>
        <v/>
      </c>
      <c r="C456" s="42">
        <f t="shared" si="30"/>
        <v>455</v>
      </c>
      <c r="D456" s="38"/>
      <c r="E456" s="38"/>
      <c r="F456" s="38" t="s">
        <v>9</v>
      </c>
      <c r="G456" s="38"/>
      <c r="H456" s="38"/>
      <c r="I456" s="38" t="s">
        <v>9</v>
      </c>
      <c r="J456" s="38"/>
      <c r="K456" s="14" t="s">
        <v>36</v>
      </c>
      <c r="L456" s="14" t="s">
        <v>27</v>
      </c>
      <c r="M456" s="20" t="s">
        <v>1080</v>
      </c>
      <c r="N456" s="14" t="s">
        <v>1081</v>
      </c>
      <c r="O456" s="43">
        <v>1</v>
      </c>
      <c r="R456" s="38" t="s">
        <v>104</v>
      </c>
      <c r="S456" s="38"/>
      <c r="T456" s="38"/>
      <c r="W456" s="15" t="str">
        <f>IF(IFERROR(VLOOKUP($M456,#REF!,1,0),"-")="-","","GS")</f>
        <v/>
      </c>
      <c r="Z456" s="59" t="str">
        <f>IF(OR($M456="",NOT($O456="{array}")),"",IFERROR(MATCH(PARAMETERS!$M456,DEFAULT!$B$5:$CG$5,0),""))</f>
        <v/>
      </c>
      <c r="AA456" s="56" t="str">
        <f t="shared" si="28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IF($AA456="","",IF($B456="I",VLOOKUP($AA456,#REF!,53,0),INDEX(VALUES!$B$1:$CC$1,1,$AA456)))</f>
        <v/>
      </c>
    </row>
    <row r="457" spans="1:29" hidden="1" outlineLevel="1" x14ac:dyDescent="0.3">
      <c r="A457" s="22" t="s">
        <v>84</v>
      </c>
      <c r="B457" s="41" t="str">
        <f t="shared" si="29"/>
        <v/>
      </c>
      <c r="C457" s="42">
        <f t="shared" si="30"/>
        <v>456</v>
      </c>
      <c r="D457" s="38"/>
      <c r="E457" s="38"/>
      <c r="F457" s="38" t="s">
        <v>9</v>
      </c>
      <c r="G457" s="38"/>
      <c r="H457" s="38" t="s">
        <v>9</v>
      </c>
      <c r="I457" s="38"/>
      <c r="J457" s="38"/>
      <c r="K457" s="14" t="s">
        <v>47</v>
      </c>
      <c r="L457" s="14" t="s">
        <v>27</v>
      </c>
      <c r="M457" s="20" t="s">
        <v>1082</v>
      </c>
      <c r="N457" s="14" t="s">
        <v>1083</v>
      </c>
      <c r="O457" s="43">
        <v>0</v>
      </c>
      <c r="R457" s="38" t="s">
        <v>104</v>
      </c>
      <c r="S457" s="38"/>
      <c r="T457" s="38"/>
      <c r="W457" s="15" t="str">
        <f>IF(IFERROR(VLOOKUP($M457,#REF!,1,0),"-")="-","","GS")</f>
        <v/>
      </c>
      <c r="Z457" s="59" t="str">
        <f>IF(OR($M457="",NOT($O457="{array}")),"",IFERROR(MATCH(PARAMETERS!$M457,DEFAULT!$B$5:$CG$5,0),""))</f>
        <v/>
      </c>
      <c r="AA457" s="56" t="str">
        <f t="shared" si="28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IF($AA457="","",IF($B457="I",VLOOKUP($AA457,#REF!,53,0),INDEX(VALUES!$B$1:$CC$1,1,$AA457)))</f>
        <v/>
      </c>
    </row>
    <row r="458" spans="1:29" hidden="1" outlineLevel="1" x14ac:dyDescent="0.3">
      <c r="A458" s="22" t="s">
        <v>84</v>
      </c>
      <c r="B458" s="41" t="str">
        <f t="shared" si="29"/>
        <v/>
      </c>
      <c r="C458" s="42">
        <f t="shared" si="30"/>
        <v>457</v>
      </c>
      <c r="D458" s="38"/>
      <c r="E458" s="38"/>
      <c r="F458" s="38" t="s">
        <v>9</v>
      </c>
      <c r="G458" s="38" t="s">
        <v>9</v>
      </c>
      <c r="H458" s="38"/>
      <c r="I458" s="38" t="s">
        <v>9</v>
      </c>
      <c r="J458" s="38"/>
      <c r="K458" s="14" t="s">
        <v>18</v>
      </c>
      <c r="L458" s="14" t="s">
        <v>27</v>
      </c>
      <c r="M458" s="20" t="s">
        <v>1084</v>
      </c>
      <c r="N458" s="14" t="s">
        <v>1085</v>
      </c>
      <c r="O458" s="43" t="s">
        <v>1018</v>
      </c>
      <c r="R458" s="38" t="s">
        <v>104</v>
      </c>
      <c r="S458" s="38"/>
      <c r="T458" s="38"/>
      <c r="W458" s="15" t="str">
        <f>IF(IFERROR(VLOOKUP($M458,#REF!,1,0),"-")="-","","GS")</f>
        <v/>
      </c>
      <c r="Z458" s="59" t="str">
        <f>IF(OR($M458="",NOT($O458="{array}")),"",IFERROR(MATCH(PARAMETERS!$M458,DEFAULT!$B$5:$CG$5,0),""))</f>
        <v/>
      </c>
      <c r="AA458" s="56" t="str">
        <f t="shared" si="28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IF($AA458="","",IF($B458="I",VLOOKUP($AA458,#REF!,53,0),INDEX(VALUES!$B$1:$CC$1,1,$AA458)))</f>
        <v/>
      </c>
    </row>
    <row r="459" spans="1:29" hidden="1" outlineLevel="1" x14ac:dyDescent="0.3">
      <c r="A459" s="22" t="s">
        <v>84</v>
      </c>
      <c r="B459" s="41" t="str">
        <f t="shared" si="29"/>
        <v/>
      </c>
      <c r="C459" s="42">
        <f t="shared" si="30"/>
        <v>458</v>
      </c>
      <c r="D459" s="38"/>
      <c r="E459" s="38"/>
      <c r="F459" s="38" t="s">
        <v>9</v>
      </c>
      <c r="G459" s="38" t="s">
        <v>9</v>
      </c>
      <c r="H459" s="38"/>
      <c r="I459" s="38" t="s">
        <v>9</v>
      </c>
      <c r="J459" s="38"/>
      <c r="K459" s="14" t="s">
        <v>44</v>
      </c>
      <c r="L459" s="14" t="s">
        <v>27</v>
      </c>
      <c r="M459" s="20" t="s">
        <v>1086</v>
      </c>
      <c r="N459" s="14" t="s">
        <v>1085</v>
      </c>
      <c r="O459" s="43">
        <v>1</v>
      </c>
      <c r="R459" s="38" t="s">
        <v>104</v>
      </c>
      <c r="S459" s="38"/>
      <c r="T459" s="38"/>
      <c r="W459" s="15" t="str">
        <f>IF(IFERROR(VLOOKUP($M459,#REF!,1,0),"-")="-","","GS")</f>
        <v/>
      </c>
      <c r="Z459" s="59" t="str">
        <f>IF(OR($M459="",NOT($O459="{array}")),"",IFERROR(MATCH(PARAMETERS!$M459,DEFAULT!$B$5:$CG$5,0),""))</f>
        <v/>
      </c>
      <c r="AA459" s="56" t="str">
        <f t="shared" si="28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IF($AA459="","",IF($B459="I",VLOOKUP($AA459,#REF!,53,0),INDEX(VALUES!$B$1:$CC$1,1,$AA459)))</f>
        <v/>
      </c>
    </row>
    <row r="460" spans="1:29" hidden="1" outlineLevel="1" x14ac:dyDescent="0.3">
      <c r="A460" s="22" t="s">
        <v>84</v>
      </c>
      <c r="B460" s="41" t="str">
        <f t="shared" si="29"/>
        <v/>
      </c>
      <c r="C460" s="42">
        <f t="shared" si="30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44</v>
      </c>
      <c r="L460" s="14" t="s">
        <v>27</v>
      </c>
      <c r="M460" s="20" t="s">
        <v>1087</v>
      </c>
      <c r="N460" s="14" t="s">
        <v>1088</v>
      </c>
      <c r="O460" s="43">
        <v>1</v>
      </c>
      <c r="R460" s="38" t="s">
        <v>104</v>
      </c>
      <c r="S460" s="38"/>
      <c r="T460" s="38"/>
      <c r="W460" s="15" t="str">
        <f>IF(IFERROR(VLOOKUP($M460,#REF!,1,0),"-")="-","","GS")</f>
        <v/>
      </c>
      <c r="Z460" s="59" t="str">
        <f>IF(OR($M460="",NOT($O460="{array}")),"",IFERROR(MATCH(PARAMETERS!$M460,DEFAULT!$B$5:$CG$5,0),""))</f>
        <v/>
      </c>
      <c r="AA460" s="56" t="str">
        <f t="shared" ref="AA460:AA491" si="31">IF($M460="","",IFERROR(MATCH($M460,VALUESnames,0),""))</f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IF($AA460="","",IF($B460="I",VLOOKUP($AA460,#REF!,53,0),INDEX(VALUES!$B$1:$CC$1,1,$AA460)))</f>
        <v/>
      </c>
    </row>
    <row r="461" spans="1:29" hidden="1" outlineLevel="1" x14ac:dyDescent="0.3">
      <c r="A461" s="22" t="s">
        <v>84</v>
      </c>
      <c r="B461" s="41" t="str">
        <f t="shared" ref="B461:B492" si="32">IF($A461="P",IF(NOT($Z461=""),"A",IF(NOT($AA461=""),"I","")),IF(NOT($AA461=""),IF($A461="G","V","X"),IF(NOT($Z461=""),"A","")))</f>
        <v/>
      </c>
      <c r="C461" s="42">
        <f t="shared" ref="C461:C492" si="33">(ROW()-1)</f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47</v>
      </c>
      <c r="L461" s="14" t="s">
        <v>27</v>
      </c>
      <c r="M461" s="20" t="s">
        <v>1089</v>
      </c>
      <c r="N461" s="14" t="s">
        <v>1090</v>
      </c>
      <c r="O461" s="43">
        <v>1</v>
      </c>
      <c r="R461" s="38" t="s">
        <v>104</v>
      </c>
      <c r="S461" s="38"/>
      <c r="T461" s="38"/>
      <c r="W461" s="15" t="str">
        <f>IF(IFERROR(VLOOKUP($M461,#REF!,1,0),"-")="-","","GS")</f>
        <v/>
      </c>
      <c r="Z461" s="59" t="str">
        <f>IF(OR($M461="",NOT($O461="{array}")),"",IFERROR(MATCH(PARAMETERS!$M461,DEFAULT!$B$5:$CG$5,0),""))</f>
        <v/>
      </c>
      <c r="AA461" s="56" t="str">
        <f t="shared" si="31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IF($AA461="","",IF($B461="I",VLOOKUP($AA461,#REF!,53,0),INDEX(VALUES!$B$1:$CC$1,1,$AA461)))</f>
        <v/>
      </c>
    </row>
    <row r="462" spans="1:29" hidden="1" outlineLevel="1" x14ac:dyDescent="0.3">
      <c r="A462" s="22" t="s">
        <v>84</v>
      </c>
      <c r="B462" s="41" t="str">
        <f t="shared" si="32"/>
        <v/>
      </c>
      <c r="C462" s="42">
        <f t="shared" si="33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44</v>
      </c>
      <c r="L462" s="14" t="s">
        <v>27</v>
      </c>
      <c r="M462" s="20" t="s">
        <v>1091</v>
      </c>
      <c r="N462" s="14" t="s">
        <v>1092</v>
      </c>
      <c r="O462" s="43">
        <v>1</v>
      </c>
      <c r="R462" s="38" t="s">
        <v>104</v>
      </c>
      <c r="S462" s="38"/>
      <c r="T462" s="38"/>
      <c r="W462" s="15" t="str">
        <f>IF(IFERROR(VLOOKUP($M462,#REF!,1,0),"-")="-","","GS")</f>
        <v/>
      </c>
      <c r="Z462" s="59" t="str">
        <f>IF(OR($M462="",NOT($O462="{array}")),"",IFERROR(MATCH(PARAMETERS!$M462,DEFAULT!$B$5:$CG$5,0),""))</f>
        <v/>
      </c>
      <c r="AA462" s="56" t="str">
        <f t="shared" si="31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IF($AA462="","",IF($B462="I",VLOOKUP($AA462,#REF!,53,0),INDEX(VALUES!$B$1:$CC$1,1,$AA462)))</f>
        <v/>
      </c>
    </row>
    <row r="463" spans="1:29" hidden="1" outlineLevel="1" x14ac:dyDescent="0.3">
      <c r="A463" s="22" t="s">
        <v>84</v>
      </c>
      <c r="B463" s="41" t="str">
        <f t="shared" si="32"/>
        <v/>
      </c>
      <c r="C463" s="42">
        <f t="shared" si="33"/>
        <v>462</v>
      </c>
      <c r="D463" s="38"/>
      <c r="E463" s="38"/>
      <c r="F463" s="38" t="s">
        <v>9</v>
      </c>
      <c r="G463" s="38"/>
      <c r="H463" s="38"/>
      <c r="I463" s="38" t="s">
        <v>9</v>
      </c>
      <c r="J463" s="38"/>
      <c r="K463" s="14" t="s">
        <v>24</v>
      </c>
      <c r="L463" s="14" t="s">
        <v>27</v>
      </c>
      <c r="M463" s="20" t="s">
        <v>1093</v>
      </c>
      <c r="N463" s="14" t="s">
        <v>1094</v>
      </c>
      <c r="O463" s="43">
        <v>0.02</v>
      </c>
      <c r="R463" s="38" t="s">
        <v>104</v>
      </c>
      <c r="S463" s="38"/>
      <c r="T463" s="38"/>
      <c r="W463" s="15" t="str">
        <f>IF(IFERROR(VLOOKUP($M463,#REF!,1,0),"-")="-","","GS")</f>
        <v/>
      </c>
      <c r="Z463" s="59" t="str">
        <f>IF(OR($M463="",NOT($O463="{array}")),"",IFERROR(MATCH(PARAMETERS!$M463,DEFAULT!$B$5:$CG$5,0),""))</f>
        <v/>
      </c>
      <c r="AA463" s="56" t="str">
        <f t="shared" si="31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IF($AA463="","",IF($B463="I",VLOOKUP($AA463,#REF!,53,0),INDEX(VALUES!$B$1:$CC$1,1,$AA463)))</f>
        <v/>
      </c>
    </row>
    <row r="464" spans="1:29" hidden="1" outlineLevel="1" x14ac:dyDescent="0.3">
      <c r="A464" s="22" t="s">
        <v>84</v>
      </c>
      <c r="B464" s="41" t="str">
        <f t="shared" si="32"/>
        <v/>
      </c>
      <c r="C464" s="42">
        <f t="shared" si="33"/>
        <v>463</v>
      </c>
      <c r="D464" s="38"/>
      <c r="E464" s="38"/>
      <c r="F464" s="38" t="s">
        <v>9</v>
      </c>
      <c r="G464" s="38"/>
      <c r="H464" s="38"/>
      <c r="I464" s="38" t="s">
        <v>9</v>
      </c>
      <c r="J464" s="38"/>
      <c r="K464" s="14" t="s">
        <v>47</v>
      </c>
      <c r="L464" s="14" t="s">
        <v>27</v>
      </c>
      <c r="M464" s="20" t="s">
        <v>1095</v>
      </c>
      <c r="N464" s="14" t="s">
        <v>1096</v>
      </c>
      <c r="O464" s="43">
        <v>1</v>
      </c>
      <c r="R464" s="38" t="s">
        <v>104</v>
      </c>
      <c r="S464" s="38"/>
      <c r="T464" s="38"/>
      <c r="W464" s="15" t="str">
        <f>IF(IFERROR(VLOOKUP($M464,#REF!,1,0),"-")="-","","GS")</f>
        <v/>
      </c>
      <c r="Z464" s="59" t="str">
        <f>IF(OR($M464="",NOT($O464="{array}")),"",IFERROR(MATCH(PARAMETERS!$M464,DEFAULT!$B$5:$CG$5,0),""))</f>
        <v/>
      </c>
      <c r="AA464" s="56" t="str">
        <f t="shared" si="31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IF($AA464="","",IF($B464="I",VLOOKUP($AA464,#REF!,53,0),INDEX(VALUES!$B$1:$CC$1,1,$AA464)))</f>
        <v/>
      </c>
    </row>
    <row r="465" spans="1:29" hidden="1" outlineLevel="1" x14ac:dyDescent="0.3">
      <c r="A465" s="22" t="s">
        <v>84</v>
      </c>
      <c r="B465" s="41" t="str">
        <f t="shared" si="32"/>
        <v/>
      </c>
      <c r="C465" s="42">
        <f t="shared" si="33"/>
        <v>464</v>
      </c>
      <c r="D465" s="38"/>
      <c r="E465" s="38"/>
      <c r="F465" s="38" t="s">
        <v>9</v>
      </c>
      <c r="G465" s="38"/>
      <c r="H465" s="38"/>
      <c r="I465" s="38" t="s">
        <v>9</v>
      </c>
      <c r="J465" s="38"/>
      <c r="K465" s="14" t="s">
        <v>47</v>
      </c>
      <c r="L465" s="14" t="s">
        <v>27</v>
      </c>
      <c r="M465" s="20" t="s">
        <v>1097</v>
      </c>
      <c r="N465" s="14" t="s">
        <v>1098</v>
      </c>
      <c r="O465" s="43">
        <v>1</v>
      </c>
      <c r="R465" s="38" t="s">
        <v>104</v>
      </c>
      <c r="S465" s="38"/>
      <c r="T465" s="38"/>
      <c r="W465" s="15" t="str">
        <f>IF(IFERROR(VLOOKUP($M465,#REF!,1,0),"-")="-","","GS")</f>
        <v/>
      </c>
      <c r="Z465" s="59" t="str">
        <f>IF(OR($M465="",NOT($O465="{array}")),"",IFERROR(MATCH(PARAMETERS!$M465,DEFAULT!$B$5:$CG$5,0),""))</f>
        <v/>
      </c>
      <c r="AA465" s="56" t="str">
        <f t="shared" si="31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IF($AA465="","",IF($B465="I",VLOOKUP($AA465,#REF!,53,0),INDEX(VALUES!$B$1:$CC$1,1,$AA465)))</f>
        <v/>
      </c>
    </row>
    <row r="466" spans="1:29" hidden="1" outlineLevel="1" x14ac:dyDescent="0.3">
      <c r="A466" s="22" t="s">
        <v>84</v>
      </c>
      <c r="B466" s="41" t="str">
        <f t="shared" si="32"/>
        <v/>
      </c>
      <c r="C466" s="42">
        <f t="shared" si="33"/>
        <v>465</v>
      </c>
      <c r="D466" s="38"/>
      <c r="E466" s="38"/>
      <c r="F466" s="38" t="s">
        <v>9</v>
      </c>
      <c r="G466" s="38"/>
      <c r="H466" s="38"/>
      <c r="I466" s="38" t="s">
        <v>9</v>
      </c>
      <c r="J466" s="38"/>
      <c r="K466" s="14" t="s">
        <v>24</v>
      </c>
      <c r="L466" s="14" t="s">
        <v>27</v>
      </c>
      <c r="M466" s="20" t="s">
        <v>1099</v>
      </c>
      <c r="N466" s="14" t="s">
        <v>1100</v>
      </c>
      <c r="O466" s="43">
        <v>0.05</v>
      </c>
      <c r="R466" s="38" t="s">
        <v>104</v>
      </c>
      <c r="S466" s="38"/>
      <c r="T466" s="38"/>
      <c r="W466" s="15" t="str">
        <f>IF(IFERROR(VLOOKUP($M466,#REF!,1,0),"-")="-","","GS")</f>
        <v/>
      </c>
      <c r="Z466" s="59" t="str">
        <f>IF(OR($M466="",NOT($O466="{array}")),"",IFERROR(MATCH(PARAMETERS!$M466,DEFAULT!$B$5:$CG$5,0),""))</f>
        <v/>
      </c>
      <c r="AA466" s="56" t="str">
        <f t="shared" si="31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IF($AA466="","",IF($B466="I",VLOOKUP($AA466,#REF!,53,0),INDEX(VALUES!$B$1:$CC$1,1,$AA466)))</f>
        <v/>
      </c>
    </row>
    <row r="467" spans="1:29" hidden="1" outlineLevel="1" x14ac:dyDescent="0.3">
      <c r="A467" s="22" t="s">
        <v>84</v>
      </c>
      <c r="B467" s="41" t="str">
        <f t="shared" si="32"/>
        <v/>
      </c>
      <c r="C467" s="42">
        <f t="shared" si="33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24</v>
      </c>
      <c r="L467" s="14" t="s">
        <v>27</v>
      </c>
      <c r="M467" s="20" t="s">
        <v>1101</v>
      </c>
      <c r="N467" s="14" t="s">
        <v>1102</v>
      </c>
      <c r="O467" s="43">
        <v>0.05</v>
      </c>
      <c r="R467" s="38" t="s">
        <v>104</v>
      </c>
      <c r="S467" s="38"/>
      <c r="T467" s="38"/>
      <c r="W467" s="15" t="str">
        <f>IF(IFERROR(VLOOKUP($M467,#REF!,1,0),"-")="-","","GS")</f>
        <v/>
      </c>
      <c r="Z467" s="59" t="str">
        <f>IF(OR($M467="",NOT($O467="{array}")),"",IFERROR(MATCH(PARAMETERS!$M467,DEFAULT!$B$5:$CG$5,0),""))</f>
        <v/>
      </c>
      <c r="AA467" s="56" t="str">
        <f t="shared" si="31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IF($AA467="","",IF($B467="I",VLOOKUP($AA467,#REF!,53,0),INDEX(VALUES!$B$1:$CC$1,1,$AA467)))</f>
        <v/>
      </c>
    </row>
    <row r="468" spans="1:29" hidden="1" outlineLevel="1" x14ac:dyDescent="0.3">
      <c r="A468" s="22" t="s">
        <v>84</v>
      </c>
      <c r="B468" s="41" t="str">
        <f t="shared" si="32"/>
        <v/>
      </c>
      <c r="C468" s="42">
        <f t="shared" si="33"/>
        <v>467</v>
      </c>
      <c r="D468" s="38"/>
      <c r="E468" s="38"/>
      <c r="F468" s="38" t="s">
        <v>9</v>
      </c>
      <c r="G468" s="38"/>
      <c r="H468" s="38"/>
      <c r="I468" s="38" t="s">
        <v>9</v>
      </c>
      <c r="J468" s="38"/>
      <c r="K468" s="14" t="s">
        <v>24</v>
      </c>
      <c r="L468" s="14" t="s">
        <v>27</v>
      </c>
      <c r="M468" s="20" t="s">
        <v>1103</v>
      </c>
      <c r="N468" s="14" t="s">
        <v>1017</v>
      </c>
      <c r="O468" s="43">
        <v>0.05</v>
      </c>
      <c r="R468" s="38" t="s">
        <v>104</v>
      </c>
      <c r="S468" s="38"/>
      <c r="T468" s="38"/>
      <c r="W468" s="15" t="str">
        <f>IF(IFERROR(VLOOKUP($M468,#REF!,1,0),"-")="-","","GS")</f>
        <v/>
      </c>
      <c r="Z468" s="59" t="str">
        <f>IF(OR($M468="",NOT($O468="{array}")),"",IFERROR(MATCH(PARAMETERS!$M468,DEFAULT!$B$5:$CG$5,0),""))</f>
        <v/>
      </c>
      <c r="AA468" s="56" t="str">
        <f t="shared" si="31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IF($AA468="","",IF($B468="I",VLOOKUP($AA468,#REF!,53,0),INDEX(VALUES!$B$1:$CC$1,1,$AA468)))</f>
        <v/>
      </c>
    </row>
    <row r="469" spans="1:29" hidden="1" outlineLevel="1" x14ac:dyDescent="0.3">
      <c r="A469" s="22" t="s">
        <v>84</v>
      </c>
      <c r="B469" s="41" t="str">
        <f t="shared" si="32"/>
        <v/>
      </c>
      <c r="C469" s="42">
        <f t="shared" si="33"/>
        <v>468</v>
      </c>
      <c r="D469" s="38"/>
      <c r="E469" s="38"/>
      <c r="F469" s="38" t="s">
        <v>9</v>
      </c>
      <c r="G469" s="38"/>
      <c r="H469" s="38"/>
      <c r="I469" s="38" t="s">
        <v>9</v>
      </c>
      <c r="J469" s="38"/>
      <c r="K469" s="14" t="s">
        <v>24</v>
      </c>
      <c r="L469" s="14" t="s">
        <v>27</v>
      </c>
      <c r="M469" s="20" t="s">
        <v>1104</v>
      </c>
      <c r="N469" s="14" t="s">
        <v>1105</v>
      </c>
      <c r="O469" s="43">
        <v>1.9E-2</v>
      </c>
      <c r="R469" s="38" t="s">
        <v>104</v>
      </c>
      <c r="S469" s="38"/>
      <c r="T469" s="38"/>
      <c r="W469" s="15" t="str">
        <f>IF(IFERROR(VLOOKUP($M469,#REF!,1,0),"-")="-","","GS")</f>
        <v/>
      </c>
      <c r="Z469" s="59" t="str">
        <f>IF(OR($M469="",NOT($O469="{array}")),"",IFERROR(MATCH(PARAMETERS!$M469,DEFAULT!$B$5:$CG$5,0),""))</f>
        <v/>
      </c>
      <c r="AA469" s="56" t="str">
        <f t="shared" si="31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IF($AA469="","",IF($B469="I",VLOOKUP($AA469,#REF!,53,0),INDEX(VALUES!$B$1:$CC$1,1,$AA469)))</f>
        <v/>
      </c>
    </row>
    <row r="470" spans="1:29" hidden="1" outlineLevel="1" x14ac:dyDescent="0.3">
      <c r="A470" s="22" t="s">
        <v>84</v>
      </c>
      <c r="B470" s="41" t="str">
        <f t="shared" si="32"/>
        <v/>
      </c>
      <c r="C470" s="42">
        <f t="shared" si="33"/>
        <v>469</v>
      </c>
      <c r="D470" s="38"/>
      <c r="E470" s="38"/>
      <c r="F470" s="38" t="s">
        <v>9</v>
      </c>
      <c r="G470" s="38"/>
      <c r="H470" s="38"/>
      <c r="I470" s="38" t="s">
        <v>9</v>
      </c>
      <c r="J470" s="38"/>
      <c r="K470" s="14" t="s">
        <v>24</v>
      </c>
      <c r="L470" s="14" t="s">
        <v>27</v>
      </c>
      <c r="M470" s="20" t="s">
        <v>1106</v>
      </c>
      <c r="N470" s="14" t="s">
        <v>1107</v>
      </c>
      <c r="O470" s="43">
        <v>2.5000000000000001E-2</v>
      </c>
      <c r="R470" s="38" t="s">
        <v>104</v>
      </c>
      <c r="S470" s="38"/>
      <c r="T470" s="38"/>
      <c r="W470" s="15" t="str">
        <f>IF(IFERROR(VLOOKUP($M470,#REF!,1,0),"-")="-","","GS")</f>
        <v/>
      </c>
      <c r="Z470" s="59" t="str">
        <f>IF(OR($M470="",NOT($O470="{array}")),"",IFERROR(MATCH(PARAMETERS!$M470,DEFAULT!$B$5:$CG$5,0),""))</f>
        <v/>
      </c>
      <c r="AA470" s="56" t="str">
        <f t="shared" si="31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IF($AA470="","",IF($B470="I",VLOOKUP($AA470,#REF!,53,0),INDEX(VALUES!$B$1:$CC$1,1,$AA470)))</f>
        <v/>
      </c>
    </row>
    <row r="471" spans="1:29" hidden="1" outlineLevel="1" x14ac:dyDescent="0.3">
      <c r="A471" s="22" t="s">
        <v>84</v>
      </c>
      <c r="B471" s="41" t="str">
        <f t="shared" si="32"/>
        <v/>
      </c>
      <c r="C471" s="42">
        <f t="shared" si="33"/>
        <v>470</v>
      </c>
      <c r="D471" s="38"/>
      <c r="E471" s="38"/>
      <c r="F471" s="38" t="s">
        <v>9</v>
      </c>
      <c r="G471" s="38"/>
      <c r="H471" s="38"/>
      <c r="I471" s="38" t="s">
        <v>9</v>
      </c>
      <c r="J471" s="38"/>
      <c r="K471" s="14" t="s">
        <v>24</v>
      </c>
      <c r="L471" s="14" t="s">
        <v>27</v>
      </c>
      <c r="M471" s="20" t="s">
        <v>1108</v>
      </c>
      <c r="N471" s="14" t="s">
        <v>1109</v>
      </c>
      <c r="O471" s="43">
        <v>0</v>
      </c>
      <c r="R471" s="38" t="s">
        <v>104</v>
      </c>
      <c r="S471" s="38"/>
      <c r="T471" s="38"/>
      <c r="W471" s="15" t="str">
        <f>IF(IFERROR(VLOOKUP($M471,#REF!,1,0),"-")="-","","GS")</f>
        <v/>
      </c>
      <c r="Z471" s="59" t="str">
        <f>IF(OR($M471="",NOT($O471="{array}")),"",IFERROR(MATCH(PARAMETERS!$M471,DEFAULT!$B$5:$CG$5,0),""))</f>
        <v/>
      </c>
      <c r="AA471" s="56" t="str">
        <f t="shared" si="31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IF($AA471="","",IF($B471="I",VLOOKUP($AA471,#REF!,53,0),INDEX(VALUES!$B$1:$CC$1,1,$AA471)))</f>
        <v/>
      </c>
    </row>
    <row r="472" spans="1:29" hidden="1" outlineLevel="1" x14ac:dyDescent="0.3">
      <c r="A472" s="22" t="s">
        <v>84</v>
      </c>
      <c r="B472" s="41" t="str">
        <f t="shared" si="32"/>
        <v/>
      </c>
      <c r="C472" s="42">
        <f t="shared" si="33"/>
        <v>471</v>
      </c>
      <c r="D472" s="38"/>
      <c r="E472" s="38"/>
      <c r="F472" s="38" t="s">
        <v>9</v>
      </c>
      <c r="G472" s="38"/>
      <c r="H472" s="38"/>
      <c r="I472" s="38" t="s">
        <v>9</v>
      </c>
      <c r="J472" s="38"/>
      <c r="K472" s="14" t="s">
        <v>24</v>
      </c>
      <c r="L472" s="14" t="s">
        <v>27</v>
      </c>
      <c r="M472" s="20" t="s">
        <v>1110</v>
      </c>
      <c r="N472" s="14" t="s">
        <v>1111</v>
      </c>
      <c r="O472" s="43">
        <v>0.05</v>
      </c>
      <c r="R472" s="38" t="s">
        <v>104</v>
      </c>
      <c r="S472" s="38"/>
      <c r="T472" s="38"/>
      <c r="W472" s="15" t="str">
        <f>IF(IFERROR(VLOOKUP($M472,#REF!,1,0),"-")="-","","GS")</f>
        <v/>
      </c>
      <c r="Z472" s="59" t="str">
        <f>IF(OR($M472="",NOT($O472="{array}")),"",IFERROR(MATCH(PARAMETERS!$M472,DEFAULT!$B$5:$CG$5,0),""))</f>
        <v/>
      </c>
      <c r="AA472" s="56" t="str">
        <f t="shared" si="31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IF($AA472="","",IF($B472="I",VLOOKUP($AA472,#REF!,53,0),INDEX(VALUES!$B$1:$CC$1,1,$AA472)))</f>
        <v/>
      </c>
    </row>
    <row r="473" spans="1:29" hidden="1" outlineLevel="1" x14ac:dyDescent="0.3">
      <c r="A473" s="22" t="s">
        <v>84</v>
      </c>
      <c r="B473" s="41" t="str">
        <f t="shared" si="32"/>
        <v/>
      </c>
      <c r="C473" s="42">
        <f t="shared" si="33"/>
        <v>472</v>
      </c>
      <c r="D473" s="38"/>
      <c r="E473" s="38"/>
      <c r="F473" s="38" t="s">
        <v>9</v>
      </c>
      <c r="G473" s="38"/>
      <c r="H473" s="38"/>
      <c r="I473" s="38" t="s">
        <v>9</v>
      </c>
      <c r="J473" s="38"/>
      <c r="K473" s="14" t="s">
        <v>24</v>
      </c>
      <c r="L473" s="14" t="s">
        <v>27</v>
      </c>
      <c r="M473" s="20" t="s">
        <v>1112</v>
      </c>
      <c r="N473" s="14" t="s">
        <v>1113</v>
      </c>
      <c r="O473" s="43">
        <v>0.1</v>
      </c>
      <c r="R473" s="38" t="s">
        <v>104</v>
      </c>
      <c r="S473" s="38"/>
      <c r="T473" s="38"/>
      <c r="W473" s="15" t="str">
        <f>IF(IFERROR(VLOOKUP($M473,#REF!,1,0),"-")="-","","GS")</f>
        <v/>
      </c>
      <c r="Z473" s="59" t="str">
        <f>IF(OR($M473="",NOT($O473="{array}")),"",IFERROR(MATCH(PARAMETERS!$M473,DEFAULT!$B$5:$CG$5,0),""))</f>
        <v/>
      </c>
      <c r="AA473" s="56" t="str">
        <f t="shared" si="31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IF($AA473="","",IF($B473="I",VLOOKUP($AA473,#REF!,53,0),INDEX(VALUES!$B$1:$CC$1,1,$AA473)))</f>
        <v/>
      </c>
    </row>
    <row r="474" spans="1:29" hidden="1" outlineLevel="1" x14ac:dyDescent="0.3">
      <c r="A474" s="22" t="s">
        <v>84</v>
      </c>
      <c r="B474" s="41" t="str">
        <f t="shared" si="32"/>
        <v/>
      </c>
      <c r="C474" s="42">
        <f t="shared" si="33"/>
        <v>473</v>
      </c>
      <c r="D474" s="38"/>
      <c r="E474" s="38"/>
      <c r="F474" s="38" t="s">
        <v>9</v>
      </c>
      <c r="G474" s="38"/>
      <c r="H474" s="38"/>
      <c r="I474" s="38" t="s">
        <v>9</v>
      </c>
      <c r="J474" s="38"/>
      <c r="K474" s="14" t="s">
        <v>53</v>
      </c>
      <c r="L474" s="14" t="s">
        <v>27</v>
      </c>
      <c r="M474" s="20" t="s">
        <v>1114</v>
      </c>
      <c r="N474" s="14" t="s">
        <v>1115</v>
      </c>
      <c r="O474" s="43">
        <v>1</v>
      </c>
      <c r="R474" s="38" t="s">
        <v>104</v>
      </c>
      <c r="S474" s="38"/>
      <c r="T474" s="38"/>
      <c r="W474" s="15" t="str">
        <f>IF(IFERROR(VLOOKUP($M474,#REF!,1,0),"-")="-","","GS")</f>
        <v/>
      </c>
      <c r="Z474" s="59" t="str">
        <f>IF(OR($M474="",NOT($O474="{array}")),"",IFERROR(MATCH(PARAMETERS!$M474,DEFAULT!$B$5:$CG$5,0),""))</f>
        <v/>
      </c>
      <c r="AA474" s="56" t="str">
        <f t="shared" si="31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IF($AA474="","",IF($B474="I",VLOOKUP($AA474,#REF!,53,0),INDEX(VALUES!$B$1:$CC$1,1,$AA474)))</f>
        <v/>
      </c>
    </row>
    <row r="475" spans="1:29" hidden="1" outlineLevel="1" x14ac:dyDescent="0.3">
      <c r="A475" s="22" t="s">
        <v>84</v>
      </c>
      <c r="B475" s="41" t="str">
        <f t="shared" si="32"/>
        <v/>
      </c>
      <c r="C475" s="42">
        <f t="shared" si="33"/>
        <v>474</v>
      </c>
      <c r="D475" s="38"/>
      <c r="E475" s="38"/>
      <c r="F475" s="38" t="s">
        <v>9</v>
      </c>
      <c r="G475" s="38"/>
      <c r="H475" s="38"/>
      <c r="I475" s="38" t="s">
        <v>9</v>
      </c>
      <c r="J475" s="38"/>
      <c r="K475" s="14" t="s">
        <v>52</v>
      </c>
      <c r="L475" s="14" t="s">
        <v>27</v>
      </c>
      <c r="M475" s="20" t="s">
        <v>1116</v>
      </c>
      <c r="N475" s="14" t="s">
        <v>1117</v>
      </c>
      <c r="O475" s="43">
        <v>65</v>
      </c>
      <c r="R475" s="38" t="s">
        <v>104</v>
      </c>
      <c r="S475" s="38"/>
      <c r="T475" s="38"/>
      <c r="W475" s="15" t="str">
        <f>IF(IFERROR(VLOOKUP($M475,#REF!,1,0),"-")="-","","GS")</f>
        <v/>
      </c>
      <c r="Z475" s="59" t="str">
        <f>IF(OR($M475="",NOT($O475="{array}")),"",IFERROR(MATCH(PARAMETERS!$M475,DEFAULT!$B$5:$CG$5,0),""))</f>
        <v/>
      </c>
      <c r="AA475" s="56" t="str">
        <f t="shared" si="31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IF($AA475="","",IF($B475="I",VLOOKUP($AA475,#REF!,53,0),INDEX(VALUES!$B$1:$CC$1,1,$AA475)))</f>
        <v/>
      </c>
    </row>
    <row r="476" spans="1:29" hidden="1" outlineLevel="1" x14ac:dyDescent="0.3">
      <c r="A476" s="22" t="s">
        <v>84</v>
      </c>
      <c r="B476" s="41" t="str">
        <f t="shared" si="32"/>
        <v/>
      </c>
      <c r="C476" s="42">
        <f t="shared" si="33"/>
        <v>475</v>
      </c>
      <c r="D476" s="38"/>
      <c r="E476" s="38"/>
      <c r="F476" s="38" t="s">
        <v>9</v>
      </c>
      <c r="G476" s="38"/>
      <c r="H476" s="38"/>
      <c r="I476" s="38" t="s">
        <v>9</v>
      </c>
      <c r="J476" s="38"/>
      <c r="K476" s="14" t="s">
        <v>53</v>
      </c>
      <c r="L476" s="14" t="s">
        <v>27</v>
      </c>
      <c r="M476" s="20" t="s">
        <v>1118</v>
      </c>
      <c r="N476" s="14" t="s">
        <v>1119</v>
      </c>
      <c r="O476" s="43">
        <v>19</v>
      </c>
      <c r="R476" s="38" t="s">
        <v>104</v>
      </c>
      <c r="S476" s="38"/>
      <c r="T476" s="38"/>
      <c r="W476" s="15" t="str">
        <f>IF(IFERROR(VLOOKUP($M476,#REF!,1,0),"-")="-","","GS")</f>
        <v/>
      </c>
      <c r="Z476" s="59" t="str">
        <f>IF(OR($M476="",NOT($O476="{array}")),"",IFERROR(MATCH(PARAMETERS!$M476,DEFAULT!$B$5:$CG$5,0),""))</f>
        <v/>
      </c>
      <c r="AA476" s="56" t="str">
        <f t="shared" si="31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IF($AA476="","",IF($B476="I",VLOOKUP($AA476,#REF!,53,0),INDEX(VALUES!$B$1:$CC$1,1,$AA476)))</f>
        <v/>
      </c>
    </row>
    <row r="477" spans="1:29" hidden="1" outlineLevel="1" x14ac:dyDescent="0.3">
      <c r="A477" s="22" t="s">
        <v>84</v>
      </c>
      <c r="B477" s="41" t="str">
        <f t="shared" si="32"/>
        <v/>
      </c>
      <c r="C477" s="42">
        <f t="shared" si="33"/>
        <v>476</v>
      </c>
      <c r="D477" s="38"/>
      <c r="E477" s="38"/>
      <c r="F477" s="38" t="s">
        <v>9</v>
      </c>
      <c r="G477" s="38"/>
      <c r="H477" s="38"/>
      <c r="I477" s="38" t="s">
        <v>9</v>
      </c>
      <c r="J477" s="38"/>
      <c r="K477" s="14" t="s">
        <v>53</v>
      </c>
      <c r="L477" s="14" t="s">
        <v>27</v>
      </c>
      <c r="M477" s="20" t="s">
        <v>1120</v>
      </c>
      <c r="N477" s="14" t="s">
        <v>1121</v>
      </c>
      <c r="O477" s="43">
        <v>19</v>
      </c>
      <c r="R477" s="38" t="s">
        <v>104</v>
      </c>
      <c r="S477" s="38"/>
      <c r="T477" s="38"/>
      <c r="W477" s="15" t="str">
        <f>IF(IFERROR(VLOOKUP($M477,#REF!,1,0),"-")="-","","GS")</f>
        <v/>
      </c>
      <c r="Z477" s="59" t="str">
        <f>IF(OR($M477="",NOT($O477="{array}")),"",IFERROR(MATCH(PARAMETERS!$M477,DEFAULT!$B$5:$CG$5,0),""))</f>
        <v/>
      </c>
      <c r="AA477" s="56" t="str">
        <f t="shared" si="31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IF($AA477="","",IF($B477="I",VLOOKUP($AA477,#REF!,53,0),INDEX(VALUES!$B$1:$CC$1,1,$AA477)))</f>
        <v/>
      </c>
    </row>
    <row r="478" spans="1:29" hidden="1" outlineLevel="1" x14ac:dyDescent="0.3">
      <c r="A478" s="22" t="s">
        <v>84</v>
      </c>
      <c r="B478" s="41" t="str">
        <f t="shared" si="32"/>
        <v/>
      </c>
      <c r="C478" s="42">
        <f t="shared" si="33"/>
        <v>477</v>
      </c>
      <c r="D478" s="38"/>
      <c r="E478" s="38"/>
      <c r="F478" s="38" t="s">
        <v>9</v>
      </c>
      <c r="G478" s="38"/>
      <c r="H478" s="38" t="s">
        <v>9</v>
      </c>
      <c r="I478" s="38"/>
      <c r="J478" s="38"/>
      <c r="K478" s="14" t="s">
        <v>47</v>
      </c>
      <c r="L478" s="14" t="s">
        <v>27</v>
      </c>
      <c r="M478" s="20" t="s">
        <v>1122</v>
      </c>
      <c r="N478" s="14" t="s">
        <v>1123</v>
      </c>
      <c r="O478" s="43">
        <v>0</v>
      </c>
      <c r="R478" s="38" t="s">
        <v>104</v>
      </c>
      <c r="S478" s="38"/>
      <c r="T478" s="38"/>
      <c r="W478" s="15" t="str">
        <f>IF(IFERROR(VLOOKUP($M478,#REF!,1,0),"-")="-","","GS")</f>
        <v/>
      </c>
      <c r="Z478" s="59" t="str">
        <f>IF(OR($M478="",NOT($O478="{array}")),"",IFERROR(MATCH(PARAMETERS!$M478,DEFAULT!$B$5:$CG$5,0),""))</f>
        <v/>
      </c>
      <c r="AA478" s="56" t="str">
        <f t="shared" si="31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IF($AA478="","",IF($B478="I",VLOOKUP($AA478,#REF!,53,0),INDEX(VALUES!$B$1:$CC$1,1,$AA478)))</f>
        <v/>
      </c>
    </row>
    <row r="479" spans="1:29" hidden="1" outlineLevel="1" x14ac:dyDescent="0.3">
      <c r="A479" s="22" t="s">
        <v>84</v>
      </c>
      <c r="B479" s="41" t="str">
        <f t="shared" si="32"/>
        <v/>
      </c>
      <c r="C479" s="42">
        <f t="shared" si="33"/>
        <v>478</v>
      </c>
      <c r="D479" s="38"/>
      <c r="E479" s="38"/>
      <c r="F479" s="38" t="s">
        <v>9</v>
      </c>
      <c r="G479" s="38" t="s">
        <v>9</v>
      </c>
      <c r="H479" s="38"/>
      <c r="I479" s="38" t="s">
        <v>9</v>
      </c>
      <c r="J479" s="38"/>
      <c r="K479" s="14" t="s">
        <v>18</v>
      </c>
      <c r="L479" s="14" t="s">
        <v>27</v>
      </c>
      <c r="M479" s="20" t="s">
        <v>1124</v>
      </c>
      <c r="N479" s="14" t="s">
        <v>1125</v>
      </c>
      <c r="O479" s="43" t="s">
        <v>1018</v>
      </c>
      <c r="R479" s="38" t="s">
        <v>104</v>
      </c>
      <c r="S479" s="38"/>
      <c r="T479" s="38"/>
      <c r="W479" s="15" t="str">
        <f>IF(IFERROR(VLOOKUP($M479,#REF!,1,0),"-")="-","","GS")</f>
        <v/>
      </c>
      <c r="Z479" s="59" t="str">
        <f>IF(OR($M479="",NOT($O479="{array}")),"",IFERROR(MATCH(PARAMETERS!$M479,DEFAULT!$B$5:$CG$5,0),""))</f>
        <v/>
      </c>
      <c r="AA479" s="56" t="str">
        <f t="shared" si="31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IF($AA479="","",IF($B479="I",VLOOKUP($AA479,#REF!,53,0),INDEX(VALUES!$B$1:$CC$1,1,$AA479)))</f>
        <v/>
      </c>
    </row>
    <row r="480" spans="1:29" hidden="1" outlineLevel="1" x14ac:dyDescent="0.3">
      <c r="A480" s="22" t="s">
        <v>84</v>
      </c>
      <c r="B480" s="41" t="str">
        <f t="shared" si="32"/>
        <v/>
      </c>
      <c r="C480" s="42">
        <f t="shared" si="33"/>
        <v>479</v>
      </c>
      <c r="D480" s="38"/>
      <c r="E480" s="38"/>
      <c r="F480" s="38" t="s">
        <v>9</v>
      </c>
      <c r="G480" s="38" t="s">
        <v>9</v>
      </c>
      <c r="H480" s="38"/>
      <c r="I480" s="38" t="s">
        <v>9</v>
      </c>
      <c r="J480" s="38"/>
      <c r="K480" s="14" t="s">
        <v>44</v>
      </c>
      <c r="L480" s="14" t="s">
        <v>27</v>
      </c>
      <c r="M480" s="20" t="s">
        <v>1126</v>
      </c>
      <c r="N480" s="14" t="s">
        <v>1125</v>
      </c>
      <c r="O480" s="43">
        <v>1</v>
      </c>
      <c r="R480" s="38" t="s">
        <v>104</v>
      </c>
      <c r="S480" s="38"/>
      <c r="T480" s="38"/>
      <c r="W480" s="15" t="str">
        <f>IF(IFERROR(VLOOKUP($M480,#REF!,1,0),"-")="-","","GS")</f>
        <v/>
      </c>
      <c r="Z480" s="59" t="str">
        <f>IF(OR($M480="",NOT($O480="{array}")),"",IFERROR(MATCH(PARAMETERS!$M480,DEFAULT!$B$5:$CG$5,0),""))</f>
        <v/>
      </c>
      <c r="AA480" s="56" t="str">
        <f t="shared" si="31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IF($AA480="","",IF($B480="I",VLOOKUP($AA480,#REF!,53,0),INDEX(VALUES!$B$1:$CC$1,1,$AA480)))</f>
        <v/>
      </c>
    </row>
    <row r="481" spans="1:29" hidden="1" outlineLevel="1" x14ac:dyDescent="0.3">
      <c r="A481" s="22" t="s">
        <v>84</v>
      </c>
      <c r="B481" s="41" t="str">
        <f t="shared" si="32"/>
        <v/>
      </c>
      <c r="C481" s="42">
        <f t="shared" si="33"/>
        <v>480</v>
      </c>
      <c r="D481" s="38"/>
      <c r="E481" s="38"/>
      <c r="F481" s="38" t="s">
        <v>9</v>
      </c>
      <c r="G481" s="38"/>
      <c r="H481" s="38"/>
      <c r="I481" s="38" t="s">
        <v>9</v>
      </c>
      <c r="J481" s="38"/>
      <c r="K481" s="14" t="s">
        <v>47</v>
      </c>
      <c r="L481" s="14" t="s">
        <v>27</v>
      </c>
      <c r="M481" s="20" t="s">
        <v>1127</v>
      </c>
      <c r="N481" s="14" t="s">
        <v>1096</v>
      </c>
      <c r="O481" s="43">
        <v>1</v>
      </c>
      <c r="R481" s="38" t="s">
        <v>104</v>
      </c>
      <c r="S481" s="38"/>
      <c r="T481" s="38"/>
      <c r="W481" s="15" t="str">
        <f>IF(IFERROR(VLOOKUP($M481,#REF!,1,0),"-")="-","","GS")</f>
        <v/>
      </c>
      <c r="Z481" s="59" t="str">
        <f>IF(OR($M481="",NOT($O481="{array}")),"",IFERROR(MATCH(PARAMETERS!$M481,DEFAULT!$B$5:$CG$5,0),""))</f>
        <v/>
      </c>
      <c r="AA481" s="56" t="str">
        <f t="shared" si="31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IF($AA481="","",IF($B481="I",VLOOKUP($AA481,#REF!,53,0),INDEX(VALUES!$B$1:$CC$1,1,$AA481)))</f>
        <v/>
      </c>
    </row>
    <row r="482" spans="1:29" hidden="1" outlineLevel="1" x14ac:dyDescent="0.3">
      <c r="A482" s="22" t="s">
        <v>84</v>
      </c>
      <c r="B482" s="41" t="str">
        <f t="shared" si="32"/>
        <v/>
      </c>
      <c r="C482" s="42">
        <f t="shared" si="33"/>
        <v>481</v>
      </c>
      <c r="D482" s="38"/>
      <c r="E482" s="38"/>
      <c r="F482" s="38" t="s">
        <v>9</v>
      </c>
      <c r="G482" s="38"/>
      <c r="H482" s="38"/>
      <c r="I482" s="38" t="s">
        <v>9</v>
      </c>
      <c r="J482" s="38"/>
      <c r="K482" s="14" t="s">
        <v>47</v>
      </c>
      <c r="L482" s="14" t="s">
        <v>27</v>
      </c>
      <c r="M482" s="20" t="s">
        <v>1128</v>
      </c>
      <c r="N482" s="14" t="s">
        <v>1098</v>
      </c>
      <c r="O482" s="43">
        <v>1</v>
      </c>
      <c r="R482" s="38" t="s">
        <v>104</v>
      </c>
      <c r="S482" s="38"/>
      <c r="T482" s="38"/>
      <c r="W482" s="15" t="str">
        <f>IF(IFERROR(VLOOKUP($M482,#REF!,1,0),"-")="-","","GS")</f>
        <v/>
      </c>
      <c r="Z482" s="59" t="str">
        <f>IF(OR($M482="",NOT($O482="{array}")),"",IFERROR(MATCH(PARAMETERS!$M482,DEFAULT!$B$5:$CG$5,0),""))</f>
        <v/>
      </c>
      <c r="AA482" s="56" t="str">
        <f t="shared" si="31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IF($AA482="","",IF($B482="I",VLOOKUP($AA482,#REF!,53,0),INDEX(VALUES!$B$1:$CC$1,1,$AA482)))</f>
        <v/>
      </c>
    </row>
    <row r="483" spans="1:29" hidden="1" outlineLevel="1" x14ac:dyDescent="0.3">
      <c r="A483" s="22" t="s">
        <v>84</v>
      </c>
      <c r="B483" s="41" t="str">
        <f t="shared" si="32"/>
        <v/>
      </c>
      <c r="C483" s="42">
        <f t="shared" si="33"/>
        <v>482</v>
      </c>
      <c r="D483" s="38"/>
      <c r="E483" s="38"/>
      <c r="F483" s="38" t="s">
        <v>9</v>
      </c>
      <c r="G483" s="38"/>
      <c r="H483" s="38"/>
      <c r="I483" s="38" t="s">
        <v>9</v>
      </c>
      <c r="J483" s="38"/>
      <c r="K483" s="14" t="s">
        <v>24</v>
      </c>
      <c r="L483" s="14" t="s">
        <v>27</v>
      </c>
      <c r="M483" s="20" t="s">
        <v>1129</v>
      </c>
      <c r="N483" s="14" t="s">
        <v>1100</v>
      </c>
      <c r="O483" s="43">
        <v>0.05</v>
      </c>
      <c r="R483" s="38" t="s">
        <v>104</v>
      </c>
      <c r="S483" s="38"/>
      <c r="T483" s="38"/>
      <c r="W483" s="15" t="str">
        <f>IF(IFERROR(VLOOKUP($M483,#REF!,1,0),"-")="-","","GS")</f>
        <v/>
      </c>
      <c r="Z483" s="59" t="str">
        <f>IF(OR($M483="",NOT($O483="{array}")),"",IFERROR(MATCH(PARAMETERS!$M483,DEFAULT!$B$5:$CG$5,0),""))</f>
        <v/>
      </c>
      <c r="AA483" s="56" t="str">
        <f t="shared" si="31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IF($AA483="","",IF($B483="I",VLOOKUP($AA483,#REF!,53,0),INDEX(VALUES!$B$1:$CC$1,1,$AA483)))</f>
        <v/>
      </c>
    </row>
    <row r="484" spans="1:29" hidden="1" outlineLevel="1" x14ac:dyDescent="0.3">
      <c r="A484" s="22" t="s">
        <v>84</v>
      </c>
      <c r="B484" s="41" t="str">
        <f t="shared" si="32"/>
        <v/>
      </c>
      <c r="C484" s="42">
        <f t="shared" si="33"/>
        <v>483</v>
      </c>
      <c r="D484" s="38"/>
      <c r="E484" s="38"/>
      <c r="F484" s="38" t="s">
        <v>9</v>
      </c>
      <c r="G484" s="38"/>
      <c r="H484" s="38"/>
      <c r="I484" s="38" t="s">
        <v>9</v>
      </c>
      <c r="J484" s="38"/>
      <c r="K484" s="14" t="s">
        <v>24</v>
      </c>
      <c r="L484" s="14" t="s">
        <v>27</v>
      </c>
      <c r="M484" s="20" t="s">
        <v>1130</v>
      </c>
      <c r="N484" s="14" t="s">
        <v>1102</v>
      </c>
      <c r="O484" s="43">
        <v>0.05</v>
      </c>
      <c r="R484" s="38" t="s">
        <v>104</v>
      </c>
      <c r="S484" s="38"/>
      <c r="T484" s="38"/>
      <c r="W484" s="15" t="str">
        <f>IF(IFERROR(VLOOKUP($M484,#REF!,1,0),"-")="-","","GS")</f>
        <v/>
      </c>
      <c r="Z484" s="59" t="str">
        <f>IF(OR($M484="",NOT($O484="{array}")),"",IFERROR(MATCH(PARAMETERS!$M484,DEFAULT!$B$5:$CG$5,0),""))</f>
        <v/>
      </c>
      <c r="AA484" s="56" t="str">
        <f t="shared" si="31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IF($AA484="","",IF($B484="I",VLOOKUP($AA484,#REF!,53,0),INDEX(VALUES!$B$1:$CC$1,1,$AA484)))</f>
        <v/>
      </c>
    </row>
    <row r="485" spans="1:29" hidden="1" outlineLevel="1" x14ac:dyDescent="0.3">
      <c r="A485" s="22" t="s">
        <v>84</v>
      </c>
      <c r="B485" s="41" t="str">
        <f t="shared" si="32"/>
        <v/>
      </c>
      <c r="C485" s="42">
        <f t="shared" si="33"/>
        <v>484</v>
      </c>
      <c r="D485" s="38"/>
      <c r="E485" s="38"/>
      <c r="F485" s="38" t="s">
        <v>9</v>
      </c>
      <c r="G485" s="38"/>
      <c r="H485" s="38"/>
      <c r="I485" s="38" t="s">
        <v>9</v>
      </c>
      <c r="J485" s="38"/>
      <c r="K485" s="14" t="s">
        <v>24</v>
      </c>
      <c r="L485" s="14" t="s">
        <v>27</v>
      </c>
      <c r="M485" s="20" t="s">
        <v>1131</v>
      </c>
      <c r="N485" s="14" t="s">
        <v>1017</v>
      </c>
      <c r="O485" s="43">
        <v>0.05</v>
      </c>
      <c r="R485" s="38" t="s">
        <v>104</v>
      </c>
      <c r="S485" s="38"/>
      <c r="T485" s="38"/>
      <c r="W485" s="15" t="str">
        <f>IF(IFERROR(VLOOKUP($M485,#REF!,1,0),"-")="-","","GS")</f>
        <v/>
      </c>
      <c r="Z485" s="59" t="str">
        <f>IF(OR($M485="",NOT($O485="{array}")),"",IFERROR(MATCH(PARAMETERS!$M485,DEFAULT!$B$5:$CG$5,0),""))</f>
        <v/>
      </c>
      <c r="AA485" s="56" t="str">
        <f t="shared" si="31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IF($AA485="","",IF($B485="I",VLOOKUP($AA485,#REF!,53,0),INDEX(VALUES!$B$1:$CC$1,1,$AA485)))</f>
        <v/>
      </c>
    </row>
    <row r="486" spans="1:29" hidden="1" outlineLevel="1" x14ac:dyDescent="0.3">
      <c r="A486" s="22" t="s">
        <v>84</v>
      </c>
      <c r="B486" s="41" t="str">
        <f t="shared" si="32"/>
        <v/>
      </c>
      <c r="C486" s="42">
        <f t="shared" si="33"/>
        <v>485</v>
      </c>
      <c r="D486" s="38"/>
      <c r="E486" s="38"/>
      <c r="F486" s="38" t="s">
        <v>9</v>
      </c>
      <c r="G486" s="38"/>
      <c r="H486" s="38"/>
      <c r="I486" s="38" t="s">
        <v>9</v>
      </c>
      <c r="J486" s="38"/>
      <c r="K486" s="14" t="s">
        <v>24</v>
      </c>
      <c r="L486" s="14" t="s">
        <v>27</v>
      </c>
      <c r="M486" s="20" t="s">
        <v>1132</v>
      </c>
      <c r="N486" s="14" t="s">
        <v>1105</v>
      </c>
      <c r="O486" s="43">
        <v>1.9E-2</v>
      </c>
      <c r="R486" s="38" t="s">
        <v>104</v>
      </c>
      <c r="S486" s="38"/>
      <c r="T486" s="38"/>
      <c r="W486" s="15" t="str">
        <f>IF(IFERROR(VLOOKUP($M486,#REF!,1,0),"-")="-","","GS")</f>
        <v/>
      </c>
      <c r="Z486" s="59" t="str">
        <f>IF(OR($M486="",NOT($O486="{array}")),"",IFERROR(MATCH(PARAMETERS!$M486,DEFAULT!$B$5:$CG$5,0),""))</f>
        <v/>
      </c>
      <c r="AA486" s="56" t="str">
        <f t="shared" si="31"/>
        <v/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IF($AA486="","",IF($B486="I",VLOOKUP($AA486,#REF!,53,0),INDEX(VALUES!$B$1:$CC$1,1,$AA486)))</f>
        <v/>
      </c>
    </row>
    <row r="487" spans="1:29" hidden="1" outlineLevel="1" x14ac:dyDescent="0.3">
      <c r="A487" s="22" t="s">
        <v>84</v>
      </c>
      <c r="B487" s="41" t="str">
        <f t="shared" si="32"/>
        <v/>
      </c>
      <c r="C487" s="42">
        <f t="shared" si="33"/>
        <v>486</v>
      </c>
      <c r="D487" s="38"/>
      <c r="E487" s="38"/>
      <c r="F487" s="38" t="s">
        <v>9</v>
      </c>
      <c r="G487" s="38"/>
      <c r="H487" s="38"/>
      <c r="I487" s="38" t="s">
        <v>9</v>
      </c>
      <c r="J487" s="38"/>
      <c r="K487" s="14" t="s">
        <v>24</v>
      </c>
      <c r="L487" s="14" t="s">
        <v>27</v>
      </c>
      <c r="M487" s="20" t="s">
        <v>1133</v>
      </c>
      <c r="N487" s="14" t="s">
        <v>1107</v>
      </c>
      <c r="O487" s="43">
        <v>2.5000000000000001E-2</v>
      </c>
      <c r="R487" s="38" t="s">
        <v>104</v>
      </c>
      <c r="S487" s="38"/>
      <c r="T487" s="38"/>
      <c r="W487" s="15" t="str">
        <f>IF(IFERROR(VLOOKUP($M487,#REF!,1,0),"-")="-","","GS")</f>
        <v/>
      </c>
      <c r="Z487" s="59" t="str">
        <f>IF(OR($M487="",NOT($O487="{array}")),"",IFERROR(MATCH(PARAMETERS!$M487,DEFAULT!$B$5:$CG$5,0),""))</f>
        <v/>
      </c>
      <c r="AA487" s="56" t="str">
        <f t="shared" si="31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IF($AA487="","",IF($B487="I",VLOOKUP($AA487,#REF!,53,0),INDEX(VALUES!$B$1:$CC$1,1,$AA487)))</f>
        <v/>
      </c>
    </row>
    <row r="488" spans="1:29" hidden="1" outlineLevel="1" x14ac:dyDescent="0.3">
      <c r="A488" s="22" t="s">
        <v>84</v>
      </c>
      <c r="B488" s="41" t="str">
        <f t="shared" si="32"/>
        <v/>
      </c>
      <c r="C488" s="42">
        <f t="shared" si="33"/>
        <v>487</v>
      </c>
      <c r="D488" s="38"/>
      <c r="E488" s="38"/>
      <c r="F488" s="38" t="s">
        <v>9</v>
      </c>
      <c r="G488" s="38"/>
      <c r="H488" s="38"/>
      <c r="I488" s="38" t="s">
        <v>9</v>
      </c>
      <c r="J488" s="38"/>
      <c r="K488" s="14" t="s">
        <v>24</v>
      </c>
      <c r="L488" s="14" t="s">
        <v>27</v>
      </c>
      <c r="M488" s="20" t="s">
        <v>1134</v>
      </c>
      <c r="N488" s="14" t="s">
        <v>1109</v>
      </c>
      <c r="O488" s="43">
        <v>0</v>
      </c>
      <c r="R488" s="38" t="s">
        <v>104</v>
      </c>
      <c r="S488" s="38"/>
      <c r="T488" s="38"/>
      <c r="W488" s="15" t="str">
        <f>IF(IFERROR(VLOOKUP($M488,#REF!,1,0),"-")="-","","GS")</f>
        <v/>
      </c>
      <c r="Z488" s="59" t="str">
        <f>IF(OR($M488="",NOT($O488="{array}")),"",IFERROR(MATCH(PARAMETERS!$M488,DEFAULT!$B$5:$CG$5,0),""))</f>
        <v/>
      </c>
      <c r="AA488" s="56" t="str">
        <f t="shared" si="31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IF($AA488="","",IF($B488="I",VLOOKUP($AA488,#REF!,53,0),INDEX(VALUES!$B$1:$CC$1,1,$AA488)))</f>
        <v/>
      </c>
    </row>
    <row r="489" spans="1:29" hidden="1" outlineLevel="1" x14ac:dyDescent="0.3">
      <c r="A489" s="22" t="s">
        <v>84</v>
      </c>
      <c r="B489" s="41" t="str">
        <f t="shared" si="32"/>
        <v/>
      </c>
      <c r="C489" s="42">
        <f t="shared" si="33"/>
        <v>488</v>
      </c>
      <c r="D489" s="38"/>
      <c r="E489" s="38"/>
      <c r="F489" s="38" t="s">
        <v>9</v>
      </c>
      <c r="G489" s="38"/>
      <c r="H489" s="38"/>
      <c r="I489" s="38" t="s">
        <v>9</v>
      </c>
      <c r="J489" s="38"/>
      <c r="K489" s="14" t="s">
        <v>24</v>
      </c>
      <c r="L489" s="14" t="s">
        <v>27</v>
      </c>
      <c r="M489" s="20" t="s">
        <v>1135</v>
      </c>
      <c r="N489" s="14" t="s">
        <v>1111</v>
      </c>
      <c r="O489" s="43">
        <v>0.03</v>
      </c>
      <c r="R489" s="38" t="s">
        <v>104</v>
      </c>
      <c r="S489" s="38"/>
      <c r="T489" s="38"/>
      <c r="W489" s="15" t="str">
        <f>IF(IFERROR(VLOOKUP($M489,#REF!,1,0),"-")="-","","GS")</f>
        <v/>
      </c>
      <c r="Z489" s="59" t="str">
        <f>IF(OR($M489="",NOT($O489="{array}")),"",IFERROR(MATCH(PARAMETERS!$M489,DEFAULT!$B$5:$CG$5,0),""))</f>
        <v/>
      </c>
      <c r="AA489" s="56" t="str">
        <f t="shared" si="31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IF($AA489="","",IF($B489="I",VLOOKUP($AA489,#REF!,53,0),INDEX(VALUES!$B$1:$CC$1,1,$AA489)))</f>
        <v/>
      </c>
    </row>
    <row r="490" spans="1:29" hidden="1" outlineLevel="1" x14ac:dyDescent="0.3">
      <c r="A490" s="22" t="s">
        <v>84</v>
      </c>
      <c r="B490" s="41" t="str">
        <f t="shared" si="32"/>
        <v/>
      </c>
      <c r="C490" s="42">
        <f t="shared" si="33"/>
        <v>489</v>
      </c>
      <c r="D490" s="38"/>
      <c r="E490" s="38"/>
      <c r="F490" s="38" t="s">
        <v>9</v>
      </c>
      <c r="G490" s="38"/>
      <c r="H490" s="38"/>
      <c r="I490" s="38" t="s">
        <v>9</v>
      </c>
      <c r="J490" s="38"/>
      <c r="K490" s="14" t="s">
        <v>24</v>
      </c>
      <c r="L490" s="14" t="s">
        <v>27</v>
      </c>
      <c r="M490" s="20" t="s">
        <v>1136</v>
      </c>
      <c r="N490" s="14" t="s">
        <v>1113</v>
      </c>
      <c r="O490" s="43">
        <v>0.1</v>
      </c>
      <c r="R490" s="38" t="s">
        <v>104</v>
      </c>
      <c r="S490" s="38"/>
      <c r="T490" s="38"/>
      <c r="W490" s="15" t="str">
        <f>IF(IFERROR(VLOOKUP($M490,#REF!,1,0),"-")="-","","GS")</f>
        <v/>
      </c>
      <c r="Z490" s="59" t="str">
        <f>IF(OR($M490="",NOT($O490="{array}")),"",IFERROR(MATCH(PARAMETERS!$M490,DEFAULT!$B$5:$CG$5,0),""))</f>
        <v/>
      </c>
      <c r="AA490" s="56" t="str">
        <f t="shared" si="31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IF($AA490="","",IF($B490="I",VLOOKUP($AA490,#REF!,53,0),INDEX(VALUES!$B$1:$CC$1,1,$AA490)))</f>
        <v/>
      </c>
    </row>
    <row r="491" spans="1:29" hidden="1" outlineLevel="1" x14ac:dyDescent="0.3">
      <c r="A491" s="22" t="s">
        <v>84</v>
      </c>
      <c r="B491" s="41" t="str">
        <f t="shared" si="32"/>
        <v/>
      </c>
      <c r="C491" s="42">
        <f t="shared" si="33"/>
        <v>490</v>
      </c>
      <c r="D491" s="38"/>
      <c r="E491" s="38"/>
      <c r="F491" s="38" t="s">
        <v>9</v>
      </c>
      <c r="G491" s="38"/>
      <c r="H491" s="38"/>
      <c r="I491" s="38" t="s">
        <v>9</v>
      </c>
      <c r="J491" s="38"/>
      <c r="K491" s="14" t="s">
        <v>52</v>
      </c>
      <c r="L491" s="14" t="s">
        <v>27</v>
      </c>
      <c r="M491" s="20" t="s">
        <v>1137</v>
      </c>
      <c r="N491" s="14" t="s">
        <v>1138</v>
      </c>
      <c r="O491" s="43">
        <v>65</v>
      </c>
      <c r="R491" s="38" t="s">
        <v>104</v>
      </c>
      <c r="S491" s="38"/>
      <c r="T491" s="38"/>
      <c r="W491" s="15" t="str">
        <f>IF(IFERROR(VLOOKUP($M491,#REF!,1,0),"-")="-","","GS")</f>
        <v/>
      </c>
      <c r="Z491" s="59" t="str">
        <f>IF(OR($M491="",NOT($O491="{array}")),"",IFERROR(MATCH(PARAMETERS!$M491,DEFAULT!$B$5:$CG$5,0),""))</f>
        <v/>
      </c>
      <c r="AA491" s="56" t="str">
        <f t="shared" si="31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IF($AA491="","",IF($B491="I",VLOOKUP($AA491,#REF!,53,0),INDEX(VALUES!$B$1:$CC$1,1,$AA491)))</f>
        <v/>
      </c>
    </row>
    <row r="492" spans="1:29" hidden="1" outlineLevel="1" x14ac:dyDescent="0.3">
      <c r="A492" s="22" t="s">
        <v>84</v>
      </c>
      <c r="B492" s="41" t="str">
        <f t="shared" si="32"/>
        <v/>
      </c>
      <c r="C492" s="42">
        <f t="shared" si="33"/>
        <v>491</v>
      </c>
      <c r="D492" s="38"/>
      <c r="E492" s="38"/>
      <c r="F492" s="38" t="s">
        <v>9</v>
      </c>
      <c r="G492" s="38"/>
      <c r="H492" s="38"/>
      <c r="I492" s="38" t="s">
        <v>9</v>
      </c>
      <c r="J492" s="38"/>
      <c r="K492" s="14" t="s">
        <v>53</v>
      </c>
      <c r="L492" s="14" t="s">
        <v>27</v>
      </c>
      <c r="M492" s="20" t="s">
        <v>1139</v>
      </c>
      <c r="N492" s="14" t="s">
        <v>1140</v>
      </c>
      <c r="O492" s="43">
        <v>19</v>
      </c>
      <c r="R492" s="38" t="s">
        <v>104</v>
      </c>
      <c r="S492" s="38"/>
      <c r="T492" s="38"/>
      <c r="W492" s="15" t="str">
        <f>IF(IFERROR(VLOOKUP($M492,#REF!,1,0),"-")="-","","GS")</f>
        <v/>
      </c>
      <c r="Z492" s="59" t="str">
        <f>IF(OR($M492="",NOT($O492="{array}")),"",IFERROR(MATCH(PARAMETERS!$M492,DEFAULT!$B$5:$CG$5,0),""))</f>
        <v/>
      </c>
      <c r="AA492" s="56" t="str">
        <f t="shared" ref="AA492:AA524" si="34">IF($M492="","",IFERROR(MATCH($M492,VALUESnames,0),""))</f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IF($AA492="","",IF($B492="I",VLOOKUP($AA492,#REF!,53,0),INDEX(VALUES!$B$1:$CC$1,1,$AA492)))</f>
        <v/>
      </c>
    </row>
    <row r="493" spans="1:29" hidden="1" outlineLevel="1" x14ac:dyDescent="0.3">
      <c r="A493" s="22" t="s">
        <v>84</v>
      </c>
      <c r="B493" s="41" t="str">
        <f t="shared" ref="B493:B524" si="35">IF($A493="P",IF(NOT($Z493=""),"A",IF(NOT($AA493=""),"I","")),IF(NOT($AA493=""),IF($A493="G","V","X"),IF(NOT($Z493=""),"A","")))</f>
        <v/>
      </c>
      <c r="C493" s="42">
        <f t="shared" ref="C493:C525" si="36">(ROW()-1)</f>
        <v>492</v>
      </c>
      <c r="D493" s="38"/>
      <c r="E493" s="38"/>
      <c r="F493" s="38" t="s">
        <v>9</v>
      </c>
      <c r="G493" s="38"/>
      <c r="H493" s="38"/>
      <c r="I493" s="38" t="s">
        <v>9</v>
      </c>
      <c r="J493" s="38"/>
      <c r="K493" s="14" t="s">
        <v>53</v>
      </c>
      <c r="L493" s="14" t="s">
        <v>27</v>
      </c>
      <c r="M493" s="20" t="s">
        <v>1141</v>
      </c>
      <c r="N493" s="14" t="s">
        <v>1142</v>
      </c>
      <c r="O493" s="43">
        <v>19</v>
      </c>
      <c r="R493" s="38" t="s">
        <v>104</v>
      </c>
      <c r="S493" s="38"/>
      <c r="T493" s="38"/>
      <c r="W493" s="15" t="str">
        <f>IF(IFERROR(VLOOKUP($M493,#REF!,1,0),"-")="-","","GS")</f>
        <v/>
      </c>
      <c r="Z493" s="59" t="str">
        <f>IF(OR($M493="",NOT($O493="{array}")),"",IFERROR(MATCH(PARAMETERS!$M493,DEFAULT!$B$5:$CG$5,0),""))</f>
        <v/>
      </c>
      <c r="AA493" s="56" t="str">
        <f t="shared" si="34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IF($AA493="","",IF($B493="I",VLOOKUP($AA493,#REF!,53,0),INDEX(VALUES!$B$1:$CC$1,1,$AA493)))</f>
        <v/>
      </c>
    </row>
    <row r="494" spans="1:29" hidden="1" outlineLevel="1" x14ac:dyDescent="0.3">
      <c r="A494" s="22" t="s">
        <v>84</v>
      </c>
      <c r="B494" s="41" t="str">
        <f t="shared" si="35"/>
        <v/>
      </c>
      <c r="C494" s="42">
        <f t="shared" si="36"/>
        <v>493</v>
      </c>
      <c r="D494" s="38"/>
      <c r="E494" s="38"/>
      <c r="F494" s="38"/>
      <c r="G494" s="38"/>
      <c r="H494" s="38"/>
      <c r="I494" s="38" t="s">
        <v>9</v>
      </c>
      <c r="J494" s="38"/>
      <c r="K494" s="14" t="s">
        <v>53</v>
      </c>
      <c r="L494" s="14" t="s">
        <v>27</v>
      </c>
      <c r="M494" s="20" t="s">
        <v>1143</v>
      </c>
      <c r="N494" s="14" t="s">
        <v>1144</v>
      </c>
      <c r="O494" s="43">
        <v>19</v>
      </c>
      <c r="R494" s="38" t="s">
        <v>104</v>
      </c>
      <c r="S494" s="38"/>
      <c r="T494" s="38"/>
      <c r="W494" s="15" t="str">
        <f>IF(IFERROR(VLOOKUP($M494,#REF!,1,0),"-")="-","","GS")</f>
        <v/>
      </c>
      <c r="Z494" s="59" t="str">
        <f>IF(OR($M494="",NOT($O494="{array}")),"",IFERROR(MATCH(PARAMETERS!$M494,DEFAULT!$B$5:$CG$5,0),""))</f>
        <v/>
      </c>
      <c r="AA494" s="56" t="str">
        <f t="shared" si="34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IF($AA494="","",IF($B494="I",VLOOKUP($AA494,#REF!,53,0),INDEX(VALUES!$B$1:$CC$1,1,$AA494)))</f>
        <v/>
      </c>
    </row>
    <row r="495" spans="1:29" collapsed="1" x14ac:dyDescent="0.3">
      <c r="A495" s="22" t="s">
        <v>84</v>
      </c>
      <c r="B495" s="41" t="str">
        <f t="shared" si="35"/>
        <v/>
      </c>
      <c r="C495" s="42">
        <f t="shared" si="36"/>
        <v>494</v>
      </c>
      <c r="D495" s="38"/>
      <c r="E495" s="38"/>
      <c r="F495" s="38" t="s">
        <v>9</v>
      </c>
      <c r="G495" s="38"/>
      <c r="H495" s="38"/>
      <c r="I495" s="38"/>
      <c r="J495" s="38"/>
      <c r="K495" s="14" t="s">
        <v>57</v>
      </c>
      <c r="L495" s="14" t="s">
        <v>38</v>
      </c>
      <c r="M495" s="48" t="s">
        <v>1145</v>
      </c>
      <c r="N495" s="41" t="s">
        <v>1146</v>
      </c>
      <c r="R495" s="38" t="s">
        <v>104</v>
      </c>
      <c r="S495" s="38"/>
      <c r="T495" s="38"/>
      <c r="W495" s="15" t="str">
        <f>IF(IFERROR(VLOOKUP($M495,#REF!,1,0),"-")="-","","GS")</f>
        <v/>
      </c>
      <c r="Z495" s="59" t="str">
        <f>IF(OR($M495="",NOT($O495="{array}")),"",IFERROR(MATCH(PARAMETERS!$M495,DEFAULT!$B$5:$CG$5,0),""))</f>
        <v/>
      </c>
      <c r="AA495" s="56" t="str">
        <f t="shared" si="34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IF($AA495="","",IF($B495="I",VLOOKUP($AA495,#REF!,53,0),INDEX(VALUES!$B$1:$CC$1,1,$AA495)))</f>
        <v/>
      </c>
    </row>
    <row r="496" spans="1:29" hidden="1" outlineLevel="1" x14ac:dyDescent="0.3">
      <c r="A496" s="22" t="s">
        <v>84</v>
      </c>
      <c r="B496" s="41" t="str">
        <f t="shared" si="35"/>
        <v/>
      </c>
      <c r="C496" s="42">
        <f t="shared" si="36"/>
        <v>495</v>
      </c>
      <c r="D496" s="38"/>
      <c r="E496" s="38"/>
      <c r="F496" s="38"/>
      <c r="G496" s="38"/>
      <c r="H496" s="38"/>
      <c r="I496" s="38" t="s">
        <v>9</v>
      </c>
      <c r="J496" s="38"/>
      <c r="K496" s="53" t="s">
        <v>44</v>
      </c>
      <c r="L496" s="53" t="s">
        <v>27</v>
      </c>
      <c r="M496" s="157" t="s">
        <v>1505</v>
      </c>
      <c r="N496" s="53" t="s">
        <v>1506</v>
      </c>
      <c r="O496" s="155">
        <v>4</v>
      </c>
      <c r="P496" s="53"/>
      <c r="Q496" s="209"/>
      <c r="R496" s="209" t="s">
        <v>196</v>
      </c>
      <c r="S496" s="38"/>
      <c r="T496" s="38"/>
      <c r="W496" s="15" t="str">
        <f>IF(IFERROR(VLOOKUP($M496,#REF!,1,0),"-")="-","","GS")</f>
        <v/>
      </c>
      <c r="Z496" s="59" t="str">
        <f>IF(OR($M496="",NOT($O496="{array}")),"",IFERROR(MATCH(PARAMETERS!$M496,DEFAULT!$B$5:$CG$5,0),""))</f>
        <v/>
      </c>
      <c r="AA496" s="56" t="str">
        <f t="shared" si="34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IF($AA496="","",IF($B496="I",VLOOKUP($AA496,#REF!,53,0),INDEX(VALUES!$B$1:$CC$1,1,$AA496)))</f>
        <v/>
      </c>
    </row>
    <row r="497" spans="1:29" hidden="1" outlineLevel="1" x14ac:dyDescent="0.3">
      <c r="A497" s="22" t="s">
        <v>84</v>
      </c>
      <c r="B497" s="41" t="str">
        <f t="shared" si="35"/>
        <v/>
      </c>
      <c r="C497" s="42">
        <f t="shared" si="36"/>
        <v>496</v>
      </c>
      <c r="D497" s="38"/>
      <c r="E497" s="38"/>
      <c r="F497" s="38"/>
      <c r="G497" s="38"/>
      <c r="H497" s="38"/>
      <c r="I497" s="38" t="s">
        <v>9</v>
      </c>
      <c r="J497" s="38"/>
      <c r="K497" s="53" t="s">
        <v>44</v>
      </c>
      <c r="L497" s="53" t="s">
        <v>27</v>
      </c>
      <c r="M497" s="157" t="s">
        <v>1529</v>
      </c>
      <c r="N497" s="53" t="s">
        <v>1530</v>
      </c>
      <c r="O497" s="155">
        <v>4</v>
      </c>
      <c r="P497" s="53"/>
      <c r="Q497" s="209"/>
      <c r="R497" s="209" t="s">
        <v>196</v>
      </c>
      <c r="S497" s="38"/>
      <c r="T497" s="38"/>
      <c r="W497" s="15" t="str">
        <f>IF(IFERROR(VLOOKUP($M497,#REF!,1,0),"-")="-","","GS")</f>
        <v/>
      </c>
      <c r="Z497" s="59" t="str">
        <f>IF(OR($M497="",NOT($O497="{array}")),"",IFERROR(MATCH(PARAMETERS!$M497,DEFAULT!$B$5:$CG$5,0),""))</f>
        <v/>
      </c>
      <c r="AA497" s="56" t="str">
        <f t="shared" si="34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IF($AA497="","",IF($B497="I",VLOOKUP($AA497,#REF!,53,0),INDEX(VALUES!$B$1:$CC$1,1,$AA497)))</f>
        <v/>
      </c>
    </row>
    <row r="498" spans="1:29" hidden="1" outlineLevel="1" x14ac:dyDescent="0.3">
      <c r="A498" s="22" t="s">
        <v>84</v>
      </c>
      <c r="B498" s="41" t="str">
        <f t="shared" si="35"/>
        <v/>
      </c>
      <c r="C498" s="42">
        <f t="shared" si="36"/>
        <v>497</v>
      </c>
      <c r="D498" s="38"/>
      <c r="E498" s="38"/>
      <c r="F498" s="38"/>
      <c r="G498" s="38"/>
      <c r="H498" s="38"/>
      <c r="I498" s="38" t="s">
        <v>9</v>
      </c>
      <c r="J498" s="38"/>
      <c r="K498" s="53" t="s">
        <v>44</v>
      </c>
      <c r="L498" s="53" t="s">
        <v>27</v>
      </c>
      <c r="M498" s="157" t="s">
        <v>1527</v>
      </c>
      <c r="N498" s="53" t="s">
        <v>1528</v>
      </c>
      <c r="O498" s="155">
        <v>4</v>
      </c>
      <c r="P498" s="53"/>
      <c r="Q498" s="209"/>
      <c r="R498" s="209" t="s">
        <v>196</v>
      </c>
      <c r="S498" s="38"/>
      <c r="T498" s="38"/>
      <c r="W498" s="15" t="str">
        <f>IF(IFERROR(VLOOKUP($M498,#REF!,1,0),"-")="-","","GS")</f>
        <v/>
      </c>
      <c r="Z498" s="59" t="str">
        <f>IF(OR($M498="",NOT($O498="{array}")),"",IFERROR(MATCH(PARAMETERS!$M498,DEFAULT!$B$5:$CG$5,0),""))</f>
        <v/>
      </c>
      <c r="AA498" s="56" t="str">
        <f t="shared" si="34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IF($AA498="","",IF($B498="I",VLOOKUP($AA498,#REF!,53,0),INDEX(VALUES!$B$1:$CC$1,1,$AA498)))</f>
        <v/>
      </c>
    </row>
    <row r="499" spans="1:29" hidden="1" outlineLevel="1" x14ac:dyDescent="0.3">
      <c r="A499" s="22" t="s">
        <v>84</v>
      </c>
      <c r="B499" s="41" t="str">
        <f t="shared" si="35"/>
        <v/>
      </c>
      <c r="C499" s="42">
        <f t="shared" si="36"/>
        <v>498</v>
      </c>
      <c r="D499" s="38"/>
      <c r="E499" s="38"/>
      <c r="F499" s="38" t="s">
        <v>9</v>
      </c>
      <c r="G499" s="38"/>
      <c r="H499" s="38"/>
      <c r="I499" s="38" t="s">
        <v>9</v>
      </c>
      <c r="J499" s="38"/>
      <c r="K499" s="14" t="s">
        <v>44</v>
      </c>
      <c r="L499" s="14" t="s">
        <v>27</v>
      </c>
      <c r="M499" s="20" t="s">
        <v>1147</v>
      </c>
      <c r="N499" s="14" t="s">
        <v>1148</v>
      </c>
      <c r="O499" s="43">
        <v>2</v>
      </c>
      <c r="R499" s="38" t="s">
        <v>104</v>
      </c>
      <c r="S499" s="38"/>
      <c r="T499" s="38"/>
      <c r="W499" s="15" t="str">
        <f>IF(IFERROR(VLOOKUP($M499,#REF!,1,0),"-")="-","","GS")</f>
        <v/>
      </c>
      <c r="Z499" s="59" t="str">
        <f>IF(OR($M499="",NOT($O499="{array}")),"",IFERROR(MATCH(PARAMETERS!$M499,DEFAULT!$B$5:$CG$5,0),""))</f>
        <v/>
      </c>
      <c r="AA499" s="56" t="str">
        <f t="shared" si="34"/>
        <v/>
      </c>
      <c r="AB499" s="63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7" t="str">
        <f>IF($AA499="","",IF($B499="I",VLOOKUP($AA499,#REF!,53,0),INDEX(VALUES!$B$1:$CC$1,1,$AA499)))</f>
        <v/>
      </c>
    </row>
    <row r="500" spans="1:29" hidden="1" outlineLevel="1" x14ac:dyDescent="0.3">
      <c r="A500" s="22" t="s">
        <v>84</v>
      </c>
      <c r="B500" s="41" t="str">
        <f t="shared" si="35"/>
        <v/>
      </c>
      <c r="C500" s="42">
        <f t="shared" si="36"/>
        <v>499</v>
      </c>
      <c r="D500" s="38"/>
      <c r="E500" s="38"/>
      <c r="F500" s="38" t="s">
        <v>9</v>
      </c>
      <c r="G500" s="38"/>
      <c r="H500" s="38"/>
      <c r="I500" s="38" t="s">
        <v>9</v>
      </c>
      <c r="J500" s="38"/>
      <c r="K500" s="14" t="s">
        <v>31</v>
      </c>
      <c r="L500" s="14" t="s">
        <v>27</v>
      </c>
      <c r="M500" s="151" t="s">
        <v>1149</v>
      </c>
      <c r="N500" s="14" t="s">
        <v>1150</v>
      </c>
      <c r="O500" s="43">
        <v>90</v>
      </c>
      <c r="R500" s="38" t="s">
        <v>104</v>
      </c>
      <c r="S500" s="38"/>
      <c r="T500" s="38"/>
      <c r="W500" s="15" t="str">
        <f>IF(IFERROR(VLOOKUP($M500,#REF!,1,0),"-")="-","","GS")</f>
        <v/>
      </c>
      <c r="Z500" s="59" t="str">
        <f>IF(OR($M500="",NOT($O500="{array}")),"",IFERROR(MATCH(PARAMETERS!$M500,DEFAULT!$B$5:$CG$5,0),""))</f>
        <v/>
      </c>
      <c r="AA500" s="56" t="str">
        <f t="shared" si="34"/>
        <v/>
      </c>
      <c r="AB500" s="63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7" t="str">
        <f>IF($AA500="","",IF($B500="I",VLOOKUP($AA500,#REF!,53,0),INDEX(VALUES!$B$1:$CC$1,1,$AA500)))</f>
        <v/>
      </c>
    </row>
    <row r="501" spans="1:29" hidden="1" outlineLevel="1" x14ac:dyDescent="0.3">
      <c r="A501" s="22" t="s">
        <v>84</v>
      </c>
      <c r="B501" s="41" t="str">
        <f t="shared" si="35"/>
        <v/>
      </c>
      <c r="C501" s="42">
        <f t="shared" si="36"/>
        <v>500</v>
      </c>
      <c r="D501" s="38"/>
      <c r="E501" s="38"/>
      <c r="F501" s="38"/>
      <c r="G501" s="38"/>
      <c r="H501" s="38"/>
      <c r="I501" s="38" t="s">
        <v>9</v>
      </c>
      <c r="J501" s="38"/>
      <c r="K501" s="14" t="s">
        <v>31</v>
      </c>
      <c r="L501" s="14" t="s">
        <v>27</v>
      </c>
      <c r="M501" s="151" t="s">
        <v>1151</v>
      </c>
      <c r="N501" s="14" t="s">
        <v>1152</v>
      </c>
      <c r="O501" s="43">
        <v>90</v>
      </c>
      <c r="R501" s="38" t="s">
        <v>104</v>
      </c>
      <c r="S501" s="38"/>
      <c r="T501" s="38"/>
      <c r="W501" s="15" t="str">
        <f>IF(IFERROR(VLOOKUP($M501,#REF!,1,0),"-")="-","","GS")</f>
        <v/>
      </c>
      <c r="Z501" s="59" t="str">
        <f>IF(OR($M501="",NOT($O501="{array}")),"",IFERROR(MATCH(PARAMETERS!$M501,DEFAULT!$B$5:$CG$5,0),""))</f>
        <v/>
      </c>
      <c r="AA501" s="56" t="str">
        <f t="shared" si="34"/>
        <v/>
      </c>
      <c r="AB501" s="63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7" t="str">
        <f>IF($AA501="","",IF($B501="I",VLOOKUP($AA501,#REF!,53,0),INDEX(VALUES!$B$1:$CC$1,1,$AA501)))</f>
        <v/>
      </c>
    </row>
    <row r="502" spans="1:29" hidden="1" outlineLevel="1" x14ac:dyDescent="0.3">
      <c r="A502" s="22" t="s">
        <v>84</v>
      </c>
      <c r="B502" s="41" t="str">
        <f t="shared" si="35"/>
        <v/>
      </c>
      <c r="C502" s="42">
        <f t="shared" si="36"/>
        <v>501</v>
      </c>
      <c r="D502" s="38"/>
      <c r="E502" s="38"/>
      <c r="F502" s="38" t="s">
        <v>9</v>
      </c>
      <c r="G502" s="38"/>
      <c r="H502" s="38"/>
      <c r="I502" s="38" t="s">
        <v>9</v>
      </c>
      <c r="J502" s="38"/>
      <c r="K502" s="213" t="s">
        <v>31</v>
      </c>
      <c r="L502" s="213" t="s">
        <v>27</v>
      </c>
      <c r="M502" s="233" t="s">
        <v>1153</v>
      </c>
      <c r="N502" s="213" t="s">
        <v>1154</v>
      </c>
      <c r="O502" s="215">
        <v>0</v>
      </c>
      <c r="P502" s="213"/>
      <c r="Q502" s="216"/>
      <c r="R502" s="216" t="s">
        <v>104</v>
      </c>
      <c r="S502" s="38"/>
      <c r="T502" s="38"/>
      <c r="W502" s="15" t="str">
        <f>IF(IFERROR(VLOOKUP($M502,#REF!,1,0),"-")="-","","GS")</f>
        <v/>
      </c>
      <c r="Z502" s="59" t="str">
        <f>IF(OR($M502="",NOT($O502="{array}")),"",IFERROR(MATCH(PARAMETERS!$M502,DEFAULT!$B$5:$CG$5,0),""))</f>
        <v/>
      </c>
      <c r="AA502" s="56" t="str">
        <f t="shared" si="34"/>
        <v/>
      </c>
      <c r="AB502" s="63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7" t="str">
        <f>IF($AA502="","",IF($B502="I",VLOOKUP($AA502,#REF!,53,0),INDEX(VALUES!$B$1:$CC$1,1,$AA502)))</f>
        <v/>
      </c>
    </row>
    <row r="503" spans="1:29" hidden="1" outlineLevel="1" x14ac:dyDescent="0.3">
      <c r="A503" s="22" t="s">
        <v>84</v>
      </c>
      <c r="B503" s="41" t="str">
        <f t="shared" si="35"/>
        <v/>
      </c>
      <c r="C503" s="42">
        <f t="shared" si="36"/>
        <v>502</v>
      </c>
      <c r="D503" s="38"/>
      <c r="E503" s="38"/>
      <c r="F503" s="38"/>
      <c r="G503" s="38"/>
      <c r="H503" s="38"/>
      <c r="I503" s="38" t="s">
        <v>9</v>
      </c>
      <c r="J503" s="38"/>
      <c r="K503" s="213" t="s">
        <v>31</v>
      </c>
      <c r="L503" s="213" t="s">
        <v>27</v>
      </c>
      <c r="M503" s="233" t="s">
        <v>1155</v>
      </c>
      <c r="N503" s="213" t="s">
        <v>1156</v>
      </c>
      <c r="O503" s="215">
        <v>0</v>
      </c>
      <c r="P503" s="213"/>
      <c r="Q503" s="216"/>
      <c r="R503" s="216" t="s">
        <v>104</v>
      </c>
      <c r="S503" s="38"/>
      <c r="T503" s="38"/>
      <c r="W503" s="15" t="str">
        <f>IF(IFERROR(VLOOKUP($M503,#REF!,1,0),"-")="-","","GS")</f>
        <v/>
      </c>
      <c r="Z503" s="59" t="str">
        <f>IF(OR($M503="",NOT($O503="{array}")),"",IFERROR(MATCH(PARAMETERS!$M503,DEFAULT!$B$5:$CG$5,0),""))</f>
        <v/>
      </c>
      <c r="AA503" s="56" t="str">
        <f t="shared" si="34"/>
        <v/>
      </c>
      <c r="AB503" s="63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7" t="str">
        <f>IF($AA503="","",IF($B503="I",VLOOKUP($AA503,#REF!,53,0),INDEX(VALUES!$B$1:$CC$1,1,$AA503)))</f>
        <v/>
      </c>
    </row>
    <row r="504" spans="1:29" hidden="1" outlineLevel="1" x14ac:dyDescent="0.3">
      <c r="A504" s="22" t="s">
        <v>84</v>
      </c>
      <c r="B504" s="41" t="str">
        <f t="shared" si="35"/>
        <v>V</v>
      </c>
      <c r="C504" s="42">
        <f t="shared" si="36"/>
        <v>503</v>
      </c>
      <c r="D504" s="38"/>
      <c r="E504" s="38"/>
      <c r="F504" s="38" t="s">
        <v>9</v>
      </c>
      <c r="G504" s="38"/>
      <c r="H504" s="38"/>
      <c r="I504" s="38" t="s">
        <v>9</v>
      </c>
      <c r="J504" s="38"/>
      <c r="K504" s="53" t="s">
        <v>31</v>
      </c>
      <c r="L504" s="53" t="s">
        <v>27</v>
      </c>
      <c r="M504" s="157" t="s">
        <v>1540</v>
      </c>
      <c r="N504" s="53" t="s">
        <v>1541</v>
      </c>
      <c r="O504" s="155" t="s">
        <v>33</v>
      </c>
      <c r="P504" s="53"/>
      <c r="Q504" s="209" t="s">
        <v>9</v>
      </c>
      <c r="R504" s="209" t="s">
        <v>196</v>
      </c>
      <c r="S504" s="38"/>
      <c r="T504" s="38"/>
      <c r="W504" s="15" t="str">
        <f>IF(IFERROR(VLOOKUP($M504,#REF!,1,0),"-")="-","","GS")</f>
        <v/>
      </c>
      <c r="Z504" s="59">
        <f>IF(OR($M504="",NOT($O504="{array}")),"",IFERROR(MATCH(PARAMETERS!$M504,DEFAULT!$B$5:$CG$5,0),""))</f>
        <v>72</v>
      </c>
      <c r="AA504" s="56">
        <f t="shared" si="34"/>
        <v>54</v>
      </c>
      <c r="AB504" s="63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17" t="str">
        <f>IF($AA504="","",IF($B504="I",VLOOKUP($AA504,#REF!,53,0),INDEX(VALUES!$B$1:$CC$1,1,$AA504)))</f>
        <v>0 | 10 | 15 | 30 | 45 | 60 | 90</v>
      </c>
    </row>
    <row r="505" spans="1:29" hidden="1" outlineLevel="1" x14ac:dyDescent="0.3">
      <c r="A505" s="22" t="s">
        <v>84</v>
      </c>
      <c r="B505" s="41" t="str">
        <f t="shared" si="35"/>
        <v/>
      </c>
      <c r="C505" s="42">
        <f t="shared" si="36"/>
        <v>504</v>
      </c>
      <c r="D505" s="38"/>
      <c r="E505" s="38"/>
      <c r="F505" s="38"/>
      <c r="G505" s="38"/>
      <c r="H505" s="38"/>
      <c r="I505" s="38" t="s">
        <v>9</v>
      </c>
      <c r="J505" s="38"/>
      <c r="K505" s="53" t="s">
        <v>47</v>
      </c>
      <c r="L505" s="53" t="s">
        <v>27</v>
      </c>
      <c r="M505" s="157" t="s">
        <v>1632</v>
      </c>
      <c r="N505" s="53" t="s">
        <v>1631</v>
      </c>
      <c r="O505" s="155">
        <v>1</v>
      </c>
      <c r="P505" s="53"/>
      <c r="Q505" s="209"/>
      <c r="R505" s="209" t="s">
        <v>196</v>
      </c>
      <c r="S505" s="38"/>
      <c r="T505" s="38"/>
      <c r="W505" s="15"/>
      <c r="AC505" s="17"/>
    </row>
    <row r="506" spans="1:29" hidden="1" outlineLevel="1" x14ac:dyDescent="0.3">
      <c r="A506" s="22" t="s">
        <v>84</v>
      </c>
      <c r="B506" s="41" t="str">
        <f t="shared" si="35"/>
        <v/>
      </c>
      <c r="C506" s="42">
        <f t="shared" si="36"/>
        <v>505</v>
      </c>
      <c r="D506" s="38"/>
      <c r="E506" s="38"/>
      <c r="F506" s="38"/>
      <c r="G506" s="38"/>
      <c r="H506" s="38"/>
      <c r="I506" s="38" t="s">
        <v>9</v>
      </c>
      <c r="J506" s="38"/>
      <c r="K506" s="14" t="s">
        <v>47</v>
      </c>
      <c r="L506" s="14" t="s">
        <v>27</v>
      </c>
      <c r="M506" s="20" t="s">
        <v>1157</v>
      </c>
      <c r="N506" s="14" t="s">
        <v>1158</v>
      </c>
      <c r="O506" s="43">
        <v>1</v>
      </c>
      <c r="R506" s="38" t="s">
        <v>104</v>
      </c>
      <c r="S506" s="38"/>
      <c r="T506" s="38"/>
      <c r="W506" s="15" t="str">
        <f>IF(IFERROR(VLOOKUP($M506,#REF!,1,0),"-")="-","","GS")</f>
        <v/>
      </c>
      <c r="Z506" s="59" t="str">
        <f>IF(OR($M506="",NOT($O506="{array}")),"",IFERROR(MATCH(PARAMETERS!$M506,DEFAULT!$B$5:$CG$5,0),""))</f>
        <v/>
      </c>
      <c r="AA506" s="56" t="str">
        <f t="shared" si="34"/>
        <v/>
      </c>
      <c r="AB506" s="63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7" t="str">
        <f>IF($AA506="","",IF($B506="I",VLOOKUP($AA506,#REF!,53,0),INDEX(VALUES!$B$1:$CC$1,1,$AA506)))</f>
        <v/>
      </c>
    </row>
    <row r="507" spans="1:29" hidden="1" outlineLevel="1" x14ac:dyDescent="0.3">
      <c r="A507" s="22" t="s">
        <v>84</v>
      </c>
      <c r="B507" s="41" t="str">
        <f t="shared" si="35"/>
        <v/>
      </c>
      <c r="C507" s="42">
        <f t="shared" si="36"/>
        <v>506</v>
      </c>
      <c r="D507" s="38"/>
      <c r="E507" s="38"/>
      <c r="F507" s="38" t="s">
        <v>9</v>
      </c>
      <c r="G507" s="38"/>
      <c r="H507" s="38" t="s">
        <v>9</v>
      </c>
      <c r="I507" s="38" t="s">
        <v>9</v>
      </c>
      <c r="J507" s="38"/>
      <c r="K507" s="14" t="s">
        <v>47</v>
      </c>
      <c r="L507" s="14" t="s">
        <v>27</v>
      </c>
      <c r="M507" s="20" t="s">
        <v>1159</v>
      </c>
      <c r="N507" s="14" t="s">
        <v>1160</v>
      </c>
      <c r="O507" s="43">
        <v>0</v>
      </c>
      <c r="R507" s="38" t="s">
        <v>104</v>
      </c>
      <c r="S507" s="38"/>
      <c r="T507" s="38"/>
      <c r="W507" s="15" t="str">
        <f>IF(IFERROR(VLOOKUP($M507,#REF!,1,0),"-")="-","","GS")</f>
        <v/>
      </c>
      <c r="Z507" s="59" t="str">
        <f>IF(OR($M507="",NOT($O507="{array}")),"",IFERROR(MATCH(PARAMETERS!$M507,DEFAULT!$B$5:$CG$5,0),""))</f>
        <v/>
      </c>
      <c r="AA507" s="56" t="str">
        <f t="shared" si="34"/>
        <v/>
      </c>
      <c r="AB507" s="63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17" t="str">
        <f>IF($AA507="","",IF($B507="I",VLOOKUP($AA507,#REF!,53,0),INDEX(VALUES!$B$1:$CC$1,1,$AA507)))</f>
        <v/>
      </c>
    </row>
    <row r="508" spans="1:29" hidden="1" outlineLevel="1" x14ac:dyDescent="0.3">
      <c r="A508" s="22" t="s">
        <v>84</v>
      </c>
      <c r="B508" s="41" t="str">
        <f t="shared" si="35"/>
        <v/>
      </c>
      <c r="C508" s="42">
        <f t="shared" si="36"/>
        <v>507</v>
      </c>
      <c r="D508" s="38"/>
      <c r="E508" s="38"/>
      <c r="F508" s="38" t="s">
        <v>9</v>
      </c>
      <c r="G508" s="38"/>
      <c r="H508" s="38"/>
      <c r="I508" s="38" t="s">
        <v>9</v>
      </c>
      <c r="J508" s="38"/>
      <c r="K508" s="14" t="s">
        <v>47</v>
      </c>
      <c r="L508" s="14" t="s">
        <v>27</v>
      </c>
      <c r="M508" s="20" t="s">
        <v>1161</v>
      </c>
      <c r="N508" s="14" t="s">
        <v>1162</v>
      </c>
      <c r="O508" s="43">
        <v>1</v>
      </c>
      <c r="R508" s="38" t="s">
        <v>104</v>
      </c>
      <c r="S508" s="38"/>
      <c r="T508" s="38"/>
      <c r="W508" s="15" t="str">
        <f>IF(IFERROR(VLOOKUP($M508,#REF!,1,0),"-")="-","","GS")</f>
        <v/>
      </c>
      <c r="Z508" s="59" t="str">
        <f>IF(OR($M508="",NOT($O508="{array}")),"",IFERROR(MATCH(PARAMETERS!$M508,DEFAULT!$B$5:$CG$5,0),""))</f>
        <v/>
      </c>
      <c r="AA508" s="56" t="str">
        <f t="shared" si="34"/>
        <v/>
      </c>
      <c r="AB508" s="63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17" t="str">
        <f>IF($AA508="","",IF($B508="I",VLOOKUP($AA508,#REF!,53,0),INDEX(VALUES!$B$1:$CC$1,1,$AA508)))</f>
        <v/>
      </c>
    </row>
    <row r="509" spans="1:29" hidden="1" outlineLevel="1" x14ac:dyDescent="0.3">
      <c r="A509" s="22" t="s">
        <v>84</v>
      </c>
      <c r="B509" s="41" t="str">
        <f t="shared" si="35"/>
        <v/>
      </c>
      <c r="C509" s="42">
        <f t="shared" si="36"/>
        <v>508</v>
      </c>
      <c r="D509" s="38"/>
      <c r="E509" s="38"/>
      <c r="F509" s="38" t="s">
        <v>9</v>
      </c>
      <c r="G509" s="38"/>
      <c r="H509" s="38"/>
      <c r="I509" s="38" t="s">
        <v>9</v>
      </c>
      <c r="J509" s="38"/>
      <c r="K509" s="14" t="s">
        <v>51</v>
      </c>
      <c r="L509" s="14" t="s">
        <v>27</v>
      </c>
      <c r="M509" s="151" t="s">
        <v>1163</v>
      </c>
      <c r="N509" s="14" t="s">
        <v>1164</v>
      </c>
      <c r="O509" s="43">
        <v>1</v>
      </c>
      <c r="R509" s="38" t="s">
        <v>104</v>
      </c>
      <c r="S509" s="38"/>
      <c r="T509" s="38"/>
      <c r="W509" s="15" t="str">
        <f>IF(IFERROR(VLOOKUP($M509,#REF!,1,0),"-")="-","","GS")</f>
        <v/>
      </c>
      <c r="Z509" s="59" t="str">
        <f>IF(OR($M509="",NOT($O509="{array}")),"",IFERROR(MATCH(PARAMETERS!$M509,DEFAULT!$B$5:$CG$5,0),""))</f>
        <v/>
      </c>
      <c r="AA509" s="56" t="str">
        <f t="shared" si="34"/>
        <v/>
      </c>
      <c r="AB509" s="63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17" t="str">
        <f>IF($AA509="","",IF($B509="I",VLOOKUP($AA509,#REF!,53,0),INDEX(VALUES!$B$1:$CC$1,1,$AA509)))</f>
        <v/>
      </c>
    </row>
    <row r="510" spans="1:29" hidden="1" outlineLevel="1" x14ac:dyDescent="0.3">
      <c r="A510" s="22" t="s">
        <v>84</v>
      </c>
      <c r="B510" s="41" t="str">
        <f t="shared" si="35"/>
        <v/>
      </c>
      <c r="C510" s="42">
        <f t="shared" si="36"/>
        <v>509</v>
      </c>
      <c r="D510" s="38"/>
      <c r="E510" s="38"/>
      <c r="F510" s="38" t="s">
        <v>9</v>
      </c>
      <c r="G510" s="38"/>
      <c r="H510" s="38"/>
      <c r="I510" s="38" t="s">
        <v>9</v>
      </c>
      <c r="J510" s="38"/>
      <c r="K510" s="14" t="s">
        <v>51</v>
      </c>
      <c r="L510" s="14" t="s">
        <v>27</v>
      </c>
      <c r="M510" s="151" t="s">
        <v>1165</v>
      </c>
      <c r="N510" s="14" t="s">
        <v>1166</v>
      </c>
      <c r="O510" s="43">
        <v>4</v>
      </c>
      <c r="R510" s="38" t="s">
        <v>104</v>
      </c>
      <c r="S510" s="38"/>
      <c r="T510" s="38"/>
      <c r="W510" s="15" t="str">
        <f>IF(IFERROR(VLOOKUP($M510,#REF!,1,0),"-")="-","","GS")</f>
        <v/>
      </c>
      <c r="Z510" s="59" t="str">
        <f>IF(OR($M510="",NOT($O510="{array}")),"",IFERROR(MATCH(PARAMETERS!$M510,DEFAULT!$B$5:$CG$5,0),""))</f>
        <v/>
      </c>
      <c r="AA510" s="56" t="str">
        <f t="shared" si="34"/>
        <v/>
      </c>
      <c r="AB510" s="63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7" t="str">
        <f>IF($AA510="","",IF($B510="I",VLOOKUP($AA510,#REF!,53,0),INDEX(VALUES!$B$1:$CC$1,1,$AA510)))</f>
        <v/>
      </c>
    </row>
    <row r="511" spans="1:29" hidden="1" outlineLevel="1" x14ac:dyDescent="0.3">
      <c r="A511" s="22" t="s">
        <v>84</v>
      </c>
      <c r="B511" s="41" t="str">
        <f t="shared" si="35"/>
        <v/>
      </c>
      <c r="C511" s="42">
        <f t="shared" si="36"/>
        <v>510</v>
      </c>
      <c r="D511" s="38"/>
      <c r="E511" s="38"/>
      <c r="F511" s="38" t="s">
        <v>9</v>
      </c>
      <c r="G511" s="38"/>
      <c r="H511" s="38"/>
      <c r="I511" s="38" t="s">
        <v>9</v>
      </c>
      <c r="J511" s="38"/>
      <c r="K511" s="14" t="s">
        <v>18</v>
      </c>
      <c r="L511" s="14" t="s">
        <v>27</v>
      </c>
      <c r="M511" s="20" t="s">
        <v>1167</v>
      </c>
      <c r="N511" s="14" t="s">
        <v>1168</v>
      </c>
      <c r="O511" s="43" t="s">
        <v>1169</v>
      </c>
      <c r="R511" s="38" t="s">
        <v>104</v>
      </c>
      <c r="S511" s="38"/>
      <c r="T511" s="38"/>
      <c r="W511" s="15" t="str">
        <f>IF(IFERROR(VLOOKUP($M511,#REF!,1,0),"-")="-","","GS")</f>
        <v/>
      </c>
      <c r="Z511" s="59" t="str">
        <f>IF(OR($M511="",NOT($O511="{array}")),"",IFERROR(MATCH(PARAMETERS!$M511,DEFAULT!$B$5:$CG$5,0),""))</f>
        <v/>
      </c>
      <c r="AA511" s="56" t="str">
        <f t="shared" si="34"/>
        <v/>
      </c>
      <c r="AB511" s="63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17" t="str">
        <f>IF($AA511="","",IF($B511="I",VLOOKUP($AA511,#REF!,53,0),INDEX(VALUES!$B$1:$CC$1,1,$AA511)))</f>
        <v/>
      </c>
    </row>
    <row r="512" spans="1:29" hidden="1" outlineLevel="1" x14ac:dyDescent="0.3">
      <c r="A512" s="22" t="s">
        <v>84</v>
      </c>
      <c r="B512" s="41" t="str">
        <f t="shared" si="35"/>
        <v/>
      </c>
      <c r="C512" s="42">
        <f t="shared" si="36"/>
        <v>511</v>
      </c>
      <c r="D512" s="38"/>
      <c r="E512" s="38"/>
      <c r="F512" s="38" t="s">
        <v>9</v>
      </c>
      <c r="G512" s="38" t="s">
        <v>9</v>
      </c>
      <c r="H512" s="38"/>
      <c r="I512" s="38" t="s">
        <v>9</v>
      </c>
      <c r="J512" s="38"/>
      <c r="K512" s="14" t="s">
        <v>44</v>
      </c>
      <c r="L512" s="14" t="s">
        <v>27</v>
      </c>
      <c r="M512" s="20" t="s">
        <v>1170</v>
      </c>
      <c r="N512" s="14" t="s">
        <v>1168</v>
      </c>
      <c r="O512" s="43">
        <v>1</v>
      </c>
      <c r="R512" s="38" t="s">
        <v>104</v>
      </c>
      <c r="S512" s="38"/>
      <c r="T512" s="38"/>
      <c r="W512" s="15" t="str">
        <f>IF(IFERROR(VLOOKUP($M512,#REF!,1,0),"-")="-","","GS")</f>
        <v/>
      </c>
      <c r="Z512" s="59" t="str">
        <f>IF(OR($M512="",NOT($O512="{array}")),"",IFERROR(MATCH(PARAMETERS!$M512,DEFAULT!$B$5:$CG$5,0),""))</f>
        <v/>
      </c>
      <c r="AA512" s="56" t="str">
        <f t="shared" si="34"/>
        <v/>
      </c>
      <c r="AB512" s="63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7" t="str">
        <f>IF($AA512="","",IF($B512="I",VLOOKUP($AA512,#REF!,53,0),INDEX(VALUES!$B$1:$CC$1,1,$AA512)))</f>
        <v/>
      </c>
    </row>
    <row r="513" spans="1:29" hidden="1" outlineLevel="1" x14ac:dyDescent="0.3">
      <c r="A513" s="22" t="s">
        <v>84</v>
      </c>
      <c r="B513" s="41" t="str">
        <f t="shared" si="35"/>
        <v/>
      </c>
      <c r="C513" s="42">
        <f t="shared" si="36"/>
        <v>512</v>
      </c>
      <c r="D513" s="38"/>
      <c r="E513" s="38"/>
      <c r="F513" s="38" t="s">
        <v>9</v>
      </c>
      <c r="G513" s="38"/>
      <c r="H513" s="38"/>
      <c r="I513" s="38" t="s">
        <v>9</v>
      </c>
      <c r="J513" s="38"/>
      <c r="K513" s="14" t="s">
        <v>18</v>
      </c>
      <c r="L513" s="14" t="s">
        <v>27</v>
      </c>
      <c r="M513" s="20" t="s">
        <v>1171</v>
      </c>
      <c r="N513" s="14" t="s">
        <v>1168</v>
      </c>
      <c r="O513" s="43" t="s">
        <v>1172</v>
      </c>
      <c r="R513" s="38" t="s">
        <v>104</v>
      </c>
      <c r="S513" s="38"/>
      <c r="T513" s="38"/>
      <c r="W513" s="15" t="str">
        <f>IF(IFERROR(VLOOKUP($M513,#REF!,1,0),"-")="-","","GS")</f>
        <v/>
      </c>
      <c r="Z513" s="59" t="str">
        <f>IF(OR($M513="",NOT($O513="{array}")),"",IFERROR(MATCH(PARAMETERS!$M513,DEFAULT!$B$5:$CG$5,0),""))</f>
        <v/>
      </c>
      <c r="AA513" s="56" t="str">
        <f t="shared" si="34"/>
        <v/>
      </c>
      <c r="AB513" s="63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7" t="str">
        <f>IF($AA513="","",IF($B513="I",VLOOKUP($AA513,#REF!,53,0),INDEX(VALUES!$B$1:$CC$1,1,$AA513)))</f>
        <v/>
      </c>
    </row>
    <row r="514" spans="1:29" hidden="1" outlineLevel="1" x14ac:dyDescent="0.3">
      <c r="A514" s="22" t="s">
        <v>84</v>
      </c>
      <c r="B514" s="41" t="str">
        <f t="shared" si="35"/>
        <v/>
      </c>
      <c r="C514" s="42">
        <f t="shared" si="36"/>
        <v>513</v>
      </c>
      <c r="D514" s="38"/>
      <c r="E514" s="38"/>
      <c r="F514" s="38" t="s">
        <v>9</v>
      </c>
      <c r="G514" s="38" t="s">
        <v>9</v>
      </c>
      <c r="H514" s="38"/>
      <c r="I514" s="38" t="s">
        <v>9</v>
      </c>
      <c r="J514" s="38"/>
      <c r="K514" s="14" t="s">
        <v>44</v>
      </c>
      <c r="L514" s="14" t="s">
        <v>27</v>
      </c>
      <c r="M514" s="20" t="s">
        <v>1173</v>
      </c>
      <c r="N514" s="14" t="s">
        <v>1168</v>
      </c>
      <c r="O514" s="43">
        <v>0</v>
      </c>
      <c r="R514" s="38" t="s">
        <v>104</v>
      </c>
      <c r="S514" s="38"/>
      <c r="T514" s="38"/>
      <c r="W514" s="15" t="str">
        <f>IF(IFERROR(VLOOKUP($M514,#REF!,1,0),"-")="-","","GS")</f>
        <v/>
      </c>
      <c r="Z514" s="59" t="str">
        <f>IF(OR($M514="",NOT($O514="{array}")),"",IFERROR(MATCH(PARAMETERS!$M514,DEFAULT!$B$5:$CG$5,0),""))</f>
        <v/>
      </c>
      <c r="AA514" s="56" t="str">
        <f t="shared" si="34"/>
        <v/>
      </c>
      <c r="AB514" s="63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7" t="str">
        <f>IF($AA514="","",IF($B514="I",VLOOKUP($AA514,#REF!,53,0),INDEX(VALUES!$B$1:$CC$1,1,$AA514)))</f>
        <v/>
      </c>
    </row>
    <row r="515" spans="1:29" hidden="1" outlineLevel="1" x14ac:dyDescent="0.3">
      <c r="A515" s="22" t="s">
        <v>84</v>
      </c>
      <c r="B515" s="41" t="str">
        <f t="shared" si="35"/>
        <v/>
      </c>
      <c r="C515" s="42">
        <f t="shared" si="36"/>
        <v>514</v>
      </c>
      <c r="D515" s="38"/>
      <c r="E515" s="38"/>
      <c r="F515" s="38" t="s">
        <v>9</v>
      </c>
      <c r="G515" s="38"/>
      <c r="H515" s="38"/>
      <c r="I515" s="38" t="s">
        <v>9</v>
      </c>
      <c r="J515" s="38"/>
      <c r="K515" s="53" t="s">
        <v>44</v>
      </c>
      <c r="L515" s="53" t="s">
        <v>27</v>
      </c>
      <c r="M515" s="157" t="s">
        <v>1534</v>
      </c>
      <c r="N515" s="53" t="s">
        <v>1531</v>
      </c>
      <c r="O515" s="155">
        <v>1</v>
      </c>
      <c r="P515" s="53"/>
      <c r="Q515" s="209"/>
      <c r="R515" s="209" t="s">
        <v>196</v>
      </c>
      <c r="S515" s="38"/>
      <c r="T515" s="38"/>
      <c r="W515" s="15"/>
      <c r="Z515" s="59" t="str">
        <f>IF(OR($M515="",NOT($O515="{array}")),"",IFERROR(MATCH(PARAMETERS!$M515,DEFAULT!$B$5:$CG$5,0),""))</f>
        <v/>
      </c>
      <c r="AA515" s="56" t="str">
        <f t="shared" si="34"/>
        <v/>
      </c>
      <c r="AB515" s="63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17" t="str">
        <f>IF($AA515="","",IF($B515="I",VLOOKUP($AA515,#REF!,53,0),INDEX(VALUES!$B$1:$CC$1,1,$AA515)))</f>
        <v/>
      </c>
    </row>
    <row r="516" spans="1:29" hidden="1" outlineLevel="1" x14ac:dyDescent="0.3">
      <c r="A516" s="22" t="s">
        <v>84</v>
      </c>
      <c r="B516" s="41" t="str">
        <f t="shared" si="35"/>
        <v/>
      </c>
      <c r="C516" s="42">
        <f t="shared" si="36"/>
        <v>515</v>
      </c>
      <c r="D516" s="38"/>
      <c r="E516" s="38"/>
      <c r="F516" s="38" t="s">
        <v>9</v>
      </c>
      <c r="G516" s="38"/>
      <c r="H516" s="38"/>
      <c r="I516" s="38" t="s">
        <v>9</v>
      </c>
      <c r="J516" s="38"/>
      <c r="K516" s="53" t="s">
        <v>44</v>
      </c>
      <c r="L516" s="53" t="s">
        <v>27</v>
      </c>
      <c r="M516" s="157" t="s">
        <v>1535</v>
      </c>
      <c r="N516" s="53" t="s">
        <v>1532</v>
      </c>
      <c r="O516" s="155">
        <v>1</v>
      </c>
      <c r="P516" s="53"/>
      <c r="Q516" s="209"/>
      <c r="R516" s="209" t="s">
        <v>196</v>
      </c>
      <c r="S516" s="38"/>
      <c r="T516" s="38"/>
      <c r="W516" s="15"/>
      <c r="Z516" s="59" t="str">
        <f>IF(OR($M516="",NOT($O516="{array}")),"",IFERROR(MATCH(PARAMETERS!$M516,DEFAULT!$B$5:$CG$5,0),""))</f>
        <v/>
      </c>
      <c r="AA516" s="56" t="str">
        <f t="shared" si="34"/>
        <v/>
      </c>
      <c r="AB516" s="63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17" t="str">
        <f>IF($AA516="","",IF($B516="I",VLOOKUP($AA516,#REF!,53,0),INDEX(VALUES!$B$1:$CC$1,1,$AA516)))</f>
        <v/>
      </c>
    </row>
    <row r="517" spans="1:29" hidden="1" outlineLevel="1" x14ac:dyDescent="0.3">
      <c r="A517" s="22" t="s">
        <v>84</v>
      </c>
      <c r="B517" s="41" t="str">
        <f t="shared" si="35"/>
        <v/>
      </c>
      <c r="C517" s="42">
        <f t="shared" si="36"/>
        <v>516</v>
      </c>
      <c r="D517" s="38"/>
      <c r="E517" s="38"/>
      <c r="F517" s="38" t="s">
        <v>9</v>
      </c>
      <c r="G517" s="38"/>
      <c r="H517" s="38"/>
      <c r="I517" s="38" t="s">
        <v>9</v>
      </c>
      <c r="J517" s="38"/>
      <c r="K517" s="53" t="s">
        <v>44</v>
      </c>
      <c r="L517" s="53" t="s">
        <v>27</v>
      </c>
      <c r="M517" s="157" t="s">
        <v>1536</v>
      </c>
      <c r="N517" s="53" t="s">
        <v>1533</v>
      </c>
      <c r="O517" s="155">
        <v>1</v>
      </c>
      <c r="P517" s="53"/>
      <c r="Q517" s="209"/>
      <c r="R517" s="209" t="s">
        <v>196</v>
      </c>
      <c r="S517" s="38"/>
      <c r="T517" s="38"/>
      <c r="W517" s="15"/>
      <c r="Z517" s="59" t="str">
        <f>IF(OR($M517="",NOT($O517="{array}")),"",IFERROR(MATCH(PARAMETERS!$M517,DEFAULT!$B$5:$CG$5,0),""))</f>
        <v/>
      </c>
      <c r="AA517" s="56" t="str">
        <f t="shared" si="34"/>
        <v/>
      </c>
      <c r="AB517" s="63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17" t="str">
        <f>IF($AA517="","",IF($B517="I",VLOOKUP($AA517,#REF!,53,0),INDEX(VALUES!$B$1:$CC$1,1,$AA517)))</f>
        <v/>
      </c>
    </row>
    <row r="518" spans="1:29" hidden="1" outlineLevel="1" x14ac:dyDescent="0.3">
      <c r="A518" s="22" t="s">
        <v>84</v>
      </c>
      <c r="B518" s="41" t="str">
        <f t="shared" si="35"/>
        <v/>
      </c>
      <c r="C518" s="42">
        <f t="shared" si="36"/>
        <v>517</v>
      </c>
      <c r="D518" s="38"/>
      <c r="E518" s="38"/>
      <c r="F518" s="38" t="s">
        <v>9</v>
      </c>
      <c r="G518" s="38"/>
      <c r="H518" s="38"/>
      <c r="I518" s="38" t="s">
        <v>9</v>
      </c>
      <c r="J518" s="38"/>
      <c r="K518" s="14" t="s">
        <v>53</v>
      </c>
      <c r="L518" s="14" t="s">
        <v>27</v>
      </c>
      <c r="M518" s="222" t="s">
        <v>1174</v>
      </c>
      <c r="N518" s="14" t="s">
        <v>1175</v>
      </c>
      <c r="O518" s="43">
        <v>1</v>
      </c>
      <c r="R518" s="38" t="s">
        <v>104</v>
      </c>
      <c r="S518" s="38"/>
      <c r="T518" s="38"/>
      <c r="W518" s="15" t="str">
        <f>IF(IFERROR(VLOOKUP($M518,#REF!,1,0),"-")="-","","GS")</f>
        <v/>
      </c>
      <c r="Z518" s="59" t="str">
        <f>IF(OR($M518="",NOT($O518="{array}")),"",IFERROR(MATCH(PARAMETERS!$M518,DEFAULT!$B$5:$CG$5,0),""))</f>
        <v/>
      </c>
      <c r="AA518" s="56" t="str">
        <f t="shared" si="34"/>
        <v/>
      </c>
      <c r="AB518" s="63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7" t="str">
        <f>IF($AA518="","",IF($B518="I",VLOOKUP($AA518,#REF!,53,0),INDEX(VALUES!$B$1:$CC$1,1,$AA518)))</f>
        <v/>
      </c>
    </row>
    <row r="519" spans="1:29" hidden="1" outlineLevel="1" x14ac:dyDescent="0.3">
      <c r="A519" s="22" t="s">
        <v>84</v>
      </c>
      <c r="B519" s="41" t="str">
        <f t="shared" si="35"/>
        <v/>
      </c>
      <c r="C519" s="42">
        <f t="shared" si="36"/>
        <v>518</v>
      </c>
      <c r="D519" s="38"/>
      <c r="E519" s="38"/>
      <c r="F519" s="38" t="s">
        <v>9</v>
      </c>
      <c r="G519" s="38" t="s">
        <v>9</v>
      </c>
      <c r="H519" s="38"/>
      <c r="I519" s="38" t="s">
        <v>9</v>
      </c>
      <c r="J519" s="38"/>
      <c r="K519" s="14" t="s">
        <v>44</v>
      </c>
      <c r="L519" s="14" t="s">
        <v>27</v>
      </c>
      <c r="M519" s="222" t="s">
        <v>1176</v>
      </c>
      <c r="N519" s="14" t="s">
        <v>1175</v>
      </c>
      <c r="O519" s="43">
        <v>1</v>
      </c>
      <c r="R519" s="38" t="s">
        <v>104</v>
      </c>
      <c r="S519" s="38"/>
      <c r="T519" s="38"/>
      <c r="W519" s="15" t="str">
        <f>IF(IFERROR(VLOOKUP($M519,#REF!,1,0),"-")="-","","GS")</f>
        <v/>
      </c>
      <c r="Z519" s="59" t="str">
        <f>IF(OR($M519="",NOT($O519="{array}")),"",IFERROR(MATCH(PARAMETERS!$M519,DEFAULT!$B$5:$CG$5,0),""))</f>
        <v/>
      </c>
      <c r="AA519" s="56" t="str">
        <f t="shared" si="34"/>
        <v/>
      </c>
      <c r="AB519" s="63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7" t="str">
        <f>IF($AA519="","",IF($B519="I",VLOOKUP($AA519,#REF!,53,0),INDEX(VALUES!$B$1:$CC$1,1,$AA519)))</f>
        <v/>
      </c>
    </row>
    <row r="520" spans="1:29" hidden="1" outlineLevel="1" x14ac:dyDescent="0.3">
      <c r="A520" s="22" t="s">
        <v>84</v>
      </c>
      <c r="B520" s="41" t="str">
        <f t="shared" si="35"/>
        <v/>
      </c>
      <c r="C520" s="42">
        <f t="shared" si="36"/>
        <v>519</v>
      </c>
      <c r="D520" s="38"/>
      <c r="E520" s="38"/>
      <c r="F520" s="38" t="s">
        <v>9</v>
      </c>
      <c r="G520" s="38"/>
      <c r="H520" s="38" t="s">
        <v>9</v>
      </c>
      <c r="I520" s="38" t="s">
        <v>9</v>
      </c>
      <c r="J520" s="38"/>
      <c r="K520" s="14" t="s">
        <v>47</v>
      </c>
      <c r="L520" s="14" t="s">
        <v>27</v>
      </c>
      <c r="M520" s="20" t="s">
        <v>1177</v>
      </c>
      <c r="N520" s="14" t="s">
        <v>1178</v>
      </c>
      <c r="O520" s="43">
        <v>1</v>
      </c>
      <c r="R520" s="38" t="s">
        <v>104</v>
      </c>
      <c r="S520" s="38"/>
      <c r="T520" s="38"/>
      <c r="W520" s="15" t="str">
        <f>IF(IFERROR(VLOOKUP($M520,#REF!,1,0),"-")="-","","GS")</f>
        <v/>
      </c>
      <c r="Z520" s="59" t="str">
        <f>IF(OR($M520="",NOT($O520="{array}")),"",IFERROR(MATCH(PARAMETERS!$M520,DEFAULT!$B$5:$CG$5,0),""))</f>
        <v/>
      </c>
      <c r="AA520" s="56" t="str">
        <f t="shared" si="34"/>
        <v/>
      </c>
      <c r="AB520" s="63" t="str">
        <f>IF(AND(OR($A520="G",$A520="P"),NOT($O520="{array}")),IF(VLOOKUP($K520,base!$B$2:$D$20,3,0)="S",IF(OR($O520="",ISTEXT($O520)),"","STRING!"),IF(VLOOKUP($K520,base!$B$2:$D$20,3,0)="","",IF(ISTEXT($O520),"NUMERIC!",""))),"")</f>
        <v/>
      </c>
      <c r="AC520" s="17" t="str">
        <f>IF($AA520="","",IF($B520="I",VLOOKUP($AA520,#REF!,53,0),INDEX(VALUES!$B$1:$CC$1,1,$AA520)))</f>
        <v/>
      </c>
    </row>
    <row r="521" spans="1:29" hidden="1" outlineLevel="1" x14ac:dyDescent="0.3">
      <c r="A521" s="22" t="s">
        <v>84</v>
      </c>
      <c r="B521" s="41" t="str">
        <f t="shared" si="35"/>
        <v/>
      </c>
      <c r="C521" s="42">
        <f t="shared" si="36"/>
        <v>520</v>
      </c>
      <c r="D521" s="38"/>
      <c r="E521" s="38"/>
      <c r="F521" s="38" t="s">
        <v>9</v>
      </c>
      <c r="G521" s="38"/>
      <c r="H521" s="38"/>
      <c r="I521" s="38" t="s">
        <v>9</v>
      </c>
      <c r="J521" s="38"/>
      <c r="K521" s="14" t="s">
        <v>47</v>
      </c>
      <c r="L521" s="14" t="s">
        <v>27</v>
      </c>
      <c r="M521" s="20" t="s">
        <v>1179</v>
      </c>
      <c r="N521" s="14" t="s">
        <v>1180</v>
      </c>
      <c r="O521" s="43">
        <v>1</v>
      </c>
      <c r="R521" s="38" t="s">
        <v>104</v>
      </c>
      <c r="S521" s="38"/>
      <c r="T521" s="38"/>
      <c r="W521" s="15" t="str">
        <f>IF(IFERROR(VLOOKUP($M521,#REF!,1,0),"-")="-","","GS")</f>
        <v/>
      </c>
      <c r="Z521" s="59" t="str">
        <f>IF(OR($M521="",NOT($O521="{array}")),"",IFERROR(MATCH(PARAMETERS!$M521,DEFAULT!$B$5:$CG$5,0),""))</f>
        <v/>
      </c>
      <c r="AA521" s="56" t="str">
        <f t="shared" si="34"/>
        <v/>
      </c>
      <c r="AB521" s="63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7" t="str">
        <f>IF($AA521="","",IF($B521="I",VLOOKUP($AA521,#REF!,53,0),INDEX(VALUES!$B$1:$CC$1,1,$AA521)))</f>
        <v/>
      </c>
    </row>
    <row r="522" spans="1:29" hidden="1" outlineLevel="1" x14ac:dyDescent="0.3">
      <c r="A522" s="22" t="s">
        <v>84</v>
      </c>
      <c r="B522" s="41" t="str">
        <f t="shared" si="35"/>
        <v/>
      </c>
      <c r="C522" s="42">
        <f t="shared" si="36"/>
        <v>521</v>
      </c>
      <c r="D522" s="38"/>
      <c r="E522" s="38"/>
      <c r="F522" s="38" t="s">
        <v>9</v>
      </c>
      <c r="G522" s="38"/>
      <c r="H522" s="38"/>
      <c r="I522" s="38" t="s">
        <v>9</v>
      </c>
      <c r="J522" s="38"/>
      <c r="K522" s="14" t="s">
        <v>18</v>
      </c>
      <c r="L522" s="14" t="s">
        <v>27</v>
      </c>
      <c r="M522" s="20" t="s">
        <v>1181</v>
      </c>
      <c r="N522" s="14" t="s">
        <v>1182</v>
      </c>
      <c r="O522" s="43" t="s">
        <v>1183</v>
      </c>
      <c r="R522" s="38" t="s">
        <v>104</v>
      </c>
      <c r="S522" s="38"/>
      <c r="T522" s="38"/>
      <c r="W522" s="15" t="str">
        <f>IF(IFERROR(VLOOKUP($M522,#REF!,1,0),"-")="-","","GS")</f>
        <v/>
      </c>
      <c r="Z522" s="59" t="str">
        <f>IF(OR($M522="",NOT($O522="{array}")),"",IFERROR(MATCH(PARAMETERS!$M522,DEFAULT!$B$5:$CG$5,0),""))</f>
        <v/>
      </c>
      <c r="AA522" s="56" t="str">
        <f t="shared" si="34"/>
        <v/>
      </c>
      <c r="AB522" s="63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7" t="str">
        <f>IF($AA522="","",IF($B522="I",VLOOKUP($AA522,#REF!,53,0),INDEX(VALUES!$B$1:$CC$1,1,$AA522)))</f>
        <v/>
      </c>
    </row>
    <row r="523" spans="1:29" hidden="1" outlineLevel="1" x14ac:dyDescent="0.3">
      <c r="A523" s="22" t="s">
        <v>84</v>
      </c>
      <c r="B523" s="41" t="str">
        <f t="shared" si="35"/>
        <v/>
      </c>
      <c r="C523" s="42">
        <f t="shared" si="36"/>
        <v>522</v>
      </c>
      <c r="D523" s="38"/>
      <c r="E523" s="38"/>
      <c r="F523" s="38" t="s">
        <v>9</v>
      </c>
      <c r="G523" s="38" t="s">
        <v>9</v>
      </c>
      <c r="H523" s="38"/>
      <c r="I523" s="38" t="s">
        <v>9</v>
      </c>
      <c r="J523" s="38"/>
      <c r="K523" s="14" t="s">
        <v>44</v>
      </c>
      <c r="L523" s="14" t="s">
        <v>27</v>
      </c>
      <c r="M523" s="222" t="s">
        <v>1184</v>
      </c>
      <c r="N523" s="14" t="s">
        <v>1182</v>
      </c>
      <c r="O523" s="43">
        <v>0</v>
      </c>
      <c r="R523" s="38" t="s">
        <v>104</v>
      </c>
      <c r="S523" s="38"/>
      <c r="T523" s="38"/>
      <c r="W523" s="15" t="str">
        <f>IF(IFERROR(VLOOKUP($M523,#REF!,1,0),"-")="-","","GS")</f>
        <v/>
      </c>
      <c r="Z523" s="59" t="str">
        <f>IF(OR($M523="",NOT($O523="{array}")),"",IFERROR(MATCH(PARAMETERS!$M523,DEFAULT!$B$5:$CG$5,0),""))</f>
        <v/>
      </c>
      <c r="AA523" s="56" t="str">
        <f t="shared" si="34"/>
        <v/>
      </c>
      <c r="AB523" s="63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7" t="str">
        <f>IF($AA523="","",IF($B523="I",VLOOKUP($AA523,#REF!,53,0),INDEX(VALUES!$B$1:$CC$1,1,$AA523)))</f>
        <v/>
      </c>
    </row>
    <row r="524" spans="1:29" hidden="1" outlineLevel="1" x14ac:dyDescent="0.3">
      <c r="A524" s="22" t="s">
        <v>84</v>
      </c>
      <c r="B524" s="41" t="str">
        <f t="shared" si="35"/>
        <v/>
      </c>
      <c r="C524" s="42">
        <f t="shared" si="36"/>
        <v>523</v>
      </c>
      <c r="D524" s="38"/>
      <c r="E524" s="38"/>
      <c r="F524" s="38" t="s">
        <v>9</v>
      </c>
      <c r="G524" s="38"/>
      <c r="H524" s="38"/>
      <c r="I524" s="38" t="s">
        <v>9</v>
      </c>
      <c r="J524" s="38"/>
      <c r="K524" s="14" t="s">
        <v>18</v>
      </c>
      <c r="L524" s="14" t="s">
        <v>27</v>
      </c>
      <c r="M524" s="20" t="s">
        <v>1185</v>
      </c>
      <c r="N524" s="14" t="s">
        <v>1186</v>
      </c>
      <c r="O524" s="43" t="s">
        <v>1187</v>
      </c>
      <c r="R524" s="38" t="s">
        <v>104</v>
      </c>
      <c r="S524" s="38"/>
      <c r="T524" s="38"/>
      <c r="W524" s="15" t="str">
        <f>IF(IFERROR(VLOOKUP($M524,#REF!,1,0),"-")="-","","GS")</f>
        <v/>
      </c>
      <c r="Z524" s="59" t="str">
        <f>IF(OR($M524="",NOT($O524="{array}")),"",IFERROR(MATCH(PARAMETERS!$M524,DEFAULT!$B$5:$CG$5,0),""))</f>
        <v/>
      </c>
      <c r="AA524" s="56" t="str">
        <f t="shared" si="34"/>
        <v/>
      </c>
      <c r="AB524" s="63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7" t="str">
        <f>IF($AA524="","",IF($B524="I",VLOOKUP($AA524,#REF!,53,0),INDEX(VALUES!$B$1:$CC$1,1,$AA524)))</f>
        <v/>
      </c>
    </row>
    <row r="525" spans="1:29" hidden="1" outlineLevel="1" x14ac:dyDescent="0.3">
      <c r="A525" s="22" t="s">
        <v>84</v>
      </c>
      <c r="B525" s="41" t="str">
        <f t="shared" ref="B525:B556" si="37">IF($A525="P",IF(NOT($Z525=""),"A",IF(NOT($AA525=""),"I","")),IF(NOT($AA525=""),IF($A525="G","V","X"),IF(NOT($Z525=""),"A","")))</f>
        <v/>
      </c>
      <c r="C525" s="42">
        <f t="shared" si="36"/>
        <v>524</v>
      </c>
      <c r="D525" s="38"/>
      <c r="E525" s="38"/>
      <c r="F525" s="38" t="s">
        <v>9</v>
      </c>
      <c r="G525" s="38" t="s">
        <v>9</v>
      </c>
      <c r="H525" s="38"/>
      <c r="I525" s="38" t="s">
        <v>9</v>
      </c>
      <c r="J525" s="38"/>
      <c r="K525" s="14" t="s">
        <v>44</v>
      </c>
      <c r="L525" s="14" t="s">
        <v>27</v>
      </c>
      <c r="M525" s="222" t="s">
        <v>1188</v>
      </c>
      <c r="N525" s="14" t="s">
        <v>1186</v>
      </c>
      <c r="O525" s="43">
        <v>1</v>
      </c>
      <c r="R525" s="38" t="s">
        <v>104</v>
      </c>
      <c r="S525" s="38"/>
      <c r="T525" s="38"/>
      <c r="W525" s="15" t="str">
        <f>IF(IFERROR(VLOOKUP($M525,#REF!,1,0),"-")="-","","GS")</f>
        <v/>
      </c>
      <c r="Z525" s="59" t="str">
        <f>IF(OR($M525="",NOT($O525="{array}")),"",IFERROR(MATCH(PARAMETERS!$M525,DEFAULT!$B$5:$CG$5,0),""))</f>
        <v/>
      </c>
      <c r="AA525" s="56" t="str">
        <f t="shared" ref="AA525:AA556" si="38">IF($M525="","",IFERROR(MATCH($M525,VALUESnames,0),""))</f>
        <v/>
      </c>
      <c r="AB525" s="63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7" t="str">
        <f>IF($AA525="","",IF($B525="I",VLOOKUP($AA525,#REF!,53,0),INDEX(VALUES!$B$1:$CC$1,1,$AA525)))</f>
        <v/>
      </c>
    </row>
    <row r="526" spans="1:29" hidden="1" outlineLevel="1" x14ac:dyDescent="0.3">
      <c r="A526" s="22" t="s">
        <v>84</v>
      </c>
      <c r="B526" s="41" t="str">
        <f t="shared" si="37"/>
        <v/>
      </c>
      <c r="C526" s="42">
        <f t="shared" ref="C526:C557" si="39">(ROW()-1)</f>
        <v>525</v>
      </c>
      <c r="D526" s="38"/>
      <c r="E526" s="38"/>
      <c r="F526" s="38" t="s">
        <v>9</v>
      </c>
      <c r="G526" s="38"/>
      <c r="H526" s="38"/>
      <c r="I526" s="38" t="s">
        <v>9</v>
      </c>
      <c r="J526" s="38"/>
      <c r="K526" s="14" t="s">
        <v>18</v>
      </c>
      <c r="L526" s="14" t="s">
        <v>27</v>
      </c>
      <c r="M526" s="20" t="s">
        <v>1189</v>
      </c>
      <c r="N526" s="14" t="s">
        <v>1190</v>
      </c>
      <c r="O526" s="43" t="s">
        <v>1187</v>
      </c>
      <c r="R526" s="38" t="s">
        <v>104</v>
      </c>
      <c r="S526" s="38"/>
      <c r="T526" s="38"/>
      <c r="W526" s="15" t="str">
        <f>IF(IFERROR(VLOOKUP($M526,#REF!,1,0),"-")="-","","GS")</f>
        <v/>
      </c>
      <c r="Z526" s="59" t="str">
        <f>IF(OR($M526="",NOT($O526="{array}")),"",IFERROR(MATCH(PARAMETERS!$M526,DEFAULT!$B$5:$CG$5,0),""))</f>
        <v/>
      </c>
      <c r="AA526" s="56" t="str">
        <f t="shared" si="38"/>
        <v/>
      </c>
      <c r="AB526" s="63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7" t="str">
        <f>IF($AA526="","",IF($B526="I",VLOOKUP($AA526,#REF!,53,0),INDEX(VALUES!$B$1:$CC$1,1,$AA526)))</f>
        <v/>
      </c>
    </row>
    <row r="527" spans="1:29" hidden="1" outlineLevel="1" x14ac:dyDescent="0.3">
      <c r="A527" s="22" t="s">
        <v>84</v>
      </c>
      <c r="B527" s="41" t="str">
        <f t="shared" si="37"/>
        <v/>
      </c>
      <c r="C527" s="42">
        <f t="shared" si="39"/>
        <v>526</v>
      </c>
      <c r="D527" s="38"/>
      <c r="E527" s="38"/>
      <c r="F527" s="38" t="s">
        <v>9</v>
      </c>
      <c r="G527" s="38" t="s">
        <v>9</v>
      </c>
      <c r="H527" s="38"/>
      <c r="I527" s="38" t="s">
        <v>9</v>
      </c>
      <c r="J527" s="38"/>
      <c r="K527" s="14" t="s">
        <v>44</v>
      </c>
      <c r="L527" s="14" t="s">
        <v>27</v>
      </c>
      <c r="M527" s="222" t="s">
        <v>1191</v>
      </c>
      <c r="N527" s="14" t="s">
        <v>1192</v>
      </c>
      <c r="O527" s="43">
        <v>1</v>
      </c>
      <c r="R527" s="38" t="s">
        <v>104</v>
      </c>
      <c r="S527" s="38"/>
      <c r="T527" s="38"/>
      <c r="W527" s="15" t="str">
        <f>IF(IFERROR(VLOOKUP($M527,#REF!,1,0),"-")="-","","GS")</f>
        <v/>
      </c>
      <c r="Z527" s="59" t="str">
        <f>IF(OR($M527="",NOT($O527="{array}")),"",IFERROR(MATCH(PARAMETERS!$M527,DEFAULT!$B$5:$CG$5,0),""))</f>
        <v/>
      </c>
      <c r="AA527" s="56" t="str">
        <f t="shared" si="38"/>
        <v/>
      </c>
      <c r="AB527" s="63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7" t="str">
        <f>IF($AA527="","",IF($B527="I",VLOOKUP($AA527,#REF!,53,0),INDEX(VALUES!$B$1:$CC$1,1,$AA527)))</f>
        <v/>
      </c>
    </row>
    <row r="528" spans="1:29" hidden="1" outlineLevel="1" x14ac:dyDescent="0.3">
      <c r="A528" s="22" t="s">
        <v>84</v>
      </c>
      <c r="B528" s="41" t="str">
        <f t="shared" si="37"/>
        <v/>
      </c>
      <c r="C528" s="42">
        <f t="shared" si="39"/>
        <v>527</v>
      </c>
      <c r="D528" s="38"/>
      <c r="E528" s="38"/>
      <c r="F528" s="38" t="s">
        <v>9</v>
      </c>
      <c r="G528" s="38"/>
      <c r="H528" s="38"/>
      <c r="I528" s="38" t="s">
        <v>9</v>
      </c>
      <c r="J528" s="38"/>
      <c r="K528" s="14" t="s">
        <v>18</v>
      </c>
      <c r="L528" s="14" t="s">
        <v>27</v>
      </c>
      <c r="M528" s="20" t="s">
        <v>1193</v>
      </c>
      <c r="N528" s="14" t="s">
        <v>1194</v>
      </c>
      <c r="O528" s="43" t="s">
        <v>873</v>
      </c>
      <c r="R528" s="38" t="s">
        <v>104</v>
      </c>
      <c r="S528" s="38"/>
      <c r="T528" s="38"/>
      <c r="W528" s="15" t="str">
        <f>IF(IFERROR(VLOOKUP($M528,#REF!,1,0),"-")="-","","GS")</f>
        <v/>
      </c>
      <c r="Z528" s="59" t="str">
        <f>IF(OR($M528="",NOT($O528="{array}")),"",IFERROR(MATCH(PARAMETERS!$M528,DEFAULT!$B$5:$CG$5,0),""))</f>
        <v/>
      </c>
      <c r="AA528" s="56" t="str">
        <f t="shared" si="38"/>
        <v/>
      </c>
      <c r="AB528" s="63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7" t="str">
        <f>IF($AA528="","",IF($B528="I",VLOOKUP($AA528,#REF!,53,0),INDEX(VALUES!$B$1:$CC$1,1,$AA528)))</f>
        <v/>
      </c>
    </row>
    <row r="529" spans="1:29" hidden="1" outlineLevel="1" x14ac:dyDescent="0.3">
      <c r="A529" s="22" t="s">
        <v>84</v>
      </c>
      <c r="B529" s="41" t="str">
        <f t="shared" si="37"/>
        <v/>
      </c>
      <c r="C529" s="42">
        <f t="shared" si="39"/>
        <v>528</v>
      </c>
      <c r="D529" s="38"/>
      <c r="E529" s="38"/>
      <c r="F529" s="38" t="s">
        <v>9</v>
      </c>
      <c r="G529" s="38" t="s">
        <v>9</v>
      </c>
      <c r="H529" s="38"/>
      <c r="I529" s="38" t="s">
        <v>9</v>
      </c>
      <c r="J529" s="38"/>
      <c r="K529" s="14" t="s">
        <v>44</v>
      </c>
      <c r="L529" s="14" t="s">
        <v>27</v>
      </c>
      <c r="M529" s="20" t="s">
        <v>1195</v>
      </c>
      <c r="N529" s="14" t="s">
        <v>1194</v>
      </c>
      <c r="O529" s="43">
        <v>1</v>
      </c>
      <c r="R529" s="38" t="s">
        <v>104</v>
      </c>
      <c r="S529" s="38"/>
      <c r="T529" s="38"/>
      <c r="W529" s="15" t="str">
        <f>IF(IFERROR(VLOOKUP($M529,#REF!,1,0),"-")="-","","GS")</f>
        <v/>
      </c>
      <c r="Z529" s="59" t="str">
        <f>IF(OR($M529="",NOT($O529="{array}")),"",IFERROR(MATCH(PARAMETERS!$M529,DEFAULT!$B$5:$CG$5,0),""))</f>
        <v/>
      </c>
      <c r="AA529" s="56" t="str">
        <f t="shared" si="38"/>
        <v/>
      </c>
      <c r="AB529" s="63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7" t="str">
        <f>IF($AA529="","",IF($B529="I",VLOOKUP($AA529,#REF!,53,0),INDEX(VALUES!$B$1:$CC$1,1,$AA529)))</f>
        <v/>
      </c>
    </row>
    <row r="530" spans="1:29" collapsed="1" x14ac:dyDescent="0.3">
      <c r="A530" s="22" t="s">
        <v>84</v>
      </c>
      <c r="B530" s="41" t="str">
        <f t="shared" si="37"/>
        <v/>
      </c>
      <c r="C530" s="42">
        <f t="shared" si="39"/>
        <v>529</v>
      </c>
      <c r="D530" s="38"/>
      <c r="E530" s="38"/>
      <c r="F530" s="38" t="s">
        <v>9</v>
      </c>
      <c r="G530" s="38"/>
      <c r="H530" s="38"/>
      <c r="I530" s="38"/>
      <c r="J530" s="38"/>
      <c r="K530" s="14" t="s">
        <v>57</v>
      </c>
      <c r="L530" s="14" t="s">
        <v>38</v>
      </c>
      <c r="M530" s="48" t="s">
        <v>1196</v>
      </c>
      <c r="N530" s="41" t="s">
        <v>1197</v>
      </c>
      <c r="R530" s="38" t="s">
        <v>104</v>
      </c>
      <c r="S530" s="38"/>
      <c r="T530" s="38"/>
      <c r="W530" s="15" t="str">
        <f>IF(IFERROR(VLOOKUP($M530,#REF!,1,0),"-")="-","","GS")</f>
        <v/>
      </c>
      <c r="Z530" s="59" t="str">
        <f>IF(OR($M530="",NOT($O530="{array}")),"",IFERROR(MATCH(PARAMETERS!$M530,DEFAULT!$B$5:$CG$5,0),""))</f>
        <v/>
      </c>
      <c r="AA530" s="56" t="str">
        <f t="shared" si="38"/>
        <v/>
      </c>
      <c r="AB530" s="63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17" t="str">
        <f>IF($AA530="","",IF($B530="I",VLOOKUP($AA530,#REF!,53,0),INDEX(VALUES!$B$1:$CC$1,1,$AA530)))</f>
        <v/>
      </c>
    </row>
    <row r="531" spans="1:29" hidden="1" outlineLevel="1" x14ac:dyDescent="0.3">
      <c r="A531" s="22" t="s">
        <v>84</v>
      </c>
      <c r="B531" s="41" t="str">
        <f t="shared" si="37"/>
        <v/>
      </c>
      <c r="C531" s="42">
        <f t="shared" si="39"/>
        <v>530</v>
      </c>
      <c r="D531" s="38"/>
      <c r="E531" s="38"/>
      <c r="F531" s="38" t="s">
        <v>9</v>
      </c>
      <c r="G531" s="38"/>
      <c r="H531" s="38"/>
      <c r="I531" s="38" t="s">
        <v>9</v>
      </c>
      <c r="J531" s="38"/>
      <c r="K531" s="14" t="s">
        <v>44</v>
      </c>
      <c r="L531" s="14" t="s">
        <v>27</v>
      </c>
      <c r="M531" s="20" t="s">
        <v>1198</v>
      </c>
      <c r="N531" s="14" t="s">
        <v>1199</v>
      </c>
      <c r="O531" s="43">
        <v>1</v>
      </c>
      <c r="R531" s="38" t="s">
        <v>104</v>
      </c>
      <c r="S531" s="38"/>
      <c r="T531" s="38"/>
      <c r="W531" s="15" t="str">
        <f>IF(IFERROR(VLOOKUP($M531,#REF!,1,0),"-")="-","","GS")</f>
        <v/>
      </c>
      <c r="Z531" s="59" t="str">
        <f>IF(OR($M531="",NOT($O531="{array}")),"",IFERROR(MATCH(PARAMETERS!$M531,DEFAULT!$B$5:$CG$5,0),""))</f>
        <v/>
      </c>
      <c r="AA531" s="56" t="str">
        <f t="shared" si="38"/>
        <v/>
      </c>
      <c r="AB531" s="63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7" t="str">
        <f>IF($AA531="","",IF($B531="I",VLOOKUP($AA531,#REF!,53,0),INDEX(VALUES!$B$1:$CC$1,1,$AA531)))</f>
        <v/>
      </c>
    </row>
    <row r="532" spans="1:29" hidden="1" outlineLevel="1" x14ac:dyDescent="0.3">
      <c r="A532" s="22" t="s">
        <v>84</v>
      </c>
      <c r="B532" s="41" t="str">
        <f t="shared" si="37"/>
        <v/>
      </c>
      <c r="C532" s="42">
        <f t="shared" si="39"/>
        <v>531</v>
      </c>
      <c r="D532" s="38"/>
      <c r="E532" s="38"/>
      <c r="F532" s="38" t="s">
        <v>9</v>
      </c>
      <c r="G532" s="38"/>
      <c r="H532" s="38"/>
      <c r="I532" s="38" t="s">
        <v>9</v>
      </c>
      <c r="J532" s="38"/>
      <c r="K532" s="14" t="s">
        <v>44</v>
      </c>
      <c r="L532" s="14" t="s">
        <v>27</v>
      </c>
      <c r="M532" s="20" t="s">
        <v>1200</v>
      </c>
      <c r="N532" s="14" t="s">
        <v>1201</v>
      </c>
      <c r="O532" s="43">
        <v>2</v>
      </c>
      <c r="R532" s="38" t="s">
        <v>104</v>
      </c>
      <c r="S532" s="38"/>
      <c r="T532" s="38"/>
      <c r="W532" s="15" t="str">
        <f>IF(IFERROR(VLOOKUP($M532,#REF!,1,0),"-")="-","","GS")</f>
        <v/>
      </c>
      <c r="Z532" s="59" t="str">
        <f>IF(OR($M532="",NOT($O532="{array}")),"",IFERROR(MATCH(PARAMETERS!$M532,DEFAULT!$B$5:$CG$5,0),""))</f>
        <v/>
      </c>
      <c r="AA532" s="56" t="str">
        <f t="shared" si="38"/>
        <v/>
      </c>
      <c r="AB532" s="63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17" t="str">
        <f>IF($AA532="","",IF($B532="I",VLOOKUP($AA532,#REF!,53,0),INDEX(VALUES!$B$1:$CC$1,1,$AA532)))</f>
        <v/>
      </c>
    </row>
    <row r="533" spans="1:29" hidden="1" outlineLevel="1" x14ac:dyDescent="0.3">
      <c r="A533" s="22" t="s">
        <v>84</v>
      </c>
      <c r="B533" s="41" t="str">
        <f t="shared" si="37"/>
        <v/>
      </c>
      <c r="C533" s="42">
        <f t="shared" si="39"/>
        <v>532</v>
      </c>
      <c r="D533" s="38"/>
      <c r="E533" s="38"/>
      <c r="F533" s="38" t="s">
        <v>9</v>
      </c>
      <c r="G533" s="38"/>
      <c r="H533" s="38"/>
      <c r="I533" s="38" t="s">
        <v>9</v>
      </c>
      <c r="J533" s="38"/>
      <c r="K533" s="14" t="s">
        <v>44</v>
      </c>
      <c r="L533" s="14" t="s">
        <v>27</v>
      </c>
      <c r="M533" s="20" t="s">
        <v>1202</v>
      </c>
      <c r="N533" s="14" t="s">
        <v>1203</v>
      </c>
      <c r="O533" s="43">
        <v>1</v>
      </c>
      <c r="R533" s="38" t="s">
        <v>104</v>
      </c>
      <c r="S533" s="38"/>
      <c r="T533" s="38"/>
      <c r="W533" s="15" t="str">
        <f>IF(IFERROR(VLOOKUP($M533,#REF!,1,0),"-")="-","","GS")</f>
        <v/>
      </c>
      <c r="Z533" s="59" t="str">
        <f>IF(OR($M533="",NOT($O533="{array}")),"",IFERROR(MATCH(PARAMETERS!$M533,DEFAULT!$B$5:$CG$5,0),""))</f>
        <v/>
      </c>
      <c r="AA533" s="56" t="str">
        <f t="shared" si="38"/>
        <v/>
      </c>
      <c r="AB533" s="63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17" t="str">
        <f>IF($AA533="","",IF($B533="I",VLOOKUP($AA533,#REF!,53,0),INDEX(VALUES!$B$1:$CC$1,1,$AA533)))</f>
        <v/>
      </c>
    </row>
    <row r="534" spans="1:29" hidden="1" outlineLevel="1" x14ac:dyDescent="0.3">
      <c r="A534" s="22" t="s">
        <v>84</v>
      </c>
      <c r="B534" s="41" t="str">
        <f t="shared" si="37"/>
        <v/>
      </c>
      <c r="C534" s="42">
        <f t="shared" si="39"/>
        <v>533</v>
      </c>
      <c r="D534" s="38"/>
      <c r="E534" s="38"/>
      <c r="F534" s="38" t="s">
        <v>9</v>
      </c>
      <c r="G534" s="38"/>
      <c r="H534" s="38"/>
      <c r="I534" s="38" t="s">
        <v>9</v>
      </c>
      <c r="J534" s="38"/>
      <c r="K534" s="14" t="s">
        <v>44</v>
      </c>
      <c r="L534" s="14" t="s">
        <v>27</v>
      </c>
      <c r="M534" s="20" t="s">
        <v>1204</v>
      </c>
      <c r="N534" s="14" t="s">
        <v>1205</v>
      </c>
      <c r="O534" s="43">
        <v>1</v>
      </c>
      <c r="R534" s="38" t="s">
        <v>104</v>
      </c>
      <c r="S534" s="38"/>
      <c r="T534" s="38"/>
      <c r="W534" s="15" t="str">
        <f>IF(IFERROR(VLOOKUP($M534,#REF!,1,0),"-")="-","","GS")</f>
        <v/>
      </c>
      <c r="Z534" s="59" t="str">
        <f>IF(OR($M534="",NOT($O534="{array}")),"",IFERROR(MATCH(PARAMETERS!$M534,DEFAULT!$B$5:$CG$5,0),""))</f>
        <v/>
      </c>
      <c r="AA534" s="56" t="str">
        <f t="shared" si="38"/>
        <v/>
      </c>
      <c r="AB534" s="63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17" t="str">
        <f>IF($AA534="","",IF($B534="I",VLOOKUP($AA534,#REF!,53,0),INDEX(VALUES!$B$1:$CC$1,1,$AA534)))</f>
        <v/>
      </c>
    </row>
    <row r="535" spans="1:29" hidden="1" outlineLevel="1" x14ac:dyDescent="0.3">
      <c r="A535" s="22" t="s">
        <v>84</v>
      </c>
      <c r="B535" s="41" t="str">
        <f t="shared" si="37"/>
        <v/>
      </c>
      <c r="C535" s="42">
        <f t="shared" si="39"/>
        <v>534</v>
      </c>
      <c r="D535" s="38"/>
      <c r="E535" s="38"/>
      <c r="F535" s="38" t="s">
        <v>9</v>
      </c>
      <c r="G535" s="38"/>
      <c r="H535" s="38" t="s">
        <v>9</v>
      </c>
      <c r="I535" s="38"/>
      <c r="J535" s="38"/>
      <c r="K535" s="14" t="s">
        <v>47</v>
      </c>
      <c r="L535" s="14" t="s">
        <v>27</v>
      </c>
      <c r="M535" s="20" t="s">
        <v>1206</v>
      </c>
      <c r="N535" s="14" t="s">
        <v>1207</v>
      </c>
      <c r="O535" s="43">
        <v>0</v>
      </c>
      <c r="R535" s="38" t="s">
        <v>104</v>
      </c>
      <c r="S535" s="38"/>
      <c r="T535" s="38"/>
      <c r="W535" s="15" t="str">
        <f>IF(IFERROR(VLOOKUP($M535,#REF!,1,0),"-")="-","","GS")</f>
        <v/>
      </c>
      <c r="Z535" s="59" t="str">
        <f>IF(OR($M535="",NOT($O535="{array}")),"",IFERROR(MATCH(PARAMETERS!$M535,DEFAULT!$B$5:$CG$5,0),""))</f>
        <v/>
      </c>
      <c r="AA535" s="56" t="str">
        <f t="shared" si="38"/>
        <v/>
      </c>
      <c r="AB535" s="63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17" t="str">
        <f>IF($AA535="","",IF($B535="I",VLOOKUP($AA535,#REF!,53,0),INDEX(VALUES!$B$1:$CC$1,1,$AA535)))</f>
        <v/>
      </c>
    </row>
    <row r="536" spans="1:29" hidden="1" outlineLevel="1" x14ac:dyDescent="0.3">
      <c r="A536" s="22" t="s">
        <v>84</v>
      </c>
      <c r="B536" s="41" t="str">
        <f t="shared" si="37"/>
        <v/>
      </c>
      <c r="C536" s="42">
        <f t="shared" si="39"/>
        <v>535</v>
      </c>
      <c r="D536" s="38"/>
      <c r="E536" s="38"/>
      <c r="F536" s="38" t="s">
        <v>9</v>
      </c>
      <c r="G536" s="38"/>
      <c r="H536" s="38"/>
      <c r="I536" s="38" t="s">
        <v>9</v>
      </c>
      <c r="J536" s="38"/>
      <c r="K536" s="14" t="s">
        <v>52</v>
      </c>
      <c r="L536" s="14" t="s">
        <v>27</v>
      </c>
      <c r="M536" s="20" t="s">
        <v>1208</v>
      </c>
      <c r="N536" s="14" t="s">
        <v>1015</v>
      </c>
      <c r="O536" s="43">
        <v>65</v>
      </c>
      <c r="R536" s="38" t="s">
        <v>104</v>
      </c>
      <c r="S536" s="38"/>
      <c r="T536" s="38"/>
      <c r="W536" s="15" t="str">
        <f>IF(IFERROR(VLOOKUP($M536,#REF!,1,0),"-")="-","","GS")</f>
        <v/>
      </c>
      <c r="Z536" s="59" t="str">
        <f>IF(OR($M536="",NOT($O536="{array}")),"",IFERROR(MATCH(PARAMETERS!$M536,DEFAULT!$B$5:$CG$5,0),""))</f>
        <v/>
      </c>
      <c r="AA536" s="56" t="str">
        <f t="shared" si="38"/>
        <v/>
      </c>
      <c r="AB536" s="63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17" t="str">
        <f>IF($AA536="","",IF($B536="I",VLOOKUP($AA536,#REF!,53,0),INDEX(VALUES!$B$1:$CC$1,1,$AA536)))</f>
        <v/>
      </c>
    </row>
    <row r="537" spans="1:29" hidden="1" outlineLevel="1" x14ac:dyDescent="0.3">
      <c r="A537" s="22" t="s">
        <v>84</v>
      </c>
      <c r="B537" s="41" t="str">
        <f t="shared" si="37"/>
        <v/>
      </c>
      <c r="C537" s="42">
        <f t="shared" si="39"/>
        <v>536</v>
      </c>
      <c r="D537" s="38"/>
      <c r="E537" s="38"/>
      <c r="F537" s="38" t="s">
        <v>9</v>
      </c>
      <c r="G537" s="38"/>
      <c r="H537" s="38"/>
      <c r="I537" s="38" t="s">
        <v>9</v>
      </c>
      <c r="J537" s="38"/>
      <c r="K537" s="14" t="s">
        <v>53</v>
      </c>
      <c r="L537" s="14" t="s">
        <v>27</v>
      </c>
      <c r="M537" s="20" t="s">
        <v>1209</v>
      </c>
      <c r="N537" s="14" t="s">
        <v>1016</v>
      </c>
      <c r="O537" s="43">
        <v>1</v>
      </c>
      <c r="R537" s="38" t="s">
        <v>104</v>
      </c>
      <c r="S537" s="38"/>
      <c r="T537" s="38"/>
      <c r="W537" s="15" t="str">
        <f>IF(IFERROR(VLOOKUP($M537,#REF!,1,0),"-")="-","","GS")</f>
        <v/>
      </c>
      <c r="Z537" s="59" t="str">
        <f>IF(OR($M537="",NOT($O537="{array}")),"",IFERROR(MATCH(PARAMETERS!$M537,DEFAULT!$B$5:$CG$5,0),""))</f>
        <v/>
      </c>
      <c r="AA537" s="56" t="str">
        <f t="shared" si="38"/>
        <v/>
      </c>
      <c r="AB537" s="63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17" t="str">
        <f>IF($AA537="","",IF($B537="I",VLOOKUP($AA537,#REF!,53,0),INDEX(VALUES!$B$1:$CC$1,1,$AA537)))</f>
        <v/>
      </c>
    </row>
    <row r="538" spans="1:29" hidden="1" outlineLevel="1" x14ac:dyDescent="0.3">
      <c r="A538" s="22" t="s">
        <v>84</v>
      </c>
      <c r="B538" s="41" t="str">
        <f t="shared" si="37"/>
        <v/>
      </c>
      <c r="C538" s="42">
        <f t="shared" si="39"/>
        <v>537</v>
      </c>
      <c r="D538" s="38"/>
      <c r="E538" s="38"/>
      <c r="F538" s="38" t="s">
        <v>9</v>
      </c>
      <c r="G538" s="38"/>
      <c r="H538" s="38"/>
      <c r="I538" s="38" t="s">
        <v>9</v>
      </c>
      <c r="J538" s="38"/>
      <c r="K538" s="14" t="s">
        <v>53</v>
      </c>
      <c r="L538" s="14" t="s">
        <v>27</v>
      </c>
      <c r="M538" s="20" t="s">
        <v>1210</v>
      </c>
      <c r="N538" s="14" t="s">
        <v>1014</v>
      </c>
      <c r="O538" s="43">
        <v>91</v>
      </c>
      <c r="R538" s="38" t="s">
        <v>104</v>
      </c>
      <c r="S538" s="38"/>
      <c r="T538" s="38"/>
      <c r="W538" s="15" t="str">
        <f>IF(IFERROR(VLOOKUP($M538,#REF!,1,0),"-")="-","","GS")</f>
        <v/>
      </c>
      <c r="Z538" s="59" t="str">
        <f>IF(OR($M538="",NOT($O538="{array}")),"",IFERROR(MATCH(PARAMETERS!$M538,DEFAULT!$B$5:$CG$5,0),""))</f>
        <v/>
      </c>
      <c r="AA538" s="56" t="str">
        <f t="shared" si="38"/>
        <v/>
      </c>
      <c r="AB538" s="63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17" t="str">
        <f>IF($AA538="","",IF($B538="I",VLOOKUP($AA538,#REF!,53,0),INDEX(VALUES!$B$1:$CC$1,1,$AA538)))</f>
        <v/>
      </c>
    </row>
    <row r="539" spans="1:29" hidden="1" outlineLevel="1" x14ac:dyDescent="0.3">
      <c r="A539" s="22" t="s">
        <v>84</v>
      </c>
      <c r="B539" s="41" t="str">
        <f t="shared" si="37"/>
        <v/>
      </c>
      <c r="C539" s="42">
        <f t="shared" si="39"/>
        <v>538</v>
      </c>
      <c r="D539" s="38"/>
      <c r="E539" s="38"/>
      <c r="F539" s="38" t="s">
        <v>9</v>
      </c>
      <c r="G539" s="38"/>
      <c r="H539" s="38" t="s">
        <v>9</v>
      </c>
      <c r="I539" s="38"/>
      <c r="J539" s="38"/>
      <c r="K539" s="14" t="s">
        <v>47</v>
      </c>
      <c r="L539" s="14" t="s">
        <v>27</v>
      </c>
      <c r="M539" s="20" t="s">
        <v>1211</v>
      </c>
      <c r="N539" s="14" t="s">
        <v>1212</v>
      </c>
      <c r="O539" s="43">
        <v>0</v>
      </c>
      <c r="R539" s="38" t="s">
        <v>104</v>
      </c>
      <c r="S539" s="38"/>
      <c r="T539" s="38"/>
      <c r="W539" s="15" t="str">
        <f>IF(IFERROR(VLOOKUP($M539,#REF!,1,0),"-")="-","","GS")</f>
        <v/>
      </c>
      <c r="Z539" s="59" t="str">
        <f>IF(OR($M539="",NOT($O539="{array}")),"",IFERROR(MATCH(PARAMETERS!$M539,DEFAULT!$B$5:$CG$5,0),""))</f>
        <v/>
      </c>
      <c r="AA539" s="56" t="str">
        <f t="shared" si="38"/>
        <v/>
      </c>
      <c r="AB539" s="63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17" t="str">
        <f>IF($AA539="","",IF($B539="I",VLOOKUP($AA539,#REF!,53,0),INDEX(VALUES!$B$1:$CC$1,1,$AA539)))</f>
        <v/>
      </c>
    </row>
    <row r="540" spans="1:29" hidden="1" outlineLevel="1" x14ac:dyDescent="0.3">
      <c r="A540" s="22" t="s">
        <v>84</v>
      </c>
      <c r="B540" s="41" t="str">
        <f t="shared" si="37"/>
        <v/>
      </c>
      <c r="C540" s="42">
        <f t="shared" si="39"/>
        <v>539</v>
      </c>
      <c r="D540" s="38"/>
      <c r="E540" s="38"/>
      <c r="F540" s="38" t="s">
        <v>9</v>
      </c>
      <c r="G540" s="38"/>
      <c r="H540" s="38"/>
      <c r="I540" s="38" t="s">
        <v>9</v>
      </c>
      <c r="J540" s="38"/>
      <c r="K540" s="14" t="s">
        <v>18</v>
      </c>
      <c r="L540" s="14" t="s">
        <v>27</v>
      </c>
      <c r="M540" s="20" t="s">
        <v>1213</v>
      </c>
      <c r="N540" s="14" t="s">
        <v>1214</v>
      </c>
      <c r="O540" s="43" t="s">
        <v>1215</v>
      </c>
      <c r="R540" s="38" t="s">
        <v>104</v>
      </c>
      <c r="S540" s="38"/>
      <c r="T540" s="38"/>
      <c r="W540" s="15" t="str">
        <f>IF(IFERROR(VLOOKUP($M540,#REF!,1,0),"-")="-","","GS")</f>
        <v/>
      </c>
      <c r="Z540" s="59" t="str">
        <f>IF(OR($M540="",NOT($O540="{array}")),"",IFERROR(MATCH(PARAMETERS!$M540,DEFAULT!$B$5:$CG$5,0),""))</f>
        <v/>
      </c>
      <c r="AA540" s="56" t="str">
        <f t="shared" si="38"/>
        <v/>
      </c>
      <c r="AB540" s="63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7" t="str">
        <f>IF($AA540="","",IF($B540="I",VLOOKUP($AA540,#REF!,53,0),INDEX(VALUES!$B$1:$CC$1,1,$AA540)))</f>
        <v/>
      </c>
    </row>
    <row r="541" spans="1:29" hidden="1" outlineLevel="1" x14ac:dyDescent="0.3">
      <c r="A541" s="22" t="s">
        <v>84</v>
      </c>
      <c r="B541" s="41" t="str">
        <f t="shared" si="37"/>
        <v/>
      </c>
      <c r="C541" s="42">
        <f t="shared" si="39"/>
        <v>540</v>
      </c>
      <c r="D541" s="38"/>
      <c r="E541" s="38"/>
      <c r="F541" s="38" t="s">
        <v>9</v>
      </c>
      <c r="G541" s="38" t="s">
        <v>9</v>
      </c>
      <c r="H541" s="38"/>
      <c r="I541" s="38" t="s">
        <v>9</v>
      </c>
      <c r="J541" s="38"/>
      <c r="K541" s="14" t="s">
        <v>44</v>
      </c>
      <c r="L541" s="14" t="s">
        <v>27</v>
      </c>
      <c r="M541" s="20" t="s">
        <v>1216</v>
      </c>
      <c r="N541" s="14" t="s">
        <v>1214</v>
      </c>
      <c r="O541" s="43">
        <v>3</v>
      </c>
      <c r="R541" s="38" t="s">
        <v>104</v>
      </c>
      <c r="S541" s="38"/>
      <c r="T541" s="38"/>
      <c r="W541" s="15" t="str">
        <f>IF(IFERROR(VLOOKUP($M541,#REF!,1,0),"-")="-","","GS")</f>
        <v/>
      </c>
      <c r="Z541" s="59" t="str">
        <f>IF(OR($M541="",NOT($O541="{array}")),"",IFERROR(MATCH(PARAMETERS!$M541,DEFAULT!$B$5:$CG$5,0),""))</f>
        <v/>
      </c>
      <c r="AA541" s="56" t="str">
        <f t="shared" si="38"/>
        <v/>
      </c>
      <c r="AB541" s="63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7" t="str">
        <f>IF($AA541="","",IF($B541="I",VLOOKUP($AA541,#REF!,53,0),INDEX(VALUES!$B$1:$CC$1,1,$AA541)))</f>
        <v/>
      </c>
    </row>
    <row r="542" spans="1:29" hidden="1" outlineLevel="1" x14ac:dyDescent="0.3">
      <c r="A542" s="22" t="s">
        <v>84</v>
      </c>
      <c r="B542" s="41" t="str">
        <f t="shared" si="37"/>
        <v/>
      </c>
      <c r="C542" s="42">
        <f t="shared" si="39"/>
        <v>541</v>
      </c>
      <c r="D542" s="38"/>
      <c r="E542" s="38"/>
      <c r="F542" s="38" t="s">
        <v>9</v>
      </c>
      <c r="G542" s="38"/>
      <c r="H542" s="38"/>
      <c r="I542" s="38" t="s">
        <v>9</v>
      </c>
      <c r="J542" s="38"/>
      <c r="K542" s="14" t="s">
        <v>44</v>
      </c>
      <c r="L542" s="14" t="s">
        <v>27</v>
      </c>
      <c r="M542" s="20" t="s">
        <v>1217</v>
      </c>
      <c r="N542" s="14" t="s">
        <v>1218</v>
      </c>
      <c r="O542" s="43">
        <v>1</v>
      </c>
      <c r="R542" s="38" t="s">
        <v>104</v>
      </c>
      <c r="S542" s="38"/>
      <c r="T542" s="38"/>
      <c r="W542" s="15" t="str">
        <f>IF(IFERROR(VLOOKUP($M542,#REF!,1,0),"-")="-","","GS")</f>
        <v/>
      </c>
      <c r="Z542" s="59" t="str">
        <f>IF(OR($M542="",NOT($O542="{array}")),"",IFERROR(MATCH(PARAMETERS!$M542,DEFAULT!$B$5:$CG$5,0),""))</f>
        <v/>
      </c>
      <c r="AA542" s="56" t="str">
        <f t="shared" si="38"/>
        <v/>
      </c>
      <c r="AB542" s="63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17" t="str">
        <f>IF($AA542="","",IF($B542="I",VLOOKUP($AA542,#REF!,53,0),INDEX(VALUES!$B$1:$CC$1,1,$AA542)))</f>
        <v/>
      </c>
    </row>
    <row r="543" spans="1:29" hidden="1" outlineLevel="1" x14ac:dyDescent="0.3">
      <c r="A543" s="22" t="s">
        <v>84</v>
      </c>
      <c r="B543" s="41" t="str">
        <f t="shared" si="37"/>
        <v/>
      </c>
      <c r="C543" s="42">
        <f t="shared" si="39"/>
        <v>542</v>
      </c>
      <c r="D543" s="38"/>
      <c r="E543" s="38"/>
      <c r="F543" s="38" t="s">
        <v>9</v>
      </c>
      <c r="G543" s="38"/>
      <c r="H543" s="38"/>
      <c r="I543" s="38" t="s">
        <v>9</v>
      </c>
      <c r="J543" s="38"/>
      <c r="K543" s="14" t="s">
        <v>18</v>
      </c>
      <c r="L543" s="14" t="s">
        <v>27</v>
      </c>
      <c r="M543" s="20" t="s">
        <v>1219</v>
      </c>
      <c r="N543" s="14" t="s">
        <v>1220</v>
      </c>
      <c r="O543" s="43" t="s">
        <v>1218</v>
      </c>
      <c r="R543" s="38" t="s">
        <v>104</v>
      </c>
      <c r="S543" s="38"/>
      <c r="T543" s="38"/>
      <c r="W543" s="15" t="str">
        <f>IF(IFERROR(VLOOKUP($M543,#REF!,1,0),"-")="-","","GS")</f>
        <v/>
      </c>
      <c r="Z543" s="59" t="str">
        <f>IF(OR($M543="",NOT($O543="{array}")),"",IFERROR(MATCH(PARAMETERS!$M543,DEFAULT!$B$5:$CG$5,0),""))</f>
        <v/>
      </c>
      <c r="AA543" s="56" t="str">
        <f t="shared" si="38"/>
        <v/>
      </c>
      <c r="AB543" s="63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7" t="str">
        <f>IF($AA543="","",IF($B543="I",VLOOKUP($AA543,#REF!,53,0),INDEX(VALUES!$B$1:$CC$1,1,$AA543)))</f>
        <v/>
      </c>
    </row>
    <row r="544" spans="1:29" hidden="1" outlineLevel="1" x14ac:dyDescent="0.3">
      <c r="A544" s="22" t="s">
        <v>84</v>
      </c>
      <c r="B544" s="41" t="str">
        <f t="shared" si="37"/>
        <v/>
      </c>
      <c r="C544" s="42">
        <f t="shared" si="39"/>
        <v>543</v>
      </c>
      <c r="D544" s="38"/>
      <c r="E544" s="38"/>
      <c r="F544" s="38" t="s">
        <v>9</v>
      </c>
      <c r="G544" s="38"/>
      <c r="H544" s="38"/>
      <c r="I544" s="38" t="s">
        <v>9</v>
      </c>
      <c r="J544" s="38"/>
      <c r="K544" s="14" t="s">
        <v>24</v>
      </c>
      <c r="L544" s="14" t="s">
        <v>27</v>
      </c>
      <c r="M544" s="20" t="s">
        <v>1221</v>
      </c>
      <c r="N544" s="14" t="s">
        <v>1222</v>
      </c>
      <c r="O544" s="43">
        <v>0</v>
      </c>
      <c r="R544" s="38" t="s">
        <v>104</v>
      </c>
      <c r="S544" s="38"/>
      <c r="T544" s="38"/>
      <c r="W544" s="15" t="str">
        <f>IF(IFERROR(VLOOKUP($M544,#REF!,1,0),"-")="-","","GS")</f>
        <v/>
      </c>
      <c r="Z544" s="59" t="str">
        <f>IF(OR($M544="",NOT($O544="{array}")),"",IFERROR(MATCH(PARAMETERS!$M544,DEFAULT!$B$5:$CG$5,0),""))</f>
        <v/>
      </c>
      <c r="AA544" s="56" t="str">
        <f t="shared" si="38"/>
        <v/>
      </c>
      <c r="AB544" s="63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7" t="str">
        <f>IF($AA544="","",IF($B544="I",VLOOKUP($AA544,#REF!,53,0),INDEX(VALUES!$B$1:$CC$1,1,$AA544)))</f>
        <v/>
      </c>
    </row>
    <row r="545" spans="1:29" hidden="1" outlineLevel="1" x14ac:dyDescent="0.3">
      <c r="A545" s="22" t="s">
        <v>84</v>
      </c>
      <c r="B545" s="41" t="str">
        <f t="shared" si="37"/>
        <v/>
      </c>
      <c r="C545" s="42">
        <f t="shared" si="39"/>
        <v>544</v>
      </c>
      <c r="D545" s="38"/>
      <c r="E545" s="38"/>
      <c r="F545" s="38" t="s">
        <v>9</v>
      </c>
      <c r="G545" s="38"/>
      <c r="H545" s="38"/>
      <c r="I545" s="38" t="s">
        <v>9</v>
      </c>
      <c r="J545" s="38"/>
      <c r="K545" s="14" t="s">
        <v>44</v>
      </c>
      <c r="L545" s="14" t="s">
        <v>27</v>
      </c>
      <c r="M545" s="20" t="s">
        <v>1223</v>
      </c>
      <c r="N545" s="14" t="s">
        <v>1224</v>
      </c>
      <c r="O545" s="43">
        <v>1</v>
      </c>
      <c r="R545" s="38" t="s">
        <v>104</v>
      </c>
      <c r="S545" s="38"/>
      <c r="T545" s="38"/>
      <c r="W545" s="15" t="str">
        <f>IF(IFERROR(VLOOKUP($M545,#REF!,1,0),"-")="-","","GS")</f>
        <v/>
      </c>
      <c r="Z545" s="59" t="str">
        <f>IF(OR($M545="",NOT($O545="{array}")),"",IFERROR(MATCH(PARAMETERS!$M545,DEFAULT!$B$5:$CG$5,0),""))</f>
        <v/>
      </c>
      <c r="AA545" s="56" t="str">
        <f t="shared" si="38"/>
        <v/>
      </c>
      <c r="AB545" s="63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17" t="str">
        <f>IF($AA545="","",IF($B545="I",VLOOKUP($AA545,#REF!,53,0),INDEX(VALUES!$B$1:$CC$1,1,$AA545)))</f>
        <v/>
      </c>
    </row>
    <row r="546" spans="1:29" hidden="1" outlineLevel="1" x14ac:dyDescent="0.3">
      <c r="A546" s="22" t="s">
        <v>84</v>
      </c>
      <c r="B546" s="41" t="str">
        <f t="shared" si="37"/>
        <v/>
      </c>
      <c r="C546" s="42">
        <f t="shared" si="39"/>
        <v>545</v>
      </c>
      <c r="D546" s="38"/>
      <c r="E546" s="38"/>
      <c r="F546" s="38" t="s">
        <v>9</v>
      </c>
      <c r="G546" s="38"/>
      <c r="H546" s="38"/>
      <c r="I546" s="38" t="s">
        <v>9</v>
      </c>
      <c r="J546" s="38"/>
      <c r="K546" s="14" t="s">
        <v>18</v>
      </c>
      <c r="L546" s="14" t="s">
        <v>27</v>
      </c>
      <c r="M546" s="20" t="s">
        <v>1225</v>
      </c>
      <c r="N546" s="14" t="s">
        <v>1226</v>
      </c>
      <c r="O546" s="43" t="s">
        <v>1224</v>
      </c>
      <c r="R546" s="38" t="s">
        <v>104</v>
      </c>
      <c r="S546" s="38"/>
      <c r="T546" s="38"/>
      <c r="W546" s="15" t="str">
        <f>IF(IFERROR(VLOOKUP($M546,#REF!,1,0),"-")="-","","GS")</f>
        <v/>
      </c>
      <c r="Z546" s="59" t="str">
        <f>IF(OR($M546="",NOT($O546="{array}")),"",IFERROR(MATCH(PARAMETERS!$M546,DEFAULT!$B$5:$CG$5,0),""))</f>
        <v/>
      </c>
      <c r="AA546" s="56" t="str">
        <f t="shared" si="38"/>
        <v/>
      </c>
      <c r="AB546" s="63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7" t="str">
        <f>IF($AA546="","",IF($B546="I",VLOOKUP($AA546,#REF!,53,0),INDEX(VALUES!$B$1:$CC$1,1,$AA546)))</f>
        <v/>
      </c>
    </row>
    <row r="547" spans="1:29" hidden="1" outlineLevel="1" x14ac:dyDescent="0.3">
      <c r="A547" s="22" t="s">
        <v>84</v>
      </c>
      <c r="B547" s="41" t="str">
        <f t="shared" si="37"/>
        <v/>
      </c>
      <c r="C547" s="42">
        <f t="shared" si="39"/>
        <v>546</v>
      </c>
      <c r="D547" s="38"/>
      <c r="E547" s="38"/>
      <c r="F547" s="38" t="s">
        <v>9</v>
      </c>
      <c r="G547" s="38"/>
      <c r="H547" s="38"/>
      <c r="I547" s="38" t="s">
        <v>9</v>
      </c>
      <c r="J547" s="38"/>
      <c r="K547" s="14" t="s">
        <v>24</v>
      </c>
      <c r="L547" s="14" t="s">
        <v>27</v>
      </c>
      <c r="M547" s="20" t="s">
        <v>1227</v>
      </c>
      <c r="N547" s="14" t="s">
        <v>1228</v>
      </c>
      <c r="O547" s="43">
        <v>0</v>
      </c>
      <c r="R547" s="38" t="s">
        <v>104</v>
      </c>
      <c r="S547" s="38"/>
      <c r="T547" s="38"/>
      <c r="W547" s="15" t="str">
        <f>IF(IFERROR(VLOOKUP($M547,#REF!,1,0),"-")="-","","GS")</f>
        <v/>
      </c>
      <c r="Z547" s="59" t="str">
        <f>IF(OR($M547="",NOT($O547="{array}")),"",IFERROR(MATCH(PARAMETERS!$M547,DEFAULT!$B$5:$CG$5,0),""))</f>
        <v/>
      </c>
      <c r="AA547" s="56" t="str">
        <f t="shared" si="38"/>
        <v/>
      </c>
      <c r="AB547" s="63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7" t="str">
        <f>IF($AA547="","",IF($B547="I",VLOOKUP($AA547,#REF!,53,0),INDEX(VALUES!$B$1:$CC$1,1,$AA547)))</f>
        <v/>
      </c>
    </row>
    <row r="548" spans="1:29" hidden="1" outlineLevel="1" x14ac:dyDescent="0.3">
      <c r="A548" s="22" t="s">
        <v>84</v>
      </c>
      <c r="B548" s="41" t="str">
        <f t="shared" si="37"/>
        <v/>
      </c>
      <c r="C548" s="42">
        <f t="shared" si="39"/>
        <v>547</v>
      </c>
      <c r="D548" s="38"/>
      <c r="E548" s="38"/>
      <c r="F548" s="38" t="s">
        <v>9</v>
      </c>
      <c r="G548" s="38"/>
      <c r="H548" s="38"/>
      <c r="I548" s="38" t="s">
        <v>9</v>
      </c>
      <c r="J548" s="38"/>
      <c r="K548" s="14" t="s">
        <v>44</v>
      </c>
      <c r="L548" s="14" t="s">
        <v>27</v>
      </c>
      <c r="M548" s="20" t="s">
        <v>1229</v>
      </c>
      <c r="N548" s="14" t="s">
        <v>1230</v>
      </c>
      <c r="O548" s="43">
        <v>1</v>
      </c>
      <c r="R548" s="38" t="s">
        <v>104</v>
      </c>
      <c r="S548" s="38"/>
      <c r="T548" s="38"/>
      <c r="W548" s="15" t="str">
        <f>IF(IFERROR(VLOOKUP($M548,#REF!,1,0),"-")="-","","GS")</f>
        <v/>
      </c>
      <c r="Z548" s="59" t="str">
        <f>IF(OR($M548="",NOT($O548="{array}")),"",IFERROR(MATCH(PARAMETERS!$M548,DEFAULT!$B$5:$CG$5,0),""))</f>
        <v/>
      </c>
      <c r="AA548" s="56" t="str">
        <f t="shared" si="38"/>
        <v/>
      </c>
      <c r="AB548" s="63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7" t="str">
        <f>IF($AA548="","",IF($B548="I",VLOOKUP($AA548,#REF!,53,0),INDEX(VALUES!$B$1:$CC$1,1,$AA548)))</f>
        <v/>
      </c>
    </row>
    <row r="549" spans="1:29" hidden="1" outlineLevel="1" x14ac:dyDescent="0.3">
      <c r="A549" s="22" t="s">
        <v>84</v>
      </c>
      <c r="B549" s="41" t="str">
        <f t="shared" si="37"/>
        <v/>
      </c>
      <c r="C549" s="42">
        <f t="shared" si="39"/>
        <v>548</v>
      </c>
      <c r="D549" s="38"/>
      <c r="E549" s="38"/>
      <c r="F549" s="38" t="s">
        <v>9</v>
      </c>
      <c r="G549" s="38"/>
      <c r="H549" s="38"/>
      <c r="I549" s="38" t="s">
        <v>9</v>
      </c>
      <c r="J549" s="38"/>
      <c r="K549" s="14" t="s">
        <v>18</v>
      </c>
      <c r="L549" s="14" t="s">
        <v>27</v>
      </c>
      <c r="M549" s="20" t="s">
        <v>1231</v>
      </c>
      <c r="N549" s="14" t="s">
        <v>1232</v>
      </c>
      <c r="O549" s="43" t="s">
        <v>1230</v>
      </c>
      <c r="R549" s="38" t="s">
        <v>104</v>
      </c>
      <c r="S549" s="38"/>
      <c r="T549" s="38"/>
      <c r="W549" s="15" t="str">
        <f>IF(IFERROR(VLOOKUP($M549,#REF!,1,0),"-")="-","","GS")</f>
        <v/>
      </c>
      <c r="Z549" s="59" t="str">
        <f>IF(OR($M549="",NOT($O549="{array}")),"",IFERROR(MATCH(PARAMETERS!$M549,DEFAULT!$B$5:$CG$5,0),""))</f>
        <v/>
      </c>
      <c r="AA549" s="56" t="str">
        <f t="shared" si="38"/>
        <v/>
      </c>
      <c r="AB549" s="63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7" t="str">
        <f>IF($AA549="","",IF($B549="I",VLOOKUP($AA549,#REF!,53,0),INDEX(VALUES!$B$1:$CC$1,1,$AA549)))</f>
        <v/>
      </c>
    </row>
    <row r="550" spans="1:29" hidden="1" outlineLevel="1" x14ac:dyDescent="0.3">
      <c r="A550" s="22" t="s">
        <v>84</v>
      </c>
      <c r="B550" s="41" t="str">
        <f t="shared" si="37"/>
        <v/>
      </c>
      <c r="C550" s="42">
        <f t="shared" si="39"/>
        <v>549</v>
      </c>
      <c r="D550" s="38"/>
      <c r="E550" s="38"/>
      <c r="F550" s="38" t="s">
        <v>9</v>
      </c>
      <c r="G550" s="38"/>
      <c r="H550" s="38"/>
      <c r="I550" s="38" t="s">
        <v>9</v>
      </c>
      <c r="J550" s="38"/>
      <c r="K550" s="14" t="s">
        <v>24</v>
      </c>
      <c r="L550" s="14" t="s">
        <v>27</v>
      </c>
      <c r="M550" s="20" t="s">
        <v>1233</v>
      </c>
      <c r="N550" s="14" t="s">
        <v>1228</v>
      </c>
      <c r="O550" s="43">
        <v>0</v>
      </c>
      <c r="R550" s="38" t="s">
        <v>104</v>
      </c>
      <c r="S550" s="38"/>
      <c r="T550" s="38"/>
      <c r="W550" s="15" t="str">
        <f>IF(IFERROR(VLOOKUP($M550,#REF!,1,0),"-")="-","","GS")</f>
        <v/>
      </c>
      <c r="Z550" s="59" t="str">
        <f>IF(OR($M550="",NOT($O550="{array}")),"",IFERROR(MATCH(PARAMETERS!$M550,DEFAULT!$B$5:$CG$5,0),""))</f>
        <v/>
      </c>
      <c r="AA550" s="56" t="str">
        <f t="shared" si="38"/>
        <v/>
      </c>
      <c r="AB550" s="63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7" t="str">
        <f>IF($AA550="","",IF($B550="I",VLOOKUP($AA550,#REF!,53,0),INDEX(VALUES!$B$1:$CC$1,1,$AA550)))</f>
        <v/>
      </c>
    </row>
    <row r="551" spans="1:29" hidden="1" outlineLevel="1" x14ac:dyDescent="0.3">
      <c r="A551" s="22" t="s">
        <v>84</v>
      </c>
      <c r="B551" s="41" t="str">
        <f t="shared" si="37"/>
        <v/>
      </c>
      <c r="C551" s="42">
        <f t="shared" si="39"/>
        <v>550</v>
      </c>
      <c r="D551" s="38"/>
      <c r="E551" s="38"/>
      <c r="F551" s="38" t="s">
        <v>9</v>
      </c>
      <c r="G551" s="38"/>
      <c r="H551" s="38"/>
      <c r="I551" s="38" t="s">
        <v>9</v>
      </c>
      <c r="J551" s="38"/>
      <c r="K551" s="14" t="s">
        <v>44</v>
      </c>
      <c r="L551" s="14" t="s">
        <v>27</v>
      </c>
      <c r="M551" s="20" t="s">
        <v>1234</v>
      </c>
      <c r="N551" s="14" t="s">
        <v>456</v>
      </c>
      <c r="O551" s="43">
        <v>1</v>
      </c>
      <c r="R551" s="38" t="s">
        <v>104</v>
      </c>
      <c r="S551" s="38"/>
      <c r="T551" s="38"/>
      <c r="W551" s="15" t="str">
        <f>IF(IFERROR(VLOOKUP($M551,#REF!,1,0),"-")="-","","GS")</f>
        <v/>
      </c>
      <c r="Z551" s="59" t="str">
        <f>IF(OR($M551="",NOT($O551="{array}")),"",IFERROR(MATCH(PARAMETERS!$M551,DEFAULT!$B$5:$CG$5,0),""))</f>
        <v/>
      </c>
      <c r="AA551" s="56" t="str">
        <f t="shared" si="38"/>
        <v/>
      </c>
      <c r="AB551" s="63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7" t="str">
        <f>IF($AA551="","",IF($B551="I",VLOOKUP($AA551,#REF!,53,0),INDEX(VALUES!$B$1:$CC$1,1,$AA551)))</f>
        <v/>
      </c>
    </row>
    <row r="552" spans="1:29" hidden="1" outlineLevel="1" x14ac:dyDescent="0.3">
      <c r="A552" s="22" t="s">
        <v>84</v>
      </c>
      <c r="B552" s="41" t="str">
        <f t="shared" si="37"/>
        <v/>
      </c>
      <c r="C552" s="42">
        <f t="shared" si="39"/>
        <v>551</v>
      </c>
      <c r="D552" s="38"/>
      <c r="E552" s="38"/>
      <c r="F552" s="38" t="s">
        <v>9</v>
      </c>
      <c r="G552" s="38"/>
      <c r="H552" s="38"/>
      <c r="I552" s="38" t="s">
        <v>9</v>
      </c>
      <c r="J552" s="38"/>
      <c r="K552" s="14" t="s">
        <v>18</v>
      </c>
      <c r="L552" s="14" t="s">
        <v>27</v>
      </c>
      <c r="M552" s="20" t="s">
        <v>1235</v>
      </c>
      <c r="N552" s="14" t="s">
        <v>1236</v>
      </c>
      <c r="O552" s="43" t="s">
        <v>456</v>
      </c>
      <c r="R552" s="38" t="s">
        <v>104</v>
      </c>
      <c r="S552" s="38"/>
      <c r="T552" s="38"/>
      <c r="W552" s="15" t="str">
        <f>IF(IFERROR(VLOOKUP($M552,#REF!,1,0),"-")="-","","GS")</f>
        <v/>
      </c>
      <c r="Z552" s="59" t="str">
        <f>IF(OR($M552="",NOT($O552="{array}")),"",IFERROR(MATCH(PARAMETERS!$M552,DEFAULT!$B$5:$CG$5,0),""))</f>
        <v/>
      </c>
      <c r="AA552" s="56" t="str">
        <f t="shared" si="38"/>
        <v/>
      </c>
      <c r="AB552" s="63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7" t="str">
        <f>IF($AA552="","",IF($B552="I",VLOOKUP($AA552,#REF!,53,0),INDEX(VALUES!$B$1:$CC$1,1,$AA552)))</f>
        <v/>
      </c>
    </row>
    <row r="553" spans="1:29" hidden="1" outlineLevel="1" x14ac:dyDescent="0.3">
      <c r="A553" s="22" t="s">
        <v>84</v>
      </c>
      <c r="B553" s="41" t="str">
        <f t="shared" si="37"/>
        <v/>
      </c>
      <c r="C553" s="42">
        <f t="shared" si="39"/>
        <v>552</v>
      </c>
      <c r="D553" s="38"/>
      <c r="E553" s="38"/>
      <c r="F553" s="38" t="s">
        <v>9</v>
      </c>
      <c r="G553" s="38"/>
      <c r="H553" s="38"/>
      <c r="I553" s="38" t="s">
        <v>9</v>
      </c>
      <c r="J553" s="38"/>
      <c r="K553" s="14" t="s">
        <v>24</v>
      </c>
      <c r="L553" s="14" t="s">
        <v>27</v>
      </c>
      <c r="M553" s="20" t="s">
        <v>1237</v>
      </c>
      <c r="N553" s="14" t="s">
        <v>1238</v>
      </c>
      <c r="O553" s="43">
        <v>0</v>
      </c>
      <c r="R553" s="38" t="s">
        <v>104</v>
      </c>
      <c r="S553" s="38"/>
      <c r="T553" s="38"/>
      <c r="W553" s="15" t="str">
        <f>IF(IFERROR(VLOOKUP($M553,#REF!,1,0),"-")="-","","GS")</f>
        <v/>
      </c>
      <c r="Z553" s="59" t="str">
        <f>IF(OR($M553="",NOT($O553="{array}")),"",IFERROR(MATCH(PARAMETERS!$M553,DEFAULT!$B$5:$CG$5,0),""))</f>
        <v/>
      </c>
      <c r="AA553" s="56" t="str">
        <f t="shared" si="38"/>
        <v/>
      </c>
      <c r="AB553" s="63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7" t="str">
        <f>IF($AA553="","",IF($B553="I",VLOOKUP($AA553,#REF!,53,0),INDEX(VALUES!$B$1:$CC$1,1,$AA553)))</f>
        <v/>
      </c>
    </row>
    <row r="554" spans="1:29" hidden="1" outlineLevel="1" x14ac:dyDescent="0.3">
      <c r="A554" s="22" t="s">
        <v>84</v>
      </c>
      <c r="B554" s="41" t="str">
        <f t="shared" si="37"/>
        <v/>
      </c>
      <c r="C554" s="42">
        <f t="shared" si="39"/>
        <v>553</v>
      </c>
      <c r="D554" s="38"/>
      <c r="E554" s="38"/>
      <c r="F554" s="38" t="s">
        <v>9</v>
      </c>
      <c r="G554" s="38"/>
      <c r="H554" s="38"/>
      <c r="I554" s="38" t="s">
        <v>9</v>
      </c>
      <c r="J554" s="38"/>
      <c r="K554" s="14" t="s">
        <v>18</v>
      </c>
      <c r="L554" s="14" t="s">
        <v>27</v>
      </c>
      <c r="M554" s="20" t="s">
        <v>1239</v>
      </c>
      <c r="N554" s="14" t="s">
        <v>1240</v>
      </c>
      <c r="O554" s="43" t="s">
        <v>1241</v>
      </c>
      <c r="R554" s="38" t="s">
        <v>104</v>
      </c>
      <c r="S554" s="38"/>
      <c r="T554" s="38"/>
      <c r="W554" s="15" t="str">
        <f>IF(IFERROR(VLOOKUP($M554,#REF!,1,0),"-")="-","","GS")</f>
        <v/>
      </c>
      <c r="Z554" s="59" t="str">
        <f>IF(OR($M554="",NOT($O554="{array}")),"",IFERROR(MATCH(PARAMETERS!$M554,DEFAULT!$B$5:$CG$5,0),""))</f>
        <v/>
      </c>
      <c r="AA554" s="56" t="str">
        <f t="shared" si="38"/>
        <v/>
      </c>
      <c r="AB554" s="63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7" t="str">
        <f>IF($AA554="","",IF($B554="I",VLOOKUP($AA554,#REF!,53,0),INDEX(VALUES!$B$1:$CC$1,1,$AA554)))</f>
        <v/>
      </c>
    </row>
    <row r="555" spans="1:29" hidden="1" outlineLevel="1" x14ac:dyDescent="0.3">
      <c r="A555" s="22" t="s">
        <v>84</v>
      </c>
      <c r="B555" s="41" t="str">
        <f t="shared" si="37"/>
        <v/>
      </c>
      <c r="C555" s="42">
        <f t="shared" si="39"/>
        <v>554</v>
      </c>
      <c r="D555" s="38"/>
      <c r="E555" s="38"/>
      <c r="F555" s="38" t="s">
        <v>9</v>
      </c>
      <c r="G555" s="38" t="s">
        <v>9</v>
      </c>
      <c r="H555" s="38"/>
      <c r="I555" s="38" t="s">
        <v>9</v>
      </c>
      <c r="J555" s="38"/>
      <c r="K555" s="14" t="s">
        <v>44</v>
      </c>
      <c r="L555" s="14" t="s">
        <v>27</v>
      </c>
      <c r="M555" s="20" t="s">
        <v>1242</v>
      </c>
      <c r="N555" s="14" t="s">
        <v>1243</v>
      </c>
      <c r="O555" s="43">
        <v>2</v>
      </c>
      <c r="R555" s="38" t="s">
        <v>104</v>
      </c>
      <c r="S555" s="38"/>
      <c r="T555" s="38"/>
      <c r="W555" s="15" t="str">
        <f>IF(IFERROR(VLOOKUP($M555,#REF!,1,0),"-")="-","","GS")</f>
        <v/>
      </c>
      <c r="Z555" s="59" t="str">
        <f>IF(OR($M555="",NOT($O555="{array}")),"",IFERROR(MATCH(PARAMETERS!$M555,DEFAULT!$B$5:$CG$5,0),""))</f>
        <v/>
      </c>
      <c r="AA555" s="56" t="str">
        <f t="shared" si="38"/>
        <v/>
      </c>
      <c r="AB555" s="63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7" t="str">
        <f>IF($AA555="","",IF($B555="I",VLOOKUP($AA555,#REF!,53,0),INDEX(VALUES!$B$1:$CC$1,1,$AA555)))</f>
        <v/>
      </c>
    </row>
    <row r="556" spans="1:29" hidden="1" outlineLevel="1" x14ac:dyDescent="0.3">
      <c r="A556" s="22" t="s">
        <v>84</v>
      </c>
      <c r="B556" s="41" t="str">
        <f t="shared" si="37"/>
        <v/>
      </c>
      <c r="C556" s="42">
        <f t="shared" si="39"/>
        <v>555</v>
      </c>
      <c r="D556" s="38"/>
      <c r="E556" s="38"/>
      <c r="F556" s="38" t="s">
        <v>9</v>
      </c>
      <c r="G556" s="38"/>
      <c r="H556" s="38"/>
      <c r="I556" s="38" t="s">
        <v>9</v>
      </c>
      <c r="J556" s="38"/>
      <c r="K556" s="14" t="s">
        <v>18</v>
      </c>
      <c r="L556" s="14" t="s">
        <v>27</v>
      </c>
      <c r="M556" s="20" t="s">
        <v>1244</v>
      </c>
      <c r="N556" s="14" t="s">
        <v>1245</v>
      </c>
      <c r="O556" s="43" t="s">
        <v>1079</v>
      </c>
      <c r="R556" s="38" t="s">
        <v>104</v>
      </c>
      <c r="S556" s="38"/>
      <c r="T556" s="38"/>
      <c r="W556" s="15" t="str">
        <f>IF(IFERROR(VLOOKUP($M556,#REF!,1,0),"-")="-","","GS")</f>
        <v/>
      </c>
      <c r="Z556" s="59" t="str">
        <f>IF(OR($M556="",NOT($O556="{array}")),"",IFERROR(MATCH(PARAMETERS!$M556,DEFAULT!$B$5:$CG$5,0),""))</f>
        <v/>
      </c>
      <c r="AA556" s="56" t="str">
        <f t="shared" si="38"/>
        <v/>
      </c>
      <c r="AB556" s="63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7" t="str">
        <f>IF($AA556="","",IF($B556="I",VLOOKUP($AA556,#REF!,53,0),INDEX(VALUES!$B$1:$CC$1,1,$AA556)))</f>
        <v/>
      </c>
    </row>
    <row r="557" spans="1:29" hidden="1" outlineLevel="1" x14ac:dyDescent="0.3">
      <c r="A557" s="22" t="s">
        <v>84</v>
      </c>
      <c r="B557" s="41" t="str">
        <f t="shared" ref="B557:B590" si="40">IF($A557="P",IF(NOT($Z557=""),"A",IF(NOT($AA557=""),"I","")),IF(NOT($AA557=""),IF($A557="G","V","X"),IF(NOT($Z557=""),"A","")))</f>
        <v/>
      </c>
      <c r="C557" s="42">
        <f t="shared" si="39"/>
        <v>556</v>
      </c>
      <c r="D557" s="38"/>
      <c r="E557" s="38"/>
      <c r="F557" s="38" t="s">
        <v>9</v>
      </c>
      <c r="G557" s="38"/>
      <c r="H557" s="38"/>
      <c r="I557" s="38" t="s">
        <v>9</v>
      </c>
      <c r="J557" s="38"/>
      <c r="K557" s="14" t="s">
        <v>24</v>
      </c>
      <c r="L557" s="14" t="s">
        <v>27</v>
      </c>
      <c r="M557" s="20" t="s">
        <v>1246</v>
      </c>
      <c r="N557" s="14" t="s">
        <v>1247</v>
      </c>
      <c r="O557" s="43">
        <v>7.4999999999999997E-2</v>
      </c>
      <c r="R557" s="38" t="s">
        <v>104</v>
      </c>
      <c r="S557" s="38"/>
      <c r="T557" s="38"/>
      <c r="W557" s="15" t="str">
        <f>IF(IFERROR(VLOOKUP($M557,#REF!,1,0),"-")="-","","GS")</f>
        <v/>
      </c>
      <c r="Z557" s="59" t="str">
        <f>IF(OR($M557="",NOT($O557="{array}")),"",IFERROR(MATCH(PARAMETERS!$M557,DEFAULT!$B$5:$CG$5,0),""))</f>
        <v/>
      </c>
      <c r="AA557" s="56" t="str">
        <f t="shared" ref="AA557:AA590" si="41">IF($M557="","",IFERROR(MATCH($M557,VALUESnames,0),""))</f>
        <v/>
      </c>
      <c r="AB557" s="63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7" t="str">
        <f>IF($AA557="","",IF($B557="I",VLOOKUP($AA557,#REF!,53,0),INDEX(VALUES!$B$1:$CC$1,1,$AA557)))</f>
        <v/>
      </c>
    </row>
    <row r="558" spans="1:29" hidden="1" outlineLevel="1" x14ac:dyDescent="0.3">
      <c r="A558" s="22" t="s">
        <v>84</v>
      </c>
      <c r="B558" s="41" t="str">
        <f t="shared" si="40"/>
        <v/>
      </c>
      <c r="C558" s="42">
        <f t="shared" ref="C558:C590" si="42">(ROW()-1)</f>
        <v>557</v>
      </c>
      <c r="D558" s="38"/>
      <c r="E558" s="38"/>
      <c r="F558" s="38" t="s">
        <v>9</v>
      </c>
      <c r="G558" s="38"/>
      <c r="H558" s="38"/>
      <c r="I558" s="38" t="s">
        <v>9</v>
      </c>
      <c r="J558" s="38"/>
      <c r="K558" s="14" t="s">
        <v>36</v>
      </c>
      <c r="L558" s="14" t="s">
        <v>27</v>
      </c>
      <c r="M558" s="20" t="s">
        <v>1248</v>
      </c>
      <c r="N558" s="14" t="s">
        <v>1249</v>
      </c>
      <c r="O558" s="43">
        <v>1.5</v>
      </c>
      <c r="R558" s="38" t="s">
        <v>104</v>
      </c>
      <c r="S558" s="38"/>
      <c r="T558" s="38"/>
      <c r="W558" s="15" t="str">
        <f>IF(IFERROR(VLOOKUP($M558,#REF!,1,0),"-")="-","","GS")</f>
        <v/>
      </c>
      <c r="Z558" s="59" t="str">
        <f>IF(OR($M558="",NOT($O558="{array}")),"",IFERROR(MATCH(PARAMETERS!$M558,DEFAULT!$B$5:$CG$5,0),""))</f>
        <v/>
      </c>
      <c r="AA558" s="56" t="str">
        <f t="shared" si="41"/>
        <v/>
      </c>
      <c r="AB558" s="63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7" t="str">
        <f>IF($AA558="","",IF($B558="I",VLOOKUP($AA558,#REF!,53,0),INDEX(VALUES!$B$1:$CC$1,1,$AA558)))</f>
        <v/>
      </c>
    </row>
    <row r="559" spans="1:29" hidden="1" outlineLevel="1" x14ac:dyDescent="0.3">
      <c r="A559" s="22" t="s">
        <v>84</v>
      </c>
      <c r="B559" s="41" t="str">
        <f t="shared" si="40"/>
        <v/>
      </c>
      <c r="C559" s="42">
        <f t="shared" si="42"/>
        <v>558</v>
      </c>
      <c r="D559" s="38"/>
      <c r="E559" s="38"/>
      <c r="F559" s="38" t="s">
        <v>9</v>
      </c>
      <c r="G559" s="38"/>
      <c r="H559" s="38"/>
      <c r="I559" s="38" t="s">
        <v>9</v>
      </c>
      <c r="J559" s="38"/>
      <c r="K559" s="14" t="s">
        <v>53</v>
      </c>
      <c r="L559" s="14" t="s">
        <v>27</v>
      </c>
      <c r="M559" s="20" t="s">
        <v>1250</v>
      </c>
      <c r="N559" s="14" t="s">
        <v>1251</v>
      </c>
      <c r="O559" s="43">
        <v>1</v>
      </c>
      <c r="R559" s="38" t="s">
        <v>104</v>
      </c>
      <c r="S559" s="38"/>
      <c r="T559" s="38"/>
      <c r="W559" s="15" t="str">
        <f>IF(IFERROR(VLOOKUP($M559,#REF!,1,0),"-")="-","","GS")</f>
        <v/>
      </c>
      <c r="Z559" s="59" t="str">
        <f>IF(OR($M559="",NOT($O559="{array}")),"",IFERROR(MATCH(PARAMETERS!$M559,DEFAULT!$B$5:$CG$5,0),""))</f>
        <v/>
      </c>
      <c r="AA559" s="56" t="str">
        <f t="shared" si="41"/>
        <v/>
      </c>
      <c r="AB559" s="63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7" t="str">
        <f>IF($AA559="","",IF($B559="I",VLOOKUP($AA559,#REF!,53,0),INDEX(VALUES!$B$1:$CC$1,1,$AA559)))</f>
        <v/>
      </c>
    </row>
    <row r="560" spans="1:29" hidden="1" outlineLevel="1" x14ac:dyDescent="0.3">
      <c r="A560" s="22" t="s">
        <v>84</v>
      </c>
      <c r="B560" s="41" t="str">
        <f t="shared" si="40"/>
        <v/>
      </c>
      <c r="C560" s="42">
        <f t="shared" si="42"/>
        <v>559</v>
      </c>
      <c r="D560" s="38"/>
      <c r="E560" s="38"/>
      <c r="F560" s="38" t="s">
        <v>9</v>
      </c>
      <c r="G560" s="38"/>
      <c r="H560" s="38"/>
      <c r="I560" s="38" t="s">
        <v>9</v>
      </c>
      <c r="J560" s="38"/>
      <c r="K560" s="14" t="s">
        <v>24</v>
      </c>
      <c r="L560" s="14" t="s">
        <v>27</v>
      </c>
      <c r="M560" s="20" t="s">
        <v>1252</v>
      </c>
      <c r="N560" s="14" t="s">
        <v>1253</v>
      </c>
      <c r="O560" s="43">
        <v>0</v>
      </c>
      <c r="R560" s="38" t="s">
        <v>104</v>
      </c>
      <c r="S560" s="38"/>
      <c r="T560" s="38"/>
      <c r="W560" s="15" t="str">
        <f>IF(IFERROR(VLOOKUP($M560,#REF!,1,0),"-")="-","","GS")</f>
        <v/>
      </c>
      <c r="Z560" s="59" t="str">
        <f>IF(OR($M560="",NOT($O560="{array}")),"",IFERROR(MATCH(PARAMETERS!$M560,DEFAULT!$B$5:$CG$5,0),""))</f>
        <v/>
      </c>
      <c r="AA560" s="56" t="str">
        <f t="shared" si="41"/>
        <v/>
      </c>
      <c r="AB560" s="63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7" t="str">
        <f>IF($AA560="","",IF($B560="I",VLOOKUP($AA560,#REF!,53,0),INDEX(VALUES!$B$1:$CC$1,1,$AA560)))</f>
        <v/>
      </c>
    </row>
    <row r="561" spans="1:29" hidden="1" outlineLevel="1" x14ac:dyDescent="0.3">
      <c r="A561" s="22" t="s">
        <v>84</v>
      </c>
      <c r="B561" s="41" t="str">
        <f t="shared" si="40"/>
        <v/>
      </c>
      <c r="C561" s="42">
        <f t="shared" si="42"/>
        <v>560</v>
      </c>
      <c r="D561" s="38"/>
      <c r="E561" s="38"/>
      <c r="F561" s="38"/>
      <c r="G561" s="38" t="s">
        <v>9</v>
      </c>
      <c r="H561" s="38"/>
      <c r="I561" s="38" t="s">
        <v>9</v>
      </c>
      <c r="J561" s="38"/>
      <c r="K561" s="14" t="s">
        <v>36</v>
      </c>
      <c r="L561" s="14" t="s">
        <v>27</v>
      </c>
      <c r="M561" s="20" t="s">
        <v>1254</v>
      </c>
      <c r="N561" s="14" t="s">
        <v>1255</v>
      </c>
      <c r="O561" s="43">
        <v>0</v>
      </c>
      <c r="R561" s="38" t="s">
        <v>104</v>
      </c>
      <c r="S561" s="38"/>
      <c r="T561" s="38"/>
      <c r="W561" s="15" t="str">
        <f>IF(IFERROR(VLOOKUP($M561,#REF!,1,0),"-")="-","","GS")</f>
        <v/>
      </c>
      <c r="Z561" s="59" t="str">
        <f>IF(OR($M561="",NOT($O561="{array}")),"",IFERROR(MATCH(PARAMETERS!$M561,DEFAULT!$B$5:$CG$5,0),""))</f>
        <v/>
      </c>
      <c r="AA561" s="56" t="str">
        <f t="shared" si="41"/>
        <v/>
      </c>
      <c r="AB561" s="63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7" t="str">
        <f>IF($AA561="","",IF($B561="I",VLOOKUP($AA561,#REF!,53,0),INDEX(VALUES!$B$1:$CC$1,1,$AA561)))</f>
        <v/>
      </c>
    </row>
    <row r="562" spans="1:29" hidden="1" outlineLevel="1" x14ac:dyDescent="0.3">
      <c r="A562" s="22" t="s">
        <v>84</v>
      </c>
      <c r="B562" s="41" t="str">
        <f t="shared" si="40"/>
        <v/>
      </c>
      <c r="C562" s="42">
        <f t="shared" si="42"/>
        <v>561</v>
      </c>
      <c r="D562" s="38"/>
      <c r="E562" s="38"/>
      <c r="F562" s="38" t="s">
        <v>9</v>
      </c>
      <c r="G562" s="38"/>
      <c r="H562" s="38"/>
      <c r="I562" s="38" t="s">
        <v>9</v>
      </c>
      <c r="J562" s="38"/>
      <c r="K562" s="14" t="s">
        <v>36</v>
      </c>
      <c r="L562" s="14" t="s">
        <v>27</v>
      </c>
      <c r="M562" s="20" t="s">
        <v>1256</v>
      </c>
      <c r="N562" s="14" t="s">
        <v>1257</v>
      </c>
      <c r="O562" s="43">
        <v>0</v>
      </c>
      <c r="R562" s="38" t="s">
        <v>104</v>
      </c>
      <c r="S562" s="38"/>
      <c r="T562" s="38"/>
      <c r="W562" s="15" t="str">
        <f>IF(IFERROR(VLOOKUP($M562,#REF!,1,0),"-")="-","","GS")</f>
        <v/>
      </c>
      <c r="Z562" s="59" t="str">
        <f>IF(OR($M562="",NOT($O562="{array}")),"",IFERROR(MATCH(PARAMETERS!$M562,DEFAULT!$B$5:$CG$5,0),""))</f>
        <v/>
      </c>
      <c r="AA562" s="56" t="str">
        <f t="shared" si="41"/>
        <v/>
      </c>
      <c r="AB562" s="63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7" t="str">
        <f>IF($AA562="","",IF($B562="I",VLOOKUP($AA562,#REF!,53,0),INDEX(VALUES!$B$1:$CC$1,1,$AA562)))</f>
        <v/>
      </c>
    </row>
    <row r="563" spans="1:29" hidden="1" outlineLevel="1" x14ac:dyDescent="0.3">
      <c r="A563" s="22" t="s">
        <v>84</v>
      </c>
      <c r="B563" s="41" t="str">
        <f t="shared" si="40"/>
        <v/>
      </c>
      <c r="C563" s="42">
        <f t="shared" si="42"/>
        <v>562</v>
      </c>
      <c r="D563" s="38"/>
      <c r="E563" s="38"/>
      <c r="F563" s="38" t="s">
        <v>9</v>
      </c>
      <c r="G563" s="38"/>
      <c r="H563" s="38"/>
      <c r="I563" s="38" t="s">
        <v>9</v>
      </c>
      <c r="J563" s="38"/>
      <c r="K563" s="14" t="s">
        <v>24</v>
      </c>
      <c r="L563" s="14" t="s">
        <v>27</v>
      </c>
      <c r="M563" s="20" t="s">
        <v>1258</v>
      </c>
      <c r="N563" s="14" t="s">
        <v>1259</v>
      </c>
      <c r="O563" s="43">
        <v>0.4</v>
      </c>
      <c r="R563" s="38" t="s">
        <v>104</v>
      </c>
      <c r="S563" s="38"/>
      <c r="T563" s="38"/>
      <c r="W563" s="15" t="str">
        <f>IF(IFERROR(VLOOKUP($M563,#REF!,1,0),"-")="-","","GS")</f>
        <v/>
      </c>
      <c r="Z563" s="59" t="str">
        <f>IF(OR($M563="",NOT($O563="{array}")),"",IFERROR(MATCH(PARAMETERS!$M563,DEFAULT!$B$5:$CG$5,0),""))</f>
        <v/>
      </c>
      <c r="AA563" s="56" t="str">
        <f t="shared" si="41"/>
        <v/>
      </c>
      <c r="AB563" s="63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7" t="str">
        <f>IF($AA563="","",IF($B563="I",VLOOKUP($AA563,#REF!,53,0),INDEX(VALUES!$B$1:$CC$1,1,$AA563)))</f>
        <v/>
      </c>
    </row>
    <row r="564" spans="1:29" hidden="1" outlineLevel="1" x14ac:dyDescent="0.3">
      <c r="A564" s="22" t="s">
        <v>84</v>
      </c>
      <c r="B564" s="41" t="str">
        <f t="shared" si="40"/>
        <v/>
      </c>
      <c r="C564" s="42">
        <f t="shared" si="42"/>
        <v>563</v>
      </c>
      <c r="D564" s="38"/>
      <c r="E564" s="38"/>
      <c r="F564" s="38"/>
      <c r="G564" s="38" t="s">
        <v>9</v>
      </c>
      <c r="H564" s="38"/>
      <c r="I564" s="38" t="s">
        <v>9</v>
      </c>
      <c r="J564" s="38"/>
      <c r="K564" s="14" t="s">
        <v>36</v>
      </c>
      <c r="L564" s="14" t="s">
        <v>27</v>
      </c>
      <c r="M564" s="20" t="s">
        <v>1260</v>
      </c>
      <c r="N564" s="14" t="s">
        <v>1261</v>
      </c>
      <c r="O564" s="43">
        <v>0</v>
      </c>
      <c r="R564" s="38" t="s">
        <v>104</v>
      </c>
      <c r="S564" s="38"/>
      <c r="T564" s="38"/>
      <c r="W564" s="15" t="str">
        <f>IF(IFERROR(VLOOKUP($M564,#REF!,1,0),"-")="-","","GS")</f>
        <v/>
      </c>
      <c r="Z564" s="59" t="str">
        <f>IF(OR($M564="",NOT($O564="{array}")),"",IFERROR(MATCH(PARAMETERS!$M564,DEFAULT!$B$5:$CG$5,0),""))</f>
        <v/>
      </c>
      <c r="AA564" s="56" t="str">
        <f t="shared" si="41"/>
        <v/>
      </c>
      <c r="AB564" s="63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7" t="str">
        <f>IF($AA564="","",IF($B564="I",VLOOKUP($AA564,#REF!,53,0),INDEX(VALUES!$B$1:$CC$1,1,$AA564)))</f>
        <v/>
      </c>
    </row>
    <row r="565" spans="1:29" hidden="1" outlineLevel="1" x14ac:dyDescent="0.3">
      <c r="A565" s="22" t="s">
        <v>84</v>
      </c>
      <c r="B565" s="41" t="str">
        <f t="shared" si="40"/>
        <v/>
      </c>
      <c r="C565" s="42">
        <f t="shared" si="42"/>
        <v>564</v>
      </c>
      <c r="D565" s="38"/>
      <c r="E565" s="38"/>
      <c r="F565" s="38" t="s">
        <v>9</v>
      </c>
      <c r="G565" s="38"/>
      <c r="H565" s="38"/>
      <c r="I565" s="38" t="s">
        <v>9</v>
      </c>
      <c r="J565" s="38"/>
      <c r="K565" s="14" t="s">
        <v>36</v>
      </c>
      <c r="L565" s="14" t="s">
        <v>27</v>
      </c>
      <c r="M565" s="20" t="s">
        <v>1262</v>
      </c>
      <c r="N565" s="14" t="s">
        <v>1263</v>
      </c>
      <c r="O565" s="43">
        <v>2</v>
      </c>
      <c r="R565" s="38" t="s">
        <v>104</v>
      </c>
      <c r="S565" s="38"/>
      <c r="T565" s="38"/>
      <c r="W565" s="15" t="str">
        <f>IF(IFERROR(VLOOKUP($M565,#REF!,1,0),"-")="-","","GS")</f>
        <v/>
      </c>
      <c r="Z565" s="59" t="str">
        <f>IF(OR($M565="",NOT($O565="{array}")),"",IFERROR(MATCH(PARAMETERS!$M565,DEFAULT!$B$5:$CG$5,0),""))</f>
        <v/>
      </c>
      <c r="AA565" s="56" t="str">
        <f t="shared" si="41"/>
        <v/>
      </c>
      <c r="AB565" s="63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7" t="str">
        <f>IF($AA565="","",IF($B565="I",VLOOKUP($AA565,#REF!,53,0),INDEX(VALUES!$B$1:$CC$1,1,$AA565)))</f>
        <v/>
      </c>
    </row>
    <row r="566" spans="1:29" hidden="1" outlineLevel="1" x14ac:dyDescent="0.3">
      <c r="A566" s="22" t="s">
        <v>84</v>
      </c>
      <c r="B566" s="41" t="str">
        <f t="shared" si="40"/>
        <v/>
      </c>
      <c r="C566" s="42">
        <f t="shared" si="42"/>
        <v>565</v>
      </c>
      <c r="D566" s="38"/>
      <c r="E566" s="38"/>
      <c r="F566" s="38" t="s">
        <v>9</v>
      </c>
      <c r="G566" s="38"/>
      <c r="H566" s="38"/>
      <c r="I566" s="38" t="s">
        <v>9</v>
      </c>
      <c r="J566" s="38"/>
      <c r="K566" s="14" t="s">
        <v>47</v>
      </c>
      <c r="L566" s="14" t="s">
        <v>27</v>
      </c>
      <c r="M566" s="20" t="s">
        <v>1264</v>
      </c>
      <c r="N566" s="14" t="s">
        <v>1265</v>
      </c>
      <c r="O566" s="43">
        <v>0</v>
      </c>
      <c r="R566" s="38" t="s">
        <v>104</v>
      </c>
      <c r="S566" s="38"/>
      <c r="T566" s="38"/>
      <c r="W566" s="15" t="str">
        <f>IF(IFERROR(VLOOKUP($M566,#REF!,1,0),"-")="-","","GS")</f>
        <v/>
      </c>
      <c r="Z566" s="59" t="str">
        <f>IF(OR($M566="",NOT($O566="{array}")),"",IFERROR(MATCH(PARAMETERS!$M566,DEFAULT!$B$5:$CG$5,0),""))</f>
        <v/>
      </c>
      <c r="AA566" s="56" t="str">
        <f t="shared" si="41"/>
        <v/>
      </c>
      <c r="AB566" s="63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7" t="str">
        <f>IF($AA566="","",IF($B566="I",VLOOKUP($AA566,#REF!,53,0),INDEX(VALUES!$B$1:$CC$1,1,$AA566)))</f>
        <v/>
      </c>
    </row>
    <row r="567" spans="1:29" hidden="1" outlineLevel="1" x14ac:dyDescent="0.3">
      <c r="A567" s="22" t="s">
        <v>84</v>
      </c>
      <c r="B567" s="41" t="str">
        <f t="shared" si="40"/>
        <v/>
      </c>
      <c r="C567" s="42">
        <f t="shared" si="42"/>
        <v>566</v>
      </c>
      <c r="D567" s="38"/>
      <c r="E567" s="38"/>
      <c r="F567" s="38" t="s">
        <v>9</v>
      </c>
      <c r="G567" s="38"/>
      <c r="H567" s="38"/>
      <c r="I567" s="38" t="s">
        <v>9</v>
      </c>
      <c r="J567" s="38"/>
      <c r="K567" s="14" t="s">
        <v>24</v>
      </c>
      <c r="L567" s="14" t="s">
        <v>27</v>
      </c>
      <c r="M567" s="20" t="s">
        <v>1266</v>
      </c>
      <c r="N567" s="14" t="s">
        <v>1267</v>
      </c>
      <c r="O567" s="43">
        <v>0.05</v>
      </c>
      <c r="R567" s="38" t="s">
        <v>104</v>
      </c>
      <c r="S567" s="38"/>
      <c r="T567" s="38"/>
      <c r="W567" s="15" t="str">
        <f>IF(IFERROR(VLOOKUP($M567,#REF!,1,0),"-")="-","","GS")</f>
        <v/>
      </c>
      <c r="Z567" s="59" t="str">
        <f>IF(OR($M567="",NOT($O567="{array}")),"",IFERROR(MATCH(PARAMETERS!$M567,DEFAULT!$B$5:$CG$5,0),""))</f>
        <v/>
      </c>
      <c r="AA567" s="56" t="str">
        <f t="shared" si="41"/>
        <v/>
      </c>
      <c r="AB567" s="63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7" t="str">
        <f>IF($AA567="","",IF($B567="I",VLOOKUP($AA567,#REF!,53,0),INDEX(VALUES!$B$1:$CC$1,1,$AA567)))</f>
        <v/>
      </c>
    </row>
    <row r="568" spans="1:29" hidden="1" outlineLevel="1" x14ac:dyDescent="0.3">
      <c r="A568" s="22" t="s">
        <v>84</v>
      </c>
      <c r="B568" s="41" t="str">
        <f t="shared" si="40"/>
        <v/>
      </c>
      <c r="C568" s="42">
        <f t="shared" si="42"/>
        <v>567</v>
      </c>
      <c r="D568" s="38"/>
      <c r="E568" s="38"/>
      <c r="F568" s="38" t="s">
        <v>9</v>
      </c>
      <c r="G568" s="38"/>
      <c r="H568" s="38"/>
      <c r="I568" s="38" t="s">
        <v>9</v>
      </c>
      <c r="J568" s="38"/>
      <c r="K568" s="14" t="s">
        <v>36</v>
      </c>
      <c r="L568" s="14" t="s">
        <v>27</v>
      </c>
      <c r="M568" s="20" t="s">
        <v>1268</v>
      </c>
      <c r="N568" s="14" t="s">
        <v>1269</v>
      </c>
      <c r="O568" s="43">
        <v>1</v>
      </c>
      <c r="R568" s="38" t="s">
        <v>104</v>
      </c>
      <c r="S568" s="38"/>
      <c r="T568" s="38"/>
      <c r="W568" s="15" t="str">
        <f>IF(IFERROR(VLOOKUP($M568,#REF!,1,0),"-")="-","","GS")</f>
        <v/>
      </c>
      <c r="Z568" s="59" t="str">
        <f>IF(OR($M568="",NOT($O568="{array}")),"",IFERROR(MATCH(PARAMETERS!$M568,DEFAULT!$B$5:$CG$5,0),""))</f>
        <v/>
      </c>
      <c r="AA568" s="56" t="str">
        <f t="shared" si="41"/>
        <v/>
      </c>
      <c r="AB568" s="63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7" t="str">
        <f>IF($AA568="","",IF($B568="I",VLOOKUP($AA568,#REF!,53,0),INDEX(VALUES!$B$1:$CC$1,1,$AA568)))</f>
        <v/>
      </c>
    </row>
    <row r="569" spans="1:29" hidden="1" outlineLevel="1" x14ac:dyDescent="0.3">
      <c r="A569" s="22" t="s">
        <v>84</v>
      </c>
      <c r="B569" s="41" t="str">
        <f t="shared" si="40"/>
        <v/>
      </c>
      <c r="C569" s="42">
        <f t="shared" si="42"/>
        <v>568</v>
      </c>
      <c r="D569" s="38"/>
      <c r="E569" s="38"/>
      <c r="F569" s="38" t="s">
        <v>9</v>
      </c>
      <c r="G569" s="38"/>
      <c r="H569" s="38"/>
      <c r="I569" s="38" t="s">
        <v>9</v>
      </c>
      <c r="J569" s="38"/>
      <c r="K569" s="14" t="s">
        <v>24</v>
      </c>
      <c r="L569" s="14" t="s">
        <v>27</v>
      </c>
      <c r="M569" s="20" t="s">
        <v>1270</v>
      </c>
      <c r="N569" s="14" t="s">
        <v>1271</v>
      </c>
      <c r="O569" s="43">
        <v>0</v>
      </c>
      <c r="R569" s="38" t="s">
        <v>104</v>
      </c>
      <c r="S569" s="38"/>
      <c r="T569" s="38"/>
      <c r="W569" s="15" t="str">
        <f>IF(IFERROR(VLOOKUP($M569,#REF!,1,0),"-")="-","","GS")</f>
        <v/>
      </c>
      <c r="Z569" s="59" t="str">
        <f>IF(OR($M569="",NOT($O569="{array}")),"",IFERROR(MATCH(PARAMETERS!$M569,DEFAULT!$B$5:$CG$5,0),""))</f>
        <v/>
      </c>
      <c r="AA569" s="56" t="str">
        <f t="shared" si="41"/>
        <v/>
      </c>
      <c r="AB569" s="63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7" t="str">
        <f>IF($AA569="","",IF($B569="I",VLOOKUP($AA569,#REF!,53,0),INDEX(VALUES!$B$1:$CC$1,1,$AA569)))</f>
        <v/>
      </c>
    </row>
    <row r="570" spans="1:29" hidden="1" outlineLevel="1" x14ac:dyDescent="0.3">
      <c r="A570" s="22" t="s">
        <v>84</v>
      </c>
      <c r="B570" s="41" t="str">
        <f t="shared" si="40"/>
        <v/>
      </c>
      <c r="C570" s="42">
        <f t="shared" si="42"/>
        <v>569</v>
      </c>
      <c r="D570" s="38"/>
      <c r="E570" s="38"/>
      <c r="F570" s="38"/>
      <c r="G570" s="38" t="s">
        <v>9</v>
      </c>
      <c r="H570" s="38"/>
      <c r="I570" s="38" t="s">
        <v>9</v>
      </c>
      <c r="J570" s="38"/>
      <c r="K570" s="14" t="s">
        <v>31</v>
      </c>
      <c r="L570" s="14" t="s">
        <v>27</v>
      </c>
      <c r="M570" s="20" t="s">
        <v>1272</v>
      </c>
      <c r="N570" s="14" t="s">
        <v>1273</v>
      </c>
      <c r="O570" s="43">
        <v>0</v>
      </c>
      <c r="R570" s="38" t="s">
        <v>104</v>
      </c>
      <c r="S570" s="38"/>
      <c r="T570" s="38"/>
      <c r="W570" s="15" t="str">
        <f>IF(IFERROR(VLOOKUP($M570,#REF!,1,0),"-")="-","","GS")</f>
        <v/>
      </c>
      <c r="Z570" s="59" t="str">
        <f>IF(OR($M570="",NOT($O570="{array}")),"",IFERROR(MATCH(PARAMETERS!$M570,DEFAULT!$B$5:$CG$5,0),""))</f>
        <v/>
      </c>
      <c r="AA570" s="56" t="str">
        <f t="shared" si="41"/>
        <v/>
      </c>
      <c r="AB570" s="63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7" t="str">
        <f>IF($AA570="","",IF($B570="I",VLOOKUP($AA570,#REF!,53,0),INDEX(VALUES!$B$1:$CC$1,1,$AA570)))</f>
        <v/>
      </c>
    </row>
    <row r="571" spans="1:29" hidden="1" outlineLevel="1" x14ac:dyDescent="0.3">
      <c r="A571" s="22" t="s">
        <v>84</v>
      </c>
      <c r="B571" s="41" t="str">
        <f t="shared" si="40"/>
        <v/>
      </c>
      <c r="C571" s="42">
        <f t="shared" si="42"/>
        <v>570</v>
      </c>
      <c r="D571" s="38"/>
      <c r="E571" s="38"/>
      <c r="F571" s="38" t="s">
        <v>9</v>
      </c>
      <c r="G571" s="38"/>
      <c r="H571" s="38" t="s">
        <v>9</v>
      </c>
      <c r="I571" s="38"/>
      <c r="J571" s="38"/>
      <c r="K571" s="14" t="s">
        <v>47</v>
      </c>
      <c r="L571" s="14" t="s">
        <v>27</v>
      </c>
      <c r="M571" s="20" t="s">
        <v>1274</v>
      </c>
      <c r="N571" s="14" t="s">
        <v>1275</v>
      </c>
      <c r="O571" s="43">
        <v>0</v>
      </c>
      <c r="R571" s="38" t="s">
        <v>104</v>
      </c>
      <c r="S571" s="38"/>
      <c r="T571" s="38"/>
      <c r="W571" s="15" t="str">
        <f>IF(IFERROR(VLOOKUP($M571,#REF!,1,0),"-")="-","","GS")</f>
        <v/>
      </c>
      <c r="Z571" s="59" t="str">
        <f>IF(OR($M571="",NOT($O571="{array}")),"",IFERROR(MATCH(PARAMETERS!$M571,DEFAULT!$B$5:$CG$5,0),""))</f>
        <v/>
      </c>
      <c r="AA571" s="56" t="str">
        <f t="shared" si="41"/>
        <v/>
      </c>
      <c r="AB571" s="63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7" t="str">
        <f>IF($AA571="","",IF($B571="I",VLOOKUP($AA571,#REF!,53,0),INDEX(VALUES!$B$1:$CC$1,1,$AA571)))</f>
        <v/>
      </c>
    </row>
    <row r="572" spans="1:29" hidden="1" outlineLevel="1" x14ac:dyDescent="0.3">
      <c r="A572" s="22" t="s">
        <v>84</v>
      </c>
      <c r="B572" s="41" t="str">
        <f t="shared" si="40"/>
        <v/>
      </c>
      <c r="C572" s="42">
        <f t="shared" si="42"/>
        <v>571</v>
      </c>
      <c r="D572" s="38"/>
      <c r="E572" s="38"/>
      <c r="F572" s="38" t="s">
        <v>9</v>
      </c>
      <c r="G572" s="38"/>
      <c r="H572" s="38"/>
      <c r="I572" s="38" t="s">
        <v>9</v>
      </c>
      <c r="J572" s="38"/>
      <c r="K572" s="14" t="s">
        <v>44</v>
      </c>
      <c r="L572" s="14" t="s">
        <v>27</v>
      </c>
      <c r="M572" s="20" t="s">
        <v>1276</v>
      </c>
      <c r="N572" s="14" t="s">
        <v>1277</v>
      </c>
      <c r="O572" s="43">
        <v>1</v>
      </c>
      <c r="R572" s="38" t="s">
        <v>104</v>
      </c>
      <c r="S572" s="38"/>
      <c r="T572" s="38"/>
      <c r="W572" s="15" t="str">
        <f>IF(IFERROR(VLOOKUP($M572,#REF!,1,0),"-")="-","","GS")</f>
        <v/>
      </c>
      <c r="Z572" s="59" t="str">
        <f>IF(OR($M572="",NOT($O572="{array}")),"",IFERROR(MATCH(PARAMETERS!$M572,DEFAULT!$B$5:$CG$5,0),""))</f>
        <v/>
      </c>
      <c r="AA572" s="56" t="str">
        <f t="shared" si="41"/>
        <v/>
      </c>
      <c r="AB572" s="63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7" t="str">
        <f>IF($AA572="","",IF($B572="I",VLOOKUP($AA572,#REF!,53,0),INDEX(VALUES!$B$1:$CC$1,1,$AA572)))</f>
        <v/>
      </c>
    </row>
    <row r="573" spans="1:29" hidden="1" outlineLevel="1" x14ac:dyDescent="0.3">
      <c r="A573" s="22" t="s">
        <v>84</v>
      </c>
      <c r="B573" s="41" t="str">
        <f t="shared" si="40"/>
        <v/>
      </c>
      <c r="C573" s="42">
        <f t="shared" si="42"/>
        <v>572</v>
      </c>
      <c r="D573" s="38"/>
      <c r="E573" s="38"/>
      <c r="F573" s="38" t="s">
        <v>9</v>
      </c>
      <c r="G573" s="38"/>
      <c r="H573" s="38"/>
      <c r="I573" s="38" t="s">
        <v>9</v>
      </c>
      <c r="J573" s="38"/>
      <c r="K573" s="14" t="s">
        <v>47</v>
      </c>
      <c r="L573" s="14" t="s">
        <v>27</v>
      </c>
      <c r="M573" s="20" t="s">
        <v>1278</v>
      </c>
      <c r="N573" s="14" t="s">
        <v>1279</v>
      </c>
      <c r="O573" s="43">
        <v>1</v>
      </c>
      <c r="R573" s="38" t="s">
        <v>104</v>
      </c>
      <c r="S573" s="38"/>
      <c r="T573" s="38"/>
      <c r="W573" s="15" t="str">
        <f>IF(IFERROR(VLOOKUP($M573,#REF!,1,0),"-")="-","","GS")</f>
        <v/>
      </c>
      <c r="Z573" s="59" t="str">
        <f>IF(OR($M573="",NOT($O573="{array}")),"",IFERROR(MATCH(PARAMETERS!$M573,DEFAULT!$B$5:$CG$5,0),""))</f>
        <v/>
      </c>
      <c r="AA573" s="56" t="str">
        <f t="shared" si="41"/>
        <v/>
      </c>
      <c r="AB573" s="63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7" t="str">
        <f>IF($AA573="","",IF($B573="I",VLOOKUP($AA573,#REF!,53,0),INDEX(VALUES!$B$1:$CC$1,1,$AA573)))</f>
        <v/>
      </c>
    </row>
    <row r="574" spans="1:29" hidden="1" outlineLevel="1" x14ac:dyDescent="0.3">
      <c r="A574" s="22" t="s">
        <v>84</v>
      </c>
      <c r="B574" s="41" t="str">
        <f t="shared" si="40"/>
        <v/>
      </c>
      <c r="C574" s="42">
        <f t="shared" si="42"/>
        <v>573</v>
      </c>
      <c r="D574" s="38"/>
      <c r="E574" s="38"/>
      <c r="F574" s="38" t="s">
        <v>9</v>
      </c>
      <c r="G574" s="38"/>
      <c r="H574" s="38"/>
      <c r="I574" s="38" t="s">
        <v>9</v>
      </c>
      <c r="J574" s="38"/>
      <c r="K574" s="14" t="s">
        <v>18</v>
      </c>
      <c r="L574" s="14" t="s">
        <v>27</v>
      </c>
      <c r="M574" s="20" t="s">
        <v>1280</v>
      </c>
      <c r="N574" s="14" t="s">
        <v>1281</v>
      </c>
      <c r="O574" s="43" t="s">
        <v>1282</v>
      </c>
      <c r="R574" s="38" t="s">
        <v>104</v>
      </c>
      <c r="S574" s="38"/>
      <c r="T574" s="38"/>
      <c r="W574" s="15" t="str">
        <f>IF(IFERROR(VLOOKUP($M574,#REF!,1,0),"-")="-","","GS")</f>
        <v/>
      </c>
      <c r="Z574" s="59" t="str">
        <f>IF(OR($M574="",NOT($O574="{array}")),"",IFERROR(MATCH(PARAMETERS!$M574,DEFAULT!$B$5:$CG$5,0),""))</f>
        <v/>
      </c>
      <c r="AA574" s="56" t="str">
        <f t="shared" si="41"/>
        <v/>
      </c>
      <c r="AB574" s="63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7" t="str">
        <f>IF($AA574="","",IF($B574="I",VLOOKUP($AA574,#REF!,53,0),INDEX(VALUES!$B$1:$CC$1,1,$AA574)))</f>
        <v/>
      </c>
    </row>
    <row r="575" spans="1:29" hidden="1" outlineLevel="1" x14ac:dyDescent="0.3">
      <c r="A575" s="22" t="s">
        <v>84</v>
      </c>
      <c r="B575" s="41" t="str">
        <f t="shared" si="40"/>
        <v/>
      </c>
      <c r="C575" s="42">
        <f t="shared" si="42"/>
        <v>574</v>
      </c>
      <c r="D575" s="38"/>
      <c r="E575" s="38"/>
      <c r="F575" s="38" t="s">
        <v>9</v>
      </c>
      <c r="G575" s="38"/>
      <c r="H575" s="38"/>
      <c r="I575" s="38" t="s">
        <v>9</v>
      </c>
      <c r="J575" s="38"/>
      <c r="K575" s="14" t="s">
        <v>47</v>
      </c>
      <c r="L575" s="14" t="s">
        <v>27</v>
      </c>
      <c r="M575" s="20" t="s">
        <v>1283</v>
      </c>
      <c r="N575" s="14" t="s">
        <v>1284</v>
      </c>
      <c r="O575" s="43">
        <v>1</v>
      </c>
      <c r="R575" s="38" t="s">
        <v>104</v>
      </c>
      <c r="S575" s="38"/>
      <c r="T575" s="38"/>
      <c r="W575" s="15" t="str">
        <f>IF(IFERROR(VLOOKUP($M575,#REF!,1,0),"-")="-","","GS")</f>
        <v/>
      </c>
      <c r="Z575" s="59" t="str">
        <f>IF(OR($M575="",NOT($O575="{array}")),"",IFERROR(MATCH(PARAMETERS!$M575,DEFAULT!$B$5:$CG$5,0),""))</f>
        <v/>
      </c>
      <c r="AA575" s="56" t="str">
        <f t="shared" si="41"/>
        <v/>
      </c>
      <c r="AB575" s="63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7" t="str">
        <f>IF($AA575="","",IF($B575="I",VLOOKUP($AA575,#REF!,53,0),INDEX(VALUES!$B$1:$CC$1,1,$AA575)))</f>
        <v/>
      </c>
    </row>
    <row r="576" spans="1:29" hidden="1" outlineLevel="1" x14ac:dyDescent="0.3">
      <c r="A576" s="22" t="s">
        <v>84</v>
      </c>
      <c r="B576" s="41" t="str">
        <f t="shared" si="40"/>
        <v/>
      </c>
      <c r="C576" s="42">
        <f t="shared" si="42"/>
        <v>575</v>
      </c>
      <c r="D576" s="38"/>
      <c r="E576" s="38"/>
      <c r="F576" s="38" t="s">
        <v>9</v>
      </c>
      <c r="G576" s="38"/>
      <c r="H576" s="38"/>
      <c r="I576" s="38" t="s">
        <v>9</v>
      </c>
      <c r="J576" s="38"/>
      <c r="K576" s="14" t="s">
        <v>47</v>
      </c>
      <c r="L576" s="14" t="s">
        <v>27</v>
      </c>
      <c r="M576" s="20" t="s">
        <v>1285</v>
      </c>
      <c r="N576" s="14" t="s">
        <v>1286</v>
      </c>
      <c r="O576" s="43">
        <v>1</v>
      </c>
      <c r="R576" s="38" t="s">
        <v>104</v>
      </c>
      <c r="S576" s="38"/>
      <c r="T576" s="38"/>
      <c r="W576" s="15" t="str">
        <f>IF(IFERROR(VLOOKUP($M576,#REF!,1,0),"-")="-","","GS")</f>
        <v/>
      </c>
      <c r="Z576" s="59" t="str">
        <f>IF(OR($M576="",NOT($O576="{array}")),"",IFERROR(MATCH(PARAMETERS!$M576,DEFAULT!$B$5:$CG$5,0),""))</f>
        <v/>
      </c>
      <c r="AA576" s="56" t="str">
        <f t="shared" si="41"/>
        <v/>
      </c>
      <c r="AB576" s="63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7" t="str">
        <f>IF($AA576="","",IF($B576="I",VLOOKUP($AA576,#REF!,53,0),INDEX(VALUES!$B$1:$CC$1,1,$AA576)))</f>
        <v/>
      </c>
    </row>
    <row r="577" spans="1:29" hidden="1" outlineLevel="1" x14ac:dyDescent="0.3">
      <c r="A577" s="22" t="s">
        <v>84</v>
      </c>
      <c r="B577" s="41" t="str">
        <f t="shared" si="40"/>
        <v/>
      </c>
      <c r="C577" s="42">
        <f t="shared" si="42"/>
        <v>576</v>
      </c>
      <c r="D577" s="38"/>
      <c r="E577" s="38"/>
      <c r="F577" s="38" t="s">
        <v>9</v>
      </c>
      <c r="G577" s="38"/>
      <c r="H577" s="38"/>
      <c r="I577" s="38" t="s">
        <v>9</v>
      </c>
      <c r="J577" s="38"/>
      <c r="K577" s="14" t="s">
        <v>24</v>
      </c>
      <c r="L577" s="14" t="s">
        <v>27</v>
      </c>
      <c r="M577" s="20" t="s">
        <v>1287</v>
      </c>
      <c r="N577" s="14" t="s">
        <v>1288</v>
      </c>
      <c r="O577" s="43">
        <v>0</v>
      </c>
      <c r="R577" s="38" t="s">
        <v>104</v>
      </c>
      <c r="S577" s="38"/>
      <c r="T577" s="38"/>
      <c r="W577" s="15" t="str">
        <f>IF(IFERROR(VLOOKUP($M577,#REF!,1,0),"-")="-","","GS")</f>
        <v/>
      </c>
      <c r="Z577" s="59" t="str">
        <f>IF(OR($M577="",NOT($O577="{array}")),"",IFERROR(MATCH(PARAMETERS!$M577,DEFAULT!$B$5:$CG$5,0),""))</f>
        <v/>
      </c>
      <c r="AA577" s="56" t="str">
        <f t="shared" si="41"/>
        <v/>
      </c>
      <c r="AB577" s="63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7" t="str">
        <f>IF($AA577="","",IF($B577="I",VLOOKUP($AA577,#REF!,53,0),INDEX(VALUES!$B$1:$CC$1,1,$AA577)))</f>
        <v/>
      </c>
    </row>
    <row r="578" spans="1:29" hidden="1" outlineLevel="1" x14ac:dyDescent="0.3">
      <c r="A578" s="22" t="s">
        <v>84</v>
      </c>
      <c r="B578" s="41" t="str">
        <f t="shared" si="40"/>
        <v/>
      </c>
      <c r="C578" s="42">
        <f t="shared" si="42"/>
        <v>577</v>
      </c>
      <c r="D578" s="38"/>
      <c r="E578" s="38"/>
      <c r="F578" s="38" t="s">
        <v>9</v>
      </c>
      <c r="G578" s="38"/>
      <c r="H578" s="38"/>
      <c r="I578" s="38" t="s">
        <v>9</v>
      </c>
      <c r="J578" s="38"/>
      <c r="K578" s="14" t="s">
        <v>24</v>
      </c>
      <c r="L578" s="14" t="s">
        <v>27</v>
      </c>
      <c r="M578" s="20" t="s">
        <v>1289</v>
      </c>
      <c r="N578" s="14" t="s">
        <v>1290</v>
      </c>
      <c r="O578" s="43">
        <v>0.4</v>
      </c>
      <c r="R578" s="38" t="s">
        <v>104</v>
      </c>
      <c r="S578" s="38"/>
      <c r="T578" s="38"/>
      <c r="W578" s="15" t="str">
        <f>IF(IFERROR(VLOOKUP($M578,#REF!,1,0),"-")="-","","GS")</f>
        <v/>
      </c>
      <c r="Z578" s="59" t="str">
        <f>IF(OR($M578="",NOT($O578="{array}")),"",IFERROR(MATCH(PARAMETERS!$M578,DEFAULT!$B$5:$CG$5,0),""))</f>
        <v/>
      </c>
      <c r="AA578" s="56" t="str">
        <f t="shared" si="41"/>
        <v/>
      </c>
      <c r="AB578" s="63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7" t="str">
        <f>IF($AA578="","",IF($B578="I",VLOOKUP($AA578,#REF!,53,0),INDEX(VALUES!$B$1:$CC$1,1,$AA578)))</f>
        <v/>
      </c>
    </row>
    <row r="579" spans="1:29" hidden="1" outlineLevel="1" x14ac:dyDescent="0.3">
      <c r="A579" s="22" t="s">
        <v>84</v>
      </c>
      <c r="B579" s="41" t="str">
        <f t="shared" si="40"/>
        <v/>
      </c>
      <c r="C579" s="42">
        <f t="shared" si="42"/>
        <v>578</v>
      </c>
      <c r="D579" s="38"/>
      <c r="E579" s="38"/>
      <c r="F579" s="38" t="s">
        <v>9</v>
      </c>
      <c r="G579" s="38"/>
      <c r="H579" s="38"/>
      <c r="I579" s="38" t="s">
        <v>9</v>
      </c>
      <c r="J579" s="38"/>
      <c r="K579" s="14" t="s">
        <v>36</v>
      </c>
      <c r="L579" s="14" t="s">
        <v>27</v>
      </c>
      <c r="M579" s="20" t="s">
        <v>1291</v>
      </c>
      <c r="N579" s="14" t="s">
        <v>1292</v>
      </c>
      <c r="O579" s="43">
        <v>0</v>
      </c>
      <c r="R579" s="38" t="s">
        <v>104</v>
      </c>
      <c r="S579" s="38"/>
      <c r="T579" s="38"/>
      <c r="W579" s="15" t="str">
        <f>IF(IFERROR(VLOOKUP($M579,#REF!,1,0),"-")="-","","GS")</f>
        <v/>
      </c>
      <c r="Z579" s="59" t="str">
        <f>IF(OR($M579="",NOT($O579="{array}")),"",IFERROR(MATCH(PARAMETERS!$M579,DEFAULT!$B$5:$CG$5,0),""))</f>
        <v/>
      </c>
      <c r="AA579" s="56" t="str">
        <f t="shared" si="41"/>
        <v/>
      </c>
      <c r="AB579" s="63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7" t="str">
        <f>IF($AA579="","",IF($B579="I",VLOOKUP($AA579,#REF!,53,0),INDEX(VALUES!$B$1:$CC$1,1,$AA579)))</f>
        <v/>
      </c>
    </row>
    <row r="580" spans="1:29" hidden="1" outlineLevel="1" x14ac:dyDescent="0.3">
      <c r="A580" s="22" t="s">
        <v>84</v>
      </c>
      <c r="B580" s="41" t="str">
        <f t="shared" si="40"/>
        <v/>
      </c>
      <c r="C580" s="42">
        <f t="shared" si="42"/>
        <v>579</v>
      </c>
      <c r="D580" s="38"/>
      <c r="E580" s="38"/>
      <c r="F580" s="38" t="s">
        <v>9</v>
      </c>
      <c r="G580" s="38"/>
      <c r="H580" s="38"/>
      <c r="I580" s="38" t="s">
        <v>9</v>
      </c>
      <c r="J580" s="38"/>
      <c r="K580" s="14" t="s">
        <v>36</v>
      </c>
      <c r="L580" s="14" t="s">
        <v>27</v>
      </c>
      <c r="M580" s="20" t="s">
        <v>1293</v>
      </c>
      <c r="N580" s="14" t="s">
        <v>1294</v>
      </c>
      <c r="O580" s="43">
        <v>8</v>
      </c>
      <c r="R580" s="38" t="s">
        <v>104</v>
      </c>
      <c r="S580" s="38"/>
      <c r="T580" s="38"/>
      <c r="W580" s="15" t="str">
        <f>IF(IFERROR(VLOOKUP($M580,#REF!,1,0),"-")="-","","GS")</f>
        <v/>
      </c>
      <c r="Z580" s="59" t="str">
        <f>IF(OR($M580="",NOT($O580="{array}")),"",IFERROR(MATCH(PARAMETERS!$M580,DEFAULT!$B$5:$CG$5,0),""))</f>
        <v/>
      </c>
      <c r="AA580" s="56" t="str">
        <f t="shared" si="41"/>
        <v/>
      </c>
      <c r="AB580" s="63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7" t="str">
        <f>IF($AA580="","",IF($B580="I",VLOOKUP($AA580,#REF!,53,0),INDEX(VALUES!$B$1:$CC$1,1,$AA580)))</f>
        <v/>
      </c>
    </row>
    <row r="581" spans="1:29" hidden="1" outlineLevel="1" x14ac:dyDescent="0.3">
      <c r="A581" s="22" t="s">
        <v>84</v>
      </c>
      <c r="B581" s="41" t="str">
        <f t="shared" si="40"/>
        <v/>
      </c>
      <c r="C581" s="42">
        <f t="shared" si="42"/>
        <v>580</v>
      </c>
      <c r="D581" s="38"/>
      <c r="E581" s="38"/>
      <c r="F581" s="38" t="s">
        <v>9</v>
      </c>
      <c r="G581" s="38"/>
      <c r="H581" s="38"/>
      <c r="I581" s="38" t="s">
        <v>9</v>
      </c>
      <c r="J581" s="38"/>
      <c r="K581" s="14" t="s">
        <v>18</v>
      </c>
      <c r="L581" s="14" t="s">
        <v>27</v>
      </c>
      <c r="M581" s="20" t="s">
        <v>1295</v>
      </c>
      <c r="N581" s="14" t="s">
        <v>1240</v>
      </c>
      <c r="O581" s="43" t="s">
        <v>1241</v>
      </c>
      <c r="R581" s="38" t="s">
        <v>104</v>
      </c>
      <c r="S581" s="38"/>
      <c r="T581" s="38"/>
      <c r="W581" s="15" t="str">
        <f>IF(IFERROR(VLOOKUP($M581,#REF!,1,0),"-")="-","","GS")</f>
        <v/>
      </c>
      <c r="Z581" s="59" t="str">
        <f>IF(OR($M581="",NOT($O581="{array}")),"",IFERROR(MATCH(PARAMETERS!$M581,DEFAULT!$B$5:$CG$5,0),""))</f>
        <v/>
      </c>
      <c r="AA581" s="56" t="str">
        <f t="shared" si="41"/>
        <v/>
      </c>
      <c r="AB581" s="63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7" t="str">
        <f>IF($AA581="","",IF($B581="I",VLOOKUP($AA581,#REF!,53,0),INDEX(VALUES!$B$1:$CC$1,1,$AA581)))</f>
        <v/>
      </c>
    </row>
    <row r="582" spans="1:29" hidden="1" outlineLevel="1" x14ac:dyDescent="0.3">
      <c r="A582" s="22" t="s">
        <v>84</v>
      </c>
      <c r="B582" s="41" t="str">
        <f t="shared" si="40"/>
        <v/>
      </c>
      <c r="C582" s="42">
        <f t="shared" si="42"/>
        <v>581</v>
      </c>
      <c r="D582" s="38"/>
      <c r="E582" s="38"/>
      <c r="F582" s="38" t="s">
        <v>9</v>
      </c>
      <c r="G582" s="38" t="s">
        <v>9</v>
      </c>
      <c r="H582" s="38"/>
      <c r="I582" s="38" t="s">
        <v>9</v>
      </c>
      <c r="J582" s="38"/>
      <c r="K582" s="14" t="s">
        <v>44</v>
      </c>
      <c r="L582" s="14" t="s">
        <v>27</v>
      </c>
      <c r="M582" s="20" t="s">
        <v>1296</v>
      </c>
      <c r="N582" s="14" t="s">
        <v>1243</v>
      </c>
      <c r="O582" s="43">
        <v>2</v>
      </c>
      <c r="R582" s="38" t="s">
        <v>104</v>
      </c>
      <c r="S582" s="38"/>
      <c r="T582" s="38"/>
      <c r="W582" s="15" t="str">
        <f>IF(IFERROR(VLOOKUP($M582,#REF!,1,0),"-")="-","","GS")</f>
        <v/>
      </c>
      <c r="Z582" s="59" t="str">
        <f>IF(OR($M582="",NOT($O582="{array}")),"",IFERROR(MATCH(PARAMETERS!$M582,DEFAULT!$B$5:$CG$5,0),""))</f>
        <v/>
      </c>
      <c r="AA582" s="56" t="str">
        <f t="shared" si="41"/>
        <v/>
      </c>
      <c r="AB582" s="63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7" t="str">
        <f>IF($AA582="","",IF($B582="I",VLOOKUP($AA582,#REF!,53,0),INDEX(VALUES!$B$1:$CC$1,1,$AA582)))</f>
        <v/>
      </c>
    </row>
    <row r="583" spans="1:29" hidden="1" outlineLevel="1" x14ac:dyDescent="0.3">
      <c r="A583" s="22" t="s">
        <v>84</v>
      </c>
      <c r="B583" s="41" t="str">
        <f t="shared" si="40"/>
        <v/>
      </c>
      <c r="C583" s="42">
        <f t="shared" si="42"/>
        <v>582</v>
      </c>
      <c r="D583" s="38"/>
      <c r="E583" s="38"/>
      <c r="F583" s="38" t="s">
        <v>9</v>
      </c>
      <c r="G583" s="38"/>
      <c r="H583" s="38"/>
      <c r="I583" s="38" t="s">
        <v>9</v>
      </c>
      <c r="J583" s="38"/>
      <c r="K583" s="14" t="s">
        <v>36</v>
      </c>
      <c r="L583" s="14" t="s">
        <v>27</v>
      </c>
      <c r="M583" s="20" t="s">
        <v>1297</v>
      </c>
      <c r="N583" s="14" t="s">
        <v>1249</v>
      </c>
      <c r="O583" s="43">
        <v>2</v>
      </c>
      <c r="R583" s="38" t="s">
        <v>104</v>
      </c>
      <c r="S583" s="38"/>
      <c r="T583" s="38"/>
      <c r="W583" s="15" t="str">
        <f>IF(IFERROR(VLOOKUP($M583,#REF!,1,0),"-")="-","","GS")</f>
        <v/>
      </c>
      <c r="Z583" s="59" t="str">
        <f>IF(OR($M583="",NOT($O583="{array}")),"",IFERROR(MATCH(PARAMETERS!$M583,DEFAULT!$B$5:$CG$5,0),""))</f>
        <v/>
      </c>
      <c r="AA583" s="56" t="str">
        <f t="shared" si="41"/>
        <v/>
      </c>
      <c r="AB583" s="63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7" t="str">
        <f>IF($AA583="","",IF($B583="I",VLOOKUP($AA583,#REF!,53,0),INDEX(VALUES!$B$1:$CC$1,1,$AA583)))</f>
        <v/>
      </c>
    </row>
    <row r="584" spans="1:29" hidden="1" outlineLevel="1" x14ac:dyDescent="0.3">
      <c r="A584" s="22" t="s">
        <v>84</v>
      </c>
      <c r="B584" s="41" t="str">
        <f t="shared" si="40"/>
        <v/>
      </c>
      <c r="C584" s="42">
        <f t="shared" si="42"/>
        <v>583</v>
      </c>
      <c r="D584" s="38"/>
      <c r="E584" s="38"/>
      <c r="F584" s="38" t="s">
        <v>9</v>
      </c>
      <c r="G584" s="38"/>
      <c r="H584" s="38"/>
      <c r="I584" s="38" t="s">
        <v>9</v>
      </c>
      <c r="J584" s="38"/>
      <c r="K584" s="14" t="s">
        <v>24</v>
      </c>
      <c r="L584" s="14" t="s">
        <v>27</v>
      </c>
      <c r="M584" s="20" t="s">
        <v>1298</v>
      </c>
      <c r="N584" s="14" t="s">
        <v>1247</v>
      </c>
      <c r="O584" s="43">
        <v>0.1</v>
      </c>
      <c r="R584" s="38" t="s">
        <v>104</v>
      </c>
      <c r="S584" s="38"/>
      <c r="T584" s="38"/>
      <c r="W584" s="15" t="str">
        <f>IF(IFERROR(VLOOKUP($M584,#REF!,1,0),"-")="-","","GS")</f>
        <v/>
      </c>
      <c r="Z584" s="59" t="str">
        <f>IF(OR($M584="",NOT($O584="{array}")),"",IFERROR(MATCH(PARAMETERS!$M584,DEFAULT!$B$5:$CG$5,0),""))</f>
        <v/>
      </c>
      <c r="AA584" s="56" t="str">
        <f t="shared" si="41"/>
        <v/>
      </c>
      <c r="AB584" s="63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7" t="str">
        <f>IF($AA584="","",IF($B584="I",VLOOKUP($AA584,#REF!,53,0),INDEX(VALUES!$B$1:$CC$1,1,$AA584)))</f>
        <v/>
      </c>
    </row>
    <row r="585" spans="1:29" hidden="1" outlineLevel="1" x14ac:dyDescent="0.3">
      <c r="A585" s="22" t="s">
        <v>84</v>
      </c>
      <c r="B585" s="41" t="str">
        <f t="shared" si="40"/>
        <v/>
      </c>
      <c r="C585" s="42">
        <f t="shared" si="42"/>
        <v>584</v>
      </c>
      <c r="D585" s="38"/>
      <c r="E585" s="38"/>
      <c r="F585" s="38" t="s">
        <v>9</v>
      </c>
      <c r="G585" s="38"/>
      <c r="H585" s="38"/>
      <c r="I585" s="38" t="s">
        <v>9</v>
      </c>
      <c r="J585" s="38"/>
      <c r="K585" s="14" t="s">
        <v>18</v>
      </c>
      <c r="L585" s="14" t="s">
        <v>27</v>
      </c>
      <c r="M585" s="20" t="s">
        <v>1299</v>
      </c>
      <c r="N585" s="14" t="s">
        <v>1245</v>
      </c>
      <c r="O585" s="43" t="s">
        <v>1079</v>
      </c>
      <c r="R585" s="38" t="s">
        <v>104</v>
      </c>
      <c r="S585" s="38"/>
      <c r="T585" s="38"/>
      <c r="W585" s="15" t="str">
        <f>IF(IFERROR(VLOOKUP($M585,#REF!,1,0),"-")="-","","GS")</f>
        <v/>
      </c>
      <c r="Z585" s="59" t="str">
        <f>IF(OR($M585="",NOT($O585="{array}")),"",IFERROR(MATCH(PARAMETERS!$M585,DEFAULT!$B$5:$CG$5,0),""))</f>
        <v/>
      </c>
      <c r="AA585" s="56" t="str">
        <f t="shared" si="41"/>
        <v/>
      </c>
      <c r="AB585" s="63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7" t="str">
        <f>IF($AA585="","",IF($B585="I",VLOOKUP($AA585,#REF!,53,0),INDEX(VALUES!$B$1:$CC$1,1,$AA585)))</f>
        <v/>
      </c>
    </row>
    <row r="586" spans="1:29" hidden="1" outlineLevel="1" x14ac:dyDescent="0.3">
      <c r="A586" s="22" t="s">
        <v>84</v>
      </c>
      <c r="B586" s="41" t="str">
        <f t="shared" si="40"/>
        <v/>
      </c>
      <c r="C586" s="42">
        <f t="shared" si="42"/>
        <v>585</v>
      </c>
      <c r="D586" s="38"/>
      <c r="E586" s="38"/>
      <c r="F586" s="38" t="s">
        <v>9</v>
      </c>
      <c r="G586" s="38"/>
      <c r="H586" s="38"/>
      <c r="I586" s="38" t="s">
        <v>9</v>
      </c>
      <c r="J586" s="38"/>
      <c r="K586" s="14" t="s">
        <v>53</v>
      </c>
      <c r="L586" s="14" t="s">
        <v>27</v>
      </c>
      <c r="M586" s="20" t="s">
        <v>1300</v>
      </c>
      <c r="N586" s="14" t="s">
        <v>1301</v>
      </c>
      <c r="O586" s="43">
        <v>1</v>
      </c>
      <c r="R586" s="38" t="s">
        <v>104</v>
      </c>
      <c r="S586" s="38"/>
      <c r="T586" s="38"/>
      <c r="W586" s="15" t="str">
        <f>IF(IFERROR(VLOOKUP($M586,#REF!,1,0),"-")="-","","GS")</f>
        <v/>
      </c>
      <c r="Z586" s="59" t="str">
        <f>IF(OR($M586="",NOT($O586="{array}")),"",IFERROR(MATCH(PARAMETERS!$M586,DEFAULT!$B$5:$CG$5,0),""))</f>
        <v/>
      </c>
      <c r="AA586" s="56" t="str">
        <f t="shared" si="41"/>
        <v/>
      </c>
      <c r="AB586" s="63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7" t="str">
        <f>IF($AA586="","",IF($B586="I",VLOOKUP($AA586,#REF!,53,0),INDEX(VALUES!$B$1:$CC$1,1,$AA586)))</f>
        <v/>
      </c>
    </row>
    <row r="587" spans="1:29" hidden="1" outlineLevel="1" x14ac:dyDescent="0.3">
      <c r="A587" s="22" t="s">
        <v>84</v>
      </c>
      <c r="B587" s="41" t="str">
        <f t="shared" si="40"/>
        <v/>
      </c>
      <c r="C587" s="42">
        <f t="shared" si="42"/>
        <v>586</v>
      </c>
      <c r="D587" s="38"/>
      <c r="E587" s="38"/>
      <c r="F587" s="38" t="s">
        <v>9</v>
      </c>
      <c r="G587" s="38"/>
      <c r="H587" s="38" t="s">
        <v>9</v>
      </c>
      <c r="I587" s="38"/>
      <c r="J587" s="38"/>
      <c r="K587" s="14" t="s">
        <v>47</v>
      </c>
      <c r="L587" s="14" t="s">
        <v>27</v>
      </c>
      <c r="M587" s="20" t="s">
        <v>1302</v>
      </c>
      <c r="N587" s="14" t="s">
        <v>1303</v>
      </c>
      <c r="O587" s="43">
        <v>1</v>
      </c>
      <c r="R587" s="38" t="s">
        <v>104</v>
      </c>
      <c r="S587" s="38"/>
      <c r="T587" s="38"/>
      <c r="W587" s="15" t="str">
        <f>IF(IFERROR(VLOOKUP($M587,#REF!,1,0),"-")="-","","GS")</f>
        <v/>
      </c>
      <c r="Z587" s="59" t="str">
        <f>IF(OR($M587="",NOT($O587="{array}")),"",IFERROR(MATCH(PARAMETERS!$M587,DEFAULT!$B$5:$CG$5,0),""))</f>
        <v/>
      </c>
      <c r="AA587" s="56" t="str">
        <f t="shared" si="41"/>
        <v/>
      </c>
      <c r="AB587" s="63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7" t="str">
        <f>IF($AA587="","",IF($B587="I",VLOOKUP($AA587,#REF!,53,0),INDEX(VALUES!$B$1:$CC$1,1,$AA587)))</f>
        <v/>
      </c>
    </row>
    <row r="588" spans="1:29" hidden="1" outlineLevel="1" x14ac:dyDescent="0.3">
      <c r="A588" s="22" t="s">
        <v>84</v>
      </c>
      <c r="B588" s="41" t="str">
        <f t="shared" si="40"/>
        <v/>
      </c>
      <c r="C588" s="42">
        <f t="shared" si="42"/>
        <v>587</v>
      </c>
      <c r="D588" s="38"/>
      <c r="E588" s="38"/>
      <c r="F588" s="38" t="s">
        <v>9</v>
      </c>
      <c r="G588" s="38"/>
      <c r="H588" s="38"/>
      <c r="I588" s="38" t="s">
        <v>9</v>
      </c>
      <c r="J588" s="38"/>
      <c r="K588" s="14" t="s">
        <v>51</v>
      </c>
      <c r="L588" s="14" t="s">
        <v>27</v>
      </c>
      <c r="M588" s="20" t="s">
        <v>1304</v>
      </c>
      <c r="N588" s="14" t="s">
        <v>1305</v>
      </c>
      <c r="O588" s="43">
        <v>21</v>
      </c>
      <c r="R588" s="38" t="s">
        <v>104</v>
      </c>
      <c r="S588" s="38"/>
      <c r="T588" s="38"/>
      <c r="W588" s="15" t="str">
        <f>IF(IFERROR(VLOOKUP($M588,#REF!,1,0),"-")="-","","GS")</f>
        <v/>
      </c>
      <c r="Z588" s="59" t="str">
        <f>IF(OR($M588="",NOT($O588="{array}")),"",IFERROR(MATCH(PARAMETERS!$M588,DEFAULT!$B$5:$CG$5,0),""))</f>
        <v/>
      </c>
      <c r="AA588" s="56" t="str">
        <f t="shared" si="41"/>
        <v/>
      </c>
      <c r="AB588" s="63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7" t="str">
        <f>IF($AA588="","",IF($B588="I",VLOOKUP($AA588,#REF!,53,0),INDEX(VALUES!$B$1:$CC$1,1,$AA588)))</f>
        <v/>
      </c>
    </row>
    <row r="589" spans="1:29" hidden="1" outlineLevel="1" x14ac:dyDescent="0.3">
      <c r="A589" s="22" t="s">
        <v>84</v>
      </c>
      <c r="B589" s="41" t="str">
        <f t="shared" si="40"/>
        <v/>
      </c>
      <c r="C589" s="42">
        <f t="shared" si="42"/>
        <v>588</v>
      </c>
      <c r="D589" s="38"/>
      <c r="E589" s="38"/>
      <c r="F589" s="38" t="s">
        <v>9</v>
      </c>
      <c r="G589" s="38"/>
      <c r="H589" s="38"/>
      <c r="I589" s="38" t="s">
        <v>9</v>
      </c>
      <c r="J589" s="38"/>
      <c r="K589" s="14" t="s">
        <v>53</v>
      </c>
      <c r="L589" s="14" t="s">
        <v>27</v>
      </c>
      <c r="M589" s="20" t="s">
        <v>1306</v>
      </c>
      <c r="N589" s="14" t="s">
        <v>1307</v>
      </c>
      <c r="O589" s="43">
        <v>6</v>
      </c>
      <c r="R589" s="38" t="s">
        <v>104</v>
      </c>
      <c r="S589" s="38"/>
      <c r="T589" s="38"/>
      <c r="W589" s="15" t="str">
        <f>IF(IFERROR(VLOOKUP($M589,#REF!,1,0),"-")="-","","GS")</f>
        <v/>
      </c>
      <c r="Z589" s="59" t="str">
        <f>IF(OR($M589="",NOT($O589="{array}")),"",IFERROR(MATCH(PARAMETERS!$M589,DEFAULT!$B$5:$CG$5,0),""))</f>
        <v/>
      </c>
      <c r="AA589" s="56" t="str">
        <f t="shared" si="41"/>
        <v/>
      </c>
      <c r="AB589" s="63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7" t="str">
        <f>IF($AA589="","",IF($B589="I",VLOOKUP($AA589,#REF!,53,0),INDEX(VALUES!$B$1:$CC$1,1,$AA589)))</f>
        <v/>
      </c>
    </row>
    <row r="590" spans="1:29" collapsed="1" x14ac:dyDescent="0.3">
      <c r="A590" s="22" t="s">
        <v>84</v>
      </c>
      <c r="B590" s="41" t="str">
        <f t="shared" si="40"/>
        <v/>
      </c>
      <c r="C590" s="42">
        <f t="shared" si="42"/>
        <v>589</v>
      </c>
      <c r="D590" s="38"/>
      <c r="E590" s="38"/>
      <c r="F590" s="38" t="s">
        <v>9</v>
      </c>
      <c r="G590" s="38" t="s">
        <v>9</v>
      </c>
      <c r="H590" s="38"/>
      <c r="I590" s="38"/>
      <c r="J590" s="38"/>
      <c r="K590" s="14" t="s">
        <v>57</v>
      </c>
      <c r="L590" s="14" t="s">
        <v>38</v>
      </c>
      <c r="M590" s="48" t="s">
        <v>1308</v>
      </c>
      <c r="N590" s="41" t="s">
        <v>191</v>
      </c>
      <c r="R590" s="38" t="s">
        <v>104</v>
      </c>
      <c r="S590" s="38"/>
      <c r="T590" s="38"/>
      <c r="W590" s="15" t="str">
        <f>IF(IFERROR(VLOOKUP($M590,#REF!,1,0),"-")="-","","GS")</f>
        <v/>
      </c>
      <c r="Z590" s="59" t="str">
        <f>IF(OR($M590="",NOT($O590="{array}")),"",IFERROR(MATCH(PARAMETERS!$M590,DEFAULT!$B$5:$CG$5,0),""))</f>
        <v/>
      </c>
      <c r="AA590" s="56" t="str">
        <f t="shared" si="41"/>
        <v/>
      </c>
      <c r="AB590" s="63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7" t="str">
        <f>IF($AA590="","",IF($B590="I",VLOOKUP($AA590,#REF!,53,0),INDEX(VALUES!$B$1:$CC$1,1,$AA590)))</f>
        <v/>
      </c>
    </row>
    <row r="591" spans="1:29" hidden="1" outlineLevel="1" x14ac:dyDescent="0.3">
      <c r="A591" s="22"/>
      <c r="B591" s="41" t="str">
        <f t="shared" ref="B591:B600" si="43">IF($A591="P",IF(NOT($Z591=""),"A",IF(NOT($AA591=""),"I","")),IF(NOT($AA591=""),IF($A591="G","V","X"),IF(NOT($Z591=""),"A","")))</f>
        <v/>
      </c>
      <c r="C591" s="42">
        <f t="shared" ref="C591:C600" si="44">(ROW()-1)</f>
        <v>590</v>
      </c>
      <c r="D591" s="38"/>
      <c r="E591" s="38"/>
      <c r="F591" s="38" t="s">
        <v>9</v>
      </c>
      <c r="G591" s="38"/>
      <c r="H591" s="38"/>
      <c r="I591" s="38"/>
      <c r="J591" s="38"/>
      <c r="K591" s="14" t="s">
        <v>57</v>
      </c>
      <c r="L591" s="14" t="s">
        <v>38</v>
      </c>
      <c r="M591" s="48" t="s">
        <v>205</v>
      </c>
      <c r="N591" s="41" t="s">
        <v>206</v>
      </c>
      <c r="R591" s="38" t="s">
        <v>104</v>
      </c>
      <c r="S591" s="38"/>
      <c r="T591" s="38"/>
      <c r="W591" s="15" t="str">
        <f>IF(IFERROR(VLOOKUP($M591,#REF!,1,0),"-")="-","","GS")</f>
        <v/>
      </c>
      <c r="Z591" s="59" t="str">
        <f>IF(OR($M591="",NOT($O591="{array}")),"",IFERROR(MATCH(PARAMETERS!$M591,DEFAULT!$B$5:$CG$5,0),""))</f>
        <v/>
      </c>
      <c r="AA591" s="56" t="str">
        <f t="shared" ref="AA591:AA630" si="45">IF($M591="","",IFERROR(MATCH($M591,VALUESnames,0),""))</f>
        <v/>
      </c>
      <c r="AB591" s="63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7" t="str">
        <f>IF($AA591="","",IF($B591="I",VLOOKUP($AA591,#REF!,53,0),INDEX(VALUES!$B$1:$CC$1,1,$AA591)))</f>
        <v/>
      </c>
    </row>
    <row r="592" spans="1:29" hidden="1" outlineLevel="1" x14ac:dyDescent="0.3">
      <c r="A592" s="22" t="s">
        <v>84</v>
      </c>
      <c r="B592" s="41" t="str">
        <f t="shared" si="43"/>
        <v>A</v>
      </c>
      <c r="C592" s="42">
        <f t="shared" si="44"/>
        <v>591</v>
      </c>
      <c r="D592" s="38"/>
      <c r="E592" s="38"/>
      <c r="F592" s="38"/>
      <c r="G592" s="38"/>
      <c r="H592" s="38"/>
      <c r="I592" s="38" t="s">
        <v>9</v>
      </c>
      <c r="J592" s="38"/>
      <c r="K592" s="14" t="s">
        <v>50</v>
      </c>
      <c r="L592" s="14" t="s">
        <v>27</v>
      </c>
      <c r="M592" s="151" t="s">
        <v>207</v>
      </c>
      <c r="N592" s="14" t="s">
        <v>208</v>
      </c>
      <c r="O592" s="43" t="s">
        <v>33</v>
      </c>
      <c r="R592" s="38" t="s">
        <v>196</v>
      </c>
      <c r="S592" s="38"/>
      <c r="T592" s="38"/>
      <c r="W592" s="15" t="str">
        <f>IF(IFERROR(VLOOKUP($M592,#REF!,1,0),"-")="-","","GS")</f>
        <v/>
      </c>
      <c r="Z592" s="59">
        <f>IF(OR($M592="",NOT($O592="{array}")),"",IFERROR(MATCH(PARAMETERS!$M592,DEFAULT!$B$5:$CG$5,0),""))</f>
        <v>83</v>
      </c>
      <c r="AA592" s="56" t="str">
        <f t="shared" si="45"/>
        <v/>
      </c>
      <c r="AB592" s="63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7" t="str">
        <f>IF($AA592="","",IF($B592="I",VLOOKUP($AA592,#REF!,53,0),INDEX(VALUES!$B$1:$CC$1,1,$AA592)))</f>
        <v/>
      </c>
    </row>
    <row r="593" spans="1:29" hidden="1" outlineLevel="1" x14ac:dyDescent="0.3">
      <c r="A593" s="22" t="s">
        <v>84</v>
      </c>
      <c r="B593" s="41" t="str">
        <f t="shared" si="43"/>
        <v/>
      </c>
      <c r="C593" s="42">
        <f t="shared" si="44"/>
        <v>592</v>
      </c>
      <c r="D593" s="38"/>
      <c r="E593" s="38"/>
      <c r="F593" s="38" t="s">
        <v>9</v>
      </c>
      <c r="G593" s="38"/>
      <c r="H593" s="38"/>
      <c r="I593" s="38" t="s">
        <v>9</v>
      </c>
      <c r="J593" s="38"/>
      <c r="K593" s="14" t="s">
        <v>50</v>
      </c>
      <c r="L593" s="14" t="s">
        <v>27</v>
      </c>
      <c r="M593" s="20" t="s">
        <v>999</v>
      </c>
      <c r="N593" s="14" t="s">
        <v>1000</v>
      </c>
      <c r="O593" s="43">
        <v>133</v>
      </c>
      <c r="R593" s="38" t="s">
        <v>104</v>
      </c>
      <c r="S593" s="38"/>
      <c r="T593" s="38"/>
      <c r="W593" s="15" t="str">
        <f>IF(IFERROR(VLOOKUP($M593,#REF!,1,0),"-")="-","","GS")</f>
        <v/>
      </c>
      <c r="Z593" s="59" t="str">
        <f>IF(OR($M593="",NOT($O593="{array}")),"",IFERROR(MATCH(PARAMETERS!$M593,DEFAULT!$B$5:$CG$5,0),""))</f>
        <v/>
      </c>
      <c r="AA593" s="56" t="str">
        <f t="shared" si="45"/>
        <v/>
      </c>
      <c r="AB593" s="63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7" t="str">
        <f>IF($AA593="","",IF($B593="I",VLOOKUP($AA593,#REF!,53,0),INDEX(VALUES!$B$1:$CC$1,1,$AA593)))</f>
        <v/>
      </c>
    </row>
    <row r="594" spans="1:29" hidden="1" outlineLevel="1" x14ac:dyDescent="0.3">
      <c r="A594" s="22" t="s">
        <v>84</v>
      </c>
      <c r="B594" s="41" t="str">
        <f t="shared" si="43"/>
        <v/>
      </c>
      <c r="C594" s="42">
        <f t="shared" si="44"/>
        <v>593</v>
      </c>
      <c r="D594" s="38"/>
      <c r="E594" s="38"/>
      <c r="F594" s="38" t="s">
        <v>9</v>
      </c>
      <c r="G594" s="38"/>
      <c r="H594" s="38"/>
      <c r="I594" s="38" t="s">
        <v>9</v>
      </c>
      <c r="J594" s="38"/>
      <c r="K594" s="14" t="s">
        <v>50</v>
      </c>
      <c r="L594" s="14" t="s">
        <v>27</v>
      </c>
      <c r="M594" s="20" t="s">
        <v>1001</v>
      </c>
      <c r="N594" s="14" t="s">
        <v>1002</v>
      </c>
      <c r="O594" s="43">
        <v>24</v>
      </c>
      <c r="R594" s="38" t="s">
        <v>104</v>
      </c>
      <c r="S594" s="38"/>
      <c r="T594" s="38"/>
      <c r="W594" s="15" t="str">
        <f>IF(IFERROR(VLOOKUP($M594,#REF!,1,0),"-")="-","","GS")</f>
        <v/>
      </c>
      <c r="Z594" s="59" t="str">
        <f>IF(OR($M594="",NOT($O594="{array}")),"",IFERROR(MATCH(PARAMETERS!$M594,DEFAULT!$B$5:$CG$5,0),""))</f>
        <v/>
      </c>
      <c r="AA594" s="56" t="str">
        <f t="shared" si="45"/>
        <v/>
      </c>
      <c r="AB594" s="63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7" t="str">
        <f>IF($AA594="","",IF($B594="I",VLOOKUP($AA594,#REF!,53,0),INDEX(VALUES!$B$1:$CC$1,1,$AA594)))</f>
        <v/>
      </c>
    </row>
    <row r="595" spans="1:29" hidden="1" outlineLevel="1" x14ac:dyDescent="0.3">
      <c r="A595" s="22" t="s">
        <v>84</v>
      </c>
      <c r="B595" s="41" t="str">
        <f t="shared" si="43"/>
        <v/>
      </c>
      <c r="C595" s="42">
        <f t="shared" si="44"/>
        <v>594</v>
      </c>
      <c r="D595" s="38"/>
      <c r="E595" s="38"/>
      <c r="F595" s="38" t="s">
        <v>9</v>
      </c>
      <c r="G595" s="38"/>
      <c r="H595" s="38"/>
      <c r="I595" s="38" t="s">
        <v>9</v>
      </c>
      <c r="J595" s="38"/>
      <c r="K595" s="14" t="s">
        <v>50</v>
      </c>
      <c r="L595" s="14" t="s">
        <v>27</v>
      </c>
      <c r="M595" s="20" t="s">
        <v>1003</v>
      </c>
      <c r="N595" s="14" t="s">
        <v>1004</v>
      </c>
      <c r="O595" s="43">
        <v>40</v>
      </c>
      <c r="R595" s="38" t="s">
        <v>104</v>
      </c>
      <c r="S595" s="38"/>
      <c r="T595" s="38"/>
      <c r="W595" s="15" t="str">
        <f>IF(IFERROR(VLOOKUP($M595,#REF!,1,0),"-")="-","","GS")</f>
        <v/>
      </c>
      <c r="Z595" s="59" t="str">
        <f>IF(OR($M595="",NOT($O595="{array}")),"",IFERROR(MATCH(PARAMETERS!$M595,DEFAULT!$B$5:$CG$5,0),""))</f>
        <v/>
      </c>
      <c r="AA595" s="56" t="str">
        <f t="shared" si="45"/>
        <v/>
      </c>
      <c r="AB595" s="63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7" t="str">
        <f>IF($AA595="","",IF($B595="I",VLOOKUP($AA595,#REF!,53,0),INDEX(VALUES!$B$1:$CC$1,1,$AA595)))</f>
        <v/>
      </c>
    </row>
    <row r="596" spans="1:29" hidden="1" outlineLevel="1" x14ac:dyDescent="0.3">
      <c r="A596" s="22" t="s">
        <v>84</v>
      </c>
      <c r="B596" s="41" t="str">
        <f t="shared" si="43"/>
        <v/>
      </c>
      <c r="C596" s="42">
        <f t="shared" si="44"/>
        <v>595</v>
      </c>
      <c r="D596" s="38"/>
      <c r="E596" s="38"/>
      <c r="F596" s="38" t="s">
        <v>9</v>
      </c>
      <c r="G596" s="38"/>
      <c r="H596" s="38"/>
      <c r="I596" s="38" t="s">
        <v>9</v>
      </c>
      <c r="J596" s="38"/>
      <c r="K596" s="14" t="s">
        <v>50</v>
      </c>
      <c r="L596" s="14" t="s">
        <v>27</v>
      </c>
      <c r="M596" s="20" t="s">
        <v>1005</v>
      </c>
      <c r="N596" s="14" t="s">
        <v>1006</v>
      </c>
      <c r="O596" s="43">
        <v>133</v>
      </c>
      <c r="R596" s="38" t="s">
        <v>104</v>
      </c>
      <c r="S596" s="38"/>
      <c r="T596" s="38"/>
      <c r="W596" s="15" t="str">
        <f>IF(IFERROR(VLOOKUP($M596,#REF!,1,0),"-")="-","","GS")</f>
        <v/>
      </c>
      <c r="Z596" s="59" t="str">
        <f>IF(OR($M596="",NOT($O596="{array}")),"",IFERROR(MATCH(PARAMETERS!$M596,DEFAULT!$B$5:$CG$5,0),""))</f>
        <v/>
      </c>
      <c r="AA596" s="56" t="str">
        <f t="shared" si="45"/>
        <v/>
      </c>
      <c r="AB596" s="63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7" t="str">
        <f>IF($AA596="","",IF($B596="I",VLOOKUP($AA596,#REF!,53,0),INDEX(VALUES!$B$1:$CC$1,1,$AA596)))</f>
        <v/>
      </c>
    </row>
    <row r="597" spans="1:29" hidden="1" outlineLevel="1" x14ac:dyDescent="0.3">
      <c r="A597" s="22" t="s">
        <v>84</v>
      </c>
      <c r="B597" s="41" t="str">
        <f t="shared" si="43"/>
        <v/>
      </c>
      <c r="C597" s="42">
        <f t="shared" si="44"/>
        <v>596</v>
      </c>
      <c r="D597" s="38"/>
      <c r="E597" s="38"/>
      <c r="F597" s="38"/>
      <c r="G597" s="38"/>
      <c r="H597" s="38"/>
      <c r="I597" s="38" t="s">
        <v>9</v>
      </c>
      <c r="J597" s="38"/>
      <c r="K597" s="14" t="s">
        <v>47</v>
      </c>
      <c r="L597" s="14" t="s">
        <v>27</v>
      </c>
      <c r="M597" s="20" t="s">
        <v>1007</v>
      </c>
      <c r="N597" s="14" t="s">
        <v>1008</v>
      </c>
      <c r="O597" s="43">
        <v>1</v>
      </c>
      <c r="R597" s="38" t="s">
        <v>104</v>
      </c>
      <c r="S597" s="38"/>
      <c r="T597" s="38"/>
      <c r="W597" s="15" t="str">
        <f>IF(IFERROR(VLOOKUP($M597,#REF!,1,0),"-")="-","","GS")</f>
        <v/>
      </c>
      <c r="Z597" s="59" t="str">
        <f>IF(OR($M597="",NOT($O597="{array}")),"",IFERROR(MATCH(PARAMETERS!$M597,DEFAULT!$B$5:$CG$5,0),""))</f>
        <v/>
      </c>
      <c r="AA597" s="56" t="str">
        <f t="shared" si="45"/>
        <v/>
      </c>
      <c r="AB597" s="63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7" t="str">
        <f>IF($AA597="","",IF($B597="I",VLOOKUP($AA597,#REF!,53,0),INDEX(VALUES!$B$1:$CC$1,1,$AA597)))</f>
        <v/>
      </c>
    </row>
    <row r="598" spans="1:29" hidden="1" outlineLevel="1" x14ac:dyDescent="0.3">
      <c r="A598" s="22"/>
      <c r="B598" s="41" t="str">
        <f t="shared" si="43"/>
        <v>A</v>
      </c>
      <c r="C598" s="42">
        <f t="shared" si="44"/>
        <v>597</v>
      </c>
      <c r="D598" s="38"/>
      <c r="E598" s="38"/>
      <c r="F598" s="38"/>
      <c r="G598" s="38" t="s">
        <v>9</v>
      </c>
      <c r="H598" s="38"/>
      <c r="I598" s="38" t="s">
        <v>9</v>
      </c>
      <c r="J598" s="38"/>
      <c r="K598" s="14" t="s">
        <v>44</v>
      </c>
      <c r="L598" s="14" t="s">
        <v>27</v>
      </c>
      <c r="M598" s="20" t="s">
        <v>1009</v>
      </c>
      <c r="O598" s="43" t="s">
        <v>33</v>
      </c>
      <c r="R598" s="38" t="s">
        <v>104</v>
      </c>
      <c r="S598" s="38"/>
      <c r="T598" s="38"/>
      <c r="W598" s="15" t="str">
        <f>IF(IFERROR(VLOOKUP($M598,#REF!,1,0),"-")="-","","GS")</f>
        <v/>
      </c>
      <c r="Z598" s="59">
        <f>IF(OR($M598="",NOT($O598="{array}")),"",IFERROR(MATCH(PARAMETERS!$M598,DEFAULT!$B$5:$CG$5,0),""))</f>
        <v>74</v>
      </c>
      <c r="AA598" s="56" t="str">
        <f t="shared" si="45"/>
        <v/>
      </c>
      <c r="AB598" s="63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7" t="str">
        <f>IF($AA598="","",IF($B598="I",VLOOKUP($AA598,#REF!,53,0),INDEX(VALUES!$B$1:$CC$1,1,$AA598)))</f>
        <v/>
      </c>
    </row>
    <row r="599" spans="1:29" hidden="1" outlineLevel="1" x14ac:dyDescent="0.3">
      <c r="A599" s="22" t="s">
        <v>84</v>
      </c>
      <c r="B599" s="41" t="str">
        <f t="shared" si="43"/>
        <v/>
      </c>
      <c r="C599" s="42">
        <f t="shared" si="44"/>
        <v>598</v>
      </c>
      <c r="D599" s="38"/>
      <c r="E599" s="38"/>
      <c r="F599" s="38" t="s">
        <v>9</v>
      </c>
      <c r="G599" s="38"/>
      <c r="H599" s="38"/>
      <c r="I599" s="38" t="s">
        <v>9</v>
      </c>
      <c r="J599" s="38"/>
      <c r="K599" s="14" t="s">
        <v>50</v>
      </c>
      <c r="L599" s="14" t="s">
        <v>27</v>
      </c>
      <c r="M599" s="20" t="s">
        <v>1010</v>
      </c>
      <c r="N599" s="14" t="s">
        <v>1011</v>
      </c>
      <c r="O599" s="43">
        <v>133</v>
      </c>
      <c r="R599" s="38" t="s">
        <v>104</v>
      </c>
      <c r="S599" s="38"/>
      <c r="T599" s="38"/>
      <c r="W599" s="15" t="str">
        <f>IF(IFERROR(VLOOKUP($M599,#REF!,1,0),"-")="-","","GS")</f>
        <v/>
      </c>
      <c r="Z599" s="59" t="str">
        <f>IF(OR($M599="",NOT($O599="{array}")),"",IFERROR(MATCH(PARAMETERS!$M599,DEFAULT!$B$5:$CG$5,0),""))</f>
        <v/>
      </c>
      <c r="AA599" s="56" t="str">
        <f t="shared" si="45"/>
        <v/>
      </c>
      <c r="AB599" s="63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7" t="str">
        <f>IF($AA599="","",IF($B599="I",VLOOKUP($AA599,#REF!,53,0),INDEX(VALUES!$B$1:$CC$1,1,$AA599)))</f>
        <v/>
      </c>
    </row>
    <row r="600" spans="1:29" hidden="1" outlineLevel="1" x14ac:dyDescent="0.3">
      <c r="A600" s="22" t="s">
        <v>84</v>
      </c>
      <c r="B600" s="41" t="str">
        <f t="shared" si="43"/>
        <v/>
      </c>
      <c r="C600" s="42">
        <f t="shared" si="44"/>
        <v>599</v>
      </c>
      <c r="D600" s="38"/>
      <c r="E600" s="38"/>
      <c r="F600" s="38" t="s">
        <v>9</v>
      </c>
      <c r="G600" s="38"/>
      <c r="H600" s="38"/>
      <c r="I600" s="38" t="s">
        <v>9</v>
      </c>
      <c r="J600" s="38"/>
      <c r="K600" s="14" t="s">
        <v>50</v>
      </c>
      <c r="L600" s="14" t="s">
        <v>27</v>
      </c>
      <c r="M600" s="20" t="s">
        <v>1012</v>
      </c>
      <c r="N600" s="14" t="s">
        <v>1013</v>
      </c>
      <c r="O600" s="43">
        <v>133</v>
      </c>
      <c r="R600" s="38" t="s">
        <v>104</v>
      </c>
      <c r="S600" s="38"/>
      <c r="T600" s="38"/>
      <c r="W600" s="15" t="str">
        <f>IF(IFERROR(VLOOKUP($M600,#REF!,1,0),"-")="-","","GS")</f>
        <v/>
      </c>
      <c r="Z600" s="59" t="str">
        <f>IF(OR($M600="",NOT($O600="{array}")),"",IFERROR(MATCH(PARAMETERS!$M600,DEFAULT!$B$5:$CG$5,0),""))</f>
        <v/>
      </c>
      <c r="AA600" s="56" t="str">
        <f t="shared" si="45"/>
        <v/>
      </c>
      <c r="AB600" s="63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7" t="str">
        <f>IF($AA600="","",IF($B600="I",VLOOKUP($AA600,#REF!,53,0),INDEX(VALUES!$B$1:$CC$1,1,$AA600)))</f>
        <v/>
      </c>
    </row>
    <row r="601" spans="1:29" collapsed="1" x14ac:dyDescent="0.3">
      <c r="A601" s="22" t="s">
        <v>209</v>
      </c>
      <c r="B601" s="41"/>
      <c r="C601" s="42"/>
      <c r="D601" s="38"/>
      <c r="E601" s="38"/>
      <c r="F601" s="38"/>
      <c r="G601" s="38"/>
      <c r="H601" s="38"/>
      <c r="I601" s="38"/>
      <c r="J601" s="38"/>
      <c r="L601" s="152"/>
      <c r="M601" s="14"/>
      <c r="R601" s="38"/>
      <c r="S601" s="38"/>
      <c r="T601" s="38"/>
      <c r="W601" s="15" t="str">
        <f>IF(IFERROR(VLOOKUP($M601,#REF!,1,0),"-")="-","","GS")</f>
        <v/>
      </c>
      <c r="Z601" s="59" t="str">
        <f>IF(OR($M601="",NOT($O601="{array}")),"",IFERROR(MATCH(PARAMETERS!$M601,DEFAULT!$B$5:$CG$5,0),""))</f>
        <v/>
      </c>
      <c r="AA601" s="56" t="str">
        <f t="shared" si="45"/>
        <v/>
      </c>
      <c r="AB601" s="63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7" t="str">
        <f>IF($AA601="","",IF($B601="I",VLOOKUP($AA601,#REF!,53,0),INDEX(VALUES!$B$1:$CC$1,1,$AA601)))</f>
        <v/>
      </c>
    </row>
    <row r="602" spans="1:29" x14ac:dyDescent="0.3">
      <c r="A602" s="22" t="s">
        <v>84</v>
      </c>
      <c r="B602" s="41" t="str">
        <f t="shared" ref="B602:B630" si="46">IF($A602="P",IF(NOT($Z602=""),"A",IF(NOT($AA602=""),"I","")),IF(NOT($AA602=""),IF($A602="G","V","X"),IF(NOT($Z602=""),"A","")))</f>
        <v/>
      </c>
      <c r="C602" s="42">
        <f t="shared" ref="C602:C630" si="47">(ROW()-1)</f>
        <v>601</v>
      </c>
      <c r="D602" s="38"/>
      <c r="E602" s="38"/>
      <c r="F602" s="38"/>
      <c r="G602" s="38"/>
      <c r="H602" s="38"/>
      <c r="I602" s="38"/>
      <c r="J602" s="38"/>
      <c r="K602" s="53" t="s">
        <v>57</v>
      </c>
      <c r="L602" s="53" t="s">
        <v>38</v>
      </c>
      <c r="M602" s="153" t="s">
        <v>210</v>
      </c>
      <c r="N602" s="154" t="s">
        <v>211</v>
      </c>
      <c r="O602" s="155"/>
      <c r="R602" s="38" t="s">
        <v>196</v>
      </c>
      <c r="S602" s="38"/>
      <c r="T602" s="38"/>
      <c r="W602" s="15" t="str">
        <f>IF(IFERROR(VLOOKUP($M602,#REF!,1,0),"-")="-","","GS")</f>
        <v/>
      </c>
      <c r="Z602" s="59" t="str">
        <f>IF(OR($M602="",NOT($O602="{array}")),"",IFERROR(MATCH(PARAMETERS!$M602,DEFAULT!$B$5:$CG$5,0),""))</f>
        <v/>
      </c>
      <c r="AA602" s="56" t="str">
        <f t="shared" si="45"/>
        <v/>
      </c>
      <c r="AB602" s="63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7" t="str">
        <f>IF($AA602="","",IF($B602="I",VLOOKUP($AA602,#REF!,53,0),INDEX(VALUES!$B$1:$CC$1,1,$AA602)))</f>
        <v/>
      </c>
    </row>
    <row r="603" spans="1:29" hidden="1" outlineLevel="1" x14ac:dyDescent="0.3">
      <c r="A603" s="22" t="s">
        <v>84</v>
      </c>
      <c r="B603" s="41" t="str">
        <f t="shared" si="46"/>
        <v/>
      </c>
      <c r="C603" s="42">
        <f t="shared" si="47"/>
        <v>602</v>
      </c>
      <c r="D603" s="38"/>
      <c r="E603" s="38"/>
      <c r="F603" s="38"/>
      <c r="G603" s="38"/>
      <c r="H603" s="38"/>
      <c r="I603" s="38" t="s">
        <v>9</v>
      </c>
      <c r="J603" s="38"/>
      <c r="K603" s="53" t="s">
        <v>44</v>
      </c>
      <c r="L603" s="53" t="s">
        <v>32</v>
      </c>
      <c r="M603" s="156" t="s">
        <v>212</v>
      </c>
      <c r="N603" s="53" t="s">
        <v>213</v>
      </c>
      <c r="O603" s="155">
        <v>1</v>
      </c>
      <c r="R603" s="38" t="s">
        <v>196</v>
      </c>
      <c r="S603" s="38"/>
      <c r="T603" s="38"/>
      <c r="W603" s="15"/>
      <c r="Z603" s="59" t="str">
        <f>IF(OR($M603="",NOT($O603="{array}")),"",IFERROR(MATCH(PARAMETERS!$M603,DEFAULT!$B$5:$CG$5,0),""))</f>
        <v/>
      </c>
      <c r="AA603" s="56" t="str">
        <f t="shared" si="45"/>
        <v/>
      </c>
      <c r="AB603" s="63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7" t="str">
        <f>IF($AA603="","",IF($B603="I",VLOOKUP($AA603,#REF!,53,0),INDEX(VALUES!$B$1:$CC$1,1,$AA603)))</f>
        <v/>
      </c>
    </row>
    <row r="604" spans="1:29" hidden="1" outlineLevel="1" x14ac:dyDescent="0.3">
      <c r="A604" s="22" t="s">
        <v>84</v>
      </c>
      <c r="B604" s="41" t="str">
        <f t="shared" si="46"/>
        <v/>
      </c>
      <c r="C604" s="42">
        <f t="shared" si="47"/>
        <v>603</v>
      </c>
      <c r="D604" s="38"/>
      <c r="E604" s="38"/>
      <c r="F604" s="38"/>
      <c r="G604" s="38"/>
      <c r="H604" s="38"/>
      <c r="I604" s="38" t="s">
        <v>9</v>
      </c>
      <c r="J604" s="38"/>
      <c r="K604" s="53" t="s">
        <v>44</v>
      </c>
      <c r="L604" s="53" t="s">
        <v>32</v>
      </c>
      <c r="M604" s="156" t="s">
        <v>214</v>
      </c>
      <c r="N604" s="53" t="s">
        <v>215</v>
      </c>
      <c r="O604" s="155">
        <v>0</v>
      </c>
      <c r="R604" s="38" t="s">
        <v>196</v>
      </c>
      <c r="S604" s="38"/>
      <c r="T604" s="38"/>
      <c r="W604" s="15"/>
      <c r="Z604" s="59" t="str">
        <f>IF(OR($M604="",NOT($O604="{array}")),"",IFERROR(MATCH(PARAMETERS!$M604,DEFAULT!$B$5:$CG$5,0),""))</f>
        <v/>
      </c>
      <c r="AA604" s="56" t="str">
        <f t="shared" si="45"/>
        <v/>
      </c>
      <c r="AB604" s="63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7" t="str">
        <f>IF($AA604="","",IF($B604="I",VLOOKUP($AA604,#REF!,53,0),INDEX(VALUES!$B$1:$CC$1,1,$AA604)))</f>
        <v/>
      </c>
    </row>
    <row r="605" spans="1:29" collapsed="1" x14ac:dyDescent="0.3">
      <c r="A605" s="22" t="s">
        <v>84</v>
      </c>
      <c r="B605" s="41" t="str">
        <f t="shared" si="46"/>
        <v/>
      </c>
      <c r="C605" s="42">
        <f t="shared" si="47"/>
        <v>604</v>
      </c>
      <c r="D605" s="38"/>
      <c r="E605" s="38"/>
      <c r="F605" s="38" t="s">
        <v>9</v>
      </c>
      <c r="G605" s="38" t="s">
        <v>9</v>
      </c>
      <c r="H605" s="38"/>
      <c r="I605" s="38"/>
      <c r="J605" s="38"/>
      <c r="K605" s="14" t="s">
        <v>57</v>
      </c>
      <c r="L605" s="14" t="s">
        <v>38</v>
      </c>
      <c r="M605" s="48" t="s">
        <v>217</v>
      </c>
      <c r="N605" s="41" t="s">
        <v>218</v>
      </c>
      <c r="R605" s="38" t="s">
        <v>104</v>
      </c>
      <c r="S605" s="38"/>
      <c r="T605" s="38"/>
      <c r="W605" s="15" t="str">
        <f>IF(IFERROR(VLOOKUP($M605,#REF!,1,0),"-")="-","","GS")</f>
        <v/>
      </c>
      <c r="Z605" s="59" t="str">
        <f>IF(OR($M605="",NOT($O605="{array}")),"",IFERROR(MATCH(PARAMETERS!$M605,DEFAULT!$B$5:$CG$5,0),""))</f>
        <v/>
      </c>
      <c r="AA605" s="56" t="str">
        <f t="shared" si="45"/>
        <v/>
      </c>
      <c r="AB605" s="63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7" t="str">
        <f>IF($AA605="","",IF($B605="I",VLOOKUP($AA605,#REF!,53,0),INDEX(VALUES!$B$1:$CC$1,1,$AA605)))</f>
        <v/>
      </c>
    </row>
    <row r="606" spans="1:29" outlineLevel="1" x14ac:dyDescent="0.3">
      <c r="A606" s="22"/>
      <c r="B606" s="41" t="str">
        <f t="shared" si="46"/>
        <v/>
      </c>
      <c r="C606" s="42">
        <f t="shared" si="47"/>
        <v>605</v>
      </c>
      <c r="D606" s="38"/>
      <c r="E606" s="38"/>
      <c r="F606" s="38"/>
      <c r="G606" s="38" t="s">
        <v>9</v>
      </c>
      <c r="H606" s="38"/>
      <c r="I606" s="38" t="s">
        <v>9</v>
      </c>
      <c r="J606" s="38"/>
      <c r="K606" s="14" t="s">
        <v>18</v>
      </c>
      <c r="L606" s="14" t="s">
        <v>38</v>
      </c>
      <c r="M606" s="20" t="s">
        <v>219</v>
      </c>
      <c r="N606" s="14" t="s">
        <v>220</v>
      </c>
      <c r="O606" s="43" t="s">
        <v>221</v>
      </c>
      <c r="R606" s="38" t="s">
        <v>104</v>
      </c>
      <c r="S606" s="38"/>
      <c r="T606" s="38"/>
      <c r="W606" s="15" t="str">
        <f>IF(IFERROR(VLOOKUP($M606,#REF!,1,0),"-")="-","","GS")</f>
        <v/>
      </c>
      <c r="Z606" s="59" t="str">
        <f>IF(OR($M606="",NOT($O606="{array}")),"",IFERROR(MATCH(PARAMETERS!$M606,DEFAULT!$B$5:$CG$5,0),""))</f>
        <v/>
      </c>
      <c r="AA606" s="56" t="str">
        <f t="shared" si="45"/>
        <v/>
      </c>
      <c r="AB606" s="63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7" t="str">
        <f>IF($AA606="","",IF($B606="I",VLOOKUP($AA606,#REF!,53,0),INDEX(VALUES!$B$1:$CC$1,1,$AA606)))</f>
        <v/>
      </c>
    </row>
    <row r="607" spans="1:29" outlineLevel="1" x14ac:dyDescent="0.3">
      <c r="A607" s="22" t="s">
        <v>84</v>
      </c>
      <c r="B607" s="41" t="str">
        <f t="shared" si="46"/>
        <v/>
      </c>
      <c r="C607" s="42">
        <f t="shared" si="47"/>
        <v>606</v>
      </c>
      <c r="D607" s="38"/>
      <c r="E607" s="38"/>
      <c r="F607" s="38"/>
      <c r="G607" s="38"/>
      <c r="H607" s="38"/>
      <c r="I607" s="38" t="s">
        <v>9</v>
      </c>
      <c r="J607" s="38"/>
      <c r="K607" s="53" t="s">
        <v>44</v>
      </c>
      <c r="L607" s="53" t="s">
        <v>32</v>
      </c>
      <c r="M607" s="156" t="s">
        <v>177</v>
      </c>
      <c r="N607" s="53" t="s">
        <v>1321</v>
      </c>
      <c r="O607" s="155">
        <v>1</v>
      </c>
      <c r="R607" s="38" t="s">
        <v>196</v>
      </c>
      <c r="S607" s="38"/>
      <c r="T607" s="38"/>
      <c r="W607" s="15"/>
      <c r="Z607" s="59" t="str">
        <f>IF(OR($M607="",NOT($O607="{array}")),"",IFERROR(MATCH(PARAMETERS!$M607,DEFAULT!$B$5:$CG$5,0),""))</f>
        <v/>
      </c>
      <c r="AA607" s="56" t="str">
        <f t="shared" si="45"/>
        <v/>
      </c>
      <c r="AB607" s="63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7" t="str">
        <f>IF($AA607="","",IF($B607="I",VLOOKUP($AA607,#REF!,53,0),INDEX(VALUES!$B$1:$CC$1,1,$AA607)))</f>
        <v/>
      </c>
    </row>
    <row r="608" spans="1:29" outlineLevel="1" x14ac:dyDescent="0.3">
      <c r="A608" s="22" t="s">
        <v>84</v>
      </c>
      <c r="B608" s="41" t="str">
        <f t="shared" si="46"/>
        <v/>
      </c>
      <c r="C608" s="42">
        <f t="shared" si="47"/>
        <v>607</v>
      </c>
      <c r="D608" s="38"/>
      <c r="E608" s="38"/>
      <c r="F608" s="38"/>
      <c r="G608" s="38"/>
      <c r="H608" s="38"/>
      <c r="I608" s="38" t="s">
        <v>9</v>
      </c>
      <c r="J608" s="38"/>
      <c r="K608" s="53" t="s">
        <v>44</v>
      </c>
      <c r="L608" s="53" t="s">
        <v>32</v>
      </c>
      <c r="M608" s="156" t="s">
        <v>222</v>
      </c>
      <c r="N608" s="53" t="s">
        <v>223</v>
      </c>
      <c r="O608" s="155">
        <v>1</v>
      </c>
      <c r="R608" s="38" t="s">
        <v>196</v>
      </c>
      <c r="S608" s="38"/>
      <c r="T608" s="38"/>
      <c r="W608" s="15"/>
      <c r="Z608" s="59" t="str">
        <f>IF(OR($M608="",NOT($O608="{array}")),"",IFERROR(MATCH(PARAMETERS!$M608,DEFAULT!$B$5:$CG$5,0),""))</f>
        <v/>
      </c>
      <c r="AA608" s="56" t="str">
        <f t="shared" si="45"/>
        <v/>
      </c>
      <c r="AB608" s="63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7" t="str">
        <f>IF($AA608="","",IF($B608="I",VLOOKUP($AA608,#REF!,53,0),INDEX(VALUES!$B$1:$CC$1,1,$AA608)))</f>
        <v/>
      </c>
    </row>
    <row r="609" spans="1:29" outlineLevel="1" x14ac:dyDescent="0.3">
      <c r="A609" s="22" t="s">
        <v>84</v>
      </c>
      <c r="B609" s="41" t="str">
        <f t="shared" si="46"/>
        <v/>
      </c>
      <c r="C609" s="42">
        <f t="shared" si="47"/>
        <v>608</v>
      </c>
      <c r="D609" s="38"/>
      <c r="E609" s="38"/>
      <c r="F609" s="38" t="s">
        <v>9</v>
      </c>
      <c r="G609" s="38" t="s">
        <v>9</v>
      </c>
      <c r="H609" s="38"/>
      <c r="I609" s="38" t="s">
        <v>9</v>
      </c>
      <c r="J609" s="38"/>
      <c r="K609" s="14" t="s">
        <v>44</v>
      </c>
      <c r="L609" s="14" t="s">
        <v>27</v>
      </c>
      <c r="M609" s="20" t="s">
        <v>224</v>
      </c>
      <c r="N609" s="14" t="s">
        <v>225</v>
      </c>
      <c r="O609" s="43">
        <v>1</v>
      </c>
      <c r="Q609" s="38" t="s">
        <v>9</v>
      </c>
      <c r="R609" s="38" t="s">
        <v>104</v>
      </c>
      <c r="S609" s="38"/>
      <c r="T609" s="38"/>
      <c r="W609" s="15" t="str">
        <f>IF(IFERROR(VLOOKUP($M609,#REF!,1,0),"-")="-","","GS")</f>
        <v/>
      </c>
      <c r="Z609" s="59" t="str">
        <f>IF(OR($M609="",NOT($O609="{array}")),"",IFERROR(MATCH(PARAMETERS!$M609,DEFAULT!$B$5:$CG$5,0),""))</f>
        <v/>
      </c>
      <c r="AA609" s="56" t="str">
        <f t="shared" si="45"/>
        <v/>
      </c>
      <c r="AB609" s="63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7" t="str">
        <f>IF($AA609="","",IF($B609="I",VLOOKUP($AA609,#REF!,53,0),INDEX(VALUES!$B$1:$CC$1,1,$AA609)))</f>
        <v/>
      </c>
    </row>
    <row r="610" spans="1:29" outlineLevel="1" x14ac:dyDescent="0.3">
      <c r="A610" s="22" t="s">
        <v>84</v>
      </c>
      <c r="B610" s="41" t="str">
        <f t="shared" si="46"/>
        <v/>
      </c>
      <c r="C610" s="42">
        <f t="shared" si="47"/>
        <v>609</v>
      </c>
      <c r="D610" s="38"/>
      <c r="E610" s="38"/>
      <c r="F610" s="38" t="s">
        <v>9</v>
      </c>
      <c r="G610" s="38" t="s">
        <v>9</v>
      </c>
      <c r="H610" s="38"/>
      <c r="I610" s="38" t="s">
        <v>9</v>
      </c>
      <c r="J610" s="38"/>
      <c r="K610" s="14" t="s">
        <v>44</v>
      </c>
      <c r="L610" s="14" t="s">
        <v>27</v>
      </c>
      <c r="M610" s="20" t="s">
        <v>226</v>
      </c>
      <c r="N610" s="14" t="s">
        <v>227</v>
      </c>
      <c r="O610" s="43">
        <v>1</v>
      </c>
      <c r="Q610" s="38" t="s">
        <v>9</v>
      </c>
      <c r="R610" s="38" t="s">
        <v>104</v>
      </c>
      <c r="S610" s="38"/>
      <c r="T610" s="38"/>
      <c r="W610" s="15" t="str">
        <f>IF(IFERROR(VLOOKUP($M610,#REF!,1,0),"-")="-","","GS")</f>
        <v/>
      </c>
      <c r="Z610" s="59" t="str">
        <f>IF(OR($M610="",NOT($O610="{array}")),"",IFERROR(MATCH(PARAMETERS!$M610,DEFAULT!$B$5:$CG$5,0),""))</f>
        <v/>
      </c>
      <c r="AA610" s="56" t="str">
        <f t="shared" si="45"/>
        <v/>
      </c>
      <c r="AB610" s="63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7" t="str">
        <f>IF($AA610="","",IF($B610="I",VLOOKUP($AA610,#REF!,53,0),INDEX(VALUES!$B$1:$CC$1,1,$AA610)))</f>
        <v/>
      </c>
    </row>
    <row r="611" spans="1:29" outlineLevel="1" x14ac:dyDescent="0.3">
      <c r="A611" s="22" t="s">
        <v>84</v>
      </c>
      <c r="B611" s="41" t="str">
        <f t="shared" si="46"/>
        <v/>
      </c>
      <c r="C611" s="42">
        <f t="shared" si="47"/>
        <v>610</v>
      </c>
      <c r="D611" s="38"/>
      <c r="E611" s="38"/>
      <c r="F611" s="38" t="s">
        <v>9</v>
      </c>
      <c r="G611" s="38" t="s">
        <v>9</v>
      </c>
      <c r="H611" s="38"/>
      <c r="I611" s="38" t="s">
        <v>9</v>
      </c>
      <c r="J611" s="38" t="s">
        <v>9</v>
      </c>
      <c r="K611" s="14" t="s">
        <v>44</v>
      </c>
      <c r="L611" s="14" t="s">
        <v>27</v>
      </c>
      <c r="M611" s="20" t="s">
        <v>228</v>
      </c>
      <c r="N611" s="14" t="s">
        <v>227</v>
      </c>
      <c r="O611" s="43">
        <v>1</v>
      </c>
      <c r="Q611" s="38" t="s">
        <v>9</v>
      </c>
      <c r="R611" s="38" t="s">
        <v>104</v>
      </c>
      <c r="S611" s="38"/>
      <c r="T611" s="38"/>
      <c r="W611" s="15" t="str">
        <f>IF(IFERROR(VLOOKUP($M611,#REF!,1,0),"-")="-","","GS")</f>
        <v/>
      </c>
      <c r="Z611" s="59" t="str">
        <f>IF(OR($M611="",NOT($O611="{array}")),"",IFERROR(MATCH(PARAMETERS!$M611,DEFAULT!$B$5:$CG$5,0),""))</f>
        <v/>
      </c>
      <c r="AA611" s="56" t="str">
        <f t="shared" si="45"/>
        <v/>
      </c>
      <c r="AB611" s="63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7" t="str">
        <f>IF($AA611="","",IF($B611="I",VLOOKUP($AA611,#REF!,53,0),INDEX(VALUES!$B$1:$CC$1,1,$AA611)))</f>
        <v/>
      </c>
    </row>
    <row r="612" spans="1:29" outlineLevel="1" x14ac:dyDescent="0.3">
      <c r="A612" s="22" t="s">
        <v>84</v>
      </c>
      <c r="B612" s="41" t="str">
        <f t="shared" si="46"/>
        <v/>
      </c>
      <c r="C612" s="42">
        <f t="shared" si="47"/>
        <v>611</v>
      </c>
      <c r="D612" s="38"/>
      <c r="E612" s="38"/>
      <c r="F612" s="38"/>
      <c r="G612" s="38" t="s">
        <v>9</v>
      </c>
      <c r="H612" s="38"/>
      <c r="I612" s="38" t="s">
        <v>9</v>
      </c>
      <c r="J612" s="38"/>
      <c r="K612" s="14" t="s">
        <v>44</v>
      </c>
      <c r="L612" s="14" t="s">
        <v>27</v>
      </c>
      <c r="M612" s="20" t="s">
        <v>229</v>
      </c>
      <c r="O612" s="43">
        <v>0</v>
      </c>
      <c r="Q612" s="38" t="s">
        <v>230</v>
      </c>
      <c r="R612" s="38" t="s">
        <v>104</v>
      </c>
      <c r="S612" s="38"/>
      <c r="T612" s="38"/>
      <c r="W612" s="15" t="str">
        <f>IF(IFERROR(VLOOKUP($M612,#REF!,1,0),"-")="-","","GS")</f>
        <v/>
      </c>
      <c r="Z612" s="59" t="str">
        <f>IF(OR($M612="",NOT($O612="{array}")),"",IFERROR(MATCH(PARAMETERS!$M612,DEFAULT!$B$5:$CG$5,0),""))</f>
        <v/>
      </c>
      <c r="AA612" s="56" t="str">
        <f t="shared" si="45"/>
        <v/>
      </c>
      <c r="AB612" s="63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7" t="str">
        <f>IF($AA612="","",IF($B612="I",VLOOKUP($AA612,#REF!,53,0),INDEX(VALUES!$B$1:$CC$1,1,$AA612)))</f>
        <v/>
      </c>
    </row>
    <row r="613" spans="1:29" outlineLevel="1" x14ac:dyDescent="0.3">
      <c r="A613" s="22" t="s">
        <v>84</v>
      </c>
      <c r="B613" s="41" t="str">
        <f t="shared" si="46"/>
        <v/>
      </c>
      <c r="C613" s="42">
        <f t="shared" si="47"/>
        <v>612</v>
      </c>
      <c r="D613" s="38"/>
      <c r="E613" s="38"/>
      <c r="F613" s="38"/>
      <c r="G613" s="38" t="s">
        <v>9</v>
      </c>
      <c r="H613" s="38"/>
      <c r="I613" s="38" t="s">
        <v>9</v>
      </c>
      <c r="J613" s="38"/>
      <c r="K613" s="14" t="s">
        <v>44</v>
      </c>
      <c r="L613" s="14" t="s">
        <v>27</v>
      </c>
      <c r="M613" s="20" t="s">
        <v>231</v>
      </c>
      <c r="O613" s="43">
        <v>1</v>
      </c>
      <c r="Q613" s="38" t="s">
        <v>230</v>
      </c>
      <c r="R613" s="38" t="s">
        <v>104</v>
      </c>
      <c r="S613" s="38"/>
      <c r="T613" s="38"/>
      <c r="W613" s="15" t="str">
        <f>IF(IFERROR(VLOOKUP($M613,#REF!,1,0),"-")="-","","GS")</f>
        <v/>
      </c>
      <c r="Z613" s="59" t="str">
        <f>IF(OR($M613="",NOT($O613="{array}")),"",IFERROR(MATCH(PARAMETERS!$M613,DEFAULT!$B$5:$CG$5,0),""))</f>
        <v/>
      </c>
      <c r="AA613" s="56" t="str">
        <f t="shared" si="45"/>
        <v/>
      </c>
      <c r="AB613" s="63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7" t="str">
        <f>IF($AA613="","",IF($B613="I",VLOOKUP($AA613,#REF!,53,0),INDEX(VALUES!$B$1:$CC$1,1,$AA613)))</f>
        <v/>
      </c>
    </row>
    <row r="614" spans="1:29" outlineLevel="1" x14ac:dyDescent="0.3">
      <c r="A614" s="22" t="s">
        <v>84</v>
      </c>
      <c r="B614" s="41" t="str">
        <f t="shared" si="46"/>
        <v/>
      </c>
      <c r="C614" s="42">
        <f t="shared" si="47"/>
        <v>613</v>
      </c>
      <c r="D614" s="38"/>
      <c r="E614" s="38"/>
      <c r="F614" s="38" t="s">
        <v>9</v>
      </c>
      <c r="G614" s="38" t="s">
        <v>9</v>
      </c>
      <c r="H614" s="38"/>
      <c r="I614" s="38" t="s">
        <v>9</v>
      </c>
      <c r="J614" s="38"/>
      <c r="K614" s="14" t="s">
        <v>18</v>
      </c>
      <c r="L614" s="14" t="s">
        <v>27</v>
      </c>
      <c r="M614" s="20" t="s">
        <v>232</v>
      </c>
      <c r="N614" s="14" t="s">
        <v>233</v>
      </c>
      <c r="Q614" s="38" t="s">
        <v>9</v>
      </c>
      <c r="R614" s="38" t="s">
        <v>104</v>
      </c>
      <c r="S614" s="38"/>
      <c r="T614" s="38"/>
      <c r="W614" s="15" t="str">
        <f>IF(IFERROR(VLOOKUP($M614,#REF!,1,0),"-")="-","","GS")</f>
        <v/>
      </c>
      <c r="Z614" s="59" t="str">
        <f>IF(OR($M614="",NOT($O614="{array}")),"",IFERROR(MATCH(PARAMETERS!$M614,DEFAULT!$B$5:$CG$5,0),""))</f>
        <v/>
      </c>
      <c r="AA614" s="56" t="str">
        <f t="shared" si="45"/>
        <v/>
      </c>
      <c r="AB614" s="63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7" t="str">
        <f>IF($AA614="","",IF($B614="I",VLOOKUP($AA614,#REF!,53,0),INDEX(VALUES!$B$1:$CC$1,1,$AA614)))</f>
        <v/>
      </c>
    </row>
    <row r="615" spans="1:29" outlineLevel="1" x14ac:dyDescent="0.3">
      <c r="A615" s="22" t="s">
        <v>84</v>
      </c>
      <c r="B615" s="41" t="str">
        <f t="shared" si="46"/>
        <v/>
      </c>
      <c r="C615" s="42">
        <f t="shared" si="47"/>
        <v>614</v>
      </c>
      <c r="D615" s="38"/>
      <c r="E615" s="38"/>
      <c r="F615" s="38" t="s">
        <v>9</v>
      </c>
      <c r="G615" s="38" t="s">
        <v>9</v>
      </c>
      <c r="H615" s="38"/>
      <c r="I615" s="38" t="s">
        <v>9</v>
      </c>
      <c r="J615" s="38" t="s">
        <v>9</v>
      </c>
      <c r="K615" s="14" t="s">
        <v>44</v>
      </c>
      <c r="L615" s="14" t="s">
        <v>38</v>
      </c>
      <c r="M615" s="20" t="s">
        <v>234</v>
      </c>
      <c r="N615" s="14" t="s">
        <v>235</v>
      </c>
      <c r="O615" s="43">
        <v>2</v>
      </c>
      <c r="Q615" s="38" t="s">
        <v>9</v>
      </c>
      <c r="R615" s="38" t="s">
        <v>104</v>
      </c>
      <c r="S615" s="38"/>
      <c r="T615" s="38"/>
      <c r="W615" s="15" t="str">
        <f>IF(IFERROR(VLOOKUP($M615,#REF!,1,0),"-")="-","","GS")</f>
        <v/>
      </c>
      <c r="Z615" s="59" t="str">
        <f>IF(OR($M615="",NOT($O615="{array}")),"",IFERROR(MATCH(PARAMETERS!$M615,DEFAULT!$B$5:$CG$5,0),""))</f>
        <v/>
      </c>
      <c r="AA615" s="56" t="str">
        <f t="shared" si="45"/>
        <v/>
      </c>
      <c r="AB615" s="63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7" t="str">
        <f>IF($AA615="","",IF($B615="I",VLOOKUP($AA615,#REF!,53,0),INDEX(VALUES!$B$1:$CC$1,1,$AA615)))</f>
        <v/>
      </c>
    </row>
    <row r="616" spans="1:29" outlineLevel="1" x14ac:dyDescent="0.3">
      <c r="A616" s="22" t="s">
        <v>84</v>
      </c>
      <c r="B616" s="41" t="str">
        <f t="shared" si="46"/>
        <v/>
      </c>
      <c r="C616" s="42">
        <f t="shared" si="47"/>
        <v>615</v>
      </c>
      <c r="D616" s="38"/>
      <c r="E616" s="38"/>
      <c r="F616" s="38" t="s">
        <v>9</v>
      </c>
      <c r="G616" s="38" t="s">
        <v>9</v>
      </c>
      <c r="H616" s="38"/>
      <c r="I616" s="38" t="s">
        <v>9</v>
      </c>
      <c r="J616" s="38"/>
      <c r="K616" s="14" t="s">
        <v>47</v>
      </c>
      <c r="L616" s="14" t="s">
        <v>27</v>
      </c>
      <c r="M616" s="20" t="s">
        <v>236</v>
      </c>
      <c r="N616" s="14" t="s">
        <v>237</v>
      </c>
      <c r="O616" s="43">
        <v>1</v>
      </c>
      <c r="Q616" s="38" t="s">
        <v>9</v>
      </c>
      <c r="R616" s="38" t="s">
        <v>104</v>
      </c>
      <c r="S616" s="38"/>
      <c r="T616" s="38"/>
      <c r="W616" s="15" t="str">
        <f>IF(IFERROR(VLOOKUP($M616,#REF!,1,0),"-")="-","","GS")</f>
        <v/>
      </c>
      <c r="Z616" s="59" t="str">
        <f>IF(OR($M616="",NOT($O616="{array}")),"",IFERROR(MATCH(PARAMETERS!$M616,DEFAULT!$B$5:$CG$5,0),""))</f>
        <v/>
      </c>
      <c r="AA616" s="56" t="str">
        <f t="shared" si="45"/>
        <v/>
      </c>
      <c r="AB616" s="63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7" t="str">
        <f>IF($AA616="","",IF($B616="I",VLOOKUP($AA616,#REF!,53,0),INDEX(VALUES!$B$1:$CC$1,1,$AA616)))</f>
        <v/>
      </c>
    </row>
    <row r="617" spans="1:29" outlineLevel="1" x14ac:dyDescent="0.3">
      <c r="A617" s="22" t="s">
        <v>84</v>
      </c>
      <c r="B617" s="41" t="str">
        <f t="shared" si="46"/>
        <v/>
      </c>
      <c r="C617" s="42">
        <f t="shared" si="47"/>
        <v>616</v>
      </c>
      <c r="D617" s="38"/>
      <c r="E617" s="38"/>
      <c r="F617" s="38"/>
      <c r="G617" s="38" t="s">
        <v>9</v>
      </c>
      <c r="H617" s="38"/>
      <c r="I617" s="38" t="s">
        <v>9</v>
      </c>
      <c r="J617" s="38"/>
      <c r="K617" s="14" t="s">
        <v>44</v>
      </c>
      <c r="L617" s="14" t="s">
        <v>27</v>
      </c>
      <c r="M617" s="20" t="s">
        <v>1548</v>
      </c>
      <c r="N617" s="14" t="s">
        <v>1549</v>
      </c>
      <c r="O617" s="43">
        <v>8000</v>
      </c>
      <c r="Q617" s="38" t="s">
        <v>9</v>
      </c>
      <c r="R617" s="38" t="s">
        <v>196</v>
      </c>
      <c r="S617" s="38"/>
      <c r="T617" s="38"/>
      <c r="W617" s="15" t="str">
        <f>IF(IFERROR(VLOOKUP($M617,#REF!,1,0),"-")="-","","GS")</f>
        <v/>
      </c>
      <c r="Z617" s="59" t="str">
        <f>IF(OR($M617="",NOT($O617="{array}")),"",IFERROR(MATCH(PARAMETERS!$M617,DEFAULT!$B$5:$CG$5,0),""))</f>
        <v/>
      </c>
      <c r="AA617" s="56" t="str">
        <f t="shared" si="45"/>
        <v/>
      </c>
      <c r="AB617" s="63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7" t="str">
        <f>IF($AA617="","",IF($B617="I",VLOOKUP($AA617,#REF!,53,0),INDEX(VALUES!$B$1:$CC$1,1,$AA617)))</f>
        <v/>
      </c>
    </row>
    <row r="618" spans="1:29" outlineLevel="1" x14ac:dyDescent="0.3">
      <c r="A618" s="22" t="s">
        <v>84</v>
      </c>
      <c r="B618" s="41" t="str">
        <f t="shared" si="46"/>
        <v/>
      </c>
      <c r="C618" s="42">
        <f t="shared" si="47"/>
        <v>617</v>
      </c>
      <c r="D618" s="38"/>
      <c r="E618" s="38"/>
      <c r="F618" s="38"/>
      <c r="G618" s="38"/>
      <c r="H618" s="38"/>
      <c r="I618" s="38" t="s">
        <v>9</v>
      </c>
      <c r="J618" s="38"/>
      <c r="K618" s="53" t="s">
        <v>44</v>
      </c>
      <c r="L618" s="53" t="s">
        <v>32</v>
      </c>
      <c r="M618" s="53" t="s">
        <v>238</v>
      </c>
      <c r="N618" s="53" t="s">
        <v>239</v>
      </c>
      <c r="O618" s="155">
        <v>0</v>
      </c>
      <c r="R618" s="38" t="s">
        <v>196</v>
      </c>
      <c r="S618" s="38"/>
      <c r="T618" s="38"/>
      <c r="W618" s="15"/>
      <c r="Z618" s="59" t="str">
        <f>IF(OR($M618="",NOT($O618="{array}")),"",IFERROR(MATCH(PARAMETERS!$M618,DEFAULT!$B$5:$CG$5,0),""))</f>
        <v/>
      </c>
      <c r="AA618" s="56" t="str">
        <f t="shared" si="45"/>
        <v/>
      </c>
      <c r="AB618" s="63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7" t="str">
        <f>IF($AA618="","",IF($B618="I",VLOOKUP($AA618,#REF!,53,0),INDEX(VALUES!$B$1:$CC$1,1,$AA618)))</f>
        <v/>
      </c>
    </row>
    <row r="619" spans="1:29" x14ac:dyDescent="0.3">
      <c r="A619" s="22" t="s">
        <v>84</v>
      </c>
      <c r="B619" s="41" t="str">
        <f t="shared" si="46"/>
        <v/>
      </c>
      <c r="C619" s="224">
        <f t="shared" si="47"/>
        <v>618</v>
      </c>
      <c r="D619" s="225"/>
      <c r="E619" s="225"/>
      <c r="F619" s="225"/>
      <c r="G619" s="225"/>
      <c r="H619" s="225"/>
      <c r="I619" s="225"/>
      <c r="J619" s="225"/>
      <c r="K619" s="226" t="s">
        <v>57</v>
      </c>
      <c r="L619" s="226" t="s">
        <v>38</v>
      </c>
      <c r="M619" s="227" t="s">
        <v>1512</v>
      </c>
      <c r="N619" s="228" t="s">
        <v>1513</v>
      </c>
      <c r="O619" s="229"/>
      <c r="P619" s="226"/>
      <c r="Q619" s="225"/>
      <c r="R619" s="225" t="s">
        <v>104</v>
      </c>
      <c r="S619" s="38"/>
      <c r="T619" s="38"/>
      <c r="Z619" s="59" t="str">
        <f>IF(OR($M619="",NOT($O619="{array}")),"",IFERROR(MATCH(PARAMETERS!$M619,DEFAULT!$B$5:$CG$5,0),""))</f>
        <v/>
      </c>
      <c r="AA619" s="56" t="str">
        <f t="shared" si="45"/>
        <v/>
      </c>
      <c r="AB619" s="63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7" t="str">
        <f>IF($AA619="","",IF($B619="I",VLOOKUP($AA619,#REF!,53,0),INDEX(VALUES!$B$1:$CC$1,1,$AA619)))</f>
        <v/>
      </c>
    </row>
    <row r="620" spans="1:29" hidden="1" outlineLevel="1" x14ac:dyDescent="0.3">
      <c r="A620" s="22" t="s">
        <v>84</v>
      </c>
      <c r="B620" s="41" t="str">
        <f t="shared" si="46"/>
        <v/>
      </c>
      <c r="C620" s="230">
        <f t="shared" si="47"/>
        <v>619</v>
      </c>
      <c r="D620" s="225"/>
      <c r="E620" s="225"/>
      <c r="F620" s="225"/>
      <c r="G620" s="225"/>
      <c r="H620" s="225"/>
      <c r="I620" s="225" t="s">
        <v>9</v>
      </c>
      <c r="J620" s="225" t="s">
        <v>9</v>
      </c>
      <c r="K620" s="226" t="s">
        <v>44</v>
      </c>
      <c r="L620" s="231" t="s">
        <v>38</v>
      </c>
      <c r="M620" s="232" t="s">
        <v>1514</v>
      </c>
      <c r="N620" s="226" t="s">
        <v>1515</v>
      </c>
      <c r="O620" s="229">
        <v>1</v>
      </c>
      <c r="P620" s="226"/>
      <c r="Q620" s="225"/>
      <c r="R620" s="225" t="s">
        <v>196</v>
      </c>
      <c r="S620" s="38"/>
      <c r="T620" s="38"/>
      <c r="Z620" s="59" t="str">
        <f>IF(OR($M620="",NOT($O620="{array}")),"",IFERROR(MATCH(PARAMETERS!$M620,DEFAULT!$B$5:$CG$5,0),""))</f>
        <v/>
      </c>
      <c r="AA620" s="56" t="str">
        <f t="shared" si="45"/>
        <v/>
      </c>
      <c r="AB620" s="63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7" t="str">
        <f>IF($AA620="","",IF($B620="I",VLOOKUP($AA620,#REF!,53,0),INDEX(VALUES!$B$1:$CC$1,1,$AA620)))</f>
        <v/>
      </c>
    </row>
    <row r="621" spans="1:29" hidden="1" outlineLevel="1" x14ac:dyDescent="0.3">
      <c r="A621" s="22" t="s">
        <v>84</v>
      </c>
      <c r="B621" s="41" t="str">
        <f t="shared" si="46"/>
        <v/>
      </c>
      <c r="C621" s="230">
        <f t="shared" si="47"/>
        <v>620</v>
      </c>
      <c r="D621" s="225"/>
      <c r="E621" s="225"/>
      <c r="F621" s="225"/>
      <c r="G621" s="225"/>
      <c r="H621" s="225"/>
      <c r="I621" s="225" t="s">
        <v>9</v>
      </c>
      <c r="J621" s="225" t="s">
        <v>9</v>
      </c>
      <c r="K621" s="226" t="s">
        <v>44</v>
      </c>
      <c r="L621" s="231" t="s">
        <v>38</v>
      </c>
      <c r="M621" s="232" t="s">
        <v>1516</v>
      </c>
      <c r="N621" s="226" t="s">
        <v>1517</v>
      </c>
      <c r="O621" s="229">
        <v>1</v>
      </c>
      <c r="P621" s="226"/>
      <c r="Q621" s="225"/>
      <c r="R621" s="225" t="s">
        <v>196</v>
      </c>
      <c r="S621" s="38"/>
      <c r="T621" s="38"/>
      <c r="Z621" s="59" t="str">
        <f>IF(OR($M621="",NOT($O621="{array}")),"",IFERROR(MATCH(PARAMETERS!$M621,DEFAULT!$B$5:$CG$5,0),""))</f>
        <v/>
      </c>
      <c r="AA621" s="56" t="str">
        <f t="shared" si="45"/>
        <v/>
      </c>
      <c r="AB621" s="63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7" t="str">
        <f>IF($AA621="","",IF($B621="I",VLOOKUP($AA621,#REF!,53,0),INDEX(VALUES!$B$1:$CC$1,1,$AA621)))</f>
        <v/>
      </c>
    </row>
    <row r="622" spans="1:29" hidden="1" outlineLevel="1" x14ac:dyDescent="0.3">
      <c r="A622" s="22" t="s">
        <v>84</v>
      </c>
      <c r="B622" s="41" t="str">
        <f t="shared" si="46"/>
        <v/>
      </c>
      <c r="C622" s="230">
        <f t="shared" si="47"/>
        <v>621</v>
      </c>
      <c r="D622" s="225"/>
      <c r="E622" s="225"/>
      <c r="F622" s="225"/>
      <c r="G622" s="225"/>
      <c r="H622" s="225"/>
      <c r="I622" s="225" t="s">
        <v>9</v>
      </c>
      <c r="J622" s="225" t="s">
        <v>9</v>
      </c>
      <c r="K622" s="226" t="s">
        <v>44</v>
      </c>
      <c r="L622" s="231" t="s">
        <v>38</v>
      </c>
      <c r="M622" s="232" t="s">
        <v>1518</v>
      </c>
      <c r="N622" s="226" t="s">
        <v>1519</v>
      </c>
      <c r="O622" s="229">
        <v>0</v>
      </c>
      <c r="P622" s="226"/>
      <c r="Q622" s="225"/>
      <c r="R622" s="225" t="s">
        <v>196</v>
      </c>
      <c r="S622" s="38"/>
      <c r="T622" s="38"/>
      <c r="Z622" s="59" t="str">
        <f>IF(OR($M622="",NOT($O622="{array}")),"",IFERROR(MATCH(PARAMETERS!$M622,DEFAULT!$B$5:$CG$5,0),""))</f>
        <v/>
      </c>
      <c r="AA622" s="56" t="str">
        <f t="shared" si="45"/>
        <v/>
      </c>
      <c r="AB622" s="63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7" t="str">
        <f>IF($AA622="","",IF($B622="I",VLOOKUP($AA622,#REF!,53,0),INDEX(VALUES!$B$1:$CC$1,1,$AA622)))</f>
        <v/>
      </c>
    </row>
    <row r="623" spans="1:29" hidden="1" outlineLevel="1" x14ac:dyDescent="0.3">
      <c r="A623" s="22" t="s">
        <v>84</v>
      </c>
      <c r="B623" s="41" t="str">
        <f t="shared" si="46"/>
        <v/>
      </c>
      <c r="C623" s="230">
        <f t="shared" si="47"/>
        <v>622</v>
      </c>
      <c r="D623" s="225"/>
      <c r="E623" s="225"/>
      <c r="F623" s="225"/>
      <c r="G623" s="225"/>
      <c r="H623" s="225"/>
      <c r="I623" s="225" t="s">
        <v>9</v>
      </c>
      <c r="J623" s="225" t="s">
        <v>9</v>
      </c>
      <c r="K623" s="226" t="s">
        <v>44</v>
      </c>
      <c r="L623" s="231" t="s">
        <v>38</v>
      </c>
      <c r="M623" s="232" t="s">
        <v>1520</v>
      </c>
      <c r="N623" s="226" t="s">
        <v>1521</v>
      </c>
      <c r="O623" s="229">
        <v>0</v>
      </c>
      <c r="P623" s="226"/>
      <c r="Q623" s="225"/>
      <c r="R623" s="225" t="s">
        <v>196</v>
      </c>
      <c r="S623" s="38"/>
      <c r="T623" s="38"/>
      <c r="Z623" s="59" t="str">
        <f>IF(OR($M623="",NOT($O623="{array}")),"",IFERROR(MATCH(PARAMETERS!$M623,DEFAULT!$B$5:$CG$5,0),""))</f>
        <v/>
      </c>
      <c r="AA623" s="56" t="str">
        <f t="shared" si="45"/>
        <v/>
      </c>
      <c r="AB623" s="63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7" t="str">
        <f>IF($AA623="","",IF($B623="I",VLOOKUP($AA623,#REF!,53,0),INDEX(VALUES!$B$1:$CC$1,1,$AA623)))</f>
        <v/>
      </c>
    </row>
    <row r="624" spans="1:29" hidden="1" outlineLevel="1" x14ac:dyDescent="0.3">
      <c r="A624" s="22"/>
      <c r="B624" s="41" t="str">
        <f t="shared" si="46"/>
        <v/>
      </c>
      <c r="C624" s="224">
        <f t="shared" si="47"/>
        <v>623</v>
      </c>
      <c r="D624" s="225"/>
      <c r="E624" s="225"/>
      <c r="F624" s="225"/>
      <c r="G624" s="225"/>
      <c r="H624" s="225"/>
      <c r="I624" s="225" t="s">
        <v>9</v>
      </c>
      <c r="J624" s="225"/>
      <c r="K624" s="226" t="s">
        <v>50</v>
      </c>
      <c r="L624" s="226" t="s">
        <v>38</v>
      </c>
      <c r="M624" s="232" t="s">
        <v>1601</v>
      </c>
      <c r="N624" s="226" t="s">
        <v>1602</v>
      </c>
      <c r="O624" s="229">
        <v>1</v>
      </c>
      <c r="P624" s="226"/>
      <c r="Q624" s="225"/>
      <c r="R624" s="225" t="s">
        <v>196</v>
      </c>
      <c r="S624" s="38"/>
      <c r="T624" s="38"/>
      <c r="Z624" s="59" t="str">
        <f>IF(OR($M624="",NOT($O624="{array}")),"",IFERROR(MATCH(PARAMETERS!$M624,DEFAULT!$B$5:$CG$5,0),""))</f>
        <v/>
      </c>
      <c r="AA624" s="56" t="str">
        <f t="shared" si="45"/>
        <v/>
      </c>
      <c r="AB624" s="63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7" t="str">
        <f>IF($AA624="","",IF($B624="I",VLOOKUP($AA624,#REF!,53,0),INDEX(VALUES!$B$1:$CC$1,1,$AA624)))</f>
        <v/>
      </c>
    </row>
    <row r="625" spans="1:29" collapsed="1" x14ac:dyDescent="0.3">
      <c r="A625" s="22"/>
      <c r="B625" s="41" t="str">
        <f t="shared" si="46"/>
        <v/>
      </c>
      <c r="C625" s="42">
        <f t="shared" si="47"/>
        <v>624</v>
      </c>
      <c r="D625" s="38"/>
      <c r="E625" s="38"/>
      <c r="F625" s="38"/>
      <c r="G625" s="38"/>
      <c r="H625" s="38"/>
      <c r="I625" s="38"/>
      <c r="J625" s="38"/>
      <c r="R625" s="38"/>
      <c r="S625" s="38"/>
      <c r="T625" s="38"/>
      <c r="Z625" s="59" t="str">
        <f>IF(OR($M625="",NOT($O625="{array}")),"",IFERROR(MATCH(PARAMETERS!$M625,DEFAULT!$B$5:$CG$5,0),""))</f>
        <v/>
      </c>
      <c r="AA625" s="56" t="str">
        <f t="shared" si="45"/>
        <v/>
      </c>
      <c r="AB625" s="63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7" t="str">
        <f>IF($AA625="","",IF($B625="I",VLOOKUP($AA625,#REF!,53,0),INDEX(VALUES!$B$1:$CC$1,1,$AA625)))</f>
        <v/>
      </c>
    </row>
    <row r="626" spans="1:29" x14ac:dyDescent="0.3">
      <c r="A626" s="22"/>
      <c r="B626" s="41" t="str">
        <f t="shared" si="46"/>
        <v/>
      </c>
      <c r="C626" s="42">
        <f t="shared" si="47"/>
        <v>625</v>
      </c>
      <c r="D626" s="38"/>
      <c r="E626" s="38"/>
      <c r="F626" s="38"/>
      <c r="G626" s="38"/>
      <c r="H626" s="38"/>
      <c r="I626" s="38"/>
      <c r="J626" s="38"/>
      <c r="R626" s="38"/>
      <c r="S626" s="38"/>
      <c r="T626" s="38"/>
      <c r="Z626" s="59" t="str">
        <f>IF(OR($M626="",NOT($O626="{array}")),"",IFERROR(MATCH(PARAMETERS!$M626,DEFAULT!$B$5:$CG$5,0),""))</f>
        <v/>
      </c>
      <c r="AA626" s="56" t="str">
        <f t="shared" si="45"/>
        <v/>
      </c>
      <c r="AB626" s="63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7" t="str">
        <f>IF($AA626="","",IF($B626="I",VLOOKUP($AA626,#REF!,53,0),INDEX(VALUES!$B$1:$CC$1,1,$AA626)))</f>
        <v/>
      </c>
    </row>
    <row r="627" spans="1:29" x14ac:dyDescent="0.3">
      <c r="A627" s="22"/>
      <c r="B627" s="41" t="str">
        <f t="shared" si="46"/>
        <v/>
      </c>
      <c r="C627" s="42">
        <f t="shared" si="47"/>
        <v>626</v>
      </c>
      <c r="D627" s="38"/>
      <c r="E627" s="38"/>
      <c r="F627" s="38"/>
      <c r="G627" s="38"/>
      <c r="H627" s="38"/>
      <c r="I627" s="38"/>
      <c r="J627" s="38"/>
      <c r="R627" s="38"/>
      <c r="S627" s="38"/>
      <c r="T627" s="38"/>
      <c r="Z627" s="59" t="str">
        <f>IF(OR($M627="",NOT($O627="{array}")),"",IFERROR(MATCH(PARAMETERS!$M627,DEFAULT!$B$5:$CG$5,0),""))</f>
        <v/>
      </c>
      <c r="AA627" s="56" t="str">
        <f t="shared" si="45"/>
        <v/>
      </c>
      <c r="AB627" s="63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7" t="str">
        <f>IF($AA627="","",IF($B627="I",VLOOKUP($AA627,#REF!,53,0),INDEX(VALUES!$B$1:$CC$1,1,$AA627)))</f>
        <v/>
      </c>
    </row>
    <row r="628" spans="1:29" x14ac:dyDescent="0.3">
      <c r="A628" s="22"/>
      <c r="B628" s="41" t="str">
        <f t="shared" si="46"/>
        <v/>
      </c>
      <c r="C628" s="42">
        <f t="shared" si="47"/>
        <v>627</v>
      </c>
      <c r="D628" s="38"/>
      <c r="E628" s="38"/>
      <c r="F628" s="38"/>
      <c r="G628" s="38"/>
      <c r="H628" s="38"/>
      <c r="I628" s="38"/>
      <c r="J628" s="38"/>
      <c r="R628" s="38"/>
      <c r="S628" s="38"/>
      <c r="T628" s="38"/>
      <c r="Z628" s="59" t="str">
        <f>IF(OR($M628="",NOT($O628="{array}")),"",IFERROR(MATCH(PARAMETERS!$M628,DEFAULT!$B$5:$CG$5,0),""))</f>
        <v/>
      </c>
      <c r="AA628" s="56" t="str">
        <f t="shared" si="45"/>
        <v/>
      </c>
      <c r="AB628" s="63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7" t="str">
        <f>IF($AA628="","",IF($B628="I",VLOOKUP($AA628,#REF!,53,0),INDEX(VALUES!$B$1:$CC$1,1,$AA628)))</f>
        <v/>
      </c>
    </row>
    <row r="629" spans="1:29" x14ac:dyDescent="0.3">
      <c r="A629" s="22"/>
      <c r="B629" s="41" t="str">
        <f t="shared" si="46"/>
        <v/>
      </c>
      <c r="C629" s="42">
        <f t="shared" si="47"/>
        <v>628</v>
      </c>
      <c r="D629" s="38"/>
      <c r="E629" s="38"/>
      <c r="F629" s="38"/>
      <c r="G629" s="38"/>
      <c r="H629" s="38"/>
      <c r="I629" s="38"/>
      <c r="J629" s="38"/>
      <c r="R629" s="38"/>
      <c r="S629" s="38"/>
      <c r="T629" s="38"/>
      <c r="Z629" s="59" t="str">
        <f>IF(OR($M629="",NOT($O629="{array}")),"",IFERROR(MATCH(PARAMETERS!$M629,DEFAULT!$B$5:$CG$5,0),""))</f>
        <v/>
      </c>
      <c r="AA629" s="56" t="str">
        <f t="shared" si="45"/>
        <v/>
      </c>
      <c r="AB629" s="63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7" t="str">
        <f>IF($AA629="","",IF($B629="I",VLOOKUP($AA629,#REF!,53,0),INDEX(VALUES!$B$1:$CC$1,1,$AA629)))</f>
        <v/>
      </c>
    </row>
    <row r="630" spans="1:29" ht="18" thickBot="1" x14ac:dyDescent="0.35">
      <c r="A630" s="22"/>
      <c r="B630" s="41" t="str">
        <f t="shared" si="46"/>
        <v/>
      </c>
      <c r="C630" s="42">
        <f t="shared" si="47"/>
        <v>629</v>
      </c>
      <c r="D630" s="38"/>
      <c r="E630" s="38"/>
      <c r="F630" s="38"/>
      <c r="G630" s="38"/>
      <c r="H630" s="38"/>
      <c r="I630" s="38"/>
      <c r="J630" s="38"/>
      <c r="R630" s="38"/>
      <c r="S630" s="38"/>
      <c r="T630" s="38"/>
      <c r="Z630" s="59" t="str">
        <f>IF(OR($M630="",NOT($O630="{array}")),"",IFERROR(MATCH(PARAMETERS!$M630,DEFAULT!$B$5:$CG$5,0),""))</f>
        <v/>
      </c>
      <c r="AA630" s="56" t="str">
        <f t="shared" si="45"/>
        <v/>
      </c>
      <c r="AB630" s="63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7" t="str">
        <f>IF($AA630="","",IF($B630="I",VLOOKUP($AA630,#REF!,53,0),INDEX(VALUES!$B$1:$CC$1,1,$AA630)))</f>
        <v/>
      </c>
    </row>
    <row r="631" spans="1:29" s="25" customFormat="1" ht="18" thickTop="1" x14ac:dyDescent="0.3">
      <c r="A631" s="35"/>
      <c r="B631" s="25" t="str">
        <f>IF($A631="","",IF($A631="G",IF(NOT($Z631=""),"A",IF(NOT($AA631=""),"V","")),IF($A631="P",IF(NOT($Z631=""),"A",IF(NOT($AA631=""),"I","")))))</f>
        <v/>
      </c>
      <c r="D631" s="44"/>
      <c r="E631" s="44"/>
      <c r="F631" s="44"/>
      <c r="G631" s="44"/>
      <c r="H631" s="44"/>
      <c r="I631" s="44"/>
      <c r="J631" s="44"/>
      <c r="M631" s="47"/>
      <c r="O631" s="45"/>
      <c r="Q631" s="52"/>
      <c r="R631" s="44"/>
      <c r="S631" s="44"/>
      <c r="T631" s="44"/>
      <c r="X631" s="46"/>
      <c r="Z631" s="60"/>
      <c r="AA631" s="61"/>
      <c r="AB631" s="64"/>
    </row>
    <row r="632" spans="1:29" x14ac:dyDescent="0.3">
      <c r="M632" s="20" t="s">
        <v>1316</v>
      </c>
      <c r="N632" s="20" t="s">
        <v>1310</v>
      </c>
    </row>
    <row r="633" spans="1:29" x14ac:dyDescent="0.3">
      <c r="N633" s="210" t="s">
        <v>1311</v>
      </c>
    </row>
    <row r="634" spans="1:29" x14ac:dyDescent="0.3">
      <c r="N634" s="203" t="s">
        <v>1312</v>
      </c>
    </row>
    <row r="635" spans="1:29" x14ac:dyDescent="0.3">
      <c r="M635" s="20" t="s">
        <v>1315</v>
      </c>
      <c r="N635" s="151" t="s">
        <v>1313</v>
      </c>
    </row>
    <row r="636" spans="1:29" x14ac:dyDescent="0.3">
      <c r="N636" s="211" t="s">
        <v>1314</v>
      </c>
    </row>
  </sheetData>
  <phoneticPr fontId="7" type="noConversion"/>
  <conditionalFormatting sqref="A2:A630">
    <cfRule type="cellIs" dxfId="1" priority="67" stopIfTrue="1" operator="equal">
      <formula>"G"</formula>
    </cfRule>
    <cfRule type="cellIs" dxfId="0" priority="68" stopIfTrue="1" operator="equal">
      <formula>"P"</formula>
    </cfRule>
  </conditionalFormatting>
  <dataValidations count="8">
    <dataValidation type="list" allowBlank="1" showInputMessage="1" showErrorMessage="1" sqref="D2:J630 Q70:Q630 Q2:Q68">
      <formula1>"x"</formula1>
    </dataValidation>
    <dataValidation type="list" allowBlank="1" showInputMessage="1" showErrorMessage="1" sqref="R2:R630">
      <formula1>Stakeholder</formula1>
    </dataValidation>
    <dataValidation type="list" allowBlank="1" showInputMessage="1" sqref="S2:T630">
      <formula1>read_write</formula1>
    </dataValidation>
    <dataValidation type="list" allowBlank="1" showInputMessage="1" showErrorMessage="1" sqref="K2:K630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630">
      <formula1>"info,model,logic,internal"</formula1>
    </dataValidation>
    <dataValidation type="list" allowBlank="1" showInputMessage="1" sqref="O2:O630">
      <formula1>"empty,{array}"</formula1>
    </dataValidation>
    <dataValidation type="custom" allowBlank="1" showInputMessage="1" showErrorMessage="1" sqref="C2:C630">
      <formula1>"x"</formula1>
    </dataValidation>
    <dataValidation type="list" allowBlank="1" showInputMessage="1" sqref="A2:A630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H157"/>
  <sheetViews>
    <sheetView zoomScaleNormal="100" workbookViewId="0">
      <pane ySplit="1452" activePane="bottomLeft"/>
      <selection activeCell="R1" sqref="R1:S1048576"/>
      <selection pane="bottomLeft" activeCell="BX6" sqref="BX6:CE20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9" width="7" style="17" bestFit="1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71" width="7.88671875" style="17" customWidth="1"/>
    <col min="72" max="72" width="17.6640625" style="17" customWidth="1"/>
    <col min="73" max="73" width="14.10937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3" width="21.5546875" style="17" customWidth="1"/>
    <col min="84" max="84" width="15.5546875" style="17" customWidth="1"/>
    <col min="85" max="85" width="25.6640625" style="17" customWidth="1"/>
    <col min="86" max="86" width="36" style="29" customWidth="1"/>
    <col min="87" max="16384" width="11.44140625" style="14"/>
  </cols>
  <sheetData>
    <row r="1" spans="1:86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253" t="s">
        <v>88</v>
      </c>
    </row>
    <row r="2" spans="1:86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G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si="2"/>
        <v>-</v>
      </c>
      <c r="CF2" s="34" t="str">
        <f t="shared" si="2"/>
        <v>-</v>
      </c>
      <c r="CG2" s="34" t="str">
        <f t="shared" si="2"/>
        <v>-</v>
      </c>
      <c r="CH2" s="253"/>
    </row>
    <row r="3" spans="1:86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 t="shared" si="3"/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G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 t="shared" si="5"/>
        <v>-</v>
      </c>
      <c r="CF3" s="50" t="str">
        <f t="shared" si="5"/>
        <v>-</v>
      </c>
      <c r="CG3" s="50" t="str">
        <f t="shared" si="5"/>
        <v>-</v>
      </c>
      <c r="CH3" s="253"/>
    </row>
    <row r="4" spans="1:86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81CC0224-5585-1532-</v>
      </c>
      <c r="G4" s="51" t="str">
        <f t="shared" si="6"/>
        <v/>
      </c>
      <c r="H4" s="51" t="str">
        <f t="shared" si="6"/>
        <v/>
      </c>
      <c r="I4" s="51" t="str">
        <f t="shared" si="6"/>
        <v>90A8CA24-5905-1442-</v>
      </c>
      <c r="J4" s="51" t="str">
        <f t="shared" si="6"/>
        <v/>
      </c>
      <c r="K4" s="51" t="str">
        <f t="shared" si="6"/>
        <v/>
      </c>
      <c r="L4" s="51" t="str">
        <f t="shared" si="6"/>
        <v>8A28CA24-5822-1288-</v>
      </c>
      <c r="M4" s="51" t="str">
        <f t="shared" si="6"/>
        <v/>
      </c>
      <c r="N4" s="51" t="str">
        <f t="shared" si="6"/>
        <v>8A28CA24-5822-1238-</v>
      </c>
      <c r="O4" s="51" t="str">
        <f t="shared" si="6"/>
        <v/>
      </c>
      <c r="P4" s="51" t="str">
        <f t="shared" si="6"/>
        <v>81A8CA24-3946-1028-</v>
      </c>
      <c r="Q4" s="51" t="str">
        <f t="shared" si="6"/>
        <v/>
      </c>
      <c r="R4" s="51" t="str">
        <f t="shared" si="6"/>
        <v>81A8CA24-4880-1272-</v>
      </c>
      <c r="S4" s="51" t="str">
        <f t="shared" si="6"/>
        <v/>
      </c>
      <c r="T4" s="51" t="str">
        <f t="shared" si="6"/>
        <v>8AA8CA24-5926-1008-</v>
      </c>
      <c r="U4" s="51" t="str">
        <f t="shared" si="6"/>
        <v>8AA8CA24-5926-1247-</v>
      </c>
      <c r="V4" s="51" t="str">
        <f t="shared" si="6"/>
        <v>8AA8CA24-5926-1473-</v>
      </c>
      <c r="W4" s="51" t="str">
        <f t="shared" si="6"/>
        <v>8AA8CA24-5926-1473-</v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/>
      </c>
      <c r="BD4" s="51" t="str">
        <f t="shared" si="7"/>
        <v/>
      </c>
      <c r="BE4" s="51" t="str">
        <f t="shared" si="7"/>
        <v/>
      </c>
      <c r="BF4" s="51" t="str">
        <f t="shared" si="7"/>
        <v/>
      </c>
      <c r="BG4" s="51" t="str">
        <f t="shared" si="7"/>
        <v/>
      </c>
      <c r="BH4" s="51" t="str">
        <f t="shared" si="7"/>
        <v/>
      </c>
      <c r="BI4" s="51" t="str">
        <f t="shared" si="7"/>
        <v/>
      </c>
      <c r="BJ4" s="51" t="str">
        <f t="shared" si="7"/>
        <v/>
      </c>
      <c r="BK4" s="51" t="str">
        <f t="shared" si="7"/>
        <v/>
      </c>
      <c r="BL4" s="51" t="str">
        <f t="shared" si="7"/>
        <v/>
      </c>
      <c r="BM4" s="51" t="str">
        <f t="shared" si="7"/>
        <v/>
      </c>
      <c r="BN4" s="51" t="str">
        <f t="shared" si="7"/>
        <v/>
      </c>
      <c r="BO4" s="51" t="str">
        <f t="shared" si="7"/>
        <v/>
      </c>
      <c r="BP4" s="51" t="str">
        <f t="shared" si="7"/>
        <v/>
      </c>
      <c r="BQ4" s="51" t="str">
        <f t="shared" si="7"/>
        <v/>
      </c>
      <c r="BR4" s="51" t="str">
        <f t="shared" ref="BR4:CG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/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8D223E24-3946-1028-</v>
      </c>
      <c r="CG4" s="51" t="str">
        <f t="shared" si="8"/>
        <v/>
      </c>
      <c r="CH4" s="96"/>
    </row>
    <row r="5" spans="1:86" ht="22.5" customHeight="1" thickTop="1" x14ac:dyDescent="0.3">
      <c r="A5" s="28" t="s">
        <v>87</v>
      </c>
      <c r="B5" s="95" t="s">
        <v>1309</v>
      </c>
      <c r="C5" s="95"/>
      <c r="D5" s="95"/>
      <c r="E5" s="95"/>
      <c r="F5" s="95" t="s">
        <v>611</v>
      </c>
      <c r="G5" s="95"/>
      <c r="H5" s="95" t="s">
        <v>1322</v>
      </c>
      <c r="I5" s="95" t="s">
        <v>1435</v>
      </c>
      <c r="J5" s="95"/>
      <c r="K5" s="95" t="s">
        <v>1322</v>
      </c>
      <c r="L5" s="95" t="s">
        <v>1345</v>
      </c>
      <c r="M5" s="95"/>
      <c r="N5" s="95" t="s">
        <v>1458</v>
      </c>
      <c r="O5" s="95"/>
      <c r="P5" s="95" t="s">
        <v>1347</v>
      </c>
      <c r="Q5" s="95"/>
      <c r="R5" s="95" t="s">
        <v>1460</v>
      </c>
      <c r="S5" s="95"/>
      <c r="T5" s="95" t="s">
        <v>1350</v>
      </c>
      <c r="U5" s="95" t="s">
        <v>1452</v>
      </c>
      <c r="V5" s="95" t="s">
        <v>1371</v>
      </c>
      <c r="W5" s="95" t="s">
        <v>1453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1540</v>
      </c>
      <c r="BV5" s="217" t="s">
        <v>1322</v>
      </c>
      <c r="BW5" s="95" t="s">
        <v>1009</v>
      </c>
      <c r="BX5" s="217" t="s">
        <v>199</v>
      </c>
      <c r="BY5" s="217" t="s">
        <v>1322</v>
      </c>
      <c r="BZ5" s="217" t="s">
        <v>201</v>
      </c>
      <c r="CA5" s="217" t="s">
        <v>1322</v>
      </c>
      <c r="CB5" s="217" t="s">
        <v>203</v>
      </c>
      <c r="CC5" s="217" t="s">
        <v>1322</v>
      </c>
      <c r="CD5" s="217" t="s">
        <v>194</v>
      </c>
      <c r="CE5" s="217" t="s">
        <v>1322</v>
      </c>
      <c r="CF5" s="217" t="s">
        <v>207</v>
      </c>
      <c r="CG5" s="217" t="s">
        <v>1322</v>
      </c>
      <c r="CH5" s="96" t="s">
        <v>148</v>
      </c>
    </row>
    <row r="6" spans="1:86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5.0000000000000001E-3</v>
      </c>
      <c r="G6" s="17">
        <v>7.4999999999999997E-3</v>
      </c>
      <c r="H6" s="212" t="s">
        <v>1417</v>
      </c>
      <c r="I6" s="17">
        <v>2.1000000000000001E-2</v>
      </c>
      <c r="J6" s="17">
        <v>0.03</v>
      </c>
      <c r="K6" s="212" t="s">
        <v>1436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 t="s">
        <v>1447</v>
      </c>
      <c r="U6" s="17" t="s">
        <v>1447</v>
      </c>
      <c r="V6" s="17">
        <v>8.0000000000000002E-3</v>
      </c>
      <c r="W6" s="17">
        <v>8.0000000000000002E-3</v>
      </c>
      <c r="AD6" s="212"/>
      <c r="AF6" s="212"/>
      <c r="AH6" s="212"/>
      <c r="AJ6" s="212"/>
      <c r="AL6" s="212"/>
      <c r="BU6" s="17">
        <v>0</v>
      </c>
      <c r="BV6" s="17" t="s">
        <v>1542</v>
      </c>
      <c r="BW6" s="17">
        <v>-9999</v>
      </c>
      <c r="BX6" s="218">
        <v>96</v>
      </c>
      <c r="BY6" s="219" t="s">
        <v>1324</v>
      </c>
      <c r="BZ6" s="218">
        <v>104</v>
      </c>
      <c r="CA6" s="219" t="s">
        <v>1325</v>
      </c>
      <c r="CB6" s="218">
        <v>91</v>
      </c>
      <c r="CC6" s="219" t="s">
        <v>1326</v>
      </c>
      <c r="CD6" s="218">
        <v>64</v>
      </c>
      <c r="CE6" s="219" t="s">
        <v>1327</v>
      </c>
      <c r="CF6" s="218">
        <v>40</v>
      </c>
      <c r="CG6" s="219" t="s">
        <v>1328</v>
      </c>
      <c r="CH6" s="96" t="s">
        <v>89</v>
      </c>
    </row>
    <row r="7" spans="1:86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5.0000000000000001E-3</v>
      </c>
      <c r="G7" s="17">
        <v>7.4999999999999997E-3</v>
      </c>
      <c r="H7" s="212" t="s">
        <v>1418</v>
      </c>
      <c r="I7" s="17">
        <v>4.2000000000000003E-2</v>
      </c>
      <c r="J7" s="17">
        <v>1.4999999999999999E-2</v>
      </c>
      <c r="K7" s="212" t="s">
        <v>1437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 t="s">
        <v>1449</v>
      </c>
      <c r="U7" s="17" t="s">
        <v>1449</v>
      </c>
      <c r="V7" s="17">
        <v>1.4999999999999999E-2</v>
      </c>
      <c r="W7" s="17">
        <v>1.4999999999999999E-2</v>
      </c>
      <c r="AD7" s="212"/>
      <c r="AF7" s="212"/>
      <c r="AH7" s="212"/>
      <c r="AJ7" s="212"/>
      <c r="AL7" s="212"/>
      <c r="BU7" s="17">
        <v>0</v>
      </c>
      <c r="BV7" s="17" t="s">
        <v>1543</v>
      </c>
      <c r="BW7" s="17">
        <v>0</v>
      </c>
      <c r="BX7" s="218">
        <v>2</v>
      </c>
      <c r="BY7" s="219" t="s">
        <v>1374</v>
      </c>
      <c r="BZ7" s="218">
        <v>62</v>
      </c>
      <c r="CA7" s="219" t="s">
        <v>1329</v>
      </c>
      <c r="CB7" s="218">
        <v>82</v>
      </c>
      <c r="CC7" s="219" t="s">
        <v>1330</v>
      </c>
      <c r="CD7" s="218">
        <v>77</v>
      </c>
      <c r="CE7" s="219" t="s">
        <v>1331</v>
      </c>
      <c r="CF7" s="218">
        <v>40</v>
      </c>
      <c r="CG7" s="219" t="s">
        <v>1323</v>
      </c>
    </row>
    <row r="8" spans="1:86" ht="22.5" customHeight="1" x14ac:dyDescent="0.3">
      <c r="B8" s="17">
        <v>3</v>
      </c>
      <c r="C8" s="17">
        <v>3</v>
      </c>
      <c r="D8" s="17">
        <v>3</v>
      </c>
      <c r="E8" s="17">
        <v>3</v>
      </c>
      <c r="I8" s="17">
        <v>7.4999999999999997E-2</v>
      </c>
      <c r="J8" s="17">
        <v>1.4999999999999999E-2</v>
      </c>
      <c r="K8" s="212" t="s">
        <v>1438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1449</v>
      </c>
      <c r="U8" s="17" t="s">
        <v>1449</v>
      </c>
      <c r="V8" s="17">
        <v>1.4999999999999999E-2</v>
      </c>
      <c r="W8" s="17">
        <v>1.4999999999999999E-2</v>
      </c>
      <c r="AD8" s="212"/>
      <c r="AF8" s="212"/>
      <c r="AH8" s="212"/>
      <c r="AJ8" s="212"/>
      <c r="AL8" s="212"/>
      <c r="BU8" s="17">
        <v>0</v>
      </c>
      <c r="BV8" s="17" t="s">
        <v>1544</v>
      </c>
      <c r="BW8" s="17">
        <v>-9999</v>
      </c>
      <c r="BX8" s="218">
        <v>3</v>
      </c>
      <c r="BY8" s="219" t="s">
        <v>1375</v>
      </c>
      <c r="BZ8" s="218">
        <v>70</v>
      </c>
      <c r="CA8" s="219" t="s">
        <v>1376</v>
      </c>
      <c r="CB8" s="218">
        <v>0</v>
      </c>
      <c r="CC8" s="219" t="s">
        <v>1377</v>
      </c>
      <c r="CD8" s="218">
        <v>64</v>
      </c>
      <c r="CE8" s="219" t="s">
        <v>1378</v>
      </c>
      <c r="CF8" s="218">
        <v>57</v>
      </c>
      <c r="CG8" s="219" t="s">
        <v>1379</v>
      </c>
    </row>
    <row r="9" spans="1:86" ht="22.5" customHeight="1" x14ac:dyDescent="0.3">
      <c r="B9" s="17">
        <v>4</v>
      </c>
      <c r="C9" s="17">
        <v>4</v>
      </c>
      <c r="D9" s="17">
        <v>4</v>
      </c>
      <c r="E9" s="17">
        <v>4</v>
      </c>
      <c r="AD9" s="212"/>
      <c r="AF9" s="212"/>
      <c r="AH9" s="212"/>
      <c r="AJ9" s="212"/>
      <c r="AL9" s="212"/>
      <c r="BU9" s="17">
        <v>0</v>
      </c>
      <c r="BV9" s="17" t="s">
        <v>1545</v>
      </c>
      <c r="BW9" s="17">
        <v>0</v>
      </c>
      <c r="BX9" s="218">
        <v>96</v>
      </c>
      <c r="BY9" s="219" t="s">
        <v>1380</v>
      </c>
      <c r="BZ9" s="218">
        <v>70</v>
      </c>
      <c r="CA9" s="219" t="s">
        <v>1381</v>
      </c>
      <c r="CB9" s="218">
        <v>0</v>
      </c>
      <c r="CC9" s="219" t="s">
        <v>1382</v>
      </c>
      <c r="CD9" s="218">
        <v>64</v>
      </c>
      <c r="CE9" s="219" t="s">
        <v>1383</v>
      </c>
      <c r="CF9" s="218">
        <v>57</v>
      </c>
      <c r="CG9" s="219" t="s">
        <v>1384</v>
      </c>
    </row>
    <row r="10" spans="1:86" ht="22.5" customHeight="1" x14ac:dyDescent="0.3">
      <c r="B10" s="17">
        <v>5</v>
      </c>
      <c r="C10" s="17">
        <v>5</v>
      </c>
      <c r="D10" s="17">
        <v>5</v>
      </c>
      <c r="E10" s="17">
        <v>5</v>
      </c>
      <c r="AD10" s="212"/>
      <c r="AF10" s="212"/>
      <c r="AH10" s="212"/>
      <c r="AJ10" s="212"/>
      <c r="AL10" s="212"/>
      <c r="BU10" s="17">
        <v>90</v>
      </c>
      <c r="BV10" s="17" t="s">
        <v>1546</v>
      </c>
      <c r="BX10" s="218">
        <v>3</v>
      </c>
      <c r="BY10" s="219" t="s">
        <v>1385</v>
      </c>
      <c r="BZ10" s="218">
        <v>62</v>
      </c>
      <c r="CA10" s="219" t="s">
        <v>1386</v>
      </c>
      <c r="CB10" s="218">
        <v>82</v>
      </c>
      <c r="CC10" s="219" t="s">
        <v>1387</v>
      </c>
      <c r="CD10" s="218">
        <v>71</v>
      </c>
      <c r="CE10" s="219" t="s">
        <v>1388</v>
      </c>
      <c r="CF10" s="218">
        <v>24</v>
      </c>
      <c r="CG10" s="219" t="s">
        <v>1389</v>
      </c>
    </row>
    <row r="11" spans="1:86" ht="22.5" customHeight="1" x14ac:dyDescent="0.3">
      <c r="B11" s="17">
        <v>6</v>
      </c>
      <c r="C11" s="17">
        <v>6</v>
      </c>
      <c r="D11" s="17">
        <v>6</v>
      </c>
      <c r="E11" s="17">
        <v>6</v>
      </c>
      <c r="AD11" s="212"/>
      <c r="AF11" s="212"/>
      <c r="AH11" s="212"/>
      <c r="AJ11" s="212"/>
      <c r="BU11" s="17">
        <v>0</v>
      </c>
      <c r="BV11" s="17" t="s">
        <v>1547</v>
      </c>
      <c r="BX11" s="218">
        <v>100</v>
      </c>
      <c r="BY11" s="219" t="s">
        <v>1390</v>
      </c>
      <c r="BZ11" s="218">
        <v>70</v>
      </c>
      <c r="CA11" s="219" t="s">
        <v>1391</v>
      </c>
      <c r="CB11" s="218">
        <v>0</v>
      </c>
      <c r="CC11" s="219" t="s">
        <v>1392</v>
      </c>
      <c r="CD11" s="218">
        <v>64</v>
      </c>
      <c r="CE11" s="219" t="s">
        <v>1393</v>
      </c>
      <c r="CF11" s="218">
        <v>24</v>
      </c>
      <c r="CG11" s="219" t="s">
        <v>1394</v>
      </c>
    </row>
    <row r="12" spans="1:86" ht="22.5" customHeight="1" x14ac:dyDescent="0.3">
      <c r="B12" s="17">
        <v>7</v>
      </c>
      <c r="C12" s="17">
        <v>7</v>
      </c>
      <c r="D12" s="17">
        <v>7</v>
      </c>
      <c r="E12" s="17">
        <v>7</v>
      </c>
      <c r="AD12" s="212"/>
      <c r="AF12" s="212"/>
      <c r="AH12" s="212"/>
      <c r="AJ12" s="212"/>
      <c r="BX12" s="218">
        <v>96</v>
      </c>
      <c r="BY12" s="219" t="s">
        <v>1537</v>
      </c>
      <c r="BZ12" s="218">
        <v>62</v>
      </c>
      <c r="CA12" s="219" t="s">
        <v>1395</v>
      </c>
      <c r="CB12" s="218">
        <v>82</v>
      </c>
      <c r="CC12" s="219" t="s">
        <v>1396</v>
      </c>
      <c r="CD12" s="218">
        <v>71</v>
      </c>
      <c r="CE12" s="219" t="s">
        <v>1397</v>
      </c>
      <c r="CF12" s="218">
        <v>24</v>
      </c>
      <c r="CG12" s="219" t="s">
        <v>1398</v>
      </c>
    </row>
    <row r="13" spans="1:86" ht="22.5" customHeight="1" x14ac:dyDescent="0.3">
      <c r="AD13" s="212"/>
      <c r="AF13" s="212"/>
      <c r="AH13" s="212"/>
      <c r="AJ13" s="212"/>
      <c r="BX13" s="218">
        <v>96</v>
      </c>
      <c r="BY13" s="219" t="s">
        <v>1539</v>
      </c>
      <c r="BZ13" s="218">
        <v>62</v>
      </c>
      <c r="CA13" s="219" t="s">
        <v>1399</v>
      </c>
      <c r="CB13" s="218">
        <v>82</v>
      </c>
      <c r="CC13" s="219" t="s">
        <v>1400</v>
      </c>
      <c r="CD13" s="218">
        <v>71</v>
      </c>
      <c r="CE13" s="219" t="s">
        <v>1401</v>
      </c>
      <c r="CF13" s="218">
        <v>24</v>
      </c>
      <c r="CG13" s="219" t="s">
        <v>1402</v>
      </c>
    </row>
    <row r="14" spans="1:86" ht="22.5" customHeight="1" x14ac:dyDescent="0.3">
      <c r="AD14" s="212"/>
      <c r="AF14" s="212"/>
      <c r="AH14" s="212"/>
      <c r="AJ14" s="212"/>
      <c r="BX14" s="218">
        <v>96</v>
      </c>
      <c r="BY14" s="219" t="s">
        <v>1538</v>
      </c>
      <c r="BZ14" s="218">
        <v>70</v>
      </c>
      <c r="CA14" s="219" t="s">
        <v>1474</v>
      </c>
      <c r="CB14" s="218">
        <v>91</v>
      </c>
      <c r="CC14" s="219" t="s">
        <v>1477</v>
      </c>
      <c r="CD14" s="218">
        <v>64</v>
      </c>
      <c r="CE14" s="219" t="s">
        <v>1482</v>
      </c>
      <c r="CF14" s="218">
        <v>24</v>
      </c>
      <c r="CG14" s="219" t="s">
        <v>1403</v>
      </c>
    </row>
    <row r="15" spans="1:86" ht="22.5" customHeight="1" x14ac:dyDescent="0.3">
      <c r="AD15" s="212"/>
      <c r="AF15" s="212"/>
      <c r="AH15" s="212"/>
      <c r="AJ15" s="212"/>
      <c r="BX15" s="218">
        <v>2</v>
      </c>
      <c r="BY15" s="219" t="s">
        <v>1589</v>
      </c>
      <c r="BZ15" s="218">
        <v>62</v>
      </c>
      <c r="CA15" s="219" t="s">
        <v>1475</v>
      </c>
      <c r="CB15" s="218">
        <v>82</v>
      </c>
      <c r="CC15" s="219" t="s">
        <v>1478</v>
      </c>
      <c r="CD15" s="218">
        <v>71</v>
      </c>
      <c r="CE15" s="219" t="s">
        <v>1481</v>
      </c>
      <c r="CF15" s="218">
        <v>24</v>
      </c>
      <c r="CG15" s="219" t="s">
        <v>1404</v>
      </c>
    </row>
    <row r="16" spans="1:86" ht="22.5" customHeight="1" x14ac:dyDescent="0.3">
      <c r="AD16" s="212"/>
      <c r="AF16" s="212"/>
      <c r="AH16" s="212"/>
      <c r="AJ16" s="212"/>
      <c r="BX16" s="218">
        <v>1</v>
      </c>
      <c r="BY16" s="219" t="s">
        <v>1695</v>
      </c>
      <c r="BZ16" s="218">
        <v>62</v>
      </c>
      <c r="CA16" s="219" t="s">
        <v>1476</v>
      </c>
      <c r="CB16" s="218">
        <v>82</v>
      </c>
      <c r="CC16" s="219" t="s">
        <v>1479</v>
      </c>
      <c r="CD16" s="218">
        <v>71</v>
      </c>
      <c r="CE16" s="219" t="s">
        <v>1480</v>
      </c>
      <c r="CF16" s="218">
        <v>57</v>
      </c>
      <c r="CG16" s="219" t="s">
        <v>1405</v>
      </c>
    </row>
    <row r="17" spans="30:85" ht="22.5" customHeight="1" x14ac:dyDescent="0.3">
      <c r="AD17" s="212"/>
      <c r="AF17" s="212"/>
      <c r="AH17" s="212"/>
      <c r="AJ17" s="212"/>
      <c r="BX17" s="218">
        <v>2</v>
      </c>
      <c r="BY17" s="219" t="s">
        <v>1696</v>
      </c>
      <c r="BZ17" s="218">
        <v>102</v>
      </c>
      <c r="CA17" s="219" t="s">
        <v>1590</v>
      </c>
      <c r="CB17" s="218">
        <v>102</v>
      </c>
      <c r="CC17" s="219" t="s">
        <v>1591</v>
      </c>
      <c r="CD17" s="218">
        <v>65</v>
      </c>
      <c r="CE17" s="219" t="s">
        <v>1592</v>
      </c>
      <c r="CF17" s="218">
        <v>57</v>
      </c>
      <c r="CG17" s="219" t="s">
        <v>1406</v>
      </c>
    </row>
    <row r="18" spans="30:85" ht="22.5" customHeight="1" x14ac:dyDescent="0.3">
      <c r="AD18" s="212"/>
      <c r="AF18" s="212"/>
      <c r="AH18" s="212"/>
      <c r="AJ18" s="212"/>
      <c r="BX18" s="218">
        <v>2</v>
      </c>
      <c r="BY18" s="219" t="s">
        <v>1697</v>
      </c>
      <c r="BZ18" s="218">
        <v>70</v>
      </c>
      <c r="CA18" s="219" t="s">
        <v>1698</v>
      </c>
      <c r="CB18" s="218">
        <v>0</v>
      </c>
      <c r="CC18" s="219" t="s">
        <v>1699</v>
      </c>
      <c r="CD18" s="218">
        <v>64</v>
      </c>
      <c r="CE18" s="219" t="s">
        <v>1700</v>
      </c>
      <c r="CF18" s="218">
        <v>24</v>
      </c>
      <c r="CG18" s="219" t="s">
        <v>1407</v>
      </c>
    </row>
    <row r="19" spans="30:85" ht="22.5" customHeight="1" x14ac:dyDescent="0.3">
      <c r="AD19" s="212"/>
      <c r="AF19" s="212"/>
      <c r="AH19" s="212"/>
      <c r="AJ19" s="212"/>
      <c r="BX19" s="218">
        <v>1</v>
      </c>
      <c r="BY19" s="219" t="s">
        <v>1701</v>
      </c>
      <c r="BZ19" s="218">
        <v>96</v>
      </c>
      <c r="CA19" s="219" t="s">
        <v>1702</v>
      </c>
      <c r="CB19" s="218">
        <v>92</v>
      </c>
      <c r="CC19" s="219" t="s">
        <v>1703</v>
      </c>
      <c r="CD19" s="218">
        <v>64</v>
      </c>
      <c r="CE19" s="219" t="s">
        <v>1704</v>
      </c>
      <c r="CF19" s="218">
        <v>24</v>
      </c>
      <c r="CG19" s="219" t="s">
        <v>1408</v>
      </c>
    </row>
    <row r="20" spans="30:85" ht="22.5" customHeight="1" x14ac:dyDescent="0.3">
      <c r="AD20" s="212"/>
      <c r="AF20" s="212"/>
      <c r="AH20" s="212"/>
      <c r="AJ20" s="212"/>
      <c r="BX20" s="218">
        <v>1</v>
      </c>
      <c r="BY20" s="219" t="s">
        <v>1705</v>
      </c>
      <c r="BZ20" s="218">
        <v>1</v>
      </c>
      <c r="CA20" s="219" t="s">
        <v>1706</v>
      </c>
      <c r="CB20" s="218">
        <v>91</v>
      </c>
      <c r="CC20" s="219" t="s">
        <v>1707</v>
      </c>
      <c r="CD20" s="218">
        <v>64</v>
      </c>
      <c r="CE20" s="219" t="s">
        <v>1708</v>
      </c>
      <c r="CF20" s="218">
        <v>57</v>
      </c>
      <c r="CG20" s="219" t="s">
        <v>1409</v>
      </c>
    </row>
    <row r="21" spans="30:85" ht="22.5" customHeight="1" x14ac:dyDescent="0.3">
      <c r="BX21" s="218"/>
      <c r="BY21" s="218"/>
      <c r="BZ21" s="218"/>
      <c r="CA21" s="218"/>
      <c r="CB21" s="218"/>
      <c r="CC21" s="218"/>
      <c r="CD21" s="218"/>
      <c r="CE21" s="218"/>
      <c r="CF21" s="218">
        <v>57</v>
      </c>
      <c r="CG21" s="219" t="s">
        <v>1410</v>
      </c>
    </row>
    <row r="22" spans="30:85" ht="22.5" customHeight="1" x14ac:dyDescent="0.3">
      <c r="BX22" s="218"/>
      <c r="BY22" s="218"/>
      <c r="BZ22" s="218"/>
      <c r="CA22" s="218"/>
      <c r="CB22" s="218"/>
      <c r="CC22" s="218"/>
      <c r="CD22" s="218"/>
      <c r="CE22" s="218"/>
      <c r="CF22" s="218">
        <v>57</v>
      </c>
      <c r="CG22" s="219" t="s">
        <v>1411</v>
      </c>
    </row>
    <row r="23" spans="30:85" ht="22.5" customHeight="1" x14ac:dyDescent="0.3">
      <c r="BX23" s="218"/>
      <c r="BY23" s="218"/>
      <c r="BZ23" s="218"/>
      <c r="CA23" s="218"/>
      <c r="CB23" s="218"/>
      <c r="CC23" s="218"/>
      <c r="CD23" s="218"/>
      <c r="CE23" s="218"/>
      <c r="CF23" s="218">
        <v>57</v>
      </c>
      <c r="CG23" s="219" t="s">
        <v>1412</v>
      </c>
    </row>
    <row r="24" spans="30:85" ht="22.5" customHeight="1" x14ac:dyDescent="0.3">
      <c r="CF24" s="218">
        <v>57</v>
      </c>
      <c r="CG24" s="219" t="s">
        <v>1483</v>
      </c>
    </row>
    <row r="25" spans="30:85" ht="22.5" customHeight="1" x14ac:dyDescent="0.3">
      <c r="CF25" s="218">
        <v>57</v>
      </c>
      <c r="CG25" s="219" t="s">
        <v>1484</v>
      </c>
    </row>
    <row r="26" spans="30:85" ht="22.5" customHeight="1" x14ac:dyDescent="0.3">
      <c r="CF26" s="218">
        <v>24</v>
      </c>
      <c r="CG26" s="219" t="s">
        <v>1485</v>
      </c>
    </row>
    <row r="27" spans="30:85" ht="22.5" customHeight="1" x14ac:dyDescent="0.3">
      <c r="CF27" s="218">
        <v>24</v>
      </c>
      <c r="CG27" s="219" t="s">
        <v>1486</v>
      </c>
    </row>
    <row r="28" spans="30:85" ht="22.5" customHeight="1" x14ac:dyDescent="0.3">
      <c r="CF28" s="218">
        <v>57</v>
      </c>
      <c r="CG28" s="219" t="s">
        <v>1487</v>
      </c>
    </row>
    <row r="29" spans="30:85" ht="22.5" customHeight="1" x14ac:dyDescent="0.3">
      <c r="CF29" s="218">
        <v>57</v>
      </c>
      <c r="CG29" s="219" t="s">
        <v>1488</v>
      </c>
    </row>
    <row r="30" spans="30:85" ht="22.5" customHeight="1" x14ac:dyDescent="0.3">
      <c r="CF30" s="218">
        <v>57</v>
      </c>
      <c r="CG30" s="219" t="s">
        <v>1489</v>
      </c>
    </row>
    <row r="31" spans="30:85" ht="22.5" customHeight="1" x14ac:dyDescent="0.3">
      <c r="CF31" s="218">
        <v>57</v>
      </c>
      <c r="CG31" s="219" t="s">
        <v>1490</v>
      </c>
    </row>
    <row r="32" spans="30:85" ht="22.5" customHeight="1" x14ac:dyDescent="0.3">
      <c r="CF32" s="218">
        <v>57</v>
      </c>
      <c r="CG32" s="219" t="s">
        <v>1665</v>
      </c>
    </row>
    <row r="33" spans="84:85" ht="22.5" customHeight="1" x14ac:dyDescent="0.3">
      <c r="CF33" s="218">
        <v>57</v>
      </c>
      <c r="CG33" s="219" t="s">
        <v>1671</v>
      </c>
    </row>
    <row r="34" spans="84:85" ht="22.5" customHeight="1" x14ac:dyDescent="0.3">
      <c r="CF34" s="218">
        <v>40</v>
      </c>
      <c r="CG34" s="219" t="s">
        <v>1603</v>
      </c>
    </row>
    <row r="35" spans="84:85" ht="22.5" customHeight="1" x14ac:dyDescent="0.3">
      <c r="CF35" s="218">
        <v>40</v>
      </c>
      <c r="CG35" s="219" t="s">
        <v>1672</v>
      </c>
    </row>
    <row r="36" spans="84:85" ht="22.5" customHeight="1" x14ac:dyDescent="0.3">
      <c r="CF36" s="218">
        <v>40</v>
      </c>
      <c r="CG36" s="219" t="s">
        <v>1666</v>
      </c>
    </row>
    <row r="37" spans="84:85" ht="22.5" customHeight="1" x14ac:dyDescent="0.3">
      <c r="CF37" s="218">
        <v>40</v>
      </c>
      <c r="CG37" s="219" t="s">
        <v>1667</v>
      </c>
    </row>
    <row r="38" spans="84:85" ht="22.5" customHeight="1" x14ac:dyDescent="0.3">
      <c r="CF38" s="218">
        <v>40</v>
      </c>
      <c r="CG38" s="219" t="s">
        <v>1668</v>
      </c>
    </row>
    <row r="39" spans="84:85" ht="22.5" customHeight="1" x14ac:dyDescent="0.3">
      <c r="CF39" s="218">
        <v>40</v>
      </c>
      <c r="CG39" s="219" t="s">
        <v>1669</v>
      </c>
    </row>
    <row r="40" spans="84:85" ht="22.5" customHeight="1" x14ac:dyDescent="0.3">
      <c r="CF40" s="218">
        <v>40</v>
      </c>
      <c r="CG40" s="219" t="s">
        <v>1670</v>
      </c>
    </row>
    <row r="41" spans="84:85" ht="22.5" customHeight="1" x14ac:dyDescent="0.3"/>
    <row r="42" spans="84:85" ht="22.5" customHeight="1" x14ac:dyDescent="0.3"/>
    <row r="43" spans="84:85" ht="22.5" customHeight="1" x14ac:dyDescent="0.3"/>
    <row r="44" spans="84:85" ht="22.5" customHeight="1" x14ac:dyDescent="0.3"/>
    <row r="45" spans="84:85" ht="22.5" customHeight="1" x14ac:dyDescent="0.3"/>
    <row r="46" spans="84:85" ht="22.5" customHeight="1" x14ac:dyDescent="0.3"/>
    <row r="47" spans="84:85" ht="22.5" customHeight="1" x14ac:dyDescent="0.3"/>
    <row r="48" spans="84:85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6" ht="22.5" customHeight="1" x14ac:dyDescent="0.3"/>
    <row r="146" spans="2:86" ht="22.5" customHeight="1" x14ac:dyDescent="0.3"/>
    <row r="147" spans="2:86" ht="22.5" customHeight="1" x14ac:dyDescent="0.3"/>
    <row r="148" spans="2:86" ht="22.5" customHeight="1" x14ac:dyDescent="0.3"/>
    <row r="149" spans="2:86" ht="22.5" customHeight="1" x14ac:dyDescent="0.3"/>
    <row r="150" spans="2:86" ht="22.5" customHeight="1" x14ac:dyDescent="0.3"/>
    <row r="151" spans="2:86" ht="22.5" customHeight="1" x14ac:dyDescent="0.3"/>
    <row r="152" spans="2:86" ht="22.5" customHeight="1" x14ac:dyDescent="0.3"/>
    <row r="153" spans="2:86" ht="22.5" customHeight="1" x14ac:dyDescent="0.3"/>
    <row r="154" spans="2:86" ht="22.5" customHeight="1" x14ac:dyDescent="0.3"/>
    <row r="155" spans="2:86" ht="22.5" customHeight="1" x14ac:dyDescent="0.3"/>
    <row r="156" spans="2:86" ht="22.5" customHeight="1" thickBot="1" x14ac:dyDescent="0.35"/>
    <row r="157" spans="2:86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140"/>
    </row>
  </sheetData>
  <mergeCells count="1">
    <mergeCell ref="CH1:CH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E97"/>
  <sheetViews>
    <sheetView showZeros="0" topLeftCell="AR1" zoomScaleNormal="100" zoomScaleSheetLayoutView="100" workbookViewId="0">
      <selection activeCell="AI7" sqref="AI7:AJ11"/>
    </sheetView>
  </sheetViews>
  <sheetFormatPr baseColWidth="10" defaultColWidth="11.44140625" defaultRowHeight="13.8" x14ac:dyDescent="0.3"/>
  <cols>
    <col min="1" max="1" width="17.6640625" style="23" customWidth="1"/>
    <col min="2" max="2" width="4.88671875" style="17" customWidth="1"/>
    <col min="3" max="3" width="9.88671875" style="17" customWidth="1"/>
    <col min="4" max="4" width="15.33203125" style="17" bestFit="1" customWidth="1"/>
    <col min="5" max="5" width="13.6640625" style="17" customWidth="1"/>
    <col min="6" max="7" width="19.33203125" style="17" customWidth="1"/>
    <col min="8" max="8" width="4.109375" style="17" customWidth="1"/>
    <col min="9" max="10" width="26.109375" style="17" customWidth="1"/>
    <col min="11" max="11" width="4.88671875" style="17" customWidth="1"/>
    <col min="12" max="12" width="25" style="17" customWidth="1"/>
    <col min="13" max="13" width="4.109375" style="17" customWidth="1"/>
    <col min="14" max="14" width="26.109375" style="17" customWidth="1"/>
    <col min="15" max="15" width="4.88671875" style="17" customWidth="1"/>
    <col min="16" max="16" width="25" style="17" customWidth="1"/>
    <col min="17" max="17" width="4.109375" style="17" customWidth="1"/>
    <col min="18" max="18" width="24.6640625" style="17" customWidth="1"/>
    <col min="19" max="19" width="6.88671875" style="17" customWidth="1"/>
    <col min="20" max="20" width="26.109375" style="17" bestFit="1" customWidth="1"/>
    <col min="21" max="21" width="4.88671875" style="17" customWidth="1"/>
    <col min="22" max="22" width="25" style="17" customWidth="1"/>
    <col min="23" max="23" width="4.6640625" style="17" customWidth="1"/>
    <col min="24" max="24" width="20" style="17" customWidth="1"/>
    <col min="25" max="25" width="3.33203125" style="17" customWidth="1"/>
    <col min="26" max="26" width="5.109375" style="17" customWidth="1"/>
    <col min="27" max="27" width="17.44140625" style="17" customWidth="1"/>
    <col min="28" max="28" width="3.44140625" style="17" customWidth="1"/>
    <col min="29" max="29" width="17" style="17" customWidth="1"/>
    <col min="30" max="30" width="6" style="17" customWidth="1"/>
    <col min="31" max="31" width="20.44140625" style="17" customWidth="1"/>
    <col min="32" max="32" width="3.5546875" style="17" customWidth="1"/>
    <col min="33" max="33" width="21.33203125" style="17" customWidth="1"/>
    <col min="34" max="34" width="5" style="17" customWidth="1"/>
    <col min="35" max="35" width="6.109375" style="17" customWidth="1"/>
    <col min="36" max="36" width="27" style="17" customWidth="1"/>
    <col min="37" max="37" width="5.44140625" style="17" customWidth="1"/>
    <col min="38" max="38" width="3.33203125" style="17" customWidth="1"/>
    <col min="39" max="39" width="26.33203125" style="17" customWidth="1"/>
    <col min="40" max="40" width="2.109375" style="17" customWidth="1"/>
    <col min="41" max="41" width="5.109375" style="17" customWidth="1"/>
    <col min="42" max="42" width="19.109375" style="17" customWidth="1"/>
    <col min="43" max="43" width="4.88671875" style="17" customWidth="1"/>
    <col min="44" max="44" width="4.109375" style="17" customWidth="1"/>
    <col min="45" max="45" width="15.33203125" style="17" customWidth="1"/>
    <col min="46" max="46" width="3.5546875" style="17" customWidth="1"/>
    <col min="47" max="47" width="21.33203125" style="17" customWidth="1"/>
    <col min="48" max="48" width="5" style="17" customWidth="1"/>
    <col min="49" max="49" width="6.88671875" style="17" customWidth="1"/>
    <col min="50" max="50" width="26.5546875" style="17" customWidth="1"/>
    <col min="51" max="51" width="5.44140625" style="17" customWidth="1"/>
    <col min="52" max="52" width="4.5546875" style="17" customWidth="1"/>
    <col min="53" max="53" width="22.109375" style="17" customWidth="1"/>
    <col min="54" max="54" width="4.88671875" style="17" customWidth="1"/>
    <col min="55" max="55" width="10.5546875" style="17" bestFit="1" customWidth="1"/>
    <col min="56" max="56" width="3.44140625" style="17" customWidth="1"/>
    <col min="57" max="57" width="28.44140625" style="17" customWidth="1"/>
    <col min="58" max="58" width="23.6640625" style="17" bestFit="1" customWidth="1"/>
    <col min="59" max="59" width="12.44140625" style="17" bestFit="1" customWidth="1"/>
    <col min="60" max="67" width="10.5546875" style="17" bestFit="1" customWidth="1"/>
    <col min="68" max="68" width="4" style="17" customWidth="1"/>
    <col min="69" max="69" width="22" style="17" customWidth="1"/>
    <col min="70" max="70" width="6.33203125" style="17" customWidth="1"/>
    <col min="71" max="79" width="20.88671875" style="17" customWidth="1"/>
    <col min="80" max="80" width="18.109375" style="17" customWidth="1"/>
    <col min="81" max="81" width="10.5546875" style="17" bestFit="1" customWidth="1"/>
    <col min="82" max="82" width="43" style="24" bestFit="1" customWidth="1"/>
    <col min="83" max="83" width="3.6640625" style="14" customWidth="1"/>
    <col min="84" max="16384" width="11.44140625" style="14"/>
  </cols>
  <sheetData>
    <row r="1" spans="1:83" s="139" customFormat="1" x14ac:dyDescent="0.3">
      <c r="A1" s="26" t="s">
        <v>145</v>
      </c>
      <c r="B1" s="50" t="str">
        <f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50" t="str">
        <f>IF(C$5="","",IF(INDEX(VALUESLIST,2,COLUMN(C1)-1)="","",INDEX(VALUESLIST,2,COLUMN(C1)-1)) &amp; IF(INDEX(VALUESLIST,3,COLUMN(C1)-1)="","",DV&amp;INDEX(VALUESLIST,3,COLUMN(C1)-1)) &amp; IF(INDEX(VALUESLIST,4,COLUMN(C1)-1)="","",DV&amp;INDEX(VALUESLIST,4,COLUMN(C1)-1)) &amp; IF(INDEX(VALUESLIST,5,COLUMN(C1)-1)="","",DV&amp;INDEX(VALUESLIST,5,COLUMN(C1)-1)) &amp; IF(INDEX(VALUESLIST,6,COLUMN(C1)-1)="","",DV&amp;INDEX(VALUESLIST,6,COLUMN(C1)-1)) &amp; IF(INDEX(VALUESLIST,7,COLUMN(C1)-1)="","",DV&amp;INDEX(VALUESLIST,7,COLUMN(C1)-1)) &amp; IF(INDEX(VALUESLIST,8,COLUMN(C1)-1)="","",DV&amp;INDEX(VALUESLIST,8,COLUMN(C1)-1)) &amp; IF(INDEX(VALUESLIST,9,COLUMN(C1)-1)="","",DV&amp;INDEX(VALUESLIST,9,COLUMN(C1)-1)) &amp; IF(INDEX(VALUESLIST,10,COLUMN(C1)-1)="","",DV&amp;"..."))</f>
        <v/>
      </c>
      <c r="D1" s="50" t="str">
        <f>IF(D$5="","",IF(INDEX(VALUESLIST,2,COLUMN(D1)-1)="","",INDEX(VALUESLIST,2,COLUMN(D1)-1)) &amp; IF(INDEX(VALUESLIST,3,COLUMN(D1)-1)="","",DV&amp;INDEX(VALUESLIST,3,COLUMN(D1)-1)) &amp; IF(INDEX(VALUESLIST,4,COLUMN(D1)-1)="","",DV&amp;INDEX(VALUESLIST,4,COLUMN(D1)-1)) &amp; IF(INDEX(VALUESLIST,5,COLUMN(D1)-1)="","",DV&amp;INDEX(VALUESLIST,5,COLUMN(D1)-1)) &amp; IF(INDEX(VALUESLIST,6,COLUMN(D1)-1)="","",DV&amp;INDEX(VALUESLIST,6,COLUMN(D1)-1)) &amp; IF(INDEX(VALUESLIST,7,COLUMN(D1)-1)="","",DV&amp;INDEX(VALUESLIST,7,COLUMN(D1)-1)) &amp; IF(INDEX(VALUESLIST,8,COLUMN(D1)-1)="","",DV&amp;INDEX(VALUESLIST,8,COLUMN(D1)-1)) &amp; IF(INDEX(VALUESLIST,9,COLUMN(D1)-1)="","",DV&amp;INDEX(VALUESLIST,9,COLUMN(D1)-1)) &amp; IF(INDEX(VALUESLIST,10,COLUMN(D1)-1)="","",DV&amp;"..."))</f>
        <v>0 | 1 | 2</v>
      </c>
      <c r="E1" s="50" t="str">
        <f>IF(E$5="","",IF(INDEX(VALUESLIST,2,COLUMN(E1)-1)="","",INDEX(VALUESLIST,2,COLUMN(E1)-1)) &amp; IF(INDEX(VALUESLIST,3,COLUMN(E1)-1)="","",DV&amp;INDEX(VALUESLIST,3,COLUMN(E1)-1)) &amp; IF(INDEX(VALUESLIST,4,COLUMN(E1)-1)="","",DV&amp;INDEX(VALUESLIST,4,COLUMN(E1)-1)) &amp; IF(INDEX(VALUESLIST,5,COLUMN(E1)-1)="","",DV&amp;INDEX(VALUESLIST,5,COLUMN(E1)-1)) &amp; IF(INDEX(VALUESLIST,6,COLUMN(E1)-1)="","",DV&amp;INDEX(VALUESLIST,6,COLUMN(E1)-1)) &amp; IF(INDEX(VALUESLIST,7,COLUMN(E1)-1)="","",DV&amp;INDEX(VALUESLIST,7,COLUMN(E1)-1)) &amp; IF(INDEX(VALUESLIST,8,COLUMN(E1)-1)="","",DV&amp;INDEX(VALUESLIST,8,COLUMN(E1)-1)) &amp; IF(INDEX(VALUESLIST,9,COLUMN(E1)-1)="","",DV&amp;INDEX(VALUESLIST,9,COLUMN(E1)-1)) &amp; IF(INDEX(VALUESLIST,10,COLUMN(E1)-1)="","",DV&amp;"..."))</f>
        <v>0,01 | 0,03 | 0,035 | 0,04 | 0,045 | 0,05 | 0,06</v>
      </c>
      <c r="F1" s="50" t="str">
        <f t="shared" ref="F1:AA1" si="0">IF(F$5="","",IF(INDEX(VALUESLIST,2,COLUMN(F1)-1)="","",INDEX(VALUESLIST,2,COLUMN(F1)-1)) &amp; IF(INDEX(VALUESLIST,3,COLUMN(F1)-1)="","",DV&amp;INDEX(VALUESLIST,3,COLUMN(F1)-1)) &amp; IF(INDEX(VALUESLIST,4,COLUMN(F1)-1)="","",DV&amp;INDEX(VALUESLIST,4,COLUMN(F1)-1)) &amp; IF(INDEX(VALUESLIST,5,COLUMN(F1)-1)="","",DV&amp;INDEX(VALUESLIST,5,COLUMN(F1)-1)) &amp; IF(INDEX(VALUESLIST,6,COLUMN(F1)-1)="","",DV&amp;INDEX(VALUESLIST,6,COLUMN(F1)-1)) &amp; IF(INDEX(VALUESLIST,7,COLUMN(F1)-1)="","",DV&amp;INDEX(VALUESLIST,7,COLUMN(F1)-1)) &amp; IF(INDEX(VALUESLIST,8,COLUMN(F1)-1)="","",DV&amp;INDEX(VALUESLIST,8,COLUMN(F1)-1)) &amp; IF(INDEX(VALUESLIST,9,COLUMN(F1)-1)="","",DV&amp;INDEX(VALUESLIST,9,COLUMN(F1)-1)) &amp; IF(INDEX(VALUESLIST,10,COLUMN(F1)-1)="","",DV&amp;"..."))</f>
        <v>0 | 0,009 | 0,013</v>
      </c>
      <c r="G1" s="50" t="str">
        <f t="shared" si="0"/>
        <v>0,015 | 0,0165 | 0,018 | 0,021 | 0,022 | 0,03</v>
      </c>
      <c r="H1" s="50" t="str">
        <f t="shared" si="0"/>
        <v>- | E | V | A | K</v>
      </c>
      <c r="I1" s="50" t="str">
        <f t="shared" si="0"/>
        <v/>
      </c>
      <c r="J1" s="50" t="str">
        <f t="shared" si="0"/>
        <v>0,01 | 0,035 | 0,1</v>
      </c>
      <c r="K1" s="50" t="str">
        <f t="shared" si="0"/>
        <v>NA | AN | BE | FU | EL | HP | XX</v>
      </c>
      <c r="L1" s="50" t="str">
        <f t="shared" si="0"/>
        <v/>
      </c>
      <c r="M1" s="50" t="str">
        <f t="shared" si="0"/>
        <v>NA | AN | BE | FU | EL | HP | XX</v>
      </c>
      <c r="N1" s="50" t="str">
        <f t="shared" si="0"/>
        <v/>
      </c>
      <c r="O1" s="50" t="str">
        <f t="shared" si="0"/>
        <v>NA | AN | BE | FU | EL | HP | KU | AB | ...</v>
      </c>
      <c r="P1" s="50" t="str">
        <f t="shared" si="0"/>
        <v/>
      </c>
      <c r="Q1" s="50" t="str">
        <f t="shared" si="0"/>
        <v>NA | AN | BE | FU | EL | HP | XX</v>
      </c>
      <c r="R1" s="50" t="str">
        <f t="shared" si="0"/>
        <v/>
      </c>
      <c r="S1" s="50" t="str">
        <f t="shared" si="0"/>
        <v>NA | AN | BE | FU | EL | HP | XX</v>
      </c>
      <c r="T1" s="50" t="str">
        <f t="shared" si="0"/>
        <v/>
      </c>
      <c r="U1" s="50" t="str">
        <f t="shared" si="0"/>
        <v>NA | AN | BE | FU | EL | HP | KU | AB | ...</v>
      </c>
      <c r="V1" s="50" t="str">
        <f t="shared" si="0"/>
        <v/>
      </c>
      <c r="W1" s="50" t="str">
        <f t="shared" si="0"/>
        <v>0 | 1 | 2 | 3</v>
      </c>
      <c r="X1" s="50" t="str">
        <f t="shared" si="0"/>
        <v/>
      </c>
      <c r="Y1" s="50" t="str">
        <f t="shared" si="0"/>
        <v/>
      </c>
      <c r="Z1" s="50" t="str">
        <f t="shared" si="0"/>
        <v>VB | RF | RP</v>
      </c>
      <c r="AA1" s="50" t="str">
        <f t="shared" si="0"/>
        <v/>
      </c>
      <c r="AB1" s="50" t="str">
        <f t="shared" ref="AB1:CB1" si="1">IF(AB$5="","",IF(INDEX(VALUESLIST,2,COLUMN(AB1)-1)="","",INDEX(VALUESLIST,2,COLUMN(AB1)-1)) &amp; IF(INDEX(VALUESLIST,3,COLUMN(AB1)-1)="","",DV&amp;INDEX(VALUESLIST,3,COLUMN(AB1)-1)) &amp; IF(INDEX(VALUESLIST,4,COLUMN(AB1)-1)="","",DV&amp;INDEX(VALUESLIST,4,COLUMN(AB1)-1)) &amp; IF(INDEX(VALUESLIST,5,COLUMN(AB1)-1)="","",DV&amp;INDEX(VALUESLIST,5,COLUMN(AB1)-1)) &amp; IF(INDEX(VALUESLIST,6,COLUMN(AB1)-1)="","",DV&amp;INDEX(VALUESLIST,6,COLUMN(AB1)-1)) &amp; IF(INDEX(VALUESLIST,7,COLUMN(AB1)-1)="","",DV&amp;INDEX(VALUESLIST,7,COLUMN(AB1)-1)) &amp; IF(INDEX(VALUESLIST,8,COLUMN(AB1)-1)="","",DV&amp;INDEX(VALUESLIST,8,COLUMN(AB1)-1)) &amp; IF(INDEX(VALUESLIST,9,COLUMN(AB1)-1)="","",DV&amp;INDEX(VALUESLIST,9,COLUMN(AB1)-1)) &amp; IF(INDEX(VALUESLIST,10,COLUMN(AB1)-1)="","",DV&amp;"..."))</f>
        <v>HO | ST | AL | GL | KU</v>
      </c>
      <c r="AC1" s="50" t="str">
        <f t="shared" si="1"/>
        <v/>
      </c>
      <c r="AD1" s="50" t="str">
        <f t="shared" si="1"/>
        <v>1 | 2 | 3</v>
      </c>
      <c r="AE1" s="50" t="str">
        <f t="shared" si="1"/>
        <v/>
      </c>
      <c r="AF1" s="50" t="str">
        <f t="shared" si="1"/>
        <v>0 | 1 | 2 | 3</v>
      </c>
      <c r="AG1" s="50" t="str">
        <f t="shared" si="1"/>
        <v/>
      </c>
      <c r="AH1" s="50" t="str">
        <f t="shared" si="1"/>
        <v/>
      </c>
      <c r="AI1" s="50" t="str">
        <f t="shared" si="1"/>
        <v>0 | 2 | 4 | 64 | 128</v>
      </c>
      <c r="AJ1" s="50" t="str">
        <f t="shared" si="1"/>
        <v/>
      </c>
      <c r="AK1" s="50" t="str">
        <f t="shared" si="1"/>
        <v/>
      </c>
      <c r="AL1" s="50" t="str">
        <f t="shared" si="1"/>
        <v xml:space="preserve"> | 8 | 16 | ...</v>
      </c>
      <c r="AM1" s="50" t="str">
        <f t="shared" si="1"/>
        <v/>
      </c>
      <c r="AN1" s="50" t="str">
        <f t="shared" si="1"/>
        <v/>
      </c>
      <c r="AO1" s="50" t="str">
        <f t="shared" si="1"/>
        <v>G1 | G2 | G3 | PL | K1 | K2</v>
      </c>
      <c r="AP1" s="50" t="str">
        <f t="shared" si="1"/>
        <v/>
      </c>
      <c r="AQ1" s="50" t="str">
        <f t="shared" si="1"/>
        <v/>
      </c>
      <c r="AR1" s="50" t="str">
        <f t="shared" si="1"/>
        <v>0 | 1 | 2</v>
      </c>
      <c r="AS1" s="50" t="str">
        <f t="shared" si="1"/>
        <v/>
      </c>
      <c r="AT1" s="50" t="str">
        <f t="shared" si="1"/>
        <v>0 | 1 | 2 | 3</v>
      </c>
      <c r="AU1" s="50" t="str">
        <f t="shared" si="1"/>
        <v/>
      </c>
      <c r="AV1" s="50" t="str">
        <f t="shared" si="1"/>
        <v/>
      </c>
      <c r="AW1" s="50" t="str">
        <f t="shared" si="1"/>
        <v>0 | 2 | 4 | 64 | 128</v>
      </c>
      <c r="AX1" s="50" t="str">
        <f t="shared" si="1"/>
        <v/>
      </c>
      <c r="AY1" s="50" t="str">
        <f t="shared" si="1"/>
        <v/>
      </c>
      <c r="AZ1" s="50" t="str">
        <f t="shared" si="1"/>
        <v>G1 | G2 | G3 | PL | K1 | K2</v>
      </c>
      <c r="BA1" s="50" t="str">
        <f t="shared" si="1"/>
        <v/>
      </c>
      <c r="BB1" s="50" t="str">
        <f t="shared" si="1"/>
        <v/>
      </c>
      <c r="BC1" s="50" t="str">
        <f t="shared" si="1"/>
        <v>0 | 10 | 15 | 30 | 45 | 60 | 90</v>
      </c>
      <c r="BD1" s="50" t="str">
        <f t="shared" si="1"/>
        <v>0 | 1</v>
      </c>
      <c r="BE1" s="50" t="str">
        <f t="shared" si="1"/>
        <v/>
      </c>
      <c r="BF1" s="50" t="str">
        <f t="shared" si="1"/>
        <v>0,005 | 0,01 | 0,02</v>
      </c>
      <c r="BG1" s="50" t="str">
        <f t="shared" si="1"/>
        <v>0 | 1 | 2</v>
      </c>
      <c r="BH1" s="50" t="str">
        <f t="shared" si="1"/>
        <v>undefiniert</v>
      </c>
      <c r="BI1" s="50" t="str">
        <f t="shared" si="1"/>
        <v>undefiniert</v>
      </c>
      <c r="BJ1" s="50" t="str">
        <f t="shared" si="1"/>
        <v>undefiniert</v>
      </c>
      <c r="BK1" s="50" t="str">
        <f t="shared" si="1"/>
        <v>undefiniert</v>
      </c>
      <c r="BL1" s="50" t="str">
        <f t="shared" si="1"/>
        <v>undefiniert</v>
      </c>
      <c r="BM1" s="50" t="str">
        <f t="shared" si="1"/>
        <v>undefiniert</v>
      </c>
      <c r="BN1" s="50" t="str">
        <f t="shared" si="1"/>
        <v>undefiniert</v>
      </c>
      <c r="BO1" s="50" t="str">
        <f t="shared" si="1"/>
        <v>undefiniert</v>
      </c>
      <c r="BP1" s="50" t="str">
        <f t="shared" si="1"/>
        <v>undefiniert</v>
      </c>
      <c r="BQ1" s="50" t="str">
        <f t="shared" si="1"/>
        <v>undefiniert</v>
      </c>
      <c r="BR1" s="50" t="str">
        <f t="shared" si="1"/>
        <v>undefiniert</v>
      </c>
      <c r="BS1" s="50" t="str">
        <f t="shared" si="1"/>
        <v>undefiniert</v>
      </c>
      <c r="BT1" s="50" t="str">
        <f t="shared" si="1"/>
        <v/>
      </c>
      <c r="BU1" s="50" t="str">
        <f t="shared" si="1"/>
        <v/>
      </c>
      <c r="BV1" s="50" t="str">
        <f t="shared" si="1"/>
        <v/>
      </c>
      <c r="BW1" s="50" t="str">
        <f t="shared" si="1"/>
        <v>1 | 2 | 3 | 4 | 5 | 6 | 7 | 8 | ...</v>
      </c>
      <c r="BX1" s="50" t="str">
        <f t="shared" si="1"/>
        <v/>
      </c>
      <c r="BY1" s="50" t="str">
        <f t="shared" si="1"/>
        <v/>
      </c>
      <c r="BZ1" s="50" t="str">
        <f t="shared" si="1"/>
        <v>1 | 2 | 3 | 4 | 5 | 6 | 7 | 8 | ...</v>
      </c>
      <c r="CA1" s="50" t="str">
        <f t="shared" si="1"/>
        <v/>
      </c>
      <c r="CB1" s="50" t="str">
        <f t="shared" si="1"/>
        <v/>
      </c>
      <c r="CC1" s="50" t="str">
        <f>IF(CC$5="","",IF(INDEX(VALUESLIST,2,COLUMN(CC1)-1)="","",INDEX(VALUESLIST,2,COLUMN(CC1)-1)) &amp; IF(INDEX(VALUESLIST,3,COLUMN(CC1)-1)="","",DV&amp;INDEX(VALUESLIST,3,COLUMN(CC1)-1)) &amp; IF(INDEX(VALUESLIST,4,COLUMN(CC1)-1)="","",DV&amp;INDEX(VALUESLIST,4,COLUMN(CC1)-1)) &amp; IF(INDEX(VALUESLIST,5,COLUMN(CC1)-1)="","",DV&amp;INDEX(VALUESLIST,5,COLUMN(CC1)-1)) &amp; IF(INDEX(VALUESLIST,6,COLUMN(CC1)-1)="","",DV&amp;INDEX(VALUESLIST,6,COLUMN(CC1)-1)) &amp; IF(INDEX(VALUESLIST,7,COLUMN(CC1)-1)="","",DV&amp;INDEX(VALUESLIST,7,COLUMN(CC1)-1)) &amp; IF(INDEX(VALUESLIST,8,COLUMN(CC1)-1)="","",DV&amp;INDEX(VALUESLIST,8,COLUMN(CC1)-1)) &amp; IF(INDEX(VALUESLIST,9,COLUMN(CC1)-1)="","",DV&amp;INDEX(VALUESLIST,9,COLUMN(CC1)-1)) &amp; IF(INDEX(VALUESLIST,10,COLUMN(CC1)-1)="","",DV&amp;"..."))</f>
        <v>0 | 1 | 2 | 3 | 4 | 5 | 6 | 7 | ...</v>
      </c>
      <c r="CD1" s="94" t="s">
        <v>88</v>
      </c>
    </row>
    <row r="2" spans="1:83" x14ac:dyDescent="0.3">
      <c r="A2" s="27" t="s">
        <v>146</v>
      </c>
      <c r="B2" s="34" t="str">
        <f t="shared" ref="B2:AC2" si="2">IF(B$3="-","-",IF(B$3=A$3,A$2+1,1))</f>
        <v>-</v>
      </c>
      <c r="C2" s="34" t="str">
        <f t="shared" si="2"/>
        <v>-</v>
      </c>
      <c r="D2" s="34" t="str">
        <f t="shared" si="2"/>
        <v>-</v>
      </c>
      <c r="E2" s="34" t="str">
        <f t="shared" si="2"/>
        <v>-</v>
      </c>
      <c r="F2" s="34" t="str">
        <f t="shared" si="2"/>
        <v>-</v>
      </c>
      <c r="G2" s="34" t="str">
        <f t="shared" si="2"/>
        <v>-</v>
      </c>
      <c r="H2" s="34" t="str">
        <f t="shared" ref="H2" si="3">IF(H$3="-","-",IF(H$3=G$3,G$2+1,1))</f>
        <v>-</v>
      </c>
      <c r="I2" s="34" t="str">
        <f t="shared" ref="I2" si="4">IF(I$3="-","-",IF(I$3=H$3,H$2+1,1))</f>
        <v>-</v>
      </c>
      <c r="J2" s="34" t="str">
        <f t="shared" ref="J2" si="5">IF(J$3="-","-",IF(J$3=I$3,I$2+1,1))</f>
        <v>-</v>
      </c>
      <c r="K2" s="34" t="str">
        <f t="shared" ref="K2" si="6">IF(K$3="-","-",IF(K$3=J$3,J$2+1,1))</f>
        <v>-</v>
      </c>
      <c r="L2" s="34" t="str">
        <f t="shared" ref="L2" si="7">IF(L$3="-","-",IF(L$3=K$3,K$2+1,1))</f>
        <v>-</v>
      </c>
      <c r="M2" s="34" t="str">
        <f t="shared" ref="M2" si="8">IF(M$3="-","-",IF(M$3=L$3,L$2+1,1))</f>
        <v>-</v>
      </c>
      <c r="N2" s="34" t="str">
        <f t="shared" ref="N2" si="9">IF(N$3="-","-",IF(N$3=M$3,M$2+1,1))</f>
        <v>-</v>
      </c>
      <c r="O2" s="34" t="str">
        <f t="shared" ref="O2" si="10">IF(O$3="-","-",IF(O$3=N$3,N$2+1,1))</f>
        <v>-</v>
      </c>
      <c r="P2" s="34" t="str">
        <f t="shared" ref="P2" si="11">IF(P$3="-","-",IF(P$3=O$3,O$2+1,1))</f>
        <v>-</v>
      </c>
      <c r="Q2" s="34" t="str">
        <f t="shared" ref="Q2" si="12">IF(Q$3="-","-",IF(Q$3=P$3,P$2+1,1))</f>
        <v>-</v>
      </c>
      <c r="R2" s="34" t="str">
        <f t="shared" ref="R2" si="13">IF(R$3="-","-",IF(R$3=Q$3,Q$2+1,1))</f>
        <v>-</v>
      </c>
      <c r="S2" s="34" t="str">
        <f t="shared" si="2"/>
        <v>-</v>
      </c>
      <c r="T2" s="34" t="str">
        <f t="shared" ref="T2" si="14">IF(T$3="-","-",IF(T$3=S$3,S$2+1,1))</f>
        <v>-</v>
      </c>
      <c r="U2" s="34" t="str">
        <f t="shared" ref="U2" si="15">IF(U$3="-","-",IF(U$3=T$3,T$2+1,1))</f>
        <v>-</v>
      </c>
      <c r="V2" s="34" t="str">
        <f t="shared" ref="V2" si="16">IF(V$3="-","-",IF(V$3=U$3,U$2+1,1))</f>
        <v>-</v>
      </c>
      <c r="W2" s="34" t="str">
        <f t="shared" ref="W2" si="17">IF(W$3="-","-",IF(W$3=V$3,V$2+1,1))</f>
        <v>-</v>
      </c>
      <c r="X2" s="34" t="str">
        <f t="shared" ref="X2" si="18">IF(X$3="-","-",IF(X$3=W$3,W$2+1,1))</f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ref="AD2:AR2" si="19">IF(AD$3="-","-",IF(AD$3=AA$3,AA$2+1,1))</f>
        <v>-</v>
      </c>
      <c r="AE2" s="34" t="str">
        <f t="shared" si="19"/>
        <v>-</v>
      </c>
      <c r="AF2" s="34" t="str">
        <f t="shared" si="19"/>
        <v>-</v>
      </c>
      <c r="AG2" s="34" t="str">
        <f t="shared" si="19"/>
        <v>-</v>
      </c>
      <c r="AH2" s="34" t="str">
        <f t="shared" si="19"/>
        <v>-</v>
      </c>
      <c r="AI2" s="34" t="str">
        <f t="shared" si="19"/>
        <v>-</v>
      </c>
      <c r="AJ2" s="34" t="str">
        <f t="shared" si="19"/>
        <v>-</v>
      </c>
      <c r="AK2" s="34" t="str">
        <f t="shared" si="19"/>
        <v>-</v>
      </c>
      <c r="AL2" s="34" t="str">
        <f t="shared" si="19"/>
        <v>-</v>
      </c>
      <c r="AM2" s="34" t="str">
        <f t="shared" si="19"/>
        <v>-</v>
      </c>
      <c r="AN2" s="34" t="str">
        <f t="shared" si="19"/>
        <v>-</v>
      </c>
      <c r="AO2" s="34" t="str">
        <f t="shared" si="19"/>
        <v>-</v>
      </c>
      <c r="AP2" s="34" t="str">
        <f t="shared" si="19"/>
        <v>-</v>
      </c>
      <c r="AQ2" s="34" t="str">
        <f t="shared" si="19"/>
        <v>-</v>
      </c>
      <c r="AR2" s="34" t="str">
        <f t="shared" si="19"/>
        <v>-</v>
      </c>
      <c r="AS2" s="34" t="str">
        <f t="shared" ref="AS2:CC2" si="20">IF(AS$3="-","-",IF(AS$3=AR$3,AR$2+1,1))</f>
        <v>-</v>
      </c>
      <c r="AT2" s="34" t="str">
        <f t="shared" si="20"/>
        <v>-</v>
      </c>
      <c r="AU2" s="34" t="str">
        <f t="shared" si="20"/>
        <v>-</v>
      </c>
      <c r="AV2" s="34" t="str">
        <f t="shared" si="20"/>
        <v>-</v>
      </c>
      <c r="AW2" s="34" t="str">
        <f t="shared" si="20"/>
        <v>-</v>
      </c>
      <c r="AX2" s="34" t="str">
        <f t="shared" si="20"/>
        <v>-</v>
      </c>
      <c r="AY2" s="34" t="str">
        <f t="shared" si="20"/>
        <v>-</v>
      </c>
      <c r="AZ2" s="34" t="str">
        <f t="shared" si="20"/>
        <v>-</v>
      </c>
      <c r="BA2" s="34" t="str">
        <f t="shared" si="20"/>
        <v>-</v>
      </c>
      <c r="BB2" s="34" t="str">
        <f t="shared" si="20"/>
        <v>-</v>
      </c>
      <c r="BC2" s="34" t="str">
        <f t="shared" si="20"/>
        <v>-</v>
      </c>
      <c r="BD2" s="34" t="str">
        <f t="shared" si="20"/>
        <v>-</v>
      </c>
      <c r="BE2" s="34" t="str">
        <f t="shared" si="20"/>
        <v>-</v>
      </c>
      <c r="BF2" s="34" t="str">
        <f t="shared" si="20"/>
        <v>-</v>
      </c>
      <c r="BG2" s="34" t="str">
        <f t="shared" si="20"/>
        <v>-</v>
      </c>
      <c r="BH2" s="34" t="str">
        <f t="shared" si="20"/>
        <v>-</v>
      </c>
      <c r="BI2" s="34" t="str">
        <f t="shared" si="20"/>
        <v>-</v>
      </c>
      <c r="BJ2" s="34" t="str">
        <f t="shared" si="20"/>
        <v>-</v>
      </c>
      <c r="BK2" s="34" t="str">
        <f>IF(BK$3="-","-",IF(BK$3=BJ$3,BJ$2+1,1))</f>
        <v>-</v>
      </c>
      <c r="BL2" s="34" t="str">
        <f>IF(BL$3="-","-",IF(BL$3=BK$3,BK$2+1,1))</f>
        <v>-</v>
      </c>
      <c r="BM2" s="34" t="str">
        <f>IF(BM$3="-","-",IF(BM$3=BL$3,BL$2+1,1))</f>
        <v>-</v>
      </c>
      <c r="BN2" s="34" t="str">
        <f>IF(BN$3="-","-",IF(BN$3=BM$3,BM$2+1,1))</f>
        <v>-</v>
      </c>
      <c r="BO2" s="34" t="str">
        <f>IF(BO$3="-","-",IF(BO$3=BN$3,BN$2+1,1))</f>
        <v>-</v>
      </c>
      <c r="BP2" s="34" t="str">
        <f t="shared" si="20"/>
        <v>-</v>
      </c>
      <c r="BQ2" s="34" t="str">
        <f t="shared" si="20"/>
        <v>-</v>
      </c>
      <c r="BR2" s="34" t="str">
        <f t="shared" si="20"/>
        <v>-</v>
      </c>
      <c r="BS2" s="34" t="str">
        <f t="shared" si="20"/>
        <v>-</v>
      </c>
      <c r="BT2" s="34" t="str">
        <f t="shared" si="20"/>
        <v>-</v>
      </c>
      <c r="BU2" s="34" t="str">
        <f t="shared" si="20"/>
        <v>-</v>
      </c>
      <c r="BV2" s="34" t="str">
        <f t="shared" si="20"/>
        <v>-</v>
      </c>
      <c r="BW2" s="34" t="str">
        <f t="shared" si="20"/>
        <v>-</v>
      </c>
      <c r="BX2" s="34" t="str">
        <f t="shared" si="20"/>
        <v>-</v>
      </c>
      <c r="BY2" s="34" t="str">
        <f t="shared" si="20"/>
        <v>-</v>
      </c>
      <c r="BZ2" s="34" t="str">
        <f t="shared" si="20"/>
        <v>-</v>
      </c>
      <c r="CA2" s="34" t="str">
        <f t="shared" si="20"/>
        <v>-</v>
      </c>
      <c r="CB2" s="34" t="str">
        <f t="shared" si="20"/>
        <v>-</v>
      </c>
      <c r="CC2" s="34" t="str">
        <f t="shared" si="20"/>
        <v>-</v>
      </c>
      <c r="CD2" s="94"/>
    </row>
    <row r="3" spans="1:83" x14ac:dyDescent="0.3">
      <c r="A3" s="27" t="s">
        <v>147</v>
      </c>
      <c r="B3" s="50" t="str">
        <f t="shared" ref="B3:AC3" si="21">IF(B$5="",A$3,IFERROR(MATCH(B$5,prodArrayNames,0),"-"))</f>
        <v>-</v>
      </c>
      <c r="C3" s="50" t="str">
        <f t="shared" si="21"/>
        <v>-</v>
      </c>
      <c r="D3" s="50" t="str">
        <f t="shared" si="21"/>
        <v>-</v>
      </c>
      <c r="E3" s="50" t="str">
        <f t="shared" si="21"/>
        <v>-</v>
      </c>
      <c r="F3" s="50" t="str">
        <f t="shared" si="21"/>
        <v>-</v>
      </c>
      <c r="G3" s="50" t="str">
        <f t="shared" si="21"/>
        <v>-</v>
      </c>
      <c r="H3" s="50" t="str">
        <f t="shared" ref="H3" si="22">IF(H$5="",G$3,IFERROR(MATCH(H$5,prodArrayNames,0),"-"))</f>
        <v>-</v>
      </c>
      <c r="I3" s="50" t="str">
        <f t="shared" ref="I3" si="23">IF(I$5="",H$3,IFERROR(MATCH(I$5,prodArrayNames,0),"-"))</f>
        <v>-</v>
      </c>
      <c r="J3" s="50" t="str">
        <f t="shared" ref="J3" si="24">IF(J$5="",I$3,IFERROR(MATCH(J$5,prodArrayNames,0),"-"))</f>
        <v>-</v>
      </c>
      <c r="K3" s="50" t="str">
        <f t="shared" ref="K3" si="25">IF(K$5="",J$3,IFERROR(MATCH(K$5,prodArrayNames,0),"-"))</f>
        <v>-</v>
      </c>
      <c r="L3" s="50" t="str">
        <f t="shared" ref="L3" si="26">IF(L$5="",K$3,IFERROR(MATCH(L$5,prodArrayNames,0),"-"))</f>
        <v>-</v>
      </c>
      <c r="M3" s="50" t="str">
        <f t="shared" ref="M3" si="27">IF(M$5="",L$3,IFERROR(MATCH(M$5,prodArrayNames,0),"-"))</f>
        <v>-</v>
      </c>
      <c r="N3" s="50" t="str">
        <f t="shared" ref="N3" si="28">IF(N$5="",M$3,IFERROR(MATCH(N$5,prodArrayNames,0),"-"))</f>
        <v>-</v>
      </c>
      <c r="O3" s="50" t="str">
        <f t="shared" ref="O3" si="29">IF(O$5="",N$3,IFERROR(MATCH(O$5,prodArrayNames,0),"-"))</f>
        <v>-</v>
      </c>
      <c r="P3" s="50" t="str">
        <f t="shared" ref="P3" si="30">IF(P$5="",O$3,IFERROR(MATCH(P$5,prodArrayNames,0),"-"))</f>
        <v>-</v>
      </c>
      <c r="Q3" s="50" t="str">
        <f t="shared" ref="Q3" si="31">IF(Q$5="",P$3,IFERROR(MATCH(Q$5,prodArrayNames,0),"-"))</f>
        <v>-</v>
      </c>
      <c r="R3" s="50" t="str">
        <f t="shared" ref="R3" si="32">IF(R$5="",Q$3,IFERROR(MATCH(R$5,prodArrayNames,0),"-"))</f>
        <v>-</v>
      </c>
      <c r="S3" s="50" t="str">
        <f t="shared" si="21"/>
        <v>-</v>
      </c>
      <c r="T3" s="50" t="str">
        <f t="shared" ref="T3" si="33">IF(T$5="",S$3,IFERROR(MATCH(T$5,prodArrayNames,0),"-"))</f>
        <v>-</v>
      </c>
      <c r="U3" s="50" t="str">
        <f t="shared" ref="U3" si="34">IF(U$5="",T$3,IFERROR(MATCH(U$5,prodArrayNames,0),"-"))</f>
        <v>-</v>
      </c>
      <c r="V3" s="50" t="str">
        <f t="shared" ref="V3" si="35">IF(V$5="",U$3,IFERROR(MATCH(V$5,prodArrayNames,0),"-"))</f>
        <v>-</v>
      </c>
      <c r="W3" s="50" t="str">
        <f t="shared" ref="W3" si="36">IF(W$5="",V$3,IFERROR(MATCH(W$5,prodArrayNames,0),"-"))</f>
        <v>-</v>
      </c>
      <c r="X3" s="50" t="str">
        <f t="shared" ref="X3" si="37">IF(X$5="",W$3,IFERROR(MATCH(X$5,prodArrayNames,0),"-"))</f>
        <v>-</v>
      </c>
      <c r="Y3" s="50" t="str">
        <f t="shared" si="21"/>
        <v>-</v>
      </c>
      <c r="Z3" s="50" t="str">
        <f t="shared" si="21"/>
        <v>-</v>
      </c>
      <c r="AA3" s="50" t="str">
        <f t="shared" si="21"/>
        <v>-</v>
      </c>
      <c r="AB3" s="50" t="str">
        <f t="shared" si="21"/>
        <v>-</v>
      </c>
      <c r="AC3" s="50" t="str">
        <f t="shared" si="21"/>
        <v>-</v>
      </c>
      <c r="AD3" s="50" t="str">
        <f t="shared" ref="AD3:AR3" si="38">IF(AD$5="",AA$3,IFERROR(MATCH(AD$5,prodArrayNames,0),"-"))</f>
        <v>-</v>
      </c>
      <c r="AE3" s="50" t="str">
        <f t="shared" si="38"/>
        <v>-</v>
      </c>
      <c r="AF3" s="50" t="str">
        <f t="shared" si="38"/>
        <v>-</v>
      </c>
      <c r="AG3" s="50" t="str">
        <f t="shared" si="38"/>
        <v>-</v>
      </c>
      <c r="AH3" s="50" t="str">
        <f t="shared" si="38"/>
        <v>-</v>
      </c>
      <c r="AI3" s="50" t="str">
        <f t="shared" si="38"/>
        <v>-</v>
      </c>
      <c r="AJ3" s="50" t="str">
        <f t="shared" si="38"/>
        <v>-</v>
      </c>
      <c r="AK3" s="50" t="str">
        <f t="shared" si="38"/>
        <v>-</v>
      </c>
      <c r="AL3" s="50" t="str">
        <f t="shared" si="38"/>
        <v>-</v>
      </c>
      <c r="AM3" s="50" t="str">
        <f t="shared" si="38"/>
        <v>-</v>
      </c>
      <c r="AN3" s="50" t="str">
        <f t="shared" si="38"/>
        <v>-</v>
      </c>
      <c r="AO3" s="50" t="str">
        <f t="shared" si="38"/>
        <v>-</v>
      </c>
      <c r="AP3" s="50" t="str">
        <f t="shared" si="38"/>
        <v>-</v>
      </c>
      <c r="AQ3" s="50" t="str">
        <f t="shared" si="38"/>
        <v>-</v>
      </c>
      <c r="AR3" s="50" t="str">
        <f t="shared" si="38"/>
        <v>-</v>
      </c>
      <c r="AS3" s="50" t="str">
        <f t="shared" ref="AS3:CC3" si="39">IF(AS$5="",AR$3,IFERROR(MATCH(AS$5,prodArrayNames,0),"-"))</f>
        <v>-</v>
      </c>
      <c r="AT3" s="50" t="str">
        <f t="shared" si="39"/>
        <v>-</v>
      </c>
      <c r="AU3" s="50" t="str">
        <f t="shared" si="39"/>
        <v>-</v>
      </c>
      <c r="AV3" s="50" t="str">
        <f t="shared" si="39"/>
        <v>-</v>
      </c>
      <c r="AW3" s="50" t="str">
        <f t="shared" si="39"/>
        <v>-</v>
      </c>
      <c r="AX3" s="50" t="str">
        <f t="shared" si="39"/>
        <v>-</v>
      </c>
      <c r="AY3" s="50" t="str">
        <f t="shared" si="39"/>
        <v>-</v>
      </c>
      <c r="AZ3" s="50" t="str">
        <f t="shared" si="39"/>
        <v>-</v>
      </c>
      <c r="BA3" s="50" t="str">
        <f t="shared" si="39"/>
        <v>-</v>
      </c>
      <c r="BB3" s="50" t="str">
        <f t="shared" si="39"/>
        <v>-</v>
      </c>
      <c r="BC3" s="50" t="str">
        <f t="shared" si="39"/>
        <v>-</v>
      </c>
      <c r="BD3" s="50" t="str">
        <f t="shared" si="39"/>
        <v>-</v>
      </c>
      <c r="BE3" s="50" t="str">
        <f t="shared" si="39"/>
        <v>-</v>
      </c>
      <c r="BF3" s="50" t="str">
        <f t="shared" si="39"/>
        <v>-</v>
      </c>
      <c r="BG3" s="50" t="str">
        <f t="shared" si="39"/>
        <v>-</v>
      </c>
      <c r="BH3" s="50" t="str">
        <f t="shared" si="39"/>
        <v>-</v>
      </c>
      <c r="BI3" s="50" t="str">
        <f t="shared" si="39"/>
        <v>-</v>
      </c>
      <c r="BJ3" s="50" t="str">
        <f t="shared" si="39"/>
        <v>-</v>
      </c>
      <c r="BK3" s="50" t="str">
        <f t="shared" si="39"/>
        <v>-</v>
      </c>
      <c r="BL3" s="50" t="str">
        <f t="shared" si="39"/>
        <v>-</v>
      </c>
      <c r="BM3" s="50" t="str">
        <f t="shared" si="39"/>
        <v>-</v>
      </c>
      <c r="BN3" s="50" t="str">
        <f t="shared" si="39"/>
        <v>-</v>
      </c>
      <c r="BO3" s="50" t="str">
        <f t="shared" si="39"/>
        <v>-</v>
      </c>
      <c r="BP3" s="50" t="str">
        <f t="shared" si="39"/>
        <v>-</v>
      </c>
      <c r="BQ3" s="50" t="str">
        <f t="shared" si="39"/>
        <v>-</v>
      </c>
      <c r="BR3" s="50" t="str">
        <f t="shared" si="39"/>
        <v>-</v>
      </c>
      <c r="BS3" s="50" t="str">
        <f t="shared" si="39"/>
        <v>-</v>
      </c>
      <c r="BT3" s="50" t="str">
        <f t="shared" si="39"/>
        <v>-</v>
      </c>
      <c r="BU3" s="50" t="str">
        <f t="shared" si="39"/>
        <v>-</v>
      </c>
      <c r="BV3" s="50" t="str">
        <f t="shared" si="39"/>
        <v>-</v>
      </c>
      <c r="BW3" s="50" t="str">
        <f t="shared" si="39"/>
        <v>-</v>
      </c>
      <c r="BX3" s="50" t="str">
        <f t="shared" si="39"/>
        <v>-</v>
      </c>
      <c r="BY3" s="50" t="str">
        <f t="shared" si="39"/>
        <v>-</v>
      </c>
      <c r="BZ3" s="50" t="str">
        <f t="shared" si="39"/>
        <v>-</v>
      </c>
      <c r="CA3" s="50" t="str">
        <f t="shared" si="39"/>
        <v>-</v>
      </c>
      <c r="CB3" s="50" t="str">
        <f t="shared" si="39"/>
        <v>-</v>
      </c>
      <c r="CC3" s="50" t="str">
        <f t="shared" si="39"/>
        <v>-</v>
      </c>
      <c r="CD3" s="94"/>
    </row>
    <row r="4" spans="1:83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94"/>
    </row>
    <row r="5" spans="1:83" ht="22.5" customHeight="1" thickTop="1" x14ac:dyDescent="0.3">
      <c r="A5" s="28" t="s">
        <v>87</v>
      </c>
      <c r="B5" s="95" t="s">
        <v>1634</v>
      </c>
      <c r="C5" s="95"/>
      <c r="D5" s="95" t="s">
        <v>416</v>
      </c>
      <c r="E5" s="95" t="s">
        <v>701</v>
      </c>
      <c r="F5" s="95" t="s">
        <v>1630</v>
      </c>
      <c r="G5" s="95" t="s">
        <v>1415</v>
      </c>
      <c r="H5" s="95" t="s">
        <v>1664</v>
      </c>
      <c r="I5" s="95"/>
      <c r="J5" s="95" t="s">
        <v>1662</v>
      </c>
      <c r="K5" s="95" t="s">
        <v>1413</v>
      </c>
      <c r="L5" s="95"/>
      <c r="M5" s="95" t="s">
        <v>1414</v>
      </c>
      <c r="N5" s="95"/>
      <c r="O5" s="95" t="s">
        <v>1673</v>
      </c>
      <c r="P5" s="95"/>
      <c r="Q5" s="95" t="s">
        <v>1464</v>
      </c>
      <c r="R5" s="95"/>
      <c r="S5" s="95" t="s">
        <v>1466</v>
      </c>
      <c r="T5" s="95"/>
      <c r="U5" s="95" t="s">
        <v>1677</v>
      </c>
      <c r="V5" s="95"/>
      <c r="W5" s="95" t="s">
        <v>1439</v>
      </c>
      <c r="X5" s="95"/>
      <c r="Y5" s="95"/>
      <c r="Z5" s="95" t="s">
        <v>679</v>
      </c>
      <c r="AA5" s="95"/>
      <c r="AB5" s="95" t="s">
        <v>1425</v>
      </c>
      <c r="AC5" s="95"/>
      <c r="AD5" s="95" t="s">
        <v>1419</v>
      </c>
      <c r="AE5" s="95"/>
      <c r="AF5" s="95" t="s">
        <v>1344</v>
      </c>
      <c r="AG5" s="95"/>
      <c r="AH5" s="95"/>
      <c r="AI5" s="95" t="s">
        <v>1348</v>
      </c>
      <c r="AJ5" s="95"/>
      <c r="AK5" s="95"/>
      <c r="AL5" s="95" t="s">
        <v>1651</v>
      </c>
      <c r="AM5" s="95"/>
      <c r="AN5" s="95"/>
      <c r="AO5" s="95" t="s">
        <v>1350</v>
      </c>
      <c r="AP5" s="95"/>
      <c r="AQ5" s="95"/>
      <c r="AR5" s="95" t="s">
        <v>1349</v>
      </c>
      <c r="AS5" s="95"/>
      <c r="AT5" s="95" t="s">
        <v>1454</v>
      </c>
      <c r="AU5" s="95"/>
      <c r="AV5" s="95"/>
      <c r="AW5" s="95" t="s">
        <v>1456</v>
      </c>
      <c r="AX5" s="95"/>
      <c r="AY5" s="95"/>
      <c r="AZ5" s="95" t="s">
        <v>1452</v>
      </c>
      <c r="BA5" s="95"/>
      <c r="BB5" s="95"/>
      <c r="BC5" s="95" t="s">
        <v>1540</v>
      </c>
      <c r="BD5" s="95" t="s">
        <v>1658</v>
      </c>
      <c r="BE5" s="95"/>
      <c r="BF5" s="95" t="s">
        <v>728</v>
      </c>
      <c r="BG5" s="95" t="s">
        <v>1712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28</v>
      </c>
      <c r="BV5" s="95" t="s">
        <v>28</v>
      </c>
      <c r="BW5" s="95" t="s">
        <v>694</v>
      </c>
      <c r="BX5" s="95"/>
      <c r="BY5" s="95"/>
      <c r="BZ5" s="95" t="s">
        <v>695</v>
      </c>
      <c r="CA5" s="95"/>
      <c r="CB5" s="95"/>
      <c r="CC5" s="95" t="s">
        <v>1633</v>
      </c>
      <c r="CD5" s="94" t="s">
        <v>148</v>
      </c>
      <c r="CE5" s="15"/>
    </row>
    <row r="6" spans="1:83" ht="22.5" customHeight="1" x14ac:dyDescent="0.3">
      <c r="A6" s="28" t="s">
        <v>13</v>
      </c>
      <c r="B6" s="17">
        <v>1</v>
      </c>
      <c r="C6" s="17" t="s">
        <v>170</v>
      </c>
      <c r="D6" s="17">
        <v>0</v>
      </c>
      <c r="E6" s="17">
        <v>0.01</v>
      </c>
      <c r="F6" s="17">
        <v>0</v>
      </c>
      <c r="G6" s="17">
        <v>1.4999999999999999E-2</v>
      </c>
      <c r="H6" s="17" t="s">
        <v>1688</v>
      </c>
      <c r="I6" s="17" t="s">
        <v>1689</v>
      </c>
      <c r="J6" s="17">
        <v>0.01</v>
      </c>
      <c r="K6" s="17" t="s">
        <v>1647</v>
      </c>
      <c r="L6" s="17" t="s">
        <v>1525</v>
      </c>
      <c r="M6" s="17" t="str">
        <f t="shared" ref="M6:M12" si="40">$K6</f>
        <v>NA</v>
      </c>
      <c r="N6" s="17" t="str">
        <f t="shared" ref="N6:N12" si="41">$L6</f>
        <v>Natur</v>
      </c>
      <c r="O6" s="17" t="str">
        <f t="shared" ref="O6:O11" si="42">$K6</f>
        <v>NA</v>
      </c>
      <c r="P6" s="17" t="str">
        <f t="shared" ref="P6:P11" si="43">$L6</f>
        <v>Natur</v>
      </c>
      <c r="Q6" s="17" t="str">
        <f t="shared" ref="Q6:Q12" si="44">$K6</f>
        <v>NA</v>
      </c>
      <c r="R6" s="17" t="str">
        <f t="shared" ref="R6:R12" si="45">$L6</f>
        <v>Natur</v>
      </c>
      <c r="S6" s="17" t="str">
        <f t="shared" ref="S6:S12" si="46">$K6</f>
        <v>NA</v>
      </c>
      <c r="T6" s="17" t="str">
        <f t="shared" ref="T6:T12" si="47">$L6</f>
        <v>Natur</v>
      </c>
      <c r="U6" s="17" t="str">
        <f>$O6</f>
        <v>NA</v>
      </c>
      <c r="V6" s="17" t="str">
        <f>$P6</f>
        <v>Natur</v>
      </c>
      <c r="W6" s="17">
        <v>0</v>
      </c>
      <c r="X6" s="17" t="s">
        <v>1317</v>
      </c>
      <c r="Y6" s="17">
        <v>1</v>
      </c>
      <c r="Z6" s="17" t="s">
        <v>1332</v>
      </c>
      <c r="AA6" s="17" t="s">
        <v>1335</v>
      </c>
      <c r="AB6" s="17" t="s">
        <v>1652</v>
      </c>
      <c r="AC6" s="17" t="s">
        <v>683</v>
      </c>
      <c r="AD6" s="17">
        <v>1</v>
      </c>
      <c r="AE6" s="17" t="s">
        <v>1422</v>
      </c>
      <c r="AF6" s="17">
        <v>0</v>
      </c>
      <c r="AG6" s="17" t="s">
        <v>1508</v>
      </c>
      <c r="AH6" s="17">
        <v>2</v>
      </c>
      <c r="AI6" s="17">
        <v>0</v>
      </c>
      <c r="AJ6" s="17" t="s">
        <v>1318</v>
      </c>
      <c r="AK6" s="17">
        <v>1</v>
      </c>
      <c r="AO6" s="17" t="s">
        <v>1447</v>
      </c>
      <c r="AP6" s="17" t="s">
        <v>1442</v>
      </c>
      <c r="AQ6" s="17">
        <v>1</v>
      </c>
      <c r="AR6" s="17">
        <v>0</v>
      </c>
      <c r="AS6" s="17" t="s">
        <v>1334</v>
      </c>
      <c r="AT6" s="17">
        <v>0</v>
      </c>
      <c r="AU6" s="17" t="s">
        <v>1508</v>
      </c>
      <c r="AV6" s="17">
        <v>2</v>
      </c>
      <c r="AW6" s="17">
        <v>0</v>
      </c>
      <c r="AX6" s="17" t="s">
        <v>1318</v>
      </c>
      <c r="AY6" s="17">
        <v>1</v>
      </c>
      <c r="AZ6" s="17" t="s">
        <v>1447</v>
      </c>
      <c r="BA6" s="17" t="s">
        <v>1442</v>
      </c>
      <c r="BB6" s="17">
        <v>1</v>
      </c>
      <c r="BC6" s="17">
        <v>0</v>
      </c>
      <c r="BD6" s="17">
        <v>0</v>
      </c>
      <c r="BE6" s="17" t="s">
        <v>1660</v>
      </c>
      <c r="BF6" s="17">
        <v>5.0000000000000001E-3</v>
      </c>
      <c r="BG6" s="241">
        <v>0</v>
      </c>
      <c r="BH6" s="17" t="s">
        <v>134</v>
      </c>
      <c r="BI6" s="17" t="s">
        <v>134</v>
      </c>
      <c r="BJ6" s="17" t="s">
        <v>134</v>
      </c>
      <c r="BK6" s="17" t="s">
        <v>134</v>
      </c>
      <c r="BL6" s="17" t="s">
        <v>134</v>
      </c>
      <c r="BM6" s="17" t="s">
        <v>134</v>
      </c>
      <c r="BN6" s="17" t="s">
        <v>134</v>
      </c>
      <c r="BO6" s="17" t="s">
        <v>134</v>
      </c>
      <c r="BP6" s="17" t="s">
        <v>134</v>
      </c>
      <c r="BQ6" s="17" t="s">
        <v>134</v>
      </c>
      <c r="BR6" s="17" t="s">
        <v>134</v>
      </c>
      <c r="BS6" s="17" t="s">
        <v>134</v>
      </c>
      <c r="BW6" s="17">
        <v>1</v>
      </c>
      <c r="BX6" s="17" t="str">
        <f>"Typ "&amp;BW6</f>
        <v>Typ 1</v>
      </c>
      <c r="BY6" s="17">
        <v>1</v>
      </c>
      <c r="BZ6" s="17">
        <v>1</v>
      </c>
      <c r="CA6" s="17" t="str">
        <f>"Typ "&amp;BZ6</f>
        <v>Typ 1</v>
      </c>
      <c r="CB6" s="17">
        <v>1</v>
      </c>
      <c r="CC6" s="17">
        <v>0</v>
      </c>
      <c r="CD6" s="94" t="s">
        <v>89</v>
      </c>
    </row>
    <row r="7" spans="1:83" ht="22.5" customHeight="1" x14ac:dyDescent="0.3">
      <c r="A7" s="28"/>
      <c r="B7" s="17">
        <v>4</v>
      </c>
      <c r="C7" s="17" t="s">
        <v>175</v>
      </c>
      <c r="D7" s="17">
        <v>1</v>
      </c>
      <c r="E7" s="17">
        <v>0.03</v>
      </c>
      <c r="F7" s="17">
        <v>8.9999999999999993E-3</v>
      </c>
      <c r="G7" s="17">
        <v>1.6500000000000001E-2</v>
      </c>
      <c r="H7" s="17" t="s">
        <v>1685</v>
      </c>
      <c r="I7" s="17" t="s">
        <v>1681</v>
      </c>
      <c r="J7" s="17">
        <v>3.5000000000000003E-2</v>
      </c>
      <c r="K7" s="17" t="s">
        <v>1643</v>
      </c>
      <c r="L7" s="17" t="s">
        <v>630</v>
      </c>
      <c r="M7" s="17" t="str">
        <f t="shared" si="40"/>
        <v>AN</v>
      </c>
      <c r="N7" s="17" t="str">
        <f t="shared" si="41"/>
        <v>Anstrich</v>
      </c>
      <c r="O7" s="17" t="str">
        <f t="shared" si="42"/>
        <v>AN</v>
      </c>
      <c r="P7" s="17" t="str">
        <f t="shared" si="43"/>
        <v>Anstrich</v>
      </c>
      <c r="Q7" s="17" t="str">
        <f t="shared" si="44"/>
        <v>AN</v>
      </c>
      <c r="R7" s="17" t="str">
        <f t="shared" si="45"/>
        <v>Anstrich</v>
      </c>
      <c r="S7" s="17" t="str">
        <f t="shared" si="46"/>
        <v>AN</v>
      </c>
      <c r="T7" s="17" t="str">
        <f t="shared" si="47"/>
        <v>Anstrich</v>
      </c>
      <c r="U7" s="17" t="str">
        <f t="shared" ref="U7:U15" si="48">$O7</f>
        <v>AN</v>
      </c>
      <c r="V7" s="17" t="str">
        <f t="shared" ref="V7:V15" si="49">$P7</f>
        <v>Anstrich</v>
      </c>
      <c r="W7" s="17">
        <v>1</v>
      </c>
      <c r="X7" s="17" t="s">
        <v>1318</v>
      </c>
      <c r="Y7" s="17">
        <v>2</v>
      </c>
      <c r="Z7" s="17" t="s">
        <v>1333</v>
      </c>
      <c r="AA7" s="17" t="s">
        <v>1336</v>
      </c>
      <c r="AB7" s="17" t="s">
        <v>1653</v>
      </c>
      <c r="AC7" s="17" t="s">
        <v>1641</v>
      </c>
      <c r="AD7" s="17">
        <v>2</v>
      </c>
      <c r="AE7" s="17" t="s">
        <v>1423</v>
      </c>
      <c r="AF7" s="17">
        <v>1</v>
      </c>
      <c r="AG7" s="17" t="s">
        <v>1509</v>
      </c>
      <c r="AH7" s="17">
        <v>3</v>
      </c>
      <c r="AI7" s="17">
        <v>2</v>
      </c>
      <c r="AJ7" s="17" t="s">
        <v>1365</v>
      </c>
      <c r="AK7" s="17">
        <v>3</v>
      </c>
      <c r="AO7" s="17" t="s">
        <v>1448</v>
      </c>
      <c r="AP7" s="17" t="s">
        <v>1443</v>
      </c>
      <c r="AQ7" s="17">
        <v>2</v>
      </c>
      <c r="AR7" s="17">
        <v>1</v>
      </c>
      <c r="AS7" s="17" t="s">
        <v>1357</v>
      </c>
      <c r="AT7" s="17">
        <v>1</v>
      </c>
      <c r="AU7" s="17" t="s">
        <v>1509</v>
      </c>
      <c r="AV7" s="17">
        <v>3</v>
      </c>
      <c r="AW7" s="17">
        <v>2</v>
      </c>
      <c r="AX7" s="17" t="s">
        <v>1365</v>
      </c>
      <c r="AY7" s="17">
        <v>3</v>
      </c>
      <c r="AZ7" s="17" t="s">
        <v>1448</v>
      </c>
      <c r="BA7" s="17" t="s">
        <v>1443</v>
      </c>
      <c r="BB7" s="17">
        <v>2</v>
      </c>
      <c r="BC7" s="17">
        <v>10</v>
      </c>
      <c r="BD7" s="17">
        <v>1</v>
      </c>
      <c r="BE7" s="17" t="s">
        <v>1694</v>
      </c>
      <c r="BF7" s="17">
        <v>0.01</v>
      </c>
      <c r="BG7" s="17">
        <v>1</v>
      </c>
      <c r="BW7" s="17">
        <v>2</v>
      </c>
      <c r="BX7" s="17" t="str">
        <f t="shared" ref="BX7:BX31" si="50">"Typ "&amp;BW7</f>
        <v>Typ 2</v>
      </c>
      <c r="BY7" s="17">
        <v>2</v>
      </c>
      <c r="BZ7" s="17">
        <v>2</v>
      </c>
      <c r="CA7" s="17" t="str">
        <f t="shared" ref="CA7:CA31" si="51">"Typ "&amp;BZ7</f>
        <v>Typ 2</v>
      </c>
      <c r="CB7" s="17">
        <v>2</v>
      </c>
      <c r="CC7" s="17">
        <v>1</v>
      </c>
      <c r="CD7" s="33"/>
    </row>
    <row r="8" spans="1:83" ht="22.5" customHeight="1" x14ac:dyDescent="0.3">
      <c r="D8" s="17">
        <v>2</v>
      </c>
      <c r="E8" s="17">
        <v>3.5000000000000003E-2</v>
      </c>
      <c r="F8" s="17">
        <v>1.2999999999999999E-2</v>
      </c>
      <c r="G8" s="17">
        <v>1.7999999999999999E-2</v>
      </c>
      <c r="H8" s="17" t="s">
        <v>1686</v>
      </c>
      <c r="I8" s="17" t="s">
        <v>1682</v>
      </c>
      <c r="J8" s="17">
        <v>0.1</v>
      </c>
      <c r="K8" s="17" t="s">
        <v>1644</v>
      </c>
      <c r="L8" s="17" t="s">
        <v>1522</v>
      </c>
      <c r="M8" s="17" t="str">
        <f t="shared" si="40"/>
        <v>BE</v>
      </c>
      <c r="N8" s="17" t="str">
        <f t="shared" si="41"/>
        <v>Beschichtung</v>
      </c>
      <c r="O8" s="17" t="str">
        <f t="shared" si="42"/>
        <v>BE</v>
      </c>
      <c r="P8" s="17" t="str">
        <f t="shared" si="43"/>
        <v>Beschichtung</v>
      </c>
      <c r="Q8" s="17" t="str">
        <f t="shared" si="44"/>
        <v>BE</v>
      </c>
      <c r="R8" s="17" t="str">
        <f t="shared" si="45"/>
        <v>Beschichtung</v>
      </c>
      <c r="S8" s="17" t="str">
        <f t="shared" si="46"/>
        <v>BE</v>
      </c>
      <c r="T8" s="17" t="str">
        <f t="shared" si="47"/>
        <v>Beschichtung</v>
      </c>
      <c r="U8" s="17" t="str">
        <f t="shared" si="48"/>
        <v>BE</v>
      </c>
      <c r="V8" s="17" t="str">
        <f t="shared" si="49"/>
        <v>Beschichtung</v>
      </c>
      <c r="W8" s="17">
        <v>2</v>
      </c>
      <c r="X8" s="17" t="s">
        <v>1319</v>
      </c>
      <c r="Y8" s="17">
        <v>3</v>
      </c>
      <c r="Z8" s="17" t="s">
        <v>1639</v>
      </c>
      <c r="AA8" s="17" t="s">
        <v>1640</v>
      </c>
      <c r="AB8" s="17" t="s">
        <v>1654</v>
      </c>
      <c r="AC8" s="17" t="s">
        <v>1642</v>
      </c>
      <c r="AD8" s="17">
        <v>3</v>
      </c>
      <c r="AE8" s="17" t="s">
        <v>1424</v>
      </c>
      <c r="AF8" s="17">
        <v>2</v>
      </c>
      <c r="AG8" s="17" t="s">
        <v>1510</v>
      </c>
      <c r="AH8" s="17">
        <v>4</v>
      </c>
      <c r="AI8" s="17">
        <v>4</v>
      </c>
      <c r="AJ8" s="17" t="s">
        <v>1364</v>
      </c>
      <c r="AK8" s="17">
        <v>7</v>
      </c>
      <c r="AO8" s="17" t="s">
        <v>1551</v>
      </c>
      <c r="AP8" s="17" t="s">
        <v>1552</v>
      </c>
      <c r="AQ8" s="17">
        <v>3</v>
      </c>
      <c r="AR8" s="17">
        <v>2</v>
      </c>
      <c r="AS8" s="17" t="s">
        <v>1358</v>
      </c>
      <c r="AT8" s="17">
        <v>2</v>
      </c>
      <c r="AU8" s="17" t="s">
        <v>1510</v>
      </c>
      <c r="AV8" s="17">
        <v>4</v>
      </c>
      <c r="AW8" s="17">
        <v>4</v>
      </c>
      <c r="AX8" s="17" t="s">
        <v>1364</v>
      </c>
      <c r="AY8" s="17">
        <v>7</v>
      </c>
      <c r="AZ8" s="17" t="s">
        <v>1551</v>
      </c>
      <c r="BA8" s="17" t="s">
        <v>1552</v>
      </c>
      <c r="BB8" s="17">
        <v>3</v>
      </c>
      <c r="BC8" s="17">
        <v>15</v>
      </c>
      <c r="BF8" s="17">
        <v>0.02</v>
      </c>
      <c r="BG8" s="17">
        <v>2</v>
      </c>
      <c r="BW8" s="17">
        <v>3</v>
      </c>
      <c r="BX8" s="17" t="str">
        <f t="shared" si="50"/>
        <v>Typ 3</v>
      </c>
      <c r="BY8" s="17">
        <v>3</v>
      </c>
      <c r="BZ8" s="17">
        <v>3</v>
      </c>
      <c r="CA8" s="17" t="str">
        <f t="shared" si="51"/>
        <v>Typ 3</v>
      </c>
      <c r="CB8" s="17">
        <v>3</v>
      </c>
      <c r="CC8" s="17">
        <v>2</v>
      </c>
      <c r="CD8" s="33"/>
    </row>
    <row r="9" spans="1:83" ht="22.5" customHeight="1" x14ac:dyDescent="0.3">
      <c r="E9" s="17">
        <v>0.04</v>
      </c>
      <c r="G9" s="17">
        <v>2.1000000000000001E-2</v>
      </c>
      <c r="H9" s="17" t="s">
        <v>86</v>
      </c>
      <c r="I9" s="17" t="s">
        <v>1683</v>
      </c>
      <c r="K9" s="17" t="s">
        <v>1645</v>
      </c>
      <c r="L9" s="17" t="s">
        <v>1523</v>
      </c>
      <c r="M9" s="17" t="str">
        <f t="shared" si="40"/>
        <v>FU</v>
      </c>
      <c r="N9" s="17" t="str">
        <f t="shared" si="41"/>
        <v>Funier</v>
      </c>
      <c r="O9" s="17" t="str">
        <f t="shared" si="42"/>
        <v>FU</v>
      </c>
      <c r="P9" s="17" t="str">
        <f t="shared" si="43"/>
        <v>Funier</v>
      </c>
      <c r="Q9" s="17" t="str">
        <f t="shared" si="44"/>
        <v>FU</v>
      </c>
      <c r="R9" s="17" t="str">
        <f t="shared" si="45"/>
        <v>Funier</v>
      </c>
      <c r="S9" s="17" t="str">
        <f t="shared" si="46"/>
        <v>FU</v>
      </c>
      <c r="T9" s="17" t="str">
        <f t="shared" si="47"/>
        <v>Funier</v>
      </c>
      <c r="U9" s="17" t="str">
        <f t="shared" si="48"/>
        <v>FU</v>
      </c>
      <c r="V9" s="17" t="str">
        <f t="shared" si="49"/>
        <v>Funier</v>
      </c>
      <c r="W9" s="17">
        <v>3</v>
      </c>
      <c r="X9" s="17" t="s">
        <v>1320</v>
      </c>
      <c r="Y9" s="17">
        <v>4</v>
      </c>
      <c r="AB9" s="17" t="s">
        <v>1655</v>
      </c>
      <c r="AC9" s="17" t="s">
        <v>1002</v>
      </c>
      <c r="AF9" s="17">
        <v>3</v>
      </c>
      <c r="AG9" s="17" t="s">
        <v>1511</v>
      </c>
      <c r="AH9" s="17">
        <v>5</v>
      </c>
      <c r="AI9" s="17">
        <v>64</v>
      </c>
      <c r="AJ9" s="17" t="s">
        <v>1355</v>
      </c>
      <c r="AK9" s="17">
        <v>8</v>
      </c>
      <c r="AO9" s="17" t="s">
        <v>1449</v>
      </c>
      <c r="AP9" s="17" t="s">
        <v>1444</v>
      </c>
      <c r="AQ9" s="17">
        <v>1</v>
      </c>
      <c r="AT9" s="17">
        <v>3</v>
      </c>
      <c r="AU9" s="17" t="s">
        <v>1511</v>
      </c>
      <c r="AV9" s="17">
        <v>5</v>
      </c>
      <c r="AW9" s="17">
        <v>64</v>
      </c>
      <c r="AX9" s="17" t="s">
        <v>1355</v>
      </c>
      <c r="AY9" s="17">
        <v>8</v>
      </c>
      <c r="AZ9" s="17" t="s">
        <v>1449</v>
      </c>
      <c r="BA9" s="17" t="s">
        <v>1444</v>
      </c>
      <c r="BB9" s="17">
        <v>1</v>
      </c>
      <c r="BC9" s="17">
        <v>30</v>
      </c>
      <c r="BW9" s="17">
        <v>4</v>
      </c>
      <c r="BX9" s="17" t="str">
        <f t="shared" si="50"/>
        <v>Typ 4</v>
      </c>
      <c r="BY9" s="17">
        <v>4</v>
      </c>
      <c r="BZ9" s="17">
        <v>4</v>
      </c>
      <c r="CA9" s="17" t="str">
        <f t="shared" si="51"/>
        <v>Typ 4</v>
      </c>
      <c r="CB9" s="17">
        <v>4</v>
      </c>
      <c r="CC9" s="17">
        <v>3</v>
      </c>
    </row>
    <row r="10" spans="1:83" ht="22.5" customHeight="1" x14ac:dyDescent="0.3">
      <c r="E10" s="17">
        <v>4.4999999999999998E-2</v>
      </c>
      <c r="G10" s="17">
        <v>2.1999999999999999E-2</v>
      </c>
      <c r="H10" s="17" t="s">
        <v>1687</v>
      </c>
      <c r="I10" s="17" t="s">
        <v>1684</v>
      </c>
      <c r="K10" s="17" t="s">
        <v>1646</v>
      </c>
      <c r="L10" s="17" t="s">
        <v>1524</v>
      </c>
      <c r="M10" s="17" t="str">
        <f t="shared" si="40"/>
        <v>EL</v>
      </c>
      <c r="N10" s="17" t="str">
        <f t="shared" si="41"/>
        <v>Eloxiert</v>
      </c>
      <c r="O10" s="17" t="str">
        <f t="shared" si="42"/>
        <v>EL</v>
      </c>
      <c r="P10" s="17" t="str">
        <f t="shared" si="43"/>
        <v>Eloxiert</v>
      </c>
      <c r="Q10" s="17" t="str">
        <f t="shared" si="44"/>
        <v>EL</v>
      </c>
      <c r="R10" s="17" t="str">
        <f t="shared" si="45"/>
        <v>Eloxiert</v>
      </c>
      <c r="S10" s="17" t="str">
        <f t="shared" si="46"/>
        <v>EL</v>
      </c>
      <c r="T10" s="17" t="str">
        <f t="shared" si="47"/>
        <v>Eloxiert</v>
      </c>
      <c r="U10" s="17" t="str">
        <f t="shared" si="48"/>
        <v>EL</v>
      </c>
      <c r="V10" s="17" t="str">
        <f t="shared" si="49"/>
        <v>Eloxiert</v>
      </c>
      <c r="AB10" s="17" t="s">
        <v>1656</v>
      </c>
      <c r="AC10" s="17" t="s">
        <v>1623</v>
      </c>
      <c r="AI10" s="17">
        <v>128</v>
      </c>
      <c r="AJ10" s="17" t="s">
        <v>1356</v>
      </c>
      <c r="AK10" s="17">
        <v>9</v>
      </c>
      <c r="AO10" s="17" t="s">
        <v>1450</v>
      </c>
      <c r="AP10" s="17" t="s">
        <v>1553</v>
      </c>
      <c r="AQ10" s="17">
        <v>5</v>
      </c>
      <c r="AW10" s="17">
        <v>128</v>
      </c>
      <c r="AX10" s="17" t="s">
        <v>1356</v>
      </c>
      <c r="AY10" s="17">
        <v>9</v>
      </c>
      <c r="AZ10" s="17" t="s">
        <v>1450</v>
      </c>
      <c r="BA10" s="17" t="s">
        <v>1445</v>
      </c>
      <c r="BB10" s="17">
        <v>5</v>
      </c>
      <c r="BC10" s="17">
        <v>45</v>
      </c>
      <c r="BW10" s="17">
        <v>5</v>
      </c>
      <c r="BX10" s="17" t="str">
        <f t="shared" si="50"/>
        <v>Typ 5</v>
      </c>
      <c r="BY10" s="17">
        <v>5</v>
      </c>
      <c r="BZ10" s="17">
        <v>5</v>
      </c>
      <c r="CA10" s="17" t="str">
        <f t="shared" si="51"/>
        <v>Typ 5</v>
      </c>
      <c r="CB10" s="17">
        <v>5</v>
      </c>
      <c r="CC10" s="17">
        <v>4</v>
      </c>
    </row>
    <row r="11" spans="1:83" ht="22.5" customHeight="1" x14ac:dyDescent="0.3">
      <c r="E11" s="17">
        <v>0.05</v>
      </c>
      <c r="G11" s="17">
        <v>0.03</v>
      </c>
      <c r="K11" s="17" t="s">
        <v>1648</v>
      </c>
      <c r="L11" s="17" t="s">
        <v>1526</v>
      </c>
      <c r="M11" s="17" t="str">
        <f t="shared" si="40"/>
        <v>HP</v>
      </c>
      <c r="N11" s="17" t="str">
        <f t="shared" si="41"/>
        <v>HPL</v>
      </c>
      <c r="O11" s="17" t="str">
        <f t="shared" si="42"/>
        <v>HP</v>
      </c>
      <c r="P11" s="17" t="str">
        <f t="shared" si="43"/>
        <v>HPL</v>
      </c>
      <c r="Q11" s="17" t="str">
        <f t="shared" si="44"/>
        <v>HP</v>
      </c>
      <c r="R11" s="17" t="str">
        <f t="shared" si="45"/>
        <v>HPL</v>
      </c>
      <c r="S11" s="17" t="str">
        <f t="shared" si="46"/>
        <v>HP</v>
      </c>
      <c r="T11" s="17" t="str">
        <f t="shared" si="47"/>
        <v>HPL</v>
      </c>
      <c r="U11" s="17" t="str">
        <f t="shared" si="48"/>
        <v>HP</v>
      </c>
      <c r="V11" s="17" t="str">
        <f t="shared" si="49"/>
        <v>HPL</v>
      </c>
      <c r="AK11" s="17">
        <v>10</v>
      </c>
      <c r="AO11" s="17" t="s">
        <v>1451</v>
      </c>
      <c r="AP11" s="17" t="s">
        <v>1554</v>
      </c>
      <c r="AQ11" s="17">
        <v>4</v>
      </c>
      <c r="AY11" s="17">
        <v>10</v>
      </c>
      <c r="AZ11" s="17" t="s">
        <v>1451</v>
      </c>
      <c r="BA11" s="17" t="s">
        <v>1446</v>
      </c>
      <c r="BB11" s="17">
        <v>4</v>
      </c>
      <c r="BC11" s="17">
        <v>60</v>
      </c>
      <c r="BW11" s="17">
        <v>6</v>
      </c>
      <c r="BX11" s="17" t="str">
        <f t="shared" si="50"/>
        <v>Typ 6</v>
      </c>
      <c r="BY11" s="17">
        <v>6</v>
      </c>
      <c r="BZ11" s="17">
        <v>6</v>
      </c>
      <c r="CA11" s="17" t="str">
        <f t="shared" si="51"/>
        <v>Typ 6</v>
      </c>
      <c r="CB11" s="17">
        <v>6</v>
      </c>
      <c r="CC11" s="17">
        <v>5</v>
      </c>
    </row>
    <row r="12" spans="1:83" ht="22.5" customHeight="1" x14ac:dyDescent="0.3">
      <c r="E12" s="17">
        <v>0.06</v>
      </c>
      <c r="K12" s="17" t="s">
        <v>1649</v>
      </c>
      <c r="L12" s="17" t="s">
        <v>1650</v>
      </c>
      <c r="M12" s="17" t="str">
        <f t="shared" si="40"/>
        <v>XX</v>
      </c>
      <c r="N12" s="17" t="str">
        <f t="shared" si="41"/>
        <v>Individuell</v>
      </c>
      <c r="O12" s="17" t="s">
        <v>1656</v>
      </c>
      <c r="P12" s="17" t="s">
        <v>1623</v>
      </c>
      <c r="Q12" s="17" t="str">
        <f t="shared" si="44"/>
        <v>XX</v>
      </c>
      <c r="R12" s="17" t="str">
        <f t="shared" si="45"/>
        <v>Individuell</v>
      </c>
      <c r="S12" s="17" t="str">
        <f t="shared" si="46"/>
        <v>XX</v>
      </c>
      <c r="T12" s="17" t="str">
        <f t="shared" si="47"/>
        <v>Individuell</v>
      </c>
      <c r="U12" s="17" t="str">
        <f t="shared" si="48"/>
        <v>KU</v>
      </c>
      <c r="V12" s="17" t="str">
        <f t="shared" si="49"/>
        <v>Kunststoff</v>
      </c>
      <c r="AL12" s="17">
        <v>8</v>
      </c>
      <c r="AM12" s="17" t="s">
        <v>1359</v>
      </c>
      <c r="AN12" s="17">
        <v>4</v>
      </c>
      <c r="BC12" s="17">
        <v>90</v>
      </c>
      <c r="BW12" s="17">
        <v>7</v>
      </c>
      <c r="BX12" s="17" t="str">
        <f t="shared" si="50"/>
        <v>Typ 7</v>
      </c>
      <c r="BY12" s="17">
        <v>7</v>
      </c>
      <c r="BZ12" s="17">
        <v>7</v>
      </c>
      <c r="CA12" s="17" t="str">
        <f t="shared" si="51"/>
        <v>Typ 7</v>
      </c>
      <c r="CB12" s="17">
        <v>7</v>
      </c>
      <c r="CC12" s="17">
        <v>6</v>
      </c>
    </row>
    <row r="13" spans="1:83" ht="22.5" customHeight="1" x14ac:dyDescent="0.3">
      <c r="O13" s="17" t="s">
        <v>1690</v>
      </c>
      <c r="P13" s="17" t="s">
        <v>1691</v>
      </c>
      <c r="U13" s="17" t="str">
        <f t="shared" si="48"/>
        <v>AB</v>
      </c>
      <c r="V13" s="17" t="str">
        <f t="shared" si="49"/>
        <v>ABS</v>
      </c>
      <c r="AL13" s="17">
        <v>16</v>
      </c>
      <c r="AM13" s="17" t="s">
        <v>1360</v>
      </c>
      <c r="AN13" s="17">
        <v>5</v>
      </c>
      <c r="BW13" s="17">
        <v>8</v>
      </c>
      <c r="BX13" s="17" t="str">
        <f t="shared" si="50"/>
        <v>Typ 8</v>
      </c>
      <c r="BY13" s="17">
        <v>8</v>
      </c>
      <c r="BZ13" s="17">
        <v>8</v>
      </c>
      <c r="CA13" s="17" t="str">
        <f t="shared" si="51"/>
        <v>Typ 8</v>
      </c>
      <c r="CB13" s="17">
        <v>8</v>
      </c>
      <c r="CC13" s="17">
        <v>7</v>
      </c>
    </row>
    <row r="14" spans="1:83" ht="22.5" customHeight="1" x14ac:dyDescent="0.3">
      <c r="O14" s="17" t="s">
        <v>1692</v>
      </c>
      <c r="P14" s="17" t="s">
        <v>1693</v>
      </c>
      <c r="U14" s="17" t="str">
        <f t="shared" si="48"/>
        <v>PU</v>
      </c>
      <c r="V14" s="17" t="str">
        <f t="shared" si="49"/>
        <v>Angegossen/PU</v>
      </c>
      <c r="AL14" s="17">
        <v>24</v>
      </c>
      <c r="AM14" s="17" t="s">
        <v>1361</v>
      </c>
      <c r="AN14" s="17">
        <v>6</v>
      </c>
      <c r="BW14" s="17">
        <v>9</v>
      </c>
      <c r="BX14" s="17" t="str">
        <f t="shared" si="50"/>
        <v>Typ 9</v>
      </c>
      <c r="BY14" s="17">
        <v>9</v>
      </c>
      <c r="BZ14" s="17">
        <v>9</v>
      </c>
      <c r="CA14" s="17" t="str">
        <f t="shared" si="51"/>
        <v>Typ 9</v>
      </c>
      <c r="CB14" s="17">
        <v>9</v>
      </c>
      <c r="CC14" s="17">
        <v>8</v>
      </c>
    </row>
    <row r="15" spans="1:83" ht="22.5" customHeight="1" x14ac:dyDescent="0.3">
      <c r="O15" s="17" t="s">
        <v>1649</v>
      </c>
      <c r="P15" s="17" t="s">
        <v>1650</v>
      </c>
      <c r="U15" s="17" t="str">
        <f t="shared" si="48"/>
        <v>XX</v>
      </c>
      <c r="V15" s="17" t="str">
        <f t="shared" si="49"/>
        <v>Individuell</v>
      </c>
      <c r="BW15" s="17">
        <v>10</v>
      </c>
      <c r="BX15" s="17" t="str">
        <f t="shared" si="50"/>
        <v>Typ 10</v>
      </c>
      <c r="BY15" s="17">
        <v>10</v>
      </c>
      <c r="BZ15" s="17">
        <v>10</v>
      </c>
      <c r="CA15" s="17" t="str">
        <f t="shared" si="51"/>
        <v>Typ 10</v>
      </c>
      <c r="CB15" s="17">
        <v>10</v>
      </c>
    </row>
    <row r="16" spans="1:83" ht="22.5" customHeight="1" x14ac:dyDescent="0.3">
      <c r="BW16" s="17">
        <v>11</v>
      </c>
      <c r="BX16" s="17" t="str">
        <f t="shared" si="50"/>
        <v>Typ 11</v>
      </c>
      <c r="BY16" s="17">
        <v>11</v>
      </c>
      <c r="BZ16" s="17">
        <v>11</v>
      </c>
      <c r="CA16" s="17" t="str">
        <f t="shared" si="51"/>
        <v>Typ 11</v>
      </c>
      <c r="CB16" s="17">
        <v>11</v>
      </c>
    </row>
    <row r="17" spans="75:80" ht="22.5" customHeight="1" x14ac:dyDescent="0.3">
      <c r="BW17" s="17">
        <v>12</v>
      </c>
      <c r="BX17" s="17" t="str">
        <f t="shared" si="50"/>
        <v>Typ 12</v>
      </c>
      <c r="BY17" s="17">
        <v>12</v>
      </c>
      <c r="BZ17" s="17">
        <v>12</v>
      </c>
      <c r="CA17" s="17" t="str">
        <f t="shared" si="51"/>
        <v>Typ 12</v>
      </c>
      <c r="CB17" s="17">
        <v>12</v>
      </c>
    </row>
    <row r="18" spans="75:80" ht="22.5" customHeight="1" x14ac:dyDescent="0.3">
      <c r="BW18" s="17">
        <v>13</v>
      </c>
      <c r="BX18" s="17" t="str">
        <f t="shared" si="50"/>
        <v>Typ 13</v>
      </c>
      <c r="BY18" s="17">
        <v>13</v>
      </c>
      <c r="BZ18" s="17">
        <v>13</v>
      </c>
      <c r="CA18" s="17" t="str">
        <f t="shared" si="51"/>
        <v>Typ 13</v>
      </c>
      <c r="CB18" s="17">
        <v>13</v>
      </c>
    </row>
    <row r="19" spans="75:80" ht="22.5" customHeight="1" x14ac:dyDescent="0.3">
      <c r="BW19" s="17">
        <v>14</v>
      </c>
      <c r="BX19" s="17" t="str">
        <f t="shared" si="50"/>
        <v>Typ 14</v>
      </c>
      <c r="BY19" s="17">
        <v>14</v>
      </c>
      <c r="BZ19" s="17">
        <v>14</v>
      </c>
      <c r="CA19" s="17" t="str">
        <f t="shared" si="51"/>
        <v>Typ 14</v>
      </c>
      <c r="CB19" s="17">
        <v>14</v>
      </c>
    </row>
    <row r="20" spans="75:80" ht="22.5" customHeight="1" x14ac:dyDescent="0.3">
      <c r="BW20" s="17">
        <v>15</v>
      </c>
      <c r="BX20" s="17" t="str">
        <f t="shared" si="50"/>
        <v>Typ 15</v>
      </c>
      <c r="BY20" s="17">
        <v>15</v>
      </c>
      <c r="BZ20" s="17">
        <v>15</v>
      </c>
      <c r="CA20" s="17" t="str">
        <f t="shared" si="51"/>
        <v>Typ 15</v>
      </c>
      <c r="CB20" s="17">
        <v>15</v>
      </c>
    </row>
    <row r="21" spans="75:80" ht="22.5" customHeight="1" x14ac:dyDescent="0.3">
      <c r="BW21" s="17">
        <v>16</v>
      </c>
      <c r="BX21" s="17" t="str">
        <f t="shared" si="50"/>
        <v>Typ 16</v>
      </c>
      <c r="BY21" s="17">
        <v>16</v>
      </c>
      <c r="BZ21" s="17">
        <v>16</v>
      </c>
      <c r="CA21" s="17" t="str">
        <f t="shared" si="51"/>
        <v>Typ 16</v>
      </c>
      <c r="CB21" s="17">
        <v>16</v>
      </c>
    </row>
    <row r="22" spans="75:80" ht="22.5" customHeight="1" x14ac:dyDescent="0.3">
      <c r="BW22" s="17">
        <v>17</v>
      </c>
      <c r="BX22" s="17" t="str">
        <f t="shared" si="50"/>
        <v>Typ 17</v>
      </c>
      <c r="BY22" s="17">
        <v>17</v>
      </c>
      <c r="BZ22" s="17">
        <v>17</v>
      </c>
      <c r="CA22" s="17" t="str">
        <f t="shared" si="51"/>
        <v>Typ 17</v>
      </c>
      <c r="CB22" s="17">
        <v>17</v>
      </c>
    </row>
    <row r="23" spans="75:80" ht="22.5" customHeight="1" x14ac:dyDescent="0.3">
      <c r="BW23" s="17">
        <v>18</v>
      </c>
      <c r="BX23" s="17" t="str">
        <f t="shared" si="50"/>
        <v>Typ 18</v>
      </c>
      <c r="BY23" s="17">
        <v>18</v>
      </c>
      <c r="BZ23" s="17">
        <v>18</v>
      </c>
      <c r="CA23" s="17" t="str">
        <f t="shared" si="51"/>
        <v>Typ 18</v>
      </c>
      <c r="CB23" s="17">
        <v>18</v>
      </c>
    </row>
    <row r="24" spans="75:80" ht="22.5" customHeight="1" x14ac:dyDescent="0.3">
      <c r="BW24" s="17">
        <v>19</v>
      </c>
      <c r="BX24" s="17" t="str">
        <f t="shared" si="50"/>
        <v>Typ 19</v>
      </c>
      <c r="BY24" s="17">
        <v>19</v>
      </c>
      <c r="BZ24" s="17">
        <v>19</v>
      </c>
      <c r="CA24" s="17" t="str">
        <f t="shared" si="51"/>
        <v>Typ 19</v>
      </c>
      <c r="CB24" s="17">
        <v>19</v>
      </c>
    </row>
    <row r="25" spans="75:80" ht="22.5" customHeight="1" x14ac:dyDescent="0.3">
      <c r="BW25" s="17">
        <v>20</v>
      </c>
      <c r="BX25" s="17" t="str">
        <f t="shared" si="50"/>
        <v>Typ 20</v>
      </c>
      <c r="BY25" s="17">
        <v>20</v>
      </c>
      <c r="BZ25" s="17">
        <v>20</v>
      </c>
      <c r="CA25" s="17" t="str">
        <f t="shared" si="51"/>
        <v>Typ 20</v>
      </c>
      <c r="CB25" s="17">
        <v>20</v>
      </c>
    </row>
    <row r="26" spans="75:80" ht="22.5" customHeight="1" x14ac:dyDescent="0.3">
      <c r="BW26" s="17">
        <v>21</v>
      </c>
      <c r="BX26" s="17" t="str">
        <f t="shared" si="50"/>
        <v>Typ 21</v>
      </c>
      <c r="BY26" s="17">
        <v>21</v>
      </c>
      <c r="BZ26" s="17">
        <v>21</v>
      </c>
      <c r="CA26" s="17" t="str">
        <f t="shared" si="51"/>
        <v>Typ 21</v>
      </c>
      <c r="CB26" s="17">
        <v>21</v>
      </c>
    </row>
    <row r="27" spans="75:80" ht="22.5" customHeight="1" x14ac:dyDescent="0.3">
      <c r="BW27" s="17">
        <v>22</v>
      </c>
      <c r="BX27" s="17" t="str">
        <f t="shared" si="50"/>
        <v>Typ 22</v>
      </c>
      <c r="BY27" s="17">
        <v>22</v>
      </c>
      <c r="BZ27" s="17">
        <v>22</v>
      </c>
      <c r="CA27" s="17" t="str">
        <f t="shared" si="51"/>
        <v>Typ 22</v>
      </c>
      <c r="CB27" s="17">
        <v>22</v>
      </c>
    </row>
    <row r="28" spans="75:80" ht="22.5" customHeight="1" x14ac:dyDescent="0.3">
      <c r="BW28" s="17">
        <v>23</v>
      </c>
      <c r="BX28" s="17" t="str">
        <f t="shared" si="50"/>
        <v>Typ 23</v>
      </c>
      <c r="BY28" s="17">
        <v>23</v>
      </c>
      <c r="BZ28" s="17">
        <v>23</v>
      </c>
      <c r="CA28" s="17" t="str">
        <f t="shared" si="51"/>
        <v>Typ 23</v>
      </c>
      <c r="CB28" s="17">
        <v>23</v>
      </c>
    </row>
    <row r="29" spans="75:80" ht="22.5" customHeight="1" x14ac:dyDescent="0.3">
      <c r="BW29" s="17">
        <v>24</v>
      </c>
      <c r="BX29" s="17" t="str">
        <f t="shared" si="50"/>
        <v>Typ 24</v>
      </c>
      <c r="BY29" s="17">
        <v>24</v>
      </c>
      <c r="BZ29" s="17">
        <v>24</v>
      </c>
      <c r="CA29" s="17" t="str">
        <f t="shared" si="51"/>
        <v>Typ 24</v>
      </c>
      <c r="CB29" s="17">
        <v>24</v>
      </c>
    </row>
    <row r="30" spans="75:80" ht="22.5" customHeight="1" x14ac:dyDescent="0.3">
      <c r="BW30" s="17">
        <v>25</v>
      </c>
      <c r="BX30" s="17" t="str">
        <f t="shared" si="50"/>
        <v>Typ 25</v>
      </c>
      <c r="BY30" s="17">
        <v>25</v>
      </c>
      <c r="BZ30" s="17">
        <v>25</v>
      </c>
      <c r="CA30" s="17" t="str">
        <f t="shared" si="51"/>
        <v>Typ 25</v>
      </c>
      <c r="CB30" s="17">
        <v>25</v>
      </c>
    </row>
    <row r="31" spans="75:80" ht="22.5" customHeight="1" x14ac:dyDescent="0.3">
      <c r="BW31" s="17">
        <v>26</v>
      </c>
      <c r="BX31" s="17" t="str">
        <f t="shared" si="50"/>
        <v>Typ 26</v>
      </c>
      <c r="BY31" s="17">
        <v>26</v>
      </c>
      <c r="BZ31" s="17">
        <v>26</v>
      </c>
      <c r="CA31" s="17" t="str">
        <f t="shared" si="51"/>
        <v>Typ 26</v>
      </c>
      <c r="CB31" s="17">
        <v>26</v>
      </c>
    </row>
    <row r="32" spans="75:80" ht="22.5" customHeight="1" x14ac:dyDescent="0.3">
      <c r="BW32" s="17">
        <v>27</v>
      </c>
      <c r="BX32" s="17" t="s">
        <v>1341</v>
      </c>
      <c r="BY32" s="17">
        <v>27</v>
      </c>
      <c r="BZ32" s="17">
        <v>27</v>
      </c>
      <c r="CA32" s="17" t="s">
        <v>1341</v>
      </c>
      <c r="CB32" s="17">
        <v>27</v>
      </c>
    </row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81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222"/>
  <sheetViews>
    <sheetView zoomScale="110" zoomScaleNormal="110" workbookViewId="0">
      <selection activeCell="A4" sqref="A4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40.109375" customWidth="1"/>
    <col min="5" max="5" width="18.664062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1745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  <c r="E4" s="248" t="str">
        <f t="shared" ref="E4" si="0">IF(LEN($C4)-LEN(D4)&lt;0,TEXT(LEN(D4)/LEN($C4),"0 %")&amp;" ("&amp;LEN(D4)-LEN($C4)&amp;")","")</f>
        <v/>
      </c>
    </row>
    <row r="5" spans="1:5" s="114" customFormat="1" x14ac:dyDescent="0.3">
      <c r="A5" s="122" t="s">
        <v>1753</v>
      </c>
      <c r="B5" s="115">
        <v>1</v>
      </c>
      <c r="C5" s="123" t="s">
        <v>1754</v>
      </c>
      <c r="D5" s="123" t="s">
        <v>1907</v>
      </c>
      <c r="E5" s="248" t="str">
        <f t="shared" ref="E5:E36" si="1">IF(LEN($C5)-LEN(D5)&lt;0,TEXT(LEN(D5)/LEN($C5),"0 %")&amp;" ("&amp;LEN(D5)-LEN($C5)&amp;")","")</f>
        <v>106 % (1)</v>
      </c>
    </row>
    <row r="6" spans="1:5" s="114" customFormat="1" x14ac:dyDescent="0.3">
      <c r="A6" s="122" t="s">
        <v>1753</v>
      </c>
      <c r="B6" s="115">
        <v>2</v>
      </c>
      <c r="C6" s="123" t="s">
        <v>1755</v>
      </c>
      <c r="D6" s="123" t="s">
        <v>1909</v>
      </c>
      <c r="E6" s="248" t="str">
        <f t="shared" si="1"/>
        <v/>
      </c>
    </row>
    <row r="7" spans="1:5" s="114" customFormat="1" x14ac:dyDescent="0.3">
      <c r="A7" s="122" t="s">
        <v>1753</v>
      </c>
      <c r="B7" s="115">
        <v>3</v>
      </c>
      <c r="C7" s="123" t="s">
        <v>1756</v>
      </c>
      <c r="D7" s="123" t="s">
        <v>1756</v>
      </c>
      <c r="E7" s="248" t="str">
        <f t="shared" si="1"/>
        <v/>
      </c>
    </row>
    <row r="8" spans="1:5" s="114" customFormat="1" x14ac:dyDescent="0.3">
      <c r="A8" s="122" t="s">
        <v>1753</v>
      </c>
      <c r="B8" s="115">
        <v>4</v>
      </c>
      <c r="C8" s="123" t="s">
        <v>1757</v>
      </c>
      <c r="D8" s="123" t="s">
        <v>1757</v>
      </c>
      <c r="E8" s="248" t="str">
        <f t="shared" si="1"/>
        <v/>
      </c>
    </row>
    <row r="9" spans="1:5" s="114" customFormat="1" x14ac:dyDescent="0.3">
      <c r="A9" s="122" t="s">
        <v>1753</v>
      </c>
      <c r="B9" s="115">
        <v>5</v>
      </c>
      <c r="C9" s="123" t="s">
        <v>1758</v>
      </c>
      <c r="D9" s="123" t="s">
        <v>1758</v>
      </c>
      <c r="E9" s="248" t="str">
        <f t="shared" si="1"/>
        <v/>
      </c>
    </row>
    <row r="10" spans="1:5" s="114" customFormat="1" x14ac:dyDescent="0.3">
      <c r="A10" s="122" t="s">
        <v>1753</v>
      </c>
      <c r="B10" s="115">
        <v>6</v>
      </c>
      <c r="C10" s="123" t="s">
        <v>1759</v>
      </c>
      <c r="D10" s="123" t="s">
        <v>1759</v>
      </c>
      <c r="E10" s="248" t="str">
        <f t="shared" si="1"/>
        <v/>
      </c>
    </row>
    <row r="11" spans="1:5" s="114" customFormat="1" x14ac:dyDescent="0.3">
      <c r="A11" s="122" t="s">
        <v>1753</v>
      </c>
      <c r="B11" s="115">
        <v>7</v>
      </c>
      <c r="C11" s="123" t="s">
        <v>1760</v>
      </c>
      <c r="D11" s="123" t="s">
        <v>1760</v>
      </c>
      <c r="E11" s="248" t="str">
        <f t="shared" si="1"/>
        <v/>
      </c>
    </row>
    <row r="12" spans="1:5" s="114" customFormat="1" x14ac:dyDescent="0.3">
      <c r="A12" s="122" t="s">
        <v>1753</v>
      </c>
      <c r="B12" s="115">
        <v>8</v>
      </c>
      <c r="C12" s="123" t="s">
        <v>1761</v>
      </c>
      <c r="D12" s="123" t="s">
        <v>1761</v>
      </c>
      <c r="E12" s="248" t="str">
        <f t="shared" si="1"/>
        <v/>
      </c>
    </row>
    <row r="13" spans="1:5" s="123" customFormat="1" x14ac:dyDescent="0.3">
      <c r="A13" s="122" t="s">
        <v>1753</v>
      </c>
      <c r="B13" s="115">
        <v>9</v>
      </c>
      <c r="C13" s="123" t="s">
        <v>1762</v>
      </c>
      <c r="D13" s="123" t="s">
        <v>1762</v>
      </c>
      <c r="E13" s="248" t="str">
        <f t="shared" si="1"/>
        <v/>
      </c>
    </row>
    <row r="14" spans="1:5" s="123" customFormat="1" x14ac:dyDescent="0.3">
      <c r="A14" s="122" t="s">
        <v>1753</v>
      </c>
      <c r="B14" s="115">
        <v>10</v>
      </c>
      <c r="C14" s="123" t="s">
        <v>1763</v>
      </c>
      <c r="D14" s="123" t="s">
        <v>1763</v>
      </c>
      <c r="E14" s="248" t="str">
        <f t="shared" si="1"/>
        <v/>
      </c>
    </row>
    <row r="15" spans="1:5" s="123" customFormat="1" x14ac:dyDescent="0.3">
      <c r="A15" s="122" t="s">
        <v>1753</v>
      </c>
      <c r="B15" s="115">
        <v>11</v>
      </c>
      <c r="C15" s="123" t="s">
        <v>1764</v>
      </c>
      <c r="D15" s="123" t="s">
        <v>1764</v>
      </c>
      <c r="E15" s="248" t="str">
        <f t="shared" si="1"/>
        <v/>
      </c>
    </row>
    <row r="16" spans="1:5" s="123" customFormat="1" x14ac:dyDescent="0.3">
      <c r="A16" s="122" t="s">
        <v>1753</v>
      </c>
      <c r="B16" s="115">
        <v>12</v>
      </c>
      <c r="C16" s="123" t="s">
        <v>1765</v>
      </c>
      <c r="D16" s="123" t="s">
        <v>1765</v>
      </c>
      <c r="E16" s="248" t="str">
        <f t="shared" si="1"/>
        <v/>
      </c>
    </row>
    <row r="17" spans="1:5" s="123" customFormat="1" x14ac:dyDescent="0.3">
      <c r="A17" s="122" t="s">
        <v>1753</v>
      </c>
      <c r="B17" s="115">
        <v>13</v>
      </c>
      <c r="C17" s="123" t="s">
        <v>1766</v>
      </c>
      <c r="D17" s="123" t="s">
        <v>1766</v>
      </c>
      <c r="E17" s="248" t="str">
        <f t="shared" si="1"/>
        <v/>
      </c>
    </row>
    <row r="18" spans="1:5" s="123" customFormat="1" x14ac:dyDescent="0.3">
      <c r="A18" s="122" t="s">
        <v>1753</v>
      </c>
      <c r="B18" s="115">
        <v>14</v>
      </c>
      <c r="C18" s="123" t="s">
        <v>1767</v>
      </c>
      <c r="D18" s="123" t="s">
        <v>1767</v>
      </c>
      <c r="E18" s="248" t="str">
        <f t="shared" si="1"/>
        <v/>
      </c>
    </row>
    <row r="19" spans="1:5" s="123" customFormat="1" x14ac:dyDescent="0.3">
      <c r="A19" s="122" t="s">
        <v>1753</v>
      </c>
      <c r="B19" s="115">
        <v>15</v>
      </c>
      <c r="C19" s="123" t="s">
        <v>1768</v>
      </c>
      <c r="D19" s="123" t="s">
        <v>1768</v>
      </c>
      <c r="E19" s="248" t="str">
        <f t="shared" si="1"/>
        <v/>
      </c>
    </row>
    <row r="20" spans="1:5" s="123" customFormat="1" x14ac:dyDescent="0.3">
      <c r="A20" s="122" t="s">
        <v>1753</v>
      </c>
      <c r="B20" s="115">
        <v>16</v>
      </c>
      <c r="C20" s="123" t="s">
        <v>1769</v>
      </c>
      <c r="D20" s="123" t="s">
        <v>1769</v>
      </c>
      <c r="E20" s="248" t="str">
        <f t="shared" si="1"/>
        <v/>
      </c>
    </row>
    <row r="21" spans="1:5" s="123" customFormat="1" x14ac:dyDescent="0.3">
      <c r="A21" s="122" t="s">
        <v>1753</v>
      </c>
      <c r="B21" s="115">
        <v>17</v>
      </c>
      <c r="C21" s="123" t="s">
        <v>1770</v>
      </c>
      <c r="D21" s="123" t="s">
        <v>1770</v>
      </c>
      <c r="E21" s="248" t="str">
        <f t="shared" si="1"/>
        <v/>
      </c>
    </row>
    <row r="22" spans="1:5" s="123" customFormat="1" x14ac:dyDescent="0.3">
      <c r="A22" s="122" t="s">
        <v>1753</v>
      </c>
      <c r="B22" s="115">
        <v>18</v>
      </c>
      <c r="C22" s="123" t="s">
        <v>1771</v>
      </c>
      <c r="D22" s="123" t="s">
        <v>1771</v>
      </c>
      <c r="E22" s="248" t="str">
        <f t="shared" si="1"/>
        <v/>
      </c>
    </row>
    <row r="23" spans="1:5" s="123" customFormat="1" x14ac:dyDescent="0.3">
      <c r="A23" s="122" t="s">
        <v>1753</v>
      </c>
      <c r="B23" s="115">
        <v>19</v>
      </c>
      <c r="C23" s="123" t="s">
        <v>1772</v>
      </c>
      <c r="D23" s="123" t="s">
        <v>1772</v>
      </c>
      <c r="E23" s="248" t="str">
        <f t="shared" si="1"/>
        <v/>
      </c>
    </row>
    <row r="24" spans="1:5" s="123" customFormat="1" x14ac:dyDescent="0.3">
      <c r="A24" s="122" t="s">
        <v>1753</v>
      </c>
      <c r="B24" s="115">
        <v>20</v>
      </c>
      <c r="C24" s="123" t="s">
        <v>1773</v>
      </c>
      <c r="D24" s="123" t="s">
        <v>1773</v>
      </c>
      <c r="E24" s="248" t="str">
        <f t="shared" si="1"/>
        <v/>
      </c>
    </row>
    <row r="25" spans="1:5" s="123" customFormat="1" x14ac:dyDescent="0.3">
      <c r="A25" s="122" t="s">
        <v>1753</v>
      </c>
      <c r="B25" s="115">
        <v>21</v>
      </c>
      <c r="C25" s="123" t="s">
        <v>1774</v>
      </c>
      <c r="D25" s="123" t="s">
        <v>1774</v>
      </c>
      <c r="E25" s="248" t="str">
        <f t="shared" si="1"/>
        <v/>
      </c>
    </row>
    <row r="26" spans="1:5" s="123" customFormat="1" x14ac:dyDescent="0.3">
      <c r="A26" s="122" t="s">
        <v>1753</v>
      </c>
      <c r="B26" s="115">
        <v>22</v>
      </c>
      <c r="C26" s="123" t="s">
        <v>1775</v>
      </c>
      <c r="D26" s="123" t="s">
        <v>1775</v>
      </c>
      <c r="E26" s="248" t="str">
        <f t="shared" si="1"/>
        <v/>
      </c>
    </row>
    <row r="27" spans="1:5" s="123" customFormat="1" x14ac:dyDescent="0.3">
      <c r="A27" s="122" t="s">
        <v>1753</v>
      </c>
      <c r="B27" s="115">
        <v>23</v>
      </c>
      <c r="C27" s="123" t="s">
        <v>1509</v>
      </c>
      <c r="D27" s="123" t="s">
        <v>1509</v>
      </c>
      <c r="E27" s="248" t="str">
        <f t="shared" si="1"/>
        <v/>
      </c>
    </row>
    <row r="28" spans="1:5" s="123" customFormat="1" x14ac:dyDescent="0.3">
      <c r="A28" s="122" t="s">
        <v>1753</v>
      </c>
      <c r="B28" s="115">
        <v>24</v>
      </c>
      <c r="C28" s="123" t="s">
        <v>1776</v>
      </c>
      <c r="D28" s="123" t="s">
        <v>1776</v>
      </c>
      <c r="E28" s="248" t="str">
        <f t="shared" si="1"/>
        <v/>
      </c>
    </row>
    <row r="29" spans="1:5" s="123" customFormat="1" x14ac:dyDescent="0.3">
      <c r="A29" s="122" t="s">
        <v>1753</v>
      </c>
      <c r="B29" s="115">
        <v>25</v>
      </c>
      <c r="C29" s="123" t="s">
        <v>1777</v>
      </c>
      <c r="D29" s="123" t="s">
        <v>1777</v>
      </c>
      <c r="E29" s="248" t="str">
        <f t="shared" si="1"/>
        <v/>
      </c>
    </row>
    <row r="30" spans="1:5" s="123" customFormat="1" x14ac:dyDescent="0.3">
      <c r="A30" s="122" t="s">
        <v>1753</v>
      </c>
      <c r="B30" s="115">
        <v>26</v>
      </c>
      <c r="C30" s="123" t="s">
        <v>1778</v>
      </c>
      <c r="D30" s="123" t="s">
        <v>1778</v>
      </c>
      <c r="E30" s="248" t="str">
        <f t="shared" si="1"/>
        <v/>
      </c>
    </row>
    <row r="31" spans="1:5" s="123" customFormat="1" x14ac:dyDescent="0.3">
      <c r="A31" s="122" t="s">
        <v>1753</v>
      </c>
      <c r="B31" s="115">
        <v>27</v>
      </c>
      <c r="C31" s="123" t="s">
        <v>1779</v>
      </c>
      <c r="D31" s="123" t="s">
        <v>1779</v>
      </c>
      <c r="E31" s="248" t="str">
        <f t="shared" si="1"/>
        <v/>
      </c>
    </row>
    <row r="32" spans="1:5" s="123" customFormat="1" x14ac:dyDescent="0.3">
      <c r="A32" s="122" t="s">
        <v>1753</v>
      </c>
      <c r="B32" s="115">
        <v>28</v>
      </c>
      <c r="C32" s="123" t="s">
        <v>1780</v>
      </c>
      <c r="D32" s="123" t="s">
        <v>1780</v>
      </c>
      <c r="E32" s="248" t="str">
        <f t="shared" si="1"/>
        <v/>
      </c>
    </row>
    <row r="33" spans="1:5" s="123" customFormat="1" x14ac:dyDescent="0.3">
      <c r="A33" s="122" t="s">
        <v>1753</v>
      </c>
      <c r="B33" s="115">
        <v>29</v>
      </c>
      <c r="C33" s="123" t="s">
        <v>1781</v>
      </c>
      <c r="D33" s="123" t="s">
        <v>1781</v>
      </c>
      <c r="E33" s="248" t="str">
        <f t="shared" si="1"/>
        <v/>
      </c>
    </row>
    <row r="34" spans="1:5" s="123" customFormat="1" x14ac:dyDescent="0.3">
      <c r="A34" s="122" t="s">
        <v>1753</v>
      </c>
      <c r="B34" s="115">
        <v>30</v>
      </c>
      <c r="C34" s="123" t="s">
        <v>1782</v>
      </c>
      <c r="D34" s="123" t="s">
        <v>1782</v>
      </c>
      <c r="E34" s="248" t="str">
        <f t="shared" si="1"/>
        <v/>
      </c>
    </row>
    <row r="35" spans="1:5" s="123" customFormat="1" x14ac:dyDescent="0.3">
      <c r="A35" s="122" t="s">
        <v>1753</v>
      </c>
      <c r="B35" s="115">
        <v>31</v>
      </c>
      <c r="C35" s="123" t="s">
        <v>1783</v>
      </c>
      <c r="D35" s="123" t="s">
        <v>1783</v>
      </c>
      <c r="E35" s="248" t="str">
        <f t="shared" si="1"/>
        <v/>
      </c>
    </row>
    <row r="36" spans="1:5" s="123" customFormat="1" x14ac:dyDescent="0.3">
      <c r="A36" s="122" t="s">
        <v>1753</v>
      </c>
      <c r="B36" s="115">
        <v>32</v>
      </c>
      <c r="C36" s="123" t="s">
        <v>1784</v>
      </c>
      <c r="D36" s="123" t="s">
        <v>1784</v>
      </c>
      <c r="E36" s="248" t="str">
        <f t="shared" si="1"/>
        <v/>
      </c>
    </row>
    <row r="37" spans="1:5" s="123" customFormat="1" x14ac:dyDescent="0.3">
      <c r="A37" s="122" t="s">
        <v>1753</v>
      </c>
      <c r="B37" s="115">
        <v>33</v>
      </c>
      <c r="C37" s="123" t="s">
        <v>1785</v>
      </c>
      <c r="D37" s="123" t="s">
        <v>1785</v>
      </c>
      <c r="E37" s="248" t="str">
        <f t="shared" ref="E37:E68" si="2">IF(LEN($C37)-LEN(D37)&lt;0,TEXT(LEN(D37)/LEN($C37),"0 %")&amp;" ("&amp;LEN(D37)-LEN($C37)&amp;")","")</f>
        <v/>
      </c>
    </row>
    <row r="38" spans="1:5" s="123" customFormat="1" x14ac:dyDescent="0.3">
      <c r="A38" s="122" t="s">
        <v>1753</v>
      </c>
      <c r="B38" s="115">
        <v>34</v>
      </c>
      <c r="C38" s="123" t="s">
        <v>1786</v>
      </c>
      <c r="D38" s="123" t="s">
        <v>1786</v>
      </c>
      <c r="E38" s="248" t="str">
        <f t="shared" si="2"/>
        <v/>
      </c>
    </row>
    <row r="39" spans="1:5" s="123" customFormat="1" x14ac:dyDescent="0.3">
      <c r="A39" s="122" t="s">
        <v>1753</v>
      </c>
      <c r="B39" s="115">
        <v>35</v>
      </c>
      <c r="C39" s="123" t="s">
        <v>1787</v>
      </c>
      <c r="D39" s="123" t="s">
        <v>1787</v>
      </c>
      <c r="E39" s="248" t="str">
        <f t="shared" si="2"/>
        <v/>
      </c>
    </row>
    <row r="40" spans="1:5" s="123" customFormat="1" x14ac:dyDescent="0.3">
      <c r="A40" s="122" t="s">
        <v>1753</v>
      </c>
      <c r="B40" s="115">
        <v>36</v>
      </c>
      <c r="C40" s="123" t="s">
        <v>1788</v>
      </c>
      <c r="D40" s="123" t="s">
        <v>1788</v>
      </c>
      <c r="E40" s="248" t="str">
        <f t="shared" si="2"/>
        <v/>
      </c>
    </row>
    <row r="41" spans="1:5" s="123" customFormat="1" x14ac:dyDescent="0.3">
      <c r="A41" s="122" t="s">
        <v>1753</v>
      </c>
      <c r="B41" s="115">
        <v>37</v>
      </c>
      <c r="C41" s="123" t="s">
        <v>1789</v>
      </c>
      <c r="D41" s="123" t="s">
        <v>1789</v>
      </c>
      <c r="E41" s="248" t="str">
        <f t="shared" si="2"/>
        <v/>
      </c>
    </row>
    <row r="42" spans="1:5" s="123" customFormat="1" x14ac:dyDescent="0.3">
      <c r="A42" s="122" t="s">
        <v>1753</v>
      </c>
      <c r="B42" s="115">
        <v>38</v>
      </c>
      <c r="C42" s="123" t="s">
        <v>1790</v>
      </c>
      <c r="D42" s="123" t="s">
        <v>1790</v>
      </c>
      <c r="E42" s="248" t="str">
        <f t="shared" si="2"/>
        <v/>
      </c>
    </row>
    <row r="43" spans="1:5" s="123" customFormat="1" x14ac:dyDescent="0.3">
      <c r="A43" s="122" t="s">
        <v>1753</v>
      </c>
      <c r="B43" s="115">
        <v>39</v>
      </c>
      <c r="C43" s="123" t="s">
        <v>1823</v>
      </c>
      <c r="D43" s="123" t="s">
        <v>1823</v>
      </c>
      <c r="E43" s="248" t="str">
        <f t="shared" si="2"/>
        <v/>
      </c>
    </row>
    <row r="44" spans="1:5" s="123" customFormat="1" x14ac:dyDescent="0.3">
      <c r="A44" s="122" t="s">
        <v>1753</v>
      </c>
      <c r="B44" s="115">
        <v>40</v>
      </c>
      <c r="C44" s="123" t="s">
        <v>1791</v>
      </c>
      <c r="D44" s="123" t="s">
        <v>1791</v>
      </c>
      <c r="E44" s="248" t="str">
        <f t="shared" si="2"/>
        <v/>
      </c>
    </row>
    <row r="45" spans="1:5" s="123" customFormat="1" x14ac:dyDescent="0.3">
      <c r="A45" s="122" t="s">
        <v>1753</v>
      </c>
      <c r="B45" s="115">
        <v>41</v>
      </c>
      <c r="C45" s="123" t="s">
        <v>1792</v>
      </c>
      <c r="D45" s="123" t="s">
        <v>1792</v>
      </c>
      <c r="E45" s="248" t="str">
        <f t="shared" si="2"/>
        <v/>
      </c>
    </row>
    <row r="46" spans="1:5" s="123" customFormat="1" x14ac:dyDescent="0.3">
      <c r="A46" s="122" t="s">
        <v>1753</v>
      </c>
      <c r="B46" s="115">
        <v>42</v>
      </c>
      <c r="C46" s="123" t="s">
        <v>1793</v>
      </c>
      <c r="D46" s="123" t="s">
        <v>1793</v>
      </c>
      <c r="E46" s="248" t="str">
        <f t="shared" si="2"/>
        <v/>
      </c>
    </row>
    <row r="47" spans="1:5" s="123" customFormat="1" x14ac:dyDescent="0.3">
      <c r="A47" s="122" t="s">
        <v>1753</v>
      </c>
      <c r="B47" s="115">
        <v>43</v>
      </c>
      <c r="C47" s="123" t="s">
        <v>1794</v>
      </c>
      <c r="D47" s="123" t="s">
        <v>1794</v>
      </c>
      <c r="E47" s="248" t="str">
        <f t="shared" si="2"/>
        <v/>
      </c>
    </row>
    <row r="48" spans="1:5" s="123" customFormat="1" x14ac:dyDescent="0.3">
      <c r="A48" s="122" t="s">
        <v>1753</v>
      </c>
      <c r="B48" s="115">
        <v>44</v>
      </c>
      <c r="C48" s="123" t="s">
        <v>1795</v>
      </c>
      <c r="D48" s="123" t="s">
        <v>1795</v>
      </c>
      <c r="E48" s="248" t="str">
        <f t="shared" si="2"/>
        <v/>
      </c>
    </row>
    <row r="49" spans="1:5" s="123" customFormat="1" x14ac:dyDescent="0.3">
      <c r="A49" s="122" t="s">
        <v>1753</v>
      </c>
      <c r="B49" s="115">
        <v>45</v>
      </c>
      <c r="C49" s="123" t="s">
        <v>1796</v>
      </c>
      <c r="D49" s="123" t="s">
        <v>1796</v>
      </c>
      <c r="E49" s="248" t="str">
        <f t="shared" si="2"/>
        <v/>
      </c>
    </row>
    <row r="50" spans="1:5" s="123" customFormat="1" x14ac:dyDescent="0.3">
      <c r="A50" s="122" t="s">
        <v>1753</v>
      </c>
      <c r="B50" s="115">
        <v>46</v>
      </c>
      <c r="C50" s="123" t="s">
        <v>1797</v>
      </c>
      <c r="D50" s="123" t="s">
        <v>1797</v>
      </c>
      <c r="E50" s="248" t="str">
        <f t="shared" si="2"/>
        <v/>
      </c>
    </row>
    <row r="51" spans="1:5" s="123" customFormat="1" x14ac:dyDescent="0.3">
      <c r="A51" s="122" t="s">
        <v>1753</v>
      </c>
      <c r="B51" s="115">
        <v>47</v>
      </c>
      <c r="C51" s="123" t="s">
        <v>1798</v>
      </c>
      <c r="D51" s="123" t="s">
        <v>1798</v>
      </c>
      <c r="E51" s="248" t="str">
        <f t="shared" si="2"/>
        <v/>
      </c>
    </row>
    <row r="52" spans="1:5" s="123" customFormat="1" x14ac:dyDescent="0.3">
      <c r="A52" s="122" t="s">
        <v>1753</v>
      </c>
      <c r="B52" s="115">
        <v>48</v>
      </c>
      <c r="C52" s="123" t="s">
        <v>1799</v>
      </c>
      <c r="D52" s="123" t="s">
        <v>1799</v>
      </c>
      <c r="E52" s="248" t="str">
        <f t="shared" si="2"/>
        <v/>
      </c>
    </row>
    <row r="53" spans="1:5" s="123" customFormat="1" x14ac:dyDescent="0.3">
      <c r="A53" s="122" t="s">
        <v>1753</v>
      </c>
      <c r="B53" s="115">
        <v>49</v>
      </c>
      <c r="C53" s="123" t="s">
        <v>1800</v>
      </c>
      <c r="D53" s="123" t="s">
        <v>1800</v>
      </c>
      <c r="E53" s="248" t="str">
        <f t="shared" si="2"/>
        <v/>
      </c>
    </row>
    <row r="54" spans="1:5" s="123" customFormat="1" x14ac:dyDescent="0.3">
      <c r="A54" s="122" t="s">
        <v>1753</v>
      </c>
      <c r="B54" s="115">
        <v>50</v>
      </c>
      <c r="C54" s="123" t="s">
        <v>1801</v>
      </c>
      <c r="D54" s="123" t="s">
        <v>1801</v>
      </c>
      <c r="E54" s="248" t="str">
        <f t="shared" si="2"/>
        <v/>
      </c>
    </row>
    <row r="55" spans="1:5" s="123" customFormat="1" x14ac:dyDescent="0.3">
      <c r="A55" s="122" t="s">
        <v>1753</v>
      </c>
      <c r="B55" s="115">
        <v>51</v>
      </c>
      <c r="C55" s="123" t="s">
        <v>1802</v>
      </c>
      <c r="D55" s="123" t="s">
        <v>1802</v>
      </c>
      <c r="E55" s="248" t="str">
        <f t="shared" si="2"/>
        <v/>
      </c>
    </row>
    <row r="56" spans="1:5" s="123" customFormat="1" x14ac:dyDescent="0.3">
      <c r="A56" s="122" t="s">
        <v>1753</v>
      </c>
      <c r="B56" s="115">
        <v>52</v>
      </c>
      <c r="C56" s="123" t="s">
        <v>1803</v>
      </c>
      <c r="D56" s="123" t="s">
        <v>1803</v>
      </c>
      <c r="E56" s="248" t="str">
        <f t="shared" si="2"/>
        <v/>
      </c>
    </row>
    <row r="57" spans="1:5" s="123" customFormat="1" x14ac:dyDescent="0.3">
      <c r="A57" s="122" t="s">
        <v>1753</v>
      </c>
      <c r="B57" s="115">
        <v>53</v>
      </c>
      <c r="C57" s="123" t="s">
        <v>1804</v>
      </c>
      <c r="D57" s="123" t="s">
        <v>1804</v>
      </c>
      <c r="E57" s="248" t="str">
        <f t="shared" si="2"/>
        <v/>
      </c>
    </row>
    <row r="58" spans="1:5" s="123" customFormat="1" x14ac:dyDescent="0.3">
      <c r="A58" s="122" t="s">
        <v>1753</v>
      </c>
      <c r="B58" s="115">
        <v>54</v>
      </c>
      <c r="C58" s="123" t="s">
        <v>1805</v>
      </c>
      <c r="D58" s="123" t="s">
        <v>1805</v>
      </c>
      <c r="E58" s="248" t="str">
        <f t="shared" si="2"/>
        <v/>
      </c>
    </row>
    <row r="59" spans="1:5" s="123" customFormat="1" x14ac:dyDescent="0.3">
      <c r="A59" s="122" t="s">
        <v>1753</v>
      </c>
      <c r="B59" s="115">
        <v>55</v>
      </c>
      <c r="C59" s="123" t="s">
        <v>1806</v>
      </c>
      <c r="D59" s="123" t="s">
        <v>1806</v>
      </c>
      <c r="E59" s="248" t="str">
        <f t="shared" si="2"/>
        <v/>
      </c>
    </row>
    <row r="60" spans="1:5" s="123" customFormat="1" x14ac:dyDescent="0.3">
      <c r="A60" s="122" t="s">
        <v>1753</v>
      </c>
      <c r="B60" s="115">
        <v>56</v>
      </c>
      <c r="C60" s="123" t="s">
        <v>1807</v>
      </c>
      <c r="D60" s="123" t="s">
        <v>1807</v>
      </c>
      <c r="E60" s="248" t="str">
        <f t="shared" si="2"/>
        <v/>
      </c>
    </row>
    <row r="61" spans="1:5" s="123" customFormat="1" x14ac:dyDescent="0.3">
      <c r="A61" s="122" t="s">
        <v>1753</v>
      </c>
      <c r="B61" s="115">
        <v>57</v>
      </c>
      <c r="C61" s="123" t="s">
        <v>1808</v>
      </c>
      <c r="D61" s="123" t="s">
        <v>1808</v>
      </c>
      <c r="E61" s="248" t="str">
        <f t="shared" si="2"/>
        <v/>
      </c>
    </row>
    <row r="62" spans="1:5" s="123" customFormat="1" x14ac:dyDescent="0.3">
      <c r="A62" s="122" t="s">
        <v>1753</v>
      </c>
      <c r="B62" s="115">
        <v>58</v>
      </c>
      <c r="C62" s="123" t="s">
        <v>1809</v>
      </c>
      <c r="D62" s="123" t="s">
        <v>1809</v>
      </c>
      <c r="E62" s="248" t="str">
        <f t="shared" si="2"/>
        <v/>
      </c>
    </row>
    <row r="63" spans="1:5" s="123" customFormat="1" x14ac:dyDescent="0.3">
      <c r="A63" s="122" t="s">
        <v>1753</v>
      </c>
      <c r="B63" s="115">
        <v>59</v>
      </c>
      <c r="C63" s="123" t="s">
        <v>1810</v>
      </c>
      <c r="D63" s="123" t="s">
        <v>1810</v>
      </c>
      <c r="E63" s="248" t="str">
        <f t="shared" si="2"/>
        <v/>
      </c>
    </row>
    <row r="64" spans="1:5" s="123" customFormat="1" x14ac:dyDescent="0.3">
      <c r="A64" s="122" t="s">
        <v>1753</v>
      </c>
      <c r="B64" s="115">
        <v>60</v>
      </c>
      <c r="C64" s="123" t="s">
        <v>143</v>
      </c>
      <c r="D64" s="123" t="s">
        <v>143</v>
      </c>
      <c r="E64" s="248" t="str">
        <f t="shared" si="2"/>
        <v/>
      </c>
    </row>
    <row r="65" spans="1:5" s="123" customFormat="1" x14ac:dyDescent="0.3">
      <c r="A65" s="122" t="s">
        <v>1753</v>
      </c>
      <c r="B65" s="115">
        <v>61</v>
      </c>
      <c r="C65" s="123" t="s">
        <v>1811</v>
      </c>
      <c r="D65" s="123" t="s">
        <v>1811</v>
      </c>
      <c r="E65" s="248" t="str">
        <f t="shared" si="2"/>
        <v/>
      </c>
    </row>
    <row r="66" spans="1:5" s="123" customFormat="1" x14ac:dyDescent="0.3">
      <c r="A66" s="122" t="s">
        <v>1753</v>
      </c>
      <c r="B66" s="115">
        <v>62</v>
      </c>
      <c r="C66" s="123" t="s">
        <v>1812</v>
      </c>
      <c r="D66" s="123" t="s">
        <v>1812</v>
      </c>
      <c r="E66" s="248" t="str">
        <f t="shared" si="2"/>
        <v/>
      </c>
    </row>
    <row r="67" spans="1:5" s="123" customFormat="1" x14ac:dyDescent="0.3">
      <c r="A67" s="122" t="s">
        <v>1753</v>
      </c>
      <c r="B67" s="115">
        <v>63</v>
      </c>
      <c r="C67" s="123" t="s">
        <v>1813</v>
      </c>
      <c r="D67" s="123" t="s">
        <v>1813</v>
      </c>
      <c r="E67" s="248" t="str">
        <f t="shared" si="2"/>
        <v/>
      </c>
    </row>
    <row r="68" spans="1:5" s="123" customFormat="1" x14ac:dyDescent="0.3">
      <c r="A68" s="122" t="s">
        <v>1753</v>
      </c>
      <c r="B68" s="115">
        <v>63</v>
      </c>
      <c r="C68" s="123" t="s">
        <v>1814</v>
      </c>
      <c r="D68" s="123" t="s">
        <v>1814</v>
      </c>
      <c r="E68" s="248" t="str">
        <f t="shared" si="2"/>
        <v/>
      </c>
    </row>
    <row r="69" spans="1:5" s="123" customFormat="1" x14ac:dyDescent="0.3">
      <c r="A69" s="122" t="s">
        <v>1753</v>
      </c>
      <c r="B69" s="115">
        <v>64</v>
      </c>
      <c r="C69" s="123" t="s">
        <v>1815</v>
      </c>
      <c r="D69" s="123" t="s">
        <v>1815</v>
      </c>
      <c r="E69" s="248" t="str">
        <f t="shared" ref="E69:E72" si="3">IF(LEN($C69)-LEN(D69)&lt;0,TEXT(LEN(D69)/LEN($C69),"0 %")&amp;" ("&amp;LEN(D69)-LEN($C69)&amp;")","")</f>
        <v/>
      </c>
    </row>
    <row r="70" spans="1:5" s="123" customFormat="1" x14ac:dyDescent="0.3">
      <c r="A70" s="122" t="s">
        <v>1753</v>
      </c>
      <c r="B70" s="115">
        <v>65</v>
      </c>
      <c r="C70" s="123" t="s">
        <v>1816</v>
      </c>
      <c r="D70" s="123" t="s">
        <v>1816</v>
      </c>
      <c r="E70" s="248" t="str">
        <f t="shared" si="3"/>
        <v/>
      </c>
    </row>
    <row r="71" spans="1:5" s="123" customFormat="1" x14ac:dyDescent="0.3">
      <c r="A71" s="122" t="s">
        <v>1753</v>
      </c>
      <c r="B71" s="115">
        <v>66</v>
      </c>
      <c r="C71" s="123" t="s">
        <v>1817</v>
      </c>
      <c r="D71" s="123" t="s">
        <v>1817</v>
      </c>
      <c r="E71" s="248" t="str">
        <f t="shared" si="3"/>
        <v/>
      </c>
    </row>
    <row r="72" spans="1:5" s="123" customFormat="1" x14ac:dyDescent="0.3">
      <c r="A72" s="122" t="s">
        <v>1753</v>
      </c>
      <c r="B72" s="115">
        <v>67</v>
      </c>
      <c r="C72" s="123" t="s">
        <v>1818</v>
      </c>
      <c r="D72" s="123" t="s">
        <v>1818</v>
      </c>
      <c r="E72" s="248" t="str">
        <f t="shared" si="3"/>
        <v/>
      </c>
    </row>
    <row r="73" spans="1:5" s="123" customFormat="1" x14ac:dyDescent="0.3">
      <c r="A73" s="122" t="s">
        <v>1753</v>
      </c>
      <c r="B73" s="115">
        <v>68</v>
      </c>
      <c r="C73" s="123" t="s">
        <v>1910</v>
      </c>
      <c r="D73" s="123" t="s">
        <v>1918</v>
      </c>
      <c r="E73" s="248"/>
    </row>
    <row r="74" spans="1:5" s="123" customFormat="1" x14ac:dyDescent="0.3">
      <c r="A74" s="122" t="s">
        <v>1753</v>
      </c>
      <c r="B74" s="115">
        <v>69</v>
      </c>
      <c r="C74" s="123" t="s">
        <v>1911</v>
      </c>
      <c r="D74" s="123" t="s">
        <v>1919</v>
      </c>
      <c r="E74" s="248"/>
    </row>
    <row r="75" spans="1:5" s="123" customFormat="1" x14ac:dyDescent="0.3">
      <c r="A75" s="122" t="s">
        <v>1753</v>
      </c>
      <c r="B75" s="115">
        <v>71</v>
      </c>
      <c r="C75" s="123" t="s">
        <v>1819</v>
      </c>
      <c r="D75" s="123" t="s">
        <v>1819</v>
      </c>
      <c r="E75" s="248" t="str">
        <f>IF(LEN($C75)-LEN(D75)&lt;0,TEXT(LEN(D75)/LEN($C75),"0 %")&amp;" ("&amp;LEN(D75)-LEN($C75)&amp;")","")</f>
        <v/>
      </c>
    </row>
    <row r="76" spans="1:5" s="123" customFormat="1" x14ac:dyDescent="0.3">
      <c r="A76" s="122" t="s">
        <v>1753</v>
      </c>
      <c r="B76" s="115">
        <v>72</v>
      </c>
      <c r="C76" s="123" t="s">
        <v>1820</v>
      </c>
      <c r="D76" s="123" t="s">
        <v>1820</v>
      </c>
      <c r="E76" s="248" t="str">
        <f>IF(LEN($C76)-LEN(D76)&lt;0,TEXT(LEN(D76)/LEN($C76),"0 %")&amp;" ("&amp;LEN(D76)-LEN($C76)&amp;")","")</f>
        <v/>
      </c>
    </row>
    <row r="77" spans="1:5" s="123" customFormat="1" x14ac:dyDescent="0.3">
      <c r="A77" s="122" t="s">
        <v>1753</v>
      </c>
      <c r="B77" s="115">
        <v>73</v>
      </c>
      <c r="C77" s="123" t="s">
        <v>1821</v>
      </c>
      <c r="D77" s="123" t="s">
        <v>1821</v>
      </c>
      <c r="E77" s="248" t="str">
        <f>IF(LEN($C77)-LEN(D77)&lt;0,TEXT(LEN(D77)/LEN($C77),"0 %")&amp;" ("&amp;LEN(D77)-LEN($C77)&amp;")","")</f>
        <v/>
      </c>
    </row>
    <row r="78" spans="1:5" s="123" customFormat="1" x14ac:dyDescent="0.3">
      <c r="A78" s="122" t="s">
        <v>1753</v>
      </c>
      <c r="B78" s="115">
        <v>74</v>
      </c>
      <c r="C78" s="123" t="s">
        <v>1822</v>
      </c>
      <c r="D78" s="123" t="s">
        <v>1822</v>
      </c>
      <c r="E78" s="248" t="str">
        <f>IF(LEN($C78)-LEN(D78)&lt;0,TEXT(LEN(D78)/LEN($C78),"0 %")&amp;" ("&amp;LEN(D78)-LEN($C78)&amp;")","")</f>
        <v/>
      </c>
    </row>
    <row r="79" spans="1:5" s="123" customFormat="1" x14ac:dyDescent="0.3">
      <c r="A79" s="122"/>
      <c r="B79" s="115"/>
      <c r="E79" s="248"/>
    </row>
    <row r="80" spans="1:5" s="123" customFormat="1" x14ac:dyDescent="0.3">
      <c r="A80" s="122"/>
      <c r="B80" s="115"/>
      <c r="E80" s="248"/>
    </row>
    <row r="81" spans="1:5" ht="15.6" x14ac:dyDescent="0.3">
      <c r="A81" s="117" t="str">
        <f>"! --- "&amp;INDEX(MLtextDivisions,2)</f>
        <v>! --- User Interface - Tooltip text</v>
      </c>
      <c r="E81" s="248" t="str">
        <f t="shared" ref="E81" si="4">IF(LEN($C81)-LEN(D81)&lt;0,TEXT(LEN(D81)/LEN($C81),"0 %")&amp;" ("&amp;LEN(D81)-LEN($C81)&amp;")","")</f>
        <v/>
      </c>
    </row>
    <row r="82" spans="1:5" s="123" customFormat="1" x14ac:dyDescent="0.3">
      <c r="A82" s="122" t="s">
        <v>1824</v>
      </c>
      <c r="B82" s="122">
        <v>1</v>
      </c>
      <c r="C82" s="123" t="s">
        <v>417</v>
      </c>
      <c r="D82" s="123" t="s">
        <v>417</v>
      </c>
      <c r="E82" s="248" t="str">
        <f t="shared" ref="E82:E113" si="5">IF(LEN($C82)-LEN(D82)&lt;0,TEXT(LEN(D82)/LEN($C82),"0 %")&amp;" ("&amp;LEN(D82)-LEN($C82)&amp;")","")</f>
        <v/>
      </c>
    </row>
    <row r="83" spans="1:5" s="123" customFormat="1" x14ac:dyDescent="0.3">
      <c r="A83" s="122" t="s">
        <v>1824</v>
      </c>
      <c r="B83" s="122">
        <v>2</v>
      </c>
      <c r="C83" s="123" t="s">
        <v>1825</v>
      </c>
      <c r="D83" s="123" t="s">
        <v>1825</v>
      </c>
      <c r="E83" s="248" t="str">
        <f t="shared" si="5"/>
        <v/>
      </c>
    </row>
    <row r="84" spans="1:5" s="123" customFormat="1" x14ac:dyDescent="0.3">
      <c r="A84" s="122" t="s">
        <v>1824</v>
      </c>
      <c r="B84" s="122">
        <v>3</v>
      </c>
      <c r="C84" s="123" t="s">
        <v>1826</v>
      </c>
      <c r="D84" s="123" t="s">
        <v>1826</v>
      </c>
      <c r="E84" s="248" t="str">
        <f t="shared" si="5"/>
        <v/>
      </c>
    </row>
    <row r="85" spans="1:5" s="123" customFormat="1" x14ac:dyDescent="0.3">
      <c r="A85" s="122" t="s">
        <v>1824</v>
      </c>
      <c r="B85" s="122">
        <v>4</v>
      </c>
      <c r="C85" s="123" t="s">
        <v>1827</v>
      </c>
      <c r="D85" s="123" t="s">
        <v>1827</v>
      </c>
      <c r="E85" s="248" t="str">
        <f t="shared" si="5"/>
        <v/>
      </c>
    </row>
    <row r="86" spans="1:5" s="123" customFormat="1" x14ac:dyDescent="0.3">
      <c r="A86" s="122" t="s">
        <v>1824</v>
      </c>
      <c r="B86" s="122">
        <v>5</v>
      </c>
      <c r="C86" s="123" t="s">
        <v>1828</v>
      </c>
      <c r="D86" s="123" t="s">
        <v>1828</v>
      </c>
      <c r="E86" s="248" t="str">
        <f t="shared" si="5"/>
        <v/>
      </c>
    </row>
    <row r="87" spans="1:5" s="123" customFormat="1" x14ac:dyDescent="0.3">
      <c r="A87" s="122" t="s">
        <v>1824</v>
      </c>
      <c r="B87" s="122">
        <v>6</v>
      </c>
      <c r="C87" s="123" t="s">
        <v>1829</v>
      </c>
      <c r="D87" s="123" t="s">
        <v>1829</v>
      </c>
      <c r="E87" s="248" t="str">
        <f t="shared" si="5"/>
        <v/>
      </c>
    </row>
    <row r="88" spans="1:5" s="123" customFormat="1" x14ac:dyDescent="0.3">
      <c r="A88" s="122" t="s">
        <v>1824</v>
      </c>
      <c r="B88" s="122">
        <v>7</v>
      </c>
      <c r="C88" s="123" t="s">
        <v>1830</v>
      </c>
      <c r="D88" s="123" t="s">
        <v>1830</v>
      </c>
      <c r="E88" s="248" t="str">
        <f t="shared" si="5"/>
        <v/>
      </c>
    </row>
    <row r="89" spans="1:5" s="123" customFormat="1" x14ac:dyDescent="0.3">
      <c r="A89" s="122" t="s">
        <v>1824</v>
      </c>
      <c r="B89" s="122">
        <v>8</v>
      </c>
      <c r="C89" s="123" t="s">
        <v>1831</v>
      </c>
      <c r="D89" s="123" t="s">
        <v>1831</v>
      </c>
      <c r="E89" s="248" t="str">
        <f t="shared" si="5"/>
        <v/>
      </c>
    </row>
    <row r="90" spans="1:5" s="123" customFormat="1" x14ac:dyDescent="0.3">
      <c r="A90" s="122" t="s">
        <v>1824</v>
      </c>
      <c r="B90" s="122">
        <v>9</v>
      </c>
      <c r="C90" s="123" t="s">
        <v>1455</v>
      </c>
      <c r="D90" s="123" t="s">
        <v>1455</v>
      </c>
      <c r="E90" s="248" t="str">
        <f t="shared" si="5"/>
        <v/>
      </c>
    </row>
    <row r="91" spans="1:5" s="123" customFormat="1" x14ac:dyDescent="0.3">
      <c r="A91" s="122" t="s">
        <v>1824</v>
      </c>
      <c r="B91" s="122">
        <v>10</v>
      </c>
      <c r="C91" s="123" t="s">
        <v>1832</v>
      </c>
      <c r="D91" s="123" t="s">
        <v>1832</v>
      </c>
      <c r="E91" s="248" t="str">
        <f t="shared" si="5"/>
        <v/>
      </c>
    </row>
    <row r="92" spans="1:5" s="123" customFormat="1" x14ac:dyDescent="0.3">
      <c r="A92" s="122" t="s">
        <v>1824</v>
      </c>
      <c r="B92" s="122">
        <v>11</v>
      </c>
      <c r="C92" s="123" t="s">
        <v>1370</v>
      </c>
      <c r="D92" s="123" t="s">
        <v>1370</v>
      </c>
      <c r="E92" s="248" t="str">
        <f t="shared" si="5"/>
        <v/>
      </c>
    </row>
    <row r="93" spans="1:5" s="123" customFormat="1" x14ac:dyDescent="0.3">
      <c r="A93" s="122" t="s">
        <v>1824</v>
      </c>
      <c r="B93" s="122">
        <v>12</v>
      </c>
      <c r="C93" s="123" t="s">
        <v>1502</v>
      </c>
      <c r="D93" s="123" t="s">
        <v>1502</v>
      </c>
      <c r="E93" s="248" t="str">
        <f t="shared" si="5"/>
        <v/>
      </c>
    </row>
    <row r="94" spans="1:5" s="123" customFormat="1" x14ac:dyDescent="0.3">
      <c r="A94" s="122" t="s">
        <v>1824</v>
      </c>
      <c r="B94" s="122">
        <v>13</v>
      </c>
      <c r="C94" s="123" t="s">
        <v>1369</v>
      </c>
      <c r="D94" s="123" t="s">
        <v>1369</v>
      </c>
      <c r="E94" s="248" t="str">
        <f t="shared" si="5"/>
        <v/>
      </c>
    </row>
    <row r="95" spans="1:5" s="123" customFormat="1" x14ac:dyDescent="0.3">
      <c r="A95" s="122" t="s">
        <v>1824</v>
      </c>
      <c r="B95" s="122">
        <v>14</v>
      </c>
      <c r="C95" s="123" t="s">
        <v>1500</v>
      </c>
      <c r="D95" s="123" t="s">
        <v>1500</v>
      </c>
      <c r="E95" s="248" t="str">
        <f t="shared" si="5"/>
        <v/>
      </c>
    </row>
    <row r="96" spans="1:5" s="123" customFormat="1" x14ac:dyDescent="0.3">
      <c r="A96" s="122" t="s">
        <v>1824</v>
      </c>
      <c r="B96" s="122">
        <v>15</v>
      </c>
      <c r="C96" s="123" t="s">
        <v>1663</v>
      </c>
      <c r="D96" s="123" t="s">
        <v>1663</v>
      </c>
      <c r="E96" s="248" t="str">
        <f t="shared" si="5"/>
        <v/>
      </c>
    </row>
    <row r="97" spans="1:5" s="123" customFormat="1" x14ac:dyDescent="0.3">
      <c r="A97" s="122" t="s">
        <v>1824</v>
      </c>
      <c r="B97" s="122">
        <v>16</v>
      </c>
      <c r="C97" s="123" t="s">
        <v>1833</v>
      </c>
      <c r="D97" s="123" t="s">
        <v>1833</v>
      </c>
      <c r="E97" s="248" t="str">
        <f t="shared" si="5"/>
        <v/>
      </c>
    </row>
    <row r="98" spans="1:5" s="123" customFormat="1" x14ac:dyDescent="0.3">
      <c r="A98" s="122" t="s">
        <v>1824</v>
      </c>
      <c r="B98" s="122">
        <v>17</v>
      </c>
      <c r="C98" s="123" t="s">
        <v>1834</v>
      </c>
      <c r="D98" s="123" t="s">
        <v>1834</v>
      </c>
      <c r="E98" s="248" t="str">
        <f t="shared" si="5"/>
        <v/>
      </c>
    </row>
    <row r="99" spans="1:5" s="123" customFormat="1" x14ac:dyDescent="0.3">
      <c r="A99" s="122" t="s">
        <v>1824</v>
      </c>
      <c r="B99" s="122">
        <v>18</v>
      </c>
      <c r="C99" s="123" t="s">
        <v>1835</v>
      </c>
      <c r="D99" s="123" t="s">
        <v>1835</v>
      </c>
      <c r="E99" s="248" t="str">
        <f t="shared" si="5"/>
        <v/>
      </c>
    </row>
    <row r="100" spans="1:5" s="123" customFormat="1" x14ac:dyDescent="0.3">
      <c r="A100" s="122" t="s">
        <v>1824</v>
      </c>
      <c r="B100" s="122">
        <v>19</v>
      </c>
      <c r="C100" s="123" t="s">
        <v>1836</v>
      </c>
      <c r="D100" s="123" t="s">
        <v>1836</v>
      </c>
      <c r="E100" s="248" t="str">
        <f t="shared" si="5"/>
        <v/>
      </c>
    </row>
    <row r="101" spans="1:5" s="123" customFormat="1" x14ac:dyDescent="0.3">
      <c r="A101" s="122" t="s">
        <v>1824</v>
      </c>
      <c r="B101" s="122">
        <v>20</v>
      </c>
      <c r="C101" s="123" t="s">
        <v>1837</v>
      </c>
      <c r="D101" s="123" t="s">
        <v>1837</v>
      </c>
      <c r="E101" s="248" t="str">
        <f t="shared" si="5"/>
        <v/>
      </c>
    </row>
    <row r="102" spans="1:5" s="123" customFormat="1" x14ac:dyDescent="0.3">
      <c r="A102" s="122" t="s">
        <v>1824</v>
      </c>
      <c r="B102" s="122">
        <v>21</v>
      </c>
      <c r="C102" s="123" t="s">
        <v>1838</v>
      </c>
      <c r="D102" s="123" t="s">
        <v>1838</v>
      </c>
      <c r="E102" s="248" t="str">
        <f t="shared" si="5"/>
        <v/>
      </c>
    </row>
    <row r="103" spans="1:5" s="123" customFormat="1" x14ac:dyDescent="0.3">
      <c r="A103" s="122" t="s">
        <v>1824</v>
      </c>
      <c r="B103" s="122">
        <v>22</v>
      </c>
      <c r="C103" s="123" t="s">
        <v>1839</v>
      </c>
      <c r="D103" s="123" t="s">
        <v>1839</v>
      </c>
      <c r="E103" s="248" t="str">
        <f t="shared" si="5"/>
        <v/>
      </c>
    </row>
    <row r="104" spans="1:5" s="123" customFormat="1" x14ac:dyDescent="0.3">
      <c r="A104" s="122" t="s">
        <v>1824</v>
      </c>
      <c r="B104" s="122">
        <v>23</v>
      </c>
      <c r="C104" s="123" t="s">
        <v>1840</v>
      </c>
      <c r="D104" s="123" t="s">
        <v>1840</v>
      </c>
      <c r="E104" s="248" t="str">
        <f t="shared" si="5"/>
        <v/>
      </c>
    </row>
    <row r="105" spans="1:5" s="123" customFormat="1" x14ac:dyDescent="0.3">
      <c r="A105" s="122" t="s">
        <v>1824</v>
      </c>
      <c r="B105" s="122">
        <v>24</v>
      </c>
      <c r="C105" s="123" t="s">
        <v>1841</v>
      </c>
      <c r="D105" s="123" t="s">
        <v>1841</v>
      </c>
      <c r="E105" s="248" t="str">
        <f t="shared" si="5"/>
        <v/>
      </c>
    </row>
    <row r="106" spans="1:5" s="123" customFormat="1" x14ac:dyDescent="0.3">
      <c r="A106" s="122" t="s">
        <v>1824</v>
      </c>
      <c r="B106" s="122">
        <v>25</v>
      </c>
      <c r="C106" s="123" t="s">
        <v>1842</v>
      </c>
      <c r="D106" s="123" t="s">
        <v>1842</v>
      </c>
      <c r="E106" s="248" t="str">
        <f t="shared" si="5"/>
        <v/>
      </c>
    </row>
    <row r="107" spans="1:5" s="123" customFormat="1" x14ac:dyDescent="0.3">
      <c r="A107" s="122" t="s">
        <v>1824</v>
      </c>
      <c r="B107" s="122">
        <v>26</v>
      </c>
      <c r="C107" s="123" t="s">
        <v>1843</v>
      </c>
      <c r="D107" s="123" t="s">
        <v>1843</v>
      </c>
      <c r="E107" s="248" t="str">
        <f t="shared" si="5"/>
        <v/>
      </c>
    </row>
    <row r="108" spans="1:5" s="123" customFormat="1" x14ac:dyDescent="0.3">
      <c r="A108" s="122" t="s">
        <v>1824</v>
      </c>
      <c r="B108" s="122">
        <v>27</v>
      </c>
      <c r="C108" s="123" t="s">
        <v>1844</v>
      </c>
      <c r="D108" s="123" t="s">
        <v>1844</v>
      </c>
      <c r="E108" s="248" t="str">
        <f t="shared" si="5"/>
        <v/>
      </c>
    </row>
    <row r="109" spans="1:5" s="123" customFormat="1" x14ac:dyDescent="0.3">
      <c r="A109" s="122" t="s">
        <v>1824</v>
      </c>
      <c r="B109" s="122">
        <v>28</v>
      </c>
      <c r="C109" s="123" t="s">
        <v>1845</v>
      </c>
      <c r="D109" s="123" t="s">
        <v>1845</v>
      </c>
      <c r="E109" s="248" t="str">
        <f t="shared" si="5"/>
        <v/>
      </c>
    </row>
    <row r="110" spans="1:5" s="123" customFormat="1" x14ac:dyDescent="0.3">
      <c r="A110" s="122" t="s">
        <v>1824</v>
      </c>
      <c r="B110" s="122">
        <v>29</v>
      </c>
      <c r="C110" s="123" t="s">
        <v>1846</v>
      </c>
      <c r="D110" s="123" t="s">
        <v>1846</v>
      </c>
      <c r="E110" s="248" t="str">
        <f t="shared" si="5"/>
        <v/>
      </c>
    </row>
    <row r="111" spans="1:5" s="123" customFormat="1" x14ac:dyDescent="0.3">
      <c r="A111" s="122" t="s">
        <v>1824</v>
      </c>
      <c r="B111" s="122">
        <v>30</v>
      </c>
      <c r="C111" s="123" t="s">
        <v>1847</v>
      </c>
      <c r="D111" s="123" t="s">
        <v>1847</v>
      </c>
      <c r="E111" s="248" t="str">
        <f t="shared" si="5"/>
        <v/>
      </c>
    </row>
    <row r="112" spans="1:5" s="123" customFormat="1" x14ac:dyDescent="0.3">
      <c r="A112" s="122" t="s">
        <v>1824</v>
      </c>
      <c r="B112" s="122">
        <v>31</v>
      </c>
      <c r="C112" s="123" t="s">
        <v>1848</v>
      </c>
      <c r="D112" s="123" t="s">
        <v>1848</v>
      </c>
      <c r="E112" s="248" t="str">
        <f t="shared" si="5"/>
        <v/>
      </c>
    </row>
    <row r="113" spans="1:5" s="123" customFormat="1" x14ac:dyDescent="0.3">
      <c r="A113" s="122" t="s">
        <v>1824</v>
      </c>
      <c r="B113" s="122">
        <v>32</v>
      </c>
      <c r="C113" s="123" t="s">
        <v>1849</v>
      </c>
      <c r="D113" s="123" t="s">
        <v>1849</v>
      </c>
      <c r="E113" s="248" t="str">
        <f t="shared" si="5"/>
        <v/>
      </c>
    </row>
    <row r="114" spans="1:5" s="123" customFormat="1" x14ac:dyDescent="0.3">
      <c r="A114" s="122" t="s">
        <v>1824</v>
      </c>
      <c r="B114" s="122">
        <v>33</v>
      </c>
      <c r="C114" s="123" t="s">
        <v>1373</v>
      </c>
      <c r="D114" s="123" t="s">
        <v>1373</v>
      </c>
      <c r="E114" s="248" t="str">
        <f t="shared" ref="E114:E134" si="6">IF(LEN($C114)-LEN(D114)&lt;0,TEXT(LEN(D114)/LEN($C114),"0 %")&amp;" ("&amp;LEN(D114)-LEN($C114)&amp;")","")</f>
        <v/>
      </c>
    </row>
    <row r="115" spans="1:5" s="123" customFormat="1" x14ac:dyDescent="0.3">
      <c r="A115" s="122" t="s">
        <v>1824</v>
      </c>
      <c r="B115" s="122">
        <v>34</v>
      </c>
      <c r="C115" s="123" t="s">
        <v>1504</v>
      </c>
      <c r="D115" s="123" t="s">
        <v>1504</v>
      </c>
      <c r="E115" s="248" t="str">
        <f t="shared" si="6"/>
        <v/>
      </c>
    </row>
    <row r="116" spans="1:5" s="123" customFormat="1" x14ac:dyDescent="0.3">
      <c r="A116" s="122" t="s">
        <v>1824</v>
      </c>
      <c r="B116" s="122">
        <v>35</v>
      </c>
      <c r="C116" s="123" t="s">
        <v>1850</v>
      </c>
      <c r="D116" s="123" t="s">
        <v>1850</v>
      </c>
      <c r="E116" s="248" t="str">
        <f t="shared" si="6"/>
        <v/>
      </c>
    </row>
    <row r="117" spans="1:5" s="123" customFormat="1" x14ac:dyDescent="0.3">
      <c r="A117" s="122" t="s">
        <v>1824</v>
      </c>
      <c r="B117" s="122">
        <v>36</v>
      </c>
      <c r="C117" s="123" t="s">
        <v>1851</v>
      </c>
      <c r="D117" s="123" t="s">
        <v>1851</v>
      </c>
      <c r="E117" s="248" t="str">
        <f t="shared" si="6"/>
        <v/>
      </c>
    </row>
    <row r="118" spans="1:5" s="123" customFormat="1" x14ac:dyDescent="0.3">
      <c r="A118" s="122" t="s">
        <v>1824</v>
      </c>
      <c r="B118" s="122">
        <v>37</v>
      </c>
      <c r="C118" s="123" t="s">
        <v>1852</v>
      </c>
      <c r="D118" s="123" t="s">
        <v>1852</v>
      </c>
      <c r="E118" s="248" t="str">
        <f t="shared" si="6"/>
        <v/>
      </c>
    </row>
    <row r="119" spans="1:5" s="123" customFormat="1" x14ac:dyDescent="0.3">
      <c r="A119" s="122" t="s">
        <v>1824</v>
      </c>
      <c r="B119" s="122">
        <v>38</v>
      </c>
      <c r="C119" s="123" t="s">
        <v>1853</v>
      </c>
      <c r="D119" s="123" t="s">
        <v>1853</v>
      </c>
      <c r="E119" s="248" t="str">
        <f t="shared" si="6"/>
        <v/>
      </c>
    </row>
    <row r="120" spans="1:5" s="123" customFormat="1" x14ac:dyDescent="0.3">
      <c r="A120" s="122" t="s">
        <v>1824</v>
      </c>
      <c r="B120" s="122">
        <v>39</v>
      </c>
      <c r="C120" s="123" t="s">
        <v>1340</v>
      </c>
      <c r="D120" s="123" t="s">
        <v>1340</v>
      </c>
      <c r="E120" s="248" t="str">
        <f t="shared" si="6"/>
        <v/>
      </c>
    </row>
    <row r="121" spans="1:5" s="123" customFormat="1" x14ac:dyDescent="0.3">
      <c r="A121" s="122" t="s">
        <v>1824</v>
      </c>
      <c r="B121" s="122">
        <v>40</v>
      </c>
      <c r="C121" s="123" t="s">
        <v>1854</v>
      </c>
      <c r="D121" s="123" t="s">
        <v>1854</v>
      </c>
      <c r="E121" s="248" t="str">
        <f t="shared" si="6"/>
        <v/>
      </c>
    </row>
    <row r="122" spans="1:5" s="123" customFormat="1" x14ac:dyDescent="0.3">
      <c r="A122" s="122" t="s">
        <v>1824</v>
      </c>
      <c r="B122" s="122">
        <v>41</v>
      </c>
      <c r="C122" s="123" t="s">
        <v>1494</v>
      </c>
      <c r="D122" s="123" t="s">
        <v>1494</v>
      </c>
      <c r="E122" s="248" t="str">
        <f t="shared" si="6"/>
        <v/>
      </c>
    </row>
    <row r="123" spans="1:5" s="123" customFormat="1" x14ac:dyDescent="0.3">
      <c r="A123" s="122" t="s">
        <v>1824</v>
      </c>
      <c r="B123" s="122">
        <v>42</v>
      </c>
      <c r="C123" s="123" t="s">
        <v>1498</v>
      </c>
      <c r="D123" s="123" t="s">
        <v>1498</v>
      </c>
      <c r="E123" s="248" t="str">
        <f t="shared" si="6"/>
        <v/>
      </c>
    </row>
    <row r="124" spans="1:5" s="123" customFormat="1" x14ac:dyDescent="0.3">
      <c r="A124" s="122" t="s">
        <v>1824</v>
      </c>
      <c r="B124" s="122">
        <v>43</v>
      </c>
      <c r="C124" s="123" t="s">
        <v>1855</v>
      </c>
      <c r="D124" s="123" t="s">
        <v>1855</v>
      </c>
      <c r="E124" s="248" t="str">
        <f t="shared" si="6"/>
        <v/>
      </c>
    </row>
    <row r="125" spans="1:5" s="123" customFormat="1" x14ac:dyDescent="0.3">
      <c r="A125" s="122" t="s">
        <v>1824</v>
      </c>
      <c r="B125" s="122">
        <v>44</v>
      </c>
      <c r="C125" s="123" t="s">
        <v>1856</v>
      </c>
      <c r="D125" s="123" t="s">
        <v>1856</v>
      </c>
      <c r="E125" s="248" t="str">
        <f t="shared" si="6"/>
        <v/>
      </c>
    </row>
    <row r="126" spans="1:5" s="123" customFormat="1" x14ac:dyDescent="0.3">
      <c r="A126" s="122" t="s">
        <v>1824</v>
      </c>
      <c r="B126" s="122">
        <v>45</v>
      </c>
      <c r="C126" s="123" t="s">
        <v>1857</v>
      </c>
      <c r="D126" s="123" t="s">
        <v>1857</v>
      </c>
      <c r="E126" s="248" t="str">
        <f t="shared" si="6"/>
        <v/>
      </c>
    </row>
    <row r="127" spans="1:5" s="123" customFormat="1" x14ac:dyDescent="0.3">
      <c r="A127" s="122" t="s">
        <v>1824</v>
      </c>
      <c r="B127" s="122">
        <v>46</v>
      </c>
      <c r="C127" s="123" t="s">
        <v>1858</v>
      </c>
      <c r="D127" s="123" t="s">
        <v>1858</v>
      </c>
      <c r="E127" s="248" t="str">
        <f t="shared" si="6"/>
        <v/>
      </c>
    </row>
    <row r="128" spans="1:5" s="123" customFormat="1" x14ac:dyDescent="0.3">
      <c r="A128" s="122" t="s">
        <v>1824</v>
      </c>
      <c r="B128" s="122">
        <v>47</v>
      </c>
      <c r="C128" s="123" t="s">
        <v>1859</v>
      </c>
      <c r="D128" s="123" t="s">
        <v>1859</v>
      </c>
      <c r="E128" s="248" t="str">
        <f t="shared" si="6"/>
        <v/>
      </c>
    </row>
    <row r="129" spans="1:5" s="123" customFormat="1" x14ac:dyDescent="0.3">
      <c r="A129" s="122" t="s">
        <v>1824</v>
      </c>
      <c r="B129" s="122">
        <v>48</v>
      </c>
      <c r="C129" s="123" t="s">
        <v>1860</v>
      </c>
      <c r="D129" s="123" t="s">
        <v>1860</v>
      </c>
      <c r="E129" s="248" t="str">
        <f t="shared" si="6"/>
        <v/>
      </c>
    </row>
    <row r="130" spans="1:5" s="123" customFormat="1" x14ac:dyDescent="0.3">
      <c r="A130" s="122" t="s">
        <v>1824</v>
      </c>
      <c r="B130" s="122">
        <v>49</v>
      </c>
      <c r="C130" s="123" t="s">
        <v>1861</v>
      </c>
      <c r="D130" s="123" t="s">
        <v>1861</v>
      </c>
      <c r="E130" s="248" t="str">
        <f t="shared" si="6"/>
        <v/>
      </c>
    </row>
    <row r="131" spans="1:5" s="123" customFormat="1" x14ac:dyDescent="0.3">
      <c r="A131" s="122" t="s">
        <v>1824</v>
      </c>
      <c r="B131" s="122">
        <v>50</v>
      </c>
      <c r="C131" s="123" t="s">
        <v>1862</v>
      </c>
      <c r="D131" s="123" t="s">
        <v>1862</v>
      </c>
      <c r="E131" s="248" t="str">
        <f t="shared" si="6"/>
        <v/>
      </c>
    </row>
    <row r="132" spans="1:5" s="123" customFormat="1" x14ac:dyDescent="0.3">
      <c r="A132" s="122" t="s">
        <v>1824</v>
      </c>
      <c r="B132" s="122">
        <v>51</v>
      </c>
      <c r="C132" s="123" t="s">
        <v>1863</v>
      </c>
      <c r="D132" s="123" t="s">
        <v>1863</v>
      </c>
      <c r="E132" s="248" t="str">
        <f t="shared" si="6"/>
        <v/>
      </c>
    </row>
    <row r="133" spans="1:5" s="123" customFormat="1" x14ac:dyDescent="0.3">
      <c r="A133" s="122" t="s">
        <v>1824</v>
      </c>
      <c r="B133" s="122">
        <v>52</v>
      </c>
      <c r="C133" s="123" t="s">
        <v>1864</v>
      </c>
      <c r="D133" s="123" t="s">
        <v>1864</v>
      </c>
      <c r="E133" s="248" t="str">
        <f t="shared" si="6"/>
        <v/>
      </c>
    </row>
    <row r="134" spans="1:5" s="123" customFormat="1" x14ac:dyDescent="0.3">
      <c r="A134" s="122" t="s">
        <v>1824</v>
      </c>
      <c r="B134" s="122">
        <v>53</v>
      </c>
      <c r="C134" s="123" t="s">
        <v>1865</v>
      </c>
      <c r="D134" s="123" t="s">
        <v>1865</v>
      </c>
      <c r="E134" s="248" t="str">
        <f t="shared" si="6"/>
        <v/>
      </c>
    </row>
    <row r="135" spans="1:5" s="123" customFormat="1" x14ac:dyDescent="0.3">
      <c r="A135" s="122" t="s">
        <v>1824</v>
      </c>
      <c r="B135" s="122">
        <v>54</v>
      </c>
      <c r="C135" s="123" t="s">
        <v>1912</v>
      </c>
      <c r="D135" s="123" t="s">
        <v>1912</v>
      </c>
      <c r="E135" s="248"/>
    </row>
    <row r="136" spans="1:5" s="123" customFormat="1" x14ac:dyDescent="0.3">
      <c r="A136" s="122" t="s">
        <v>1824</v>
      </c>
      <c r="B136" s="122">
        <v>55</v>
      </c>
      <c r="C136" s="123" t="s">
        <v>1913</v>
      </c>
      <c r="D136" s="123" t="s">
        <v>1913</v>
      </c>
      <c r="E136" s="248"/>
    </row>
    <row r="137" spans="1:5" s="123" customFormat="1" x14ac:dyDescent="0.3">
      <c r="A137" s="122" t="s">
        <v>1824</v>
      </c>
      <c r="B137" s="122">
        <v>56</v>
      </c>
      <c r="C137" s="123" t="s">
        <v>1914</v>
      </c>
      <c r="D137" s="123" t="s">
        <v>1914</v>
      </c>
      <c r="E137" s="248"/>
    </row>
    <row r="138" spans="1:5" s="123" customFormat="1" x14ac:dyDescent="0.3">
      <c r="A138" s="122" t="s">
        <v>1824</v>
      </c>
      <c r="B138" s="122">
        <v>57</v>
      </c>
      <c r="C138" s="123" t="s">
        <v>1866</v>
      </c>
      <c r="D138" s="123" t="s">
        <v>1866</v>
      </c>
      <c r="E138" s="248" t="str">
        <f>IF(LEN($C138)-LEN(D138)&lt;0,TEXT(LEN(D138)/LEN($C138),"0 %")&amp;" ("&amp;LEN(D138)-LEN($C138)&amp;")","")</f>
        <v/>
      </c>
    </row>
    <row r="139" spans="1:5" s="123" customFormat="1" x14ac:dyDescent="0.3">
      <c r="A139" s="122" t="s">
        <v>1824</v>
      </c>
      <c r="B139" s="122">
        <v>58</v>
      </c>
      <c r="C139" s="123" t="s">
        <v>1867</v>
      </c>
      <c r="D139" s="123" t="s">
        <v>1867</v>
      </c>
      <c r="E139" s="248" t="str">
        <f>IF(LEN($C139)-LEN(D139)&lt;0,TEXT(LEN(D139)/LEN($C139),"0 %")&amp;" ("&amp;LEN(D139)-LEN($C139)&amp;")","")</f>
        <v/>
      </c>
    </row>
    <row r="140" spans="1:5" s="123" customFormat="1" x14ac:dyDescent="0.3">
      <c r="A140" s="122" t="s">
        <v>1824</v>
      </c>
      <c r="B140" s="122">
        <v>59</v>
      </c>
      <c r="C140" s="123" t="s">
        <v>1915</v>
      </c>
      <c r="D140" s="123" t="s">
        <v>1915</v>
      </c>
      <c r="E140" s="248"/>
    </row>
    <row r="141" spans="1:5" s="123" customFormat="1" x14ac:dyDescent="0.3">
      <c r="A141" s="122" t="s">
        <v>1824</v>
      </c>
      <c r="B141" s="122">
        <v>60</v>
      </c>
      <c r="C141" s="123" t="s">
        <v>1916</v>
      </c>
      <c r="D141" s="123" t="s">
        <v>1916</v>
      </c>
      <c r="E141" s="248"/>
    </row>
    <row r="142" spans="1:5" s="123" customFormat="1" x14ac:dyDescent="0.3">
      <c r="A142" s="122" t="s">
        <v>1824</v>
      </c>
      <c r="B142" s="122">
        <v>61</v>
      </c>
      <c r="C142" s="123" t="s">
        <v>1917</v>
      </c>
      <c r="D142" s="123" t="s">
        <v>1917</v>
      </c>
      <c r="E142" s="248"/>
    </row>
    <row r="143" spans="1:5" s="123" customFormat="1" x14ac:dyDescent="0.3">
      <c r="A143" s="122" t="s">
        <v>1824</v>
      </c>
      <c r="B143" s="122">
        <v>62</v>
      </c>
      <c r="C143" s="123" t="s">
        <v>1868</v>
      </c>
      <c r="D143" s="123" t="s">
        <v>1868</v>
      </c>
      <c r="E143" s="248" t="str">
        <f t="shared" ref="E143:E188" si="7">IF(LEN($C143)-LEN(D143)&lt;0,TEXT(LEN(D143)/LEN($C143),"0 %")&amp;" ("&amp;LEN(D143)-LEN($C143)&amp;")","")</f>
        <v/>
      </c>
    </row>
    <row r="144" spans="1:5" s="123" customFormat="1" x14ac:dyDescent="0.3">
      <c r="A144" s="122" t="s">
        <v>1824</v>
      </c>
      <c r="B144" s="122">
        <v>63</v>
      </c>
      <c r="C144" s="123" t="s">
        <v>1869</v>
      </c>
      <c r="D144" s="123" t="s">
        <v>1869</v>
      </c>
      <c r="E144" s="248" t="str">
        <f t="shared" si="7"/>
        <v/>
      </c>
    </row>
    <row r="145" spans="1:5" s="123" customFormat="1" x14ac:dyDescent="0.3">
      <c r="A145" s="122" t="s">
        <v>1824</v>
      </c>
      <c r="B145" s="122">
        <v>64</v>
      </c>
      <c r="C145" s="123" t="s">
        <v>1659</v>
      </c>
      <c r="D145" s="123" t="s">
        <v>1659</v>
      </c>
      <c r="E145" s="248" t="str">
        <f t="shared" si="7"/>
        <v/>
      </c>
    </row>
    <row r="146" spans="1:5" s="123" customFormat="1" x14ac:dyDescent="0.3">
      <c r="A146" s="122" t="s">
        <v>1824</v>
      </c>
      <c r="B146" s="122">
        <v>65</v>
      </c>
      <c r="C146" s="123" t="s">
        <v>1870</v>
      </c>
      <c r="D146" s="123" t="s">
        <v>1870</v>
      </c>
      <c r="E146" s="248" t="str">
        <f t="shared" si="7"/>
        <v/>
      </c>
    </row>
    <row r="147" spans="1:5" s="123" customFormat="1" x14ac:dyDescent="0.3">
      <c r="A147" s="122" t="s">
        <v>1824</v>
      </c>
      <c r="B147" s="122">
        <v>66</v>
      </c>
      <c r="C147" s="123" t="s">
        <v>1871</v>
      </c>
      <c r="D147" s="123" t="s">
        <v>1871</v>
      </c>
      <c r="E147" s="248" t="str">
        <f t="shared" si="7"/>
        <v/>
      </c>
    </row>
    <row r="148" spans="1:5" s="123" customFormat="1" x14ac:dyDescent="0.3">
      <c r="A148" s="122" t="s">
        <v>1824</v>
      </c>
      <c r="B148" s="122">
        <v>67</v>
      </c>
      <c r="C148" s="123" t="s">
        <v>815</v>
      </c>
      <c r="D148" s="123" t="s">
        <v>815</v>
      </c>
      <c r="E148" s="248" t="str">
        <f t="shared" si="7"/>
        <v/>
      </c>
    </row>
    <row r="149" spans="1:5" s="123" customFormat="1" x14ac:dyDescent="0.3">
      <c r="A149" s="122" t="s">
        <v>1824</v>
      </c>
      <c r="B149" s="122">
        <v>68</v>
      </c>
      <c r="C149" s="123" t="s">
        <v>811</v>
      </c>
      <c r="D149" s="123" t="s">
        <v>811</v>
      </c>
      <c r="E149" s="248" t="str">
        <f t="shared" si="7"/>
        <v/>
      </c>
    </row>
    <row r="150" spans="1:5" s="123" customFormat="1" x14ac:dyDescent="0.3">
      <c r="A150" s="122" t="s">
        <v>1824</v>
      </c>
      <c r="B150" s="122">
        <v>69</v>
      </c>
      <c r="C150" s="123" t="s">
        <v>1872</v>
      </c>
      <c r="D150" s="123" t="s">
        <v>1872</v>
      </c>
      <c r="E150" s="248" t="str">
        <f t="shared" si="7"/>
        <v/>
      </c>
    </row>
    <row r="151" spans="1:5" s="123" customFormat="1" x14ac:dyDescent="0.3">
      <c r="A151" s="122" t="s">
        <v>1824</v>
      </c>
      <c r="B151" s="122">
        <v>70</v>
      </c>
      <c r="C151" s="123" t="s">
        <v>1873</v>
      </c>
      <c r="D151" s="123" t="s">
        <v>1873</v>
      </c>
      <c r="E151" s="248" t="str">
        <f t="shared" si="7"/>
        <v/>
      </c>
    </row>
    <row r="152" spans="1:5" s="123" customFormat="1" x14ac:dyDescent="0.3">
      <c r="A152" s="122" t="s">
        <v>1824</v>
      </c>
      <c r="B152" s="122">
        <v>71</v>
      </c>
      <c r="C152" s="123" t="s">
        <v>1874</v>
      </c>
      <c r="D152" s="123" t="s">
        <v>1874</v>
      </c>
      <c r="E152" s="248" t="str">
        <f t="shared" si="7"/>
        <v/>
      </c>
    </row>
    <row r="153" spans="1:5" s="123" customFormat="1" x14ac:dyDescent="0.3">
      <c r="A153" s="122" t="s">
        <v>1824</v>
      </c>
      <c r="B153" s="122">
        <v>72</v>
      </c>
      <c r="C153" s="123" t="s">
        <v>1875</v>
      </c>
      <c r="D153" s="123" t="s">
        <v>1875</v>
      </c>
      <c r="E153" s="248" t="str">
        <f t="shared" si="7"/>
        <v/>
      </c>
    </row>
    <row r="154" spans="1:5" s="123" customFormat="1" x14ac:dyDescent="0.3">
      <c r="A154" s="122" t="s">
        <v>1824</v>
      </c>
      <c r="B154" s="122">
        <v>73</v>
      </c>
      <c r="C154" s="123" t="s">
        <v>729</v>
      </c>
      <c r="D154" s="123" t="s">
        <v>729</v>
      </c>
      <c r="E154" s="248" t="str">
        <f t="shared" si="7"/>
        <v/>
      </c>
    </row>
    <row r="155" spans="1:5" s="123" customFormat="1" x14ac:dyDescent="0.3">
      <c r="A155" s="122" t="s">
        <v>1824</v>
      </c>
      <c r="B155" s="122">
        <v>74</v>
      </c>
      <c r="C155" s="123" t="s">
        <v>708</v>
      </c>
      <c r="D155" s="123" t="s">
        <v>708</v>
      </c>
      <c r="E155" s="248" t="str">
        <f t="shared" si="7"/>
        <v/>
      </c>
    </row>
    <row r="156" spans="1:5" s="123" customFormat="1" x14ac:dyDescent="0.3">
      <c r="A156" s="122" t="s">
        <v>1824</v>
      </c>
      <c r="B156" s="122">
        <v>75</v>
      </c>
      <c r="C156" s="123" t="s">
        <v>827</v>
      </c>
      <c r="D156" s="123" t="s">
        <v>827</v>
      </c>
      <c r="E156" s="248" t="str">
        <f t="shared" si="7"/>
        <v/>
      </c>
    </row>
    <row r="157" spans="1:5" s="123" customFormat="1" x14ac:dyDescent="0.3">
      <c r="A157" s="122" t="s">
        <v>1824</v>
      </c>
      <c r="B157" s="122">
        <v>76</v>
      </c>
      <c r="C157" s="123" t="s">
        <v>1876</v>
      </c>
      <c r="D157" s="123" t="s">
        <v>1876</v>
      </c>
      <c r="E157" s="248" t="str">
        <f t="shared" si="7"/>
        <v/>
      </c>
    </row>
    <row r="158" spans="1:5" s="123" customFormat="1" x14ac:dyDescent="0.3">
      <c r="A158" s="122" t="s">
        <v>1824</v>
      </c>
      <c r="B158" s="122">
        <v>77</v>
      </c>
      <c r="C158" s="123" t="s">
        <v>1877</v>
      </c>
      <c r="D158" s="123" t="s">
        <v>1877</v>
      </c>
      <c r="E158" s="248" t="str">
        <f t="shared" si="7"/>
        <v/>
      </c>
    </row>
    <row r="159" spans="1:5" s="123" customFormat="1" x14ac:dyDescent="0.3">
      <c r="A159" s="122" t="s">
        <v>1824</v>
      </c>
      <c r="B159" s="122">
        <v>78</v>
      </c>
      <c r="C159" s="123" t="s">
        <v>1878</v>
      </c>
      <c r="D159" s="123" t="s">
        <v>1878</v>
      </c>
      <c r="E159" s="248" t="str">
        <f t="shared" si="7"/>
        <v/>
      </c>
    </row>
    <row r="160" spans="1:5" s="123" customFormat="1" x14ac:dyDescent="0.3">
      <c r="A160" s="122" t="s">
        <v>1824</v>
      </c>
      <c r="B160" s="122">
        <v>79</v>
      </c>
      <c r="C160" s="123" t="s">
        <v>1879</v>
      </c>
      <c r="D160" s="123" t="s">
        <v>1879</v>
      </c>
      <c r="E160" s="248" t="str">
        <f t="shared" si="7"/>
        <v/>
      </c>
    </row>
    <row r="161" spans="1:5" s="123" customFormat="1" x14ac:dyDescent="0.3">
      <c r="A161" s="122" t="s">
        <v>1824</v>
      </c>
      <c r="B161" s="122">
        <v>80</v>
      </c>
      <c r="C161" s="123" t="s">
        <v>831</v>
      </c>
      <c r="D161" s="123" t="s">
        <v>831</v>
      </c>
      <c r="E161" s="248" t="str">
        <f t="shared" si="7"/>
        <v/>
      </c>
    </row>
    <row r="162" spans="1:5" s="123" customFormat="1" x14ac:dyDescent="0.3">
      <c r="A162" s="122" t="s">
        <v>1824</v>
      </c>
      <c r="B162" s="122">
        <v>81</v>
      </c>
      <c r="C162" s="123" t="s">
        <v>1880</v>
      </c>
      <c r="D162" s="123" t="s">
        <v>1880</v>
      </c>
      <c r="E162" s="248" t="str">
        <f t="shared" si="7"/>
        <v/>
      </c>
    </row>
    <row r="163" spans="1:5" s="123" customFormat="1" x14ac:dyDescent="0.3">
      <c r="A163" s="122" t="s">
        <v>1824</v>
      </c>
      <c r="B163" s="122">
        <v>82</v>
      </c>
      <c r="C163" s="123" t="s">
        <v>1881</v>
      </c>
      <c r="D163" s="123" t="s">
        <v>1881</v>
      </c>
      <c r="E163" s="248" t="str">
        <f t="shared" si="7"/>
        <v/>
      </c>
    </row>
    <row r="164" spans="1:5" s="123" customFormat="1" x14ac:dyDescent="0.3">
      <c r="A164" s="122" t="s">
        <v>1824</v>
      </c>
      <c r="B164" s="122">
        <v>83</v>
      </c>
      <c r="C164" s="123" t="s">
        <v>1882</v>
      </c>
      <c r="D164" s="123" t="s">
        <v>1882</v>
      </c>
      <c r="E164" s="248" t="str">
        <f t="shared" si="7"/>
        <v/>
      </c>
    </row>
    <row r="165" spans="1:5" s="123" customFormat="1" x14ac:dyDescent="0.3">
      <c r="A165" s="122" t="s">
        <v>1824</v>
      </c>
      <c r="B165" s="122">
        <v>84</v>
      </c>
      <c r="C165" s="123" t="s">
        <v>1680</v>
      </c>
      <c r="D165" s="123" t="s">
        <v>1680</v>
      </c>
      <c r="E165" s="248" t="str">
        <f t="shared" si="7"/>
        <v/>
      </c>
    </row>
    <row r="166" spans="1:5" s="123" customFormat="1" x14ac:dyDescent="0.3">
      <c r="A166" s="122" t="s">
        <v>1824</v>
      </c>
      <c r="B166" s="122">
        <v>85</v>
      </c>
      <c r="C166" s="123" t="s">
        <v>1467</v>
      </c>
      <c r="D166" s="123" t="s">
        <v>1467</v>
      </c>
      <c r="E166" s="248" t="str">
        <f t="shared" si="7"/>
        <v/>
      </c>
    </row>
    <row r="167" spans="1:5" s="123" customFormat="1" x14ac:dyDescent="0.3">
      <c r="A167" s="122" t="s">
        <v>1824</v>
      </c>
      <c r="B167" s="122">
        <v>86</v>
      </c>
      <c r="C167" s="123" t="s">
        <v>1465</v>
      </c>
      <c r="D167" s="123" t="s">
        <v>1465</v>
      </c>
      <c r="E167" s="248" t="str">
        <f t="shared" si="7"/>
        <v/>
      </c>
    </row>
    <row r="168" spans="1:5" s="123" customFormat="1" x14ac:dyDescent="0.3">
      <c r="A168" s="122" t="s">
        <v>1824</v>
      </c>
      <c r="B168" s="122">
        <v>87</v>
      </c>
      <c r="C168" s="123" t="s">
        <v>1883</v>
      </c>
      <c r="D168" s="123" t="s">
        <v>1883</v>
      </c>
      <c r="E168" s="248" t="str">
        <f t="shared" si="7"/>
        <v/>
      </c>
    </row>
    <row r="169" spans="1:5" s="123" customFormat="1" x14ac:dyDescent="0.3">
      <c r="A169" s="122" t="s">
        <v>1824</v>
      </c>
      <c r="B169" s="122">
        <v>88</v>
      </c>
      <c r="C169" s="123" t="s">
        <v>1884</v>
      </c>
      <c r="D169" s="123" t="s">
        <v>1884</v>
      </c>
      <c r="E169" s="248" t="str">
        <f t="shared" si="7"/>
        <v/>
      </c>
    </row>
    <row r="170" spans="1:5" s="123" customFormat="1" x14ac:dyDescent="0.3">
      <c r="A170" s="122" t="s">
        <v>1824</v>
      </c>
      <c r="B170" s="122">
        <v>89</v>
      </c>
      <c r="C170" s="123" t="s">
        <v>1885</v>
      </c>
      <c r="D170" s="123" t="s">
        <v>1885</v>
      </c>
      <c r="E170" s="248" t="str">
        <f t="shared" si="7"/>
        <v/>
      </c>
    </row>
    <row r="171" spans="1:5" s="123" customFormat="1" x14ac:dyDescent="0.3">
      <c r="A171" s="122" t="s">
        <v>1824</v>
      </c>
      <c r="B171" s="122">
        <v>89</v>
      </c>
      <c r="C171" s="123" t="s">
        <v>1886</v>
      </c>
      <c r="D171" s="123" t="s">
        <v>1886</v>
      </c>
      <c r="E171" s="248" t="str">
        <f t="shared" si="7"/>
        <v/>
      </c>
    </row>
    <row r="172" spans="1:5" s="123" customFormat="1" x14ac:dyDescent="0.3">
      <c r="A172" s="122" t="s">
        <v>1824</v>
      </c>
      <c r="B172" s="122">
        <v>90</v>
      </c>
      <c r="C172" s="123" t="s">
        <v>1887</v>
      </c>
      <c r="D172" s="123" t="s">
        <v>1887</v>
      </c>
      <c r="E172" s="248" t="str">
        <f t="shared" si="7"/>
        <v/>
      </c>
    </row>
    <row r="173" spans="1:5" s="123" customFormat="1" x14ac:dyDescent="0.3">
      <c r="A173" s="122" t="s">
        <v>1824</v>
      </c>
      <c r="B173" s="122">
        <v>91</v>
      </c>
      <c r="C173" s="123" t="s">
        <v>1888</v>
      </c>
      <c r="D173" s="123" t="s">
        <v>1888</v>
      </c>
      <c r="E173" s="248" t="str">
        <f t="shared" si="7"/>
        <v/>
      </c>
    </row>
    <row r="174" spans="1:5" s="123" customFormat="1" x14ac:dyDescent="0.3">
      <c r="A174" s="122" t="s">
        <v>1824</v>
      </c>
      <c r="B174" s="122">
        <v>92</v>
      </c>
      <c r="C174" s="123" t="s">
        <v>1889</v>
      </c>
      <c r="D174" s="123" t="s">
        <v>1889</v>
      </c>
      <c r="E174" s="248" t="str">
        <f t="shared" si="7"/>
        <v/>
      </c>
    </row>
    <row r="175" spans="1:5" s="123" customFormat="1" x14ac:dyDescent="0.3">
      <c r="A175" s="122" t="s">
        <v>1824</v>
      </c>
      <c r="B175" s="122">
        <v>93</v>
      </c>
      <c r="C175" s="123" t="s">
        <v>1890</v>
      </c>
      <c r="D175" s="123" t="s">
        <v>1890</v>
      </c>
      <c r="E175" s="248" t="str">
        <f t="shared" si="7"/>
        <v/>
      </c>
    </row>
    <row r="176" spans="1:5" s="123" customFormat="1" x14ac:dyDescent="0.3">
      <c r="A176" s="122" t="s">
        <v>1824</v>
      </c>
      <c r="B176" s="122">
        <v>94</v>
      </c>
      <c r="C176" s="123" t="s">
        <v>1891</v>
      </c>
      <c r="D176" s="123" t="s">
        <v>1891</v>
      </c>
      <c r="E176" s="248" t="str">
        <f t="shared" si="7"/>
        <v/>
      </c>
    </row>
    <row r="177" spans="1:5" s="123" customFormat="1" x14ac:dyDescent="0.3">
      <c r="A177" s="122" t="s">
        <v>1824</v>
      </c>
      <c r="B177" s="122">
        <v>95</v>
      </c>
      <c r="C177" s="123" t="s">
        <v>1892</v>
      </c>
      <c r="D177" s="123" t="s">
        <v>1892</v>
      </c>
      <c r="E177" s="248" t="str">
        <f t="shared" si="7"/>
        <v/>
      </c>
    </row>
    <row r="178" spans="1:5" s="123" customFormat="1" x14ac:dyDescent="0.3">
      <c r="A178" s="122" t="s">
        <v>1824</v>
      </c>
      <c r="B178" s="122">
        <v>96</v>
      </c>
      <c r="C178" s="123" t="s">
        <v>1893</v>
      </c>
      <c r="D178" s="123" t="s">
        <v>1893</v>
      </c>
      <c r="E178" s="248" t="str">
        <f t="shared" si="7"/>
        <v/>
      </c>
    </row>
    <row r="179" spans="1:5" s="123" customFormat="1" x14ac:dyDescent="0.3">
      <c r="A179" s="122" t="s">
        <v>1824</v>
      </c>
      <c r="B179" s="122">
        <v>97</v>
      </c>
      <c r="C179" s="123" t="s">
        <v>1894</v>
      </c>
      <c r="D179" s="123" t="s">
        <v>1894</v>
      </c>
      <c r="E179" s="248" t="str">
        <f t="shared" si="7"/>
        <v/>
      </c>
    </row>
    <row r="180" spans="1:5" s="123" customFormat="1" x14ac:dyDescent="0.3">
      <c r="A180" s="122" t="s">
        <v>1824</v>
      </c>
      <c r="B180" s="122">
        <v>98</v>
      </c>
      <c r="C180" s="123" t="s">
        <v>1895</v>
      </c>
      <c r="D180" s="123" t="s">
        <v>1895</v>
      </c>
      <c r="E180" s="248" t="str">
        <f t="shared" si="7"/>
        <v/>
      </c>
    </row>
    <row r="181" spans="1:5" s="123" customFormat="1" x14ac:dyDescent="0.3">
      <c r="A181" s="122" t="s">
        <v>1824</v>
      </c>
      <c r="B181" s="122">
        <v>99</v>
      </c>
      <c r="C181" s="123" t="s">
        <v>678</v>
      </c>
      <c r="D181" s="123" t="s">
        <v>678</v>
      </c>
      <c r="E181" s="248" t="str">
        <f t="shared" si="7"/>
        <v/>
      </c>
    </row>
    <row r="182" spans="1:5" s="123" customFormat="1" x14ac:dyDescent="0.3">
      <c r="A182" s="122" t="s">
        <v>1824</v>
      </c>
      <c r="B182" s="122">
        <v>100</v>
      </c>
      <c r="C182" s="123" t="s">
        <v>1896</v>
      </c>
      <c r="D182" s="123" t="s">
        <v>1896</v>
      </c>
      <c r="E182" s="248" t="str">
        <f t="shared" si="7"/>
        <v/>
      </c>
    </row>
    <row r="183" spans="1:5" s="123" customFormat="1" x14ac:dyDescent="0.3">
      <c r="A183" s="122" t="s">
        <v>1824</v>
      </c>
      <c r="B183" s="122">
        <v>101</v>
      </c>
      <c r="C183" s="123" t="s">
        <v>1897</v>
      </c>
      <c r="D183" s="123" t="s">
        <v>1897</v>
      </c>
      <c r="E183" s="248" t="str">
        <f t="shared" si="7"/>
        <v/>
      </c>
    </row>
    <row r="184" spans="1:5" s="123" customFormat="1" x14ac:dyDescent="0.3">
      <c r="A184" s="122" t="s">
        <v>1824</v>
      </c>
      <c r="B184" s="122">
        <v>102</v>
      </c>
      <c r="C184" s="123" t="s">
        <v>1898</v>
      </c>
      <c r="D184" s="123" t="s">
        <v>1898</v>
      </c>
      <c r="E184" s="248" t="str">
        <f t="shared" si="7"/>
        <v/>
      </c>
    </row>
    <row r="185" spans="1:5" s="123" customFormat="1" x14ac:dyDescent="0.3">
      <c r="A185" s="122" t="s">
        <v>1824</v>
      </c>
      <c r="B185" s="122">
        <v>103</v>
      </c>
      <c r="C185" s="123" t="s">
        <v>709</v>
      </c>
      <c r="D185" s="123" t="s">
        <v>709</v>
      </c>
      <c r="E185" s="248" t="str">
        <f t="shared" si="7"/>
        <v/>
      </c>
    </row>
    <row r="186" spans="1:5" s="123" customFormat="1" x14ac:dyDescent="0.3">
      <c r="A186" s="122" t="s">
        <v>1824</v>
      </c>
      <c r="B186" s="122">
        <v>104</v>
      </c>
      <c r="C186" s="123" t="s">
        <v>1899</v>
      </c>
      <c r="D186" s="123" t="s">
        <v>1899</v>
      </c>
      <c r="E186" s="248" t="str">
        <f t="shared" si="7"/>
        <v/>
      </c>
    </row>
    <row r="187" spans="1:5" s="123" customFormat="1" x14ac:dyDescent="0.3">
      <c r="A187" s="122" t="s">
        <v>1824</v>
      </c>
      <c r="B187" s="122">
        <v>105</v>
      </c>
      <c r="C187" s="123" t="s">
        <v>702</v>
      </c>
      <c r="D187" s="123" t="s">
        <v>702</v>
      </c>
      <c r="E187" s="248" t="str">
        <f t="shared" si="7"/>
        <v/>
      </c>
    </row>
    <row r="188" spans="1:5" s="123" customFormat="1" x14ac:dyDescent="0.3">
      <c r="A188" s="122" t="s">
        <v>1824</v>
      </c>
      <c r="B188" s="122">
        <v>106</v>
      </c>
      <c r="C188" s="123" t="s">
        <v>1900</v>
      </c>
      <c r="D188" s="123" t="s">
        <v>1900</v>
      </c>
      <c r="E188" s="248" t="str">
        <f t="shared" si="7"/>
        <v/>
      </c>
    </row>
    <row r="189" spans="1:5" s="123" customFormat="1" x14ac:dyDescent="0.3">
      <c r="A189" s="122" t="s">
        <v>1824</v>
      </c>
      <c r="B189" s="122">
        <v>107</v>
      </c>
      <c r="C189" s="123" t="s">
        <v>1416</v>
      </c>
      <c r="D189" s="123" t="s">
        <v>1416</v>
      </c>
      <c r="E189" s="248"/>
    </row>
    <row r="190" spans="1:5" s="123" customFormat="1" x14ac:dyDescent="0.3">
      <c r="A190" s="122" t="s">
        <v>1824</v>
      </c>
      <c r="B190" s="122">
        <v>108</v>
      </c>
      <c r="C190" s="123" t="s">
        <v>1492</v>
      </c>
      <c r="D190" s="123" t="s">
        <v>1492</v>
      </c>
      <c r="E190" s="248" t="str">
        <f t="shared" ref="E190:E197" si="8">IF(LEN($C190)-LEN(D190)&lt;0,TEXT(LEN(D190)/LEN($C190),"0 %")&amp;" ("&amp;LEN(D190)-LEN($C190)&amp;")","")</f>
        <v/>
      </c>
    </row>
    <row r="191" spans="1:5" s="123" customFormat="1" x14ac:dyDescent="0.3">
      <c r="A191" s="122" t="s">
        <v>1824</v>
      </c>
      <c r="B191" s="122">
        <v>109</v>
      </c>
      <c r="C191" s="123" t="s">
        <v>1497</v>
      </c>
      <c r="D191" s="123" t="s">
        <v>1497</v>
      </c>
      <c r="E191" s="248" t="str">
        <f t="shared" si="8"/>
        <v/>
      </c>
    </row>
    <row r="192" spans="1:5" s="123" customFormat="1" x14ac:dyDescent="0.3">
      <c r="A192" s="122" t="s">
        <v>1824</v>
      </c>
      <c r="B192" s="122">
        <v>110</v>
      </c>
      <c r="C192" s="123" t="s">
        <v>1901</v>
      </c>
      <c r="D192" s="123" t="s">
        <v>1901</v>
      </c>
      <c r="E192" s="248" t="str">
        <f t="shared" si="8"/>
        <v/>
      </c>
    </row>
    <row r="193" spans="1:5" s="123" customFormat="1" x14ac:dyDescent="0.3">
      <c r="A193" s="122" t="s">
        <v>1824</v>
      </c>
      <c r="B193" s="122">
        <v>111</v>
      </c>
      <c r="C193" s="123" t="s">
        <v>1902</v>
      </c>
      <c r="D193" s="123" t="s">
        <v>1902</v>
      </c>
      <c r="E193" s="248" t="str">
        <f t="shared" si="8"/>
        <v/>
      </c>
    </row>
    <row r="194" spans="1:5" s="123" customFormat="1" x14ac:dyDescent="0.3">
      <c r="A194" s="122" t="s">
        <v>1824</v>
      </c>
      <c r="B194" s="122">
        <v>112</v>
      </c>
      <c r="C194" s="123" t="s">
        <v>1903</v>
      </c>
      <c r="D194" s="123" t="s">
        <v>1903</v>
      </c>
      <c r="E194" s="248" t="str">
        <f t="shared" si="8"/>
        <v/>
      </c>
    </row>
    <row r="195" spans="1:5" s="123" customFormat="1" x14ac:dyDescent="0.3">
      <c r="A195" s="122" t="s">
        <v>1824</v>
      </c>
      <c r="B195" s="122">
        <v>113</v>
      </c>
      <c r="C195" s="123" t="s">
        <v>1904</v>
      </c>
      <c r="D195" s="123" t="s">
        <v>1904</v>
      </c>
      <c r="E195" s="248" t="str">
        <f t="shared" si="8"/>
        <v/>
      </c>
    </row>
    <row r="196" spans="1:5" s="123" customFormat="1" x14ac:dyDescent="0.3">
      <c r="A196" s="122" t="s">
        <v>1824</v>
      </c>
      <c r="B196" s="122">
        <v>114</v>
      </c>
      <c r="C196" s="123" t="s">
        <v>1905</v>
      </c>
      <c r="D196" s="123" t="s">
        <v>1905</v>
      </c>
      <c r="E196" s="248" t="str">
        <f t="shared" si="8"/>
        <v/>
      </c>
    </row>
    <row r="197" spans="1:5" s="123" customFormat="1" x14ac:dyDescent="0.3">
      <c r="A197" s="122" t="s">
        <v>1824</v>
      </c>
      <c r="B197" s="122">
        <v>115</v>
      </c>
      <c r="C197" s="123" t="s">
        <v>1906</v>
      </c>
      <c r="D197" s="123" t="s">
        <v>1906</v>
      </c>
      <c r="E197" s="248" t="str">
        <f t="shared" si="8"/>
        <v/>
      </c>
    </row>
    <row r="198" spans="1:5" s="123" customFormat="1" x14ac:dyDescent="0.3">
      <c r="A198" s="122"/>
      <c r="B198" s="122"/>
      <c r="E198" s="248"/>
    </row>
    <row r="199" spans="1:5" s="123" customFormat="1" x14ac:dyDescent="0.3">
      <c r="A199" s="122"/>
      <c r="B199" s="122"/>
      <c r="E199" s="248"/>
    </row>
    <row r="200" spans="1:5" ht="15.6" x14ac:dyDescent="0.3">
      <c r="A200" s="117" t="str">
        <f>"! --- "&amp;INDEX(MLtextDivisions,3)</f>
        <v>! --- Parameter Script - VALUES</v>
      </c>
      <c r="E200" s="248" t="str">
        <f t="shared" ref="E200:E202" si="9">IF(LEN($C200)-LEN(D200)&lt;0,TEXT(LEN(D200)/LEN($C200),"0 %")&amp;" ("&amp;LEN(D200)-LEN($C200)&amp;")","")</f>
        <v/>
      </c>
    </row>
    <row r="201" spans="1:5" s="123" customFormat="1" x14ac:dyDescent="0.3">
      <c r="A201" s="122"/>
      <c r="B201" s="122"/>
      <c r="E201" s="248" t="str">
        <f t="shared" si="9"/>
        <v/>
      </c>
    </row>
    <row r="202" spans="1:5" s="114" customFormat="1" ht="15.6" x14ac:dyDescent="0.3">
      <c r="A202" s="116" t="str">
        <f>"! --- "&amp;INDEX(MLtextDivisions,4)</f>
        <v>! --- User Interface - PageNames</v>
      </c>
      <c r="B202" s="115"/>
      <c r="E202" s="248" t="str">
        <f t="shared" si="9"/>
        <v/>
      </c>
    </row>
    <row r="203" spans="1:5" s="123" customFormat="1" x14ac:dyDescent="0.3">
      <c r="A203" s="122" t="s">
        <v>1724</v>
      </c>
      <c r="B203" s="115">
        <v>1</v>
      </c>
      <c r="C203" s="114" t="s">
        <v>1729</v>
      </c>
      <c r="D203" t="s">
        <v>1740</v>
      </c>
      <c r="E203" s="248" t="str">
        <f t="shared" ref="E203:E213" si="10">IF(LEN($C203)-LEN(D203)&lt;0,TEXT(LEN(D203)/LEN($C203),"0 %")&amp;" ("&amp;LEN(D203)-LEN($C203)&amp;")","")</f>
        <v>113 % (1)</v>
      </c>
    </row>
    <row r="204" spans="1:5" s="123" customFormat="1" x14ac:dyDescent="0.3">
      <c r="A204" s="122" t="s">
        <v>1724</v>
      </c>
      <c r="B204" s="115">
        <v>2</v>
      </c>
      <c r="C204" s="114" t="s">
        <v>1730</v>
      </c>
      <c r="D204" t="s">
        <v>1741</v>
      </c>
      <c r="E204" s="248" t="str">
        <f t="shared" si="10"/>
        <v>102 % (1)</v>
      </c>
    </row>
    <row r="205" spans="1:5" s="123" customFormat="1" x14ac:dyDescent="0.3">
      <c r="A205" s="122" t="s">
        <v>1724</v>
      </c>
      <c r="B205" s="115">
        <v>3</v>
      </c>
      <c r="C205" s="114" t="s">
        <v>1731</v>
      </c>
      <c r="D205" t="s">
        <v>1743</v>
      </c>
      <c r="E205" s="248" t="str">
        <f t="shared" si="10"/>
        <v/>
      </c>
    </row>
    <row r="206" spans="1:5" s="123" customFormat="1" x14ac:dyDescent="0.3">
      <c r="A206" s="122" t="s">
        <v>1724</v>
      </c>
      <c r="B206" s="115">
        <v>4</v>
      </c>
      <c r="C206" s="114" t="s">
        <v>1732</v>
      </c>
      <c r="D206" t="s">
        <v>1742</v>
      </c>
      <c r="E206" s="248" t="str">
        <f t="shared" si="10"/>
        <v/>
      </c>
    </row>
    <row r="207" spans="1:5" s="123" customFormat="1" x14ac:dyDescent="0.3">
      <c r="A207" s="122" t="s">
        <v>1724</v>
      </c>
      <c r="B207" s="115">
        <v>5</v>
      </c>
      <c r="C207" s="114" t="s">
        <v>1733</v>
      </c>
      <c r="D207" t="s">
        <v>1747</v>
      </c>
      <c r="E207" s="248" t="str">
        <f t="shared" si="10"/>
        <v>116 % (4)</v>
      </c>
    </row>
    <row r="208" spans="1:5" s="123" customFormat="1" x14ac:dyDescent="0.3">
      <c r="A208" s="122" t="s">
        <v>1724</v>
      </c>
      <c r="B208" s="115">
        <v>6</v>
      </c>
      <c r="C208" s="114" t="s">
        <v>1734</v>
      </c>
      <c r="D208" t="s">
        <v>1744</v>
      </c>
      <c r="E208" s="248" t="str">
        <f t="shared" si="10"/>
        <v/>
      </c>
    </row>
    <row r="209" spans="1:5" s="123" customFormat="1" x14ac:dyDescent="0.3">
      <c r="A209" s="122" t="s">
        <v>1724</v>
      </c>
      <c r="B209" s="115">
        <v>7</v>
      </c>
      <c r="C209" s="114" t="s">
        <v>1735</v>
      </c>
      <c r="D209" t="s">
        <v>1746</v>
      </c>
      <c r="E209" s="248" t="str">
        <f t="shared" si="10"/>
        <v/>
      </c>
    </row>
    <row r="210" spans="1:5" s="123" customFormat="1" x14ac:dyDescent="0.3">
      <c r="A210" s="122" t="s">
        <v>1724</v>
      </c>
      <c r="B210" s="115">
        <v>8</v>
      </c>
      <c r="C210" s="114" t="s">
        <v>1736</v>
      </c>
      <c r="D210" t="s">
        <v>1748</v>
      </c>
      <c r="E210" s="248" t="str">
        <f t="shared" si="10"/>
        <v>119 % (5)</v>
      </c>
    </row>
    <row r="211" spans="1:5" s="123" customFormat="1" x14ac:dyDescent="0.3">
      <c r="A211" s="122" t="s">
        <v>1724</v>
      </c>
      <c r="B211" s="115">
        <v>9</v>
      </c>
      <c r="C211" s="123" t="s">
        <v>1737</v>
      </c>
      <c r="D211" t="s">
        <v>1749</v>
      </c>
      <c r="E211" s="248" t="str">
        <f t="shared" si="10"/>
        <v>108 % (2)</v>
      </c>
    </row>
    <row r="212" spans="1:5" s="123" customFormat="1" x14ac:dyDescent="0.3">
      <c r="A212" s="122" t="s">
        <v>1724</v>
      </c>
      <c r="B212" s="115">
        <v>10</v>
      </c>
      <c r="C212" s="123" t="s">
        <v>1738</v>
      </c>
      <c r="D212" t="s">
        <v>1750</v>
      </c>
      <c r="E212" s="248" t="str">
        <f t="shared" si="10"/>
        <v>121 % (6)</v>
      </c>
    </row>
    <row r="213" spans="1:5" s="123" customFormat="1" x14ac:dyDescent="0.3">
      <c r="A213" s="122" t="s">
        <v>1724</v>
      </c>
      <c r="B213" s="115">
        <v>11</v>
      </c>
      <c r="C213" s="123" t="s">
        <v>1739</v>
      </c>
      <c r="D213" t="s">
        <v>1751</v>
      </c>
      <c r="E213" s="248" t="str">
        <f t="shared" si="10"/>
        <v>111 % (3)</v>
      </c>
    </row>
    <row r="214" spans="1:5" s="123" customFormat="1" x14ac:dyDescent="0.3">
      <c r="A214" s="122"/>
      <c r="B214" s="115"/>
      <c r="D214"/>
      <c r="E214" s="248"/>
    </row>
    <row r="215" spans="1:5" s="123" customFormat="1" x14ac:dyDescent="0.3">
      <c r="A215" s="122"/>
      <c r="B215" s="115"/>
      <c r="D215"/>
      <c r="E215" s="248"/>
    </row>
    <row r="216" spans="1:5" ht="15.6" x14ac:dyDescent="0.3">
      <c r="A216" s="117" t="str">
        <f>"! --- "&amp;INDEX(MLtextDivisions,5)</f>
        <v>! --- Common Text</v>
      </c>
      <c r="E216" s="248" t="str">
        <f t="shared" ref="E216:E220" si="11">IF(LEN($C216)-LEN(D216)&lt;0,TEXT(LEN(D216)/LEN($C216),"0 %")&amp;" ("&amp;LEN(D216)-LEN($C216)&amp;")","")</f>
        <v/>
      </c>
    </row>
    <row r="217" spans="1:5" x14ac:dyDescent="0.3">
      <c r="A217" s="122" t="s">
        <v>1725</v>
      </c>
      <c r="B217" s="118">
        <v>1</v>
      </c>
      <c r="C217" t="s">
        <v>1641</v>
      </c>
      <c r="D217" t="s">
        <v>1726</v>
      </c>
      <c r="E217" s="248" t="str">
        <f t="shared" si="11"/>
        <v/>
      </c>
    </row>
    <row r="218" spans="1:5" x14ac:dyDescent="0.3">
      <c r="A218" s="122" t="s">
        <v>1725</v>
      </c>
      <c r="B218" s="118">
        <v>2</v>
      </c>
      <c r="C218" t="s">
        <v>1642</v>
      </c>
      <c r="D218" t="s">
        <v>1642</v>
      </c>
      <c r="E218" s="248" t="str">
        <f t="shared" si="11"/>
        <v/>
      </c>
    </row>
    <row r="219" spans="1:5" x14ac:dyDescent="0.3">
      <c r="A219" s="122" t="s">
        <v>1725</v>
      </c>
      <c r="B219" s="118">
        <v>3</v>
      </c>
      <c r="C219" t="s">
        <v>683</v>
      </c>
      <c r="D219" t="s">
        <v>1727</v>
      </c>
      <c r="E219" s="248" t="str">
        <f t="shared" si="11"/>
        <v/>
      </c>
    </row>
    <row r="220" spans="1:5" x14ac:dyDescent="0.3">
      <c r="A220" s="122" t="s">
        <v>1725</v>
      </c>
      <c r="B220" s="118">
        <v>4</v>
      </c>
      <c r="C220" t="s">
        <v>1623</v>
      </c>
      <c r="D220" t="s">
        <v>1728</v>
      </c>
      <c r="E220" s="248" t="str">
        <f t="shared" si="11"/>
        <v/>
      </c>
    </row>
    <row r="221" spans="1:5" s="123" customFormat="1" ht="15.6" x14ac:dyDescent="0.3">
      <c r="A221" s="121"/>
      <c r="B221" s="122"/>
    </row>
    <row r="222" spans="1:5" ht="15.6" x14ac:dyDescent="0.3">
      <c r="A222" s="117" t="str">
        <f>"! --- END"</f>
        <v>! --- END</v>
      </c>
    </row>
  </sheetData>
  <sortState ref="A82:E199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topLeftCell="P1" zoomScaleNormal="100" workbookViewId="0">
      <selection activeCell="W12" sqref="W9:W12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4" t="str">
        <f>"-&gt; PROPERTY-CONTEXT"</f>
        <v>-&gt; PROPERTY-CONTEXT</v>
      </c>
      <c r="F1" s="254"/>
      <c r="G1" s="254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5" t="s">
        <v>125</v>
      </c>
      <c r="T1" s="255"/>
      <c r="U1" s="10" t="s">
        <v>139</v>
      </c>
      <c r="V1" s="10" t="s">
        <v>144</v>
      </c>
      <c r="W1" s="10" t="s">
        <v>174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188</v>
      </c>
      <c r="W2" s="3" t="s">
        <v>172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196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1908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181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  <c r="W6" s="3" t="s">
        <v>178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182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183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6" t="str">
        <f>'RAW IMPORT'!A1</f>
        <v>Produkt</v>
      </c>
      <c r="B1" s="256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180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7" t="s">
        <v>96</v>
      </c>
      <c r="B1" s="258"/>
      <c r="C1" s="130" t="s">
        <v>143</v>
      </c>
      <c r="D1" s="138" t="s">
        <v>187</v>
      </c>
      <c r="E1" s="138"/>
    </row>
    <row r="2" spans="1:9" ht="15.75" customHeight="1" thickBot="1" x14ac:dyDescent="0.3">
      <c r="A2" s="79" t="s">
        <v>240</v>
      </c>
      <c r="B2" s="80" t="s">
        <v>186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2025-09-08T06:51:57Z</dcterms:modified>
</cp:coreProperties>
</file>