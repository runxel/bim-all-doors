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8 BAD handle dormakaba_ogro\BAD08.parameters\"/>
    </mc:Choice>
  </mc:AlternateContent>
  <bookViews>
    <workbookView xWindow="0" yWindow="-12" windowWidth="14460" windowHeight="10212" tabRatio="62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PARAMETERS!$Z$2:$Z$289</definedName>
    <definedName name="ARRAYval">DEFAULT!$B$5:$CC$156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Translation">base!$S$2:$T$56</definedName>
    <definedName name="INDEXNAMEN">'SORT IMPORT'!$A$4:$BX$4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PARAMETERS!$O$2:$O$298</definedName>
    <definedName name="PARAMETERLISTE">PARAMETERS!$A$2:$Q$298</definedName>
    <definedName name="preIndex">base!$V$2</definedName>
    <definedName name="PriorityValues">base!$H$2:$H$5</definedName>
    <definedName name="prodArrayNames">'SORT IMPORT'!$BY$5:$BY$13</definedName>
    <definedName name="prodIndex">'SORT IMPORT'!$A$4:$BY$13</definedName>
    <definedName name="prodRowOffset">'SORT IMPORT'!$BZ$5:$BZ$13</definedName>
    <definedName name="PRODUKTE">'SORT IMPORT'!$A$15:$BX$126</definedName>
    <definedName name="PRODUKTINDIZES">'SORT IMPORT'!$A$4:$BX$13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base!$B$2:$G$18</definedName>
    <definedName name="TypeClassValues">base!$B$2:$B$18</definedName>
    <definedName name="UIpicIdxArray">base!$U$2</definedName>
    <definedName name="UItextArray">base!$U$3</definedName>
    <definedName name="UIvaluesArray">base!$U$4</definedName>
    <definedName name="VALUES">PARAMETERS!$AA$2:$AA$289</definedName>
    <definedName name="VALUES1dim">VALUES!$B$6:$CY$35</definedName>
    <definedName name="VALUESdim">VALUES!$B$1:$CY$1</definedName>
    <definedName name="VALUESLIST">VALUES!$B$5:$CX$96</definedName>
    <definedName name="VALUESnames">VALUES!$B$5:$CZ$5</definedName>
    <definedName name="valuesPROP">#REF!</definedName>
    <definedName name="VALUESval">VALUES!$B$6:$CY$96</definedName>
  </definedNames>
  <calcPr calcId="162913"/>
</workbook>
</file>

<file path=xl/calcChain.xml><?xml version="1.0" encoding="utf-8"?>
<calcChain xmlns="http://schemas.openxmlformats.org/spreadsheetml/2006/main">
  <c r="Z188" i="6" l="1"/>
  <c r="AA188" i="6"/>
  <c r="AC188" i="6" s="1"/>
  <c r="AB188" i="6"/>
  <c r="Z189" i="6"/>
  <c r="AA189" i="6"/>
  <c r="AC189" i="6" s="1"/>
  <c r="AB189" i="6"/>
  <c r="Z190" i="6"/>
  <c r="AA190" i="6"/>
  <c r="AC190" i="6" s="1"/>
  <c r="AB190" i="6"/>
  <c r="Z191" i="6"/>
  <c r="AA191" i="6"/>
  <c r="AC191" i="6" s="1"/>
  <c r="AB191" i="6"/>
  <c r="Z192" i="6"/>
  <c r="AA192" i="6"/>
  <c r="AC192" i="6" s="1"/>
  <c r="AB192" i="6"/>
  <c r="Z193" i="6"/>
  <c r="AA193" i="6"/>
  <c r="AC193" i="6" s="1"/>
  <c r="AB193" i="6"/>
  <c r="Z194" i="6"/>
  <c r="AA194" i="6"/>
  <c r="AC194" i="6" s="1"/>
  <c r="AB194" i="6"/>
  <c r="Z195" i="6"/>
  <c r="AA195" i="6"/>
  <c r="AC195" i="6" s="1"/>
  <c r="AB195" i="6"/>
  <c r="Z196" i="6"/>
  <c r="AA196" i="6"/>
  <c r="AC196" i="6" s="1"/>
  <c r="AB196" i="6"/>
  <c r="Z197" i="6"/>
  <c r="AA197" i="6"/>
  <c r="AC197" i="6" s="1"/>
  <c r="AB197" i="6"/>
  <c r="Z198" i="6"/>
  <c r="AA198" i="6"/>
  <c r="AC198" i="6" s="1"/>
  <c r="AB198" i="6"/>
  <c r="Z199" i="6"/>
  <c r="AA199" i="6"/>
  <c r="AC199" i="6" s="1"/>
  <c r="AB199" i="6"/>
  <c r="C193" i="6"/>
  <c r="C192" i="6"/>
  <c r="C191" i="6"/>
  <c r="C188" i="6"/>
  <c r="C189" i="6"/>
  <c r="C190" i="6"/>
  <c r="Z120" i="6"/>
  <c r="AA120" i="6"/>
  <c r="AB120" i="6"/>
  <c r="C120" i="6"/>
  <c r="AB206" i="6"/>
  <c r="AA206" i="6"/>
  <c r="C206" i="6"/>
  <c r="B193" i="6" l="1"/>
  <c r="B192" i="6"/>
  <c r="B120" i="6"/>
  <c r="B191" i="6"/>
  <c r="B189" i="6"/>
  <c r="B190" i="6"/>
  <c r="B188" i="6"/>
  <c r="AC120" i="6"/>
  <c r="B206" i="6"/>
  <c r="AC206" i="6"/>
  <c r="AA176" i="6"/>
  <c r="AC176" i="6" s="1"/>
  <c r="AB176" i="6"/>
  <c r="AA177" i="6"/>
  <c r="AC177" i="6" s="1"/>
  <c r="AB177" i="6"/>
  <c r="AA178" i="6"/>
  <c r="AC178" i="6" s="1"/>
  <c r="AB178" i="6"/>
  <c r="AA179" i="6"/>
  <c r="AC179" i="6" s="1"/>
  <c r="AB179" i="6"/>
  <c r="AA180" i="6"/>
  <c r="AC180" i="6" s="1"/>
  <c r="AB180" i="6"/>
  <c r="AA181" i="6"/>
  <c r="AC181" i="6" s="1"/>
  <c r="AB181" i="6"/>
  <c r="AA182" i="6"/>
  <c r="AC182" i="6" s="1"/>
  <c r="AB182" i="6"/>
  <c r="AA183" i="6"/>
  <c r="AC183" i="6" s="1"/>
  <c r="AB183" i="6"/>
  <c r="AA184" i="6"/>
  <c r="AC184" i="6" s="1"/>
  <c r="AB184" i="6"/>
  <c r="AA185" i="6"/>
  <c r="AC185" i="6" s="1"/>
  <c r="AB185" i="6"/>
  <c r="AA186" i="6"/>
  <c r="AC186" i="6" s="1"/>
  <c r="AB186" i="6"/>
  <c r="AA187" i="6"/>
  <c r="AC187" i="6" s="1"/>
  <c r="AB187" i="6"/>
  <c r="AA56" i="6"/>
  <c r="AC56" i="6" s="1"/>
  <c r="AB56" i="6"/>
  <c r="AA57" i="6"/>
  <c r="AC57" i="6" s="1"/>
  <c r="AB57" i="6"/>
  <c r="AA58" i="6"/>
  <c r="AC58" i="6" s="1"/>
  <c r="AB58" i="6"/>
  <c r="AA59" i="6"/>
  <c r="AC59" i="6" s="1"/>
  <c r="AB59" i="6"/>
  <c r="AA60" i="6"/>
  <c r="AC60" i="6" s="1"/>
  <c r="AB60" i="6"/>
  <c r="AA61" i="6"/>
  <c r="AC61" i="6" s="1"/>
  <c r="AB61" i="6"/>
  <c r="AA62" i="6"/>
  <c r="AC62" i="6" s="1"/>
  <c r="AB62" i="6"/>
  <c r="AA63" i="6"/>
  <c r="AC63" i="6" s="1"/>
  <c r="AB63" i="6"/>
  <c r="AA64" i="6"/>
  <c r="AC64" i="6" s="1"/>
  <c r="AB64" i="6"/>
  <c r="AA65" i="6"/>
  <c r="AC65" i="6" s="1"/>
  <c r="AB65" i="6"/>
  <c r="AA66" i="6"/>
  <c r="AC66" i="6" s="1"/>
  <c r="AB66" i="6"/>
  <c r="AA67" i="6"/>
  <c r="AC67" i="6" s="1"/>
  <c r="AB67" i="6"/>
  <c r="AA68" i="6"/>
  <c r="AC68" i="6" s="1"/>
  <c r="AB68" i="6"/>
  <c r="AA69" i="6"/>
  <c r="AC69" i="6" s="1"/>
  <c r="AB69" i="6"/>
  <c r="AA70" i="6"/>
  <c r="AC70" i="6" s="1"/>
  <c r="AB70" i="6"/>
  <c r="AA71" i="6"/>
  <c r="AC71" i="6" s="1"/>
  <c r="AB71" i="6"/>
  <c r="AA72" i="6"/>
  <c r="AC72" i="6" s="1"/>
  <c r="AB72" i="6"/>
  <c r="AA73" i="6"/>
  <c r="AC73" i="6" s="1"/>
  <c r="AB73" i="6"/>
  <c r="AA74" i="6"/>
  <c r="AC74" i="6" s="1"/>
  <c r="AB74" i="6"/>
  <c r="AA75" i="6"/>
  <c r="AC75" i="6" s="1"/>
  <c r="AB75" i="6"/>
  <c r="AA76" i="6"/>
  <c r="AC76" i="6" s="1"/>
  <c r="AB76" i="6"/>
  <c r="AA77" i="6"/>
  <c r="AC77" i="6" s="1"/>
  <c r="AB77" i="6"/>
  <c r="AA78" i="6"/>
  <c r="AC78" i="6" s="1"/>
  <c r="AB78" i="6"/>
  <c r="AA79" i="6"/>
  <c r="AC79" i="6" s="1"/>
  <c r="AB79" i="6"/>
  <c r="AA80" i="6"/>
  <c r="AC80" i="6" s="1"/>
  <c r="AB80" i="6"/>
  <c r="AA81" i="6"/>
  <c r="AC81" i="6" s="1"/>
  <c r="AB81" i="6"/>
  <c r="AA82" i="6"/>
  <c r="AC82" i="6" s="1"/>
  <c r="AB82" i="6"/>
  <c r="AA83" i="6"/>
  <c r="AC83" i="6" s="1"/>
  <c r="AB83" i="6"/>
  <c r="AA84" i="6"/>
  <c r="AC84" i="6" s="1"/>
  <c r="AB84" i="6"/>
  <c r="AA85" i="6"/>
  <c r="AC85" i="6" s="1"/>
  <c r="AB85" i="6"/>
  <c r="AA86" i="6"/>
  <c r="AC86" i="6" s="1"/>
  <c r="AB86" i="6"/>
  <c r="AA87" i="6"/>
  <c r="AC87" i="6" s="1"/>
  <c r="AB87" i="6"/>
  <c r="AA88" i="6"/>
  <c r="AC88" i="6" s="1"/>
  <c r="AB88" i="6"/>
  <c r="AA89" i="6"/>
  <c r="AC89" i="6" s="1"/>
  <c r="AB89" i="6"/>
  <c r="AA90" i="6"/>
  <c r="AC90" i="6" s="1"/>
  <c r="AB90" i="6"/>
  <c r="AA91" i="6"/>
  <c r="AC91" i="6" s="1"/>
  <c r="AB91" i="6"/>
  <c r="AA92" i="6"/>
  <c r="AC92" i="6" s="1"/>
  <c r="AB92" i="6"/>
  <c r="AA93" i="6"/>
  <c r="AC93" i="6" s="1"/>
  <c r="AB93" i="6"/>
  <c r="AA94" i="6"/>
  <c r="AC94" i="6" s="1"/>
  <c r="AB94" i="6"/>
  <c r="AA95" i="6"/>
  <c r="AC95" i="6" s="1"/>
  <c r="AB95" i="6"/>
  <c r="AA96" i="6"/>
  <c r="AC96" i="6" s="1"/>
  <c r="AB96" i="6"/>
  <c r="AA97" i="6"/>
  <c r="AC97" i="6" s="1"/>
  <c r="AB97" i="6"/>
  <c r="AA98" i="6"/>
  <c r="AC98" i="6" s="1"/>
  <c r="AB98" i="6"/>
  <c r="AA99" i="6"/>
  <c r="AC99" i="6" s="1"/>
  <c r="AB99" i="6"/>
  <c r="AA100" i="6"/>
  <c r="AC100" i="6" s="1"/>
  <c r="AB100" i="6"/>
  <c r="AA101" i="6"/>
  <c r="AC101" i="6" s="1"/>
  <c r="AB101" i="6"/>
  <c r="AA102" i="6"/>
  <c r="AC102" i="6" s="1"/>
  <c r="AB102" i="6"/>
  <c r="AA103" i="6"/>
  <c r="AB103" i="6"/>
  <c r="AA104" i="6"/>
  <c r="AC104" i="6" s="1"/>
  <c r="AB104" i="6"/>
  <c r="AA105" i="6"/>
  <c r="AC105" i="6" s="1"/>
  <c r="AB105" i="6"/>
  <c r="AA106" i="6"/>
  <c r="AC106" i="6" s="1"/>
  <c r="AB106" i="6"/>
  <c r="AA107" i="6"/>
  <c r="AC107" i="6" s="1"/>
  <c r="AB107" i="6"/>
  <c r="AA108" i="6"/>
  <c r="AC108" i="6" s="1"/>
  <c r="AB108" i="6"/>
  <c r="AA109" i="6"/>
  <c r="AC109" i="6" s="1"/>
  <c r="AB109" i="6"/>
  <c r="AA110" i="6"/>
  <c r="AC110" i="6" s="1"/>
  <c r="AB110" i="6"/>
  <c r="AA111" i="6"/>
  <c r="AC111" i="6" s="1"/>
  <c r="AB111" i="6"/>
  <c r="AA112" i="6"/>
  <c r="AC112" i="6" s="1"/>
  <c r="AB112" i="6"/>
  <c r="AA113" i="6"/>
  <c r="AC113" i="6" s="1"/>
  <c r="AB113" i="6"/>
  <c r="AA114" i="6"/>
  <c r="AC114" i="6" s="1"/>
  <c r="AB114" i="6"/>
  <c r="AA115" i="6"/>
  <c r="AC115" i="6" s="1"/>
  <c r="AB115" i="6"/>
  <c r="AA116" i="6"/>
  <c r="AC116" i="6" s="1"/>
  <c r="AB116" i="6"/>
  <c r="AA117" i="6"/>
  <c r="AC117" i="6" s="1"/>
  <c r="AB117" i="6"/>
  <c r="AA118" i="6"/>
  <c r="AC118" i="6" s="1"/>
  <c r="AB118" i="6"/>
  <c r="AA119" i="6"/>
  <c r="AC119" i="6" s="1"/>
  <c r="AB119" i="6"/>
  <c r="AA121" i="6"/>
  <c r="B121" i="6" s="1"/>
  <c r="AB121" i="6"/>
  <c r="AA122" i="6"/>
  <c r="B122" i="6" s="1"/>
  <c r="AB122" i="6"/>
  <c r="AA123" i="6"/>
  <c r="B123" i="6" s="1"/>
  <c r="AB123" i="6"/>
  <c r="AA124" i="6"/>
  <c r="AC124" i="6" s="1"/>
  <c r="AB124" i="6"/>
  <c r="AA125" i="6"/>
  <c r="B125" i="6" s="1"/>
  <c r="AB125" i="6"/>
  <c r="AA126" i="6"/>
  <c r="AC126" i="6" s="1"/>
  <c r="AB126" i="6"/>
  <c r="AA127" i="6"/>
  <c r="B127" i="6" s="1"/>
  <c r="AB127" i="6"/>
  <c r="AA128" i="6"/>
  <c r="B128" i="6" s="1"/>
  <c r="AB128" i="6"/>
  <c r="AA129" i="6"/>
  <c r="B129" i="6" s="1"/>
  <c r="AB129" i="6"/>
  <c r="AA130" i="6"/>
  <c r="B130" i="6" s="1"/>
  <c r="AB130" i="6"/>
  <c r="AA131" i="6"/>
  <c r="AC131" i="6" s="1"/>
  <c r="AB131" i="6"/>
  <c r="AA132" i="6"/>
  <c r="B132" i="6" s="1"/>
  <c r="AB132" i="6"/>
  <c r="AA133" i="6"/>
  <c r="AC133" i="6" s="1"/>
  <c r="AB133" i="6"/>
  <c r="AA134" i="6"/>
  <c r="B134" i="6" s="1"/>
  <c r="AB134" i="6"/>
  <c r="AA135" i="6"/>
  <c r="B135" i="6" s="1"/>
  <c r="AB135" i="6"/>
  <c r="AA136" i="6"/>
  <c r="AB136" i="6"/>
  <c r="AA137" i="6"/>
  <c r="B137" i="6" s="1"/>
  <c r="AB137" i="6"/>
  <c r="AA138" i="6"/>
  <c r="AC138" i="6" s="1"/>
  <c r="AB138" i="6"/>
  <c r="AA139" i="6"/>
  <c r="AB139" i="6"/>
  <c r="AA140" i="6"/>
  <c r="B140" i="6" s="1"/>
  <c r="AB140" i="6"/>
  <c r="AA141" i="6"/>
  <c r="B141" i="6" s="1"/>
  <c r="AB141" i="6"/>
  <c r="AA142" i="6"/>
  <c r="B142" i="6" s="1"/>
  <c r="AB142" i="6"/>
  <c r="AA143" i="6"/>
  <c r="B143" i="6" s="1"/>
  <c r="AB143" i="6"/>
  <c r="AA144" i="6"/>
  <c r="B144" i="6" s="1"/>
  <c r="AC144" i="6" s="1"/>
  <c r="AB144" i="6"/>
  <c r="AA145" i="6"/>
  <c r="AC145" i="6" s="1"/>
  <c r="AB145" i="6"/>
  <c r="AA146" i="6"/>
  <c r="AC146" i="6" s="1"/>
  <c r="AB146" i="6"/>
  <c r="AA147" i="6"/>
  <c r="AC147" i="6" s="1"/>
  <c r="AB147" i="6"/>
  <c r="AA148" i="6"/>
  <c r="AC148" i="6" s="1"/>
  <c r="AB148" i="6"/>
  <c r="AA149" i="6"/>
  <c r="AC149" i="6" s="1"/>
  <c r="AB149" i="6"/>
  <c r="AA150" i="6"/>
  <c r="B150" i="6" s="1"/>
  <c r="AB150" i="6"/>
  <c r="AA151" i="6"/>
  <c r="AC151" i="6" s="1"/>
  <c r="AB151" i="6"/>
  <c r="AA152" i="6"/>
  <c r="B152" i="6" s="1"/>
  <c r="AB152" i="6"/>
  <c r="AA153" i="6"/>
  <c r="AB153" i="6"/>
  <c r="AA154" i="6"/>
  <c r="B154" i="6" s="1"/>
  <c r="AB154" i="6"/>
  <c r="AA155" i="6"/>
  <c r="B155" i="6" s="1"/>
  <c r="AB155" i="6"/>
  <c r="AA156" i="6"/>
  <c r="AB156" i="6"/>
  <c r="AA157" i="6"/>
  <c r="B157" i="6" s="1"/>
  <c r="AB157" i="6"/>
  <c r="AA158" i="6"/>
  <c r="B158" i="6" s="1"/>
  <c r="AB158" i="6"/>
  <c r="AA159" i="6"/>
  <c r="B159" i="6" s="1"/>
  <c r="AB159" i="6"/>
  <c r="AA160" i="6"/>
  <c r="B160" i="6" s="1"/>
  <c r="AB160" i="6"/>
  <c r="AA161" i="6"/>
  <c r="AC161" i="6" s="1"/>
  <c r="AB161" i="6"/>
  <c r="AA162" i="6"/>
  <c r="B162" i="6" s="1"/>
  <c r="AB162" i="6"/>
  <c r="AA163" i="6"/>
  <c r="B163" i="6" s="1"/>
  <c r="AB163" i="6"/>
  <c r="AA164" i="6"/>
  <c r="B164" i="6" s="1"/>
  <c r="AB164" i="6"/>
  <c r="AA165" i="6"/>
  <c r="AB165" i="6"/>
  <c r="AA166" i="6"/>
  <c r="AC166" i="6" s="1"/>
  <c r="AB166" i="6"/>
  <c r="AA167" i="6"/>
  <c r="AC167" i="6" s="1"/>
  <c r="AB167" i="6"/>
  <c r="AA168" i="6"/>
  <c r="AC168" i="6" s="1"/>
  <c r="AB168" i="6"/>
  <c r="AA169" i="6"/>
  <c r="AC169" i="6" s="1"/>
  <c r="AB169" i="6"/>
  <c r="AA170" i="6"/>
  <c r="AC170" i="6" s="1"/>
  <c r="AB170" i="6"/>
  <c r="AA171" i="6"/>
  <c r="AC171" i="6" s="1"/>
  <c r="AB171" i="6"/>
  <c r="AA172" i="6"/>
  <c r="AC172" i="6" s="1"/>
  <c r="AB172" i="6"/>
  <c r="AA173" i="6"/>
  <c r="AC173" i="6" s="1"/>
  <c r="AB173" i="6"/>
  <c r="AA174" i="6"/>
  <c r="AC174" i="6" s="1"/>
  <c r="AB174" i="6"/>
  <c r="AA175" i="6"/>
  <c r="AC175" i="6" s="1"/>
  <c r="AB175" i="6"/>
  <c r="Z183" i="6"/>
  <c r="Z184" i="6"/>
  <c r="Z185" i="6"/>
  <c r="Z186" i="6"/>
  <c r="Z187" i="6"/>
  <c r="C186" i="6"/>
  <c r="AA205" i="6"/>
  <c r="C205" i="6"/>
  <c r="AA204" i="6"/>
  <c r="C204" i="6"/>
  <c r="AA203" i="6"/>
  <c r="C203" i="6"/>
  <c r="AA202" i="6"/>
  <c r="C202" i="6"/>
  <c r="AA201" i="6"/>
  <c r="C201" i="6"/>
  <c r="AA200" i="6"/>
  <c r="C200" i="6"/>
  <c r="C199" i="6"/>
  <c r="C198" i="6"/>
  <c r="C197" i="6"/>
  <c r="C196" i="6"/>
  <c r="C195" i="6"/>
  <c r="C194" i="6"/>
  <c r="C187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5" i="15"/>
  <c r="E82" i="15"/>
  <c r="E83" i="15"/>
  <c r="E84" i="15"/>
  <c r="E85" i="15"/>
  <c r="E86" i="15"/>
  <c r="E79" i="15"/>
  <c r="E80" i="15"/>
  <c r="E81" i="15"/>
  <c r="E87" i="15"/>
  <c r="E88" i="15"/>
  <c r="E89" i="15"/>
  <c r="E90" i="15"/>
  <c r="E91" i="15"/>
  <c r="E92" i="15"/>
  <c r="E4" i="15"/>
  <c r="B8" i="1"/>
  <c r="C185" i="6"/>
  <c r="C184" i="6"/>
  <c r="C183" i="6"/>
  <c r="C182" i="6"/>
  <c r="C181" i="6"/>
  <c r="C180" i="6"/>
  <c r="C179" i="6"/>
  <c r="C178" i="6"/>
  <c r="C177" i="6"/>
  <c r="C176" i="6"/>
  <c r="C169" i="6"/>
  <c r="C168" i="6"/>
  <c r="C167" i="6"/>
  <c r="Z182" i="6"/>
  <c r="B182" i="6" s="1"/>
  <c r="Z181" i="6"/>
  <c r="Z180" i="6"/>
  <c r="Z179" i="6"/>
  <c r="Z178" i="6"/>
  <c r="Z177" i="6"/>
  <c r="Z176" i="6"/>
  <c r="Z169" i="6"/>
  <c r="Z168" i="6"/>
  <c r="Z167" i="6"/>
  <c r="C93" i="6"/>
  <c r="C94" i="6"/>
  <c r="C92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B98" i="6"/>
  <c r="C98" i="6"/>
  <c r="B97" i="6"/>
  <c r="C97" i="6"/>
  <c r="W96" i="6"/>
  <c r="C96" i="6"/>
  <c r="W95" i="6"/>
  <c r="C95" i="6"/>
  <c r="C216" i="6"/>
  <c r="Z216" i="6"/>
  <c r="AA216" i="6"/>
  <c r="AC216" i="6" s="1"/>
  <c r="AB216" i="6"/>
  <c r="AU12" i="8"/>
  <c r="AV12" i="8"/>
  <c r="AW12" i="8"/>
  <c r="AX12" i="8"/>
  <c r="AY12" i="8"/>
  <c r="AZ12" i="8"/>
  <c r="AU13" i="8"/>
  <c r="AV13" i="8"/>
  <c r="AW13" i="8"/>
  <c r="AX13" i="8"/>
  <c r="AY13" i="8"/>
  <c r="AZ13" i="8"/>
  <c r="AU14" i="8"/>
  <c r="AV14" i="8"/>
  <c r="AW14" i="8"/>
  <c r="AX14" i="8"/>
  <c r="AY14" i="8"/>
  <c r="AZ14" i="8"/>
  <c r="AU15" i="8"/>
  <c r="AV15" i="8"/>
  <c r="AW15" i="8"/>
  <c r="AX15" i="8"/>
  <c r="AY15" i="8"/>
  <c r="AZ15" i="8"/>
  <c r="AU16" i="8"/>
  <c r="AV16" i="8"/>
  <c r="AW16" i="8"/>
  <c r="AX16" i="8"/>
  <c r="AY16" i="8"/>
  <c r="AZ16" i="8"/>
  <c r="AU17" i="8"/>
  <c r="AV17" i="8"/>
  <c r="AW17" i="8"/>
  <c r="AX17" i="8"/>
  <c r="AY17" i="8"/>
  <c r="AZ17" i="8"/>
  <c r="AU18" i="8"/>
  <c r="AV18" i="8"/>
  <c r="AW18" i="8"/>
  <c r="AX18" i="8"/>
  <c r="AY18" i="8"/>
  <c r="AZ18" i="8"/>
  <c r="AU19" i="8"/>
  <c r="AV19" i="8"/>
  <c r="AW19" i="8"/>
  <c r="AX19" i="8"/>
  <c r="AY19" i="8"/>
  <c r="AZ19" i="8"/>
  <c r="AU20" i="8"/>
  <c r="AV20" i="8"/>
  <c r="AW20" i="8"/>
  <c r="AX20" i="8"/>
  <c r="AY20" i="8"/>
  <c r="AZ20" i="8"/>
  <c r="AB11" i="8"/>
  <c r="AB1" i="8" s="1"/>
  <c r="AC11" i="8"/>
  <c r="AD11" i="8"/>
  <c r="AE11" i="8"/>
  <c r="AB12" i="8"/>
  <c r="AC12" i="8"/>
  <c r="AD12" i="8"/>
  <c r="AE12" i="8"/>
  <c r="AB13" i="8"/>
  <c r="AC13" i="8"/>
  <c r="AD13" i="8"/>
  <c r="AE13" i="8"/>
  <c r="AB14" i="8"/>
  <c r="AC14" i="8"/>
  <c r="AD14" i="8"/>
  <c r="AE14" i="8"/>
  <c r="AB15" i="8"/>
  <c r="AC15" i="8"/>
  <c r="AD15" i="8"/>
  <c r="AE15" i="8"/>
  <c r="AB16" i="8"/>
  <c r="AC16" i="8"/>
  <c r="AD16" i="8"/>
  <c r="AE16" i="8"/>
  <c r="AB17" i="8"/>
  <c r="AC17" i="8"/>
  <c r="AD17" i="8"/>
  <c r="AE17" i="8"/>
  <c r="AB18" i="8"/>
  <c r="AC18" i="8"/>
  <c r="AD18" i="8"/>
  <c r="AE18" i="8"/>
  <c r="AB19" i="8"/>
  <c r="AC19" i="8"/>
  <c r="AD19" i="8"/>
  <c r="AE19" i="8"/>
  <c r="AB20" i="8"/>
  <c r="AC20" i="8"/>
  <c r="AD20" i="8"/>
  <c r="AE20" i="8"/>
  <c r="AE1" i="8"/>
  <c r="AE6" i="8"/>
  <c r="AE7" i="8"/>
  <c r="AE8" i="8"/>
  <c r="AE9" i="8"/>
  <c r="AE10" i="8"/>
  <c r="AA1" i="8"/>
  <c r="AA257" i="6"/>
  <c r="AC257" i="6" s="1"/>
  <c r="AB257" i="6"/>
  <c r="Z257" i="6"/>
  <c r="C257" i="6"/>
  <c r="Z224" i="6"/>
  <c r="AA224" i="6"/>
  <c r="AB224" i="6"/>
  <c r="Z225" i="6"/>
  <c r="AA225" i="6"/>
  <c r="AC225" i="6" s="1"/>
  <c r="AB225" i="6"/>
  <c r="Z226" i="6"/>
  <c r="AA226" i="6"/>
  <c r="AC226" i="6" s="1"/>
  <c r="AB226" i="6"/>
  <c r="Z227" i="6"/>
  <c r="AA227" i="6"/>
  <c r="AC227" i="6" s="1"/>
  <c r="AB227" i="6"/>
  <c r="Z228" i="6"/>
  <c r="AA228" i="6"/>
  <c r="AC228" i="6" s="1"/>
  <c r="AB228" i="6"/>
  <c r="Z229" i="6"/>
  <c r="AA229" i="6"/>
  <c r="AB229" i="6"/>
  <c r="Z230" i="6"/>
  <c r="AA230" i="6"/>
  <c r="AC230" i="6" s="1"/>
  <c r="AB230" i="6"/>
  <c r="Z231" i="6"/>
  <c r="AA231" i="6"/>
  <c r="AC231" i="6" s="1"/>
  <c r="AB231" i="6"/>
  <c r="Z232" i="6"/>
  <c r="AA232" i="6"/>
  <c r="AC232" i="6" s="1"/>
  <c r="AB232" i="6"/>
  <c r="Z233" i="6"/>
  <c r="AA233" i="6"/>
  <c r="B233" i="6" s="1"/>
  <c r="AB233" i="6"/>
  <c r="Z234" i="6"/>
  <c r="AA234" i="6"/>
  <c r="AB234" i="6"/>
  <c r="Z235" i="6"/>
  <c r="AA235" i="6"/>
  <c r="AC235" i="6" s="1"/>
  <c r="AB235" i="6"/>
  <c r="Z236" i="6"/>
  <c r="AA236" i="6"/>
  <c r="AC236" i="6" s="1"/>
  <c r="AB236" i="6"/>
  <c r="Z237" i="6"/>
  <c r="AA237" i="6"/>
  <c r="AB237" i="6"/>
  <c r="C226" i="6"/>
  <c r="BS3" i="7"/>
  <c r="BS2" i="7" s="1"/>
  <c r="BT3" i="7"/>
  <c r="BT2" i="7" s="1"/>
  <c r="BU3" i="7"/>
  <c r="BU2" i="7" s="1"/>
  <c r="BV3" i="7"/>
  <c r="BV2" i="7" s="1"/>
  <c r="BW3" i="7"/>
  <c r="BW2" i="7" s="1"/>
  <c r="Q9" i="5"/>
  <c r="CB4" i="7" s="1"/>
  <c r="BT4" i="7"/>
  <c r="BV4" i="7"/>
  <c r="BW4" i="7"/>
  <c r="B121" i="13"/>
  <c r="AH25" i="8"/>
  <c r="B122" i="13"/>
  <c r="AF26" i="8"/>
  <c r="AG26" i="8"/>
  <c r="AH26" i="8"/>
  <c r="W3" i="7"/>
  <c r="U3" i="7"/>
  <c r="V3" i="7" s="1"/>
  <c r="A121" i="13"/>
  <c r="AE3" i="7"/>
  <c r="AF3" i="7" s="1"/>
  <c r="AG3" i="7" s="1"/>
  <c r="Y3" i="7"/>
  <c r="BM121" i="13"/>
  <c r="BW121" i="13"/>
  <c r="BX121" i="13"/>
  <c r="AR3" i="7"/>
  <c r="AN3" i="7"/>
  <c r="AO3" i="7" s="1"/>
  <c r="AP3" i="7" s="1"/>
  <c r="AQ3" i="7" s="1"/>
  <c r="AR2" i="7" s="1"/>
  <c r="AW121" i="13"/>
  <c r="AS3" i="7"/>
  <c r="AT3" i="7" s="1"/>
  <c r="AX121" i="13"/>
  <c r="AY121" i="13"/>
  <c r="AZ121" i="13"/>
  <c r="BA121" i="13"/>
  <c r="BB121" i="13"/>
  <c r="BV121" i="13"/>
  <c r="AY3" i="7"/>
  <c r="AZ3" i="7" s="1"/>
  <c r="BD121" i="13"/>
  <c r="BE121" i="13"/>
  <c r="BF121" i="13"/>
  <c r="BB3" i="7"/>
  <c r="BG121" i="13"/>
  <c r="BH121" i="13"/>
  <c r="BI121" i="13"/>
  <c r="BJ121" i="13"/>
  <c r="BK121" i="13"/>
  <c r="BL121" i="13"/>
  <c r="BN121" i="13"/>
  <c r="BI3" i="7"/>
  <c r="BJ3" i="7" s="1"/>
  <c r="BK3" i="7" s="1"/>
  <c r="BL3" i="7" s="1"/>
  <c r="BR121" i="13"/>
  <c r="BS121" i="13"/>
  <c r="BT121" i="13"/>
  <c r="BU121" i="13"/>
  <c r="A122" i="13"/>
  <c r="BM122" i="13"/>
  <c r="BW122" i="13"/>
  <c r="BX122" i="13"/>
  <c r="AW122" i="13"/>
  <c r="AX122" i="13"/>
  <c r="AY122" i="13"/>
  <c r="AZ122" i="13"/>
  <c r="BA122" i="13"/>
  <c r="BB122" i="13"/>
  <c r="BV122" i="13"/>
  <c r="BD122" i="13"/>
  <c r="BE122" i="13"/>
  <c r="BF122" i="13"/>
  <c r="BG122" i="13"/>
  <c r="BH122" i="13"/>
  <c r="BI122" i="13"/>
  <c r="BJ122" i="13"/>
  <c r="BK122" i="13"/>
  <c r="BL122" i="13"/>
  <c r="BN122" i="13"/>
  <c r="BR122" i="13"/>
  <c r="BS122" i="13"/>
  <c r="BT122" i="13"/>
  <c r="BU122" i="13"/>
  <c r="BV106" i="13"/>
  <c r="BV107" i="13"/>
  <c r="BV108" i="13"/>
  <c r="BV109" i="13"/>
  <c r="BV110" i="13"/>
  <c r="BV111" i="13"/>
  <c r="BV112" i="13"/>
  <c r="BV113" i="13"/>
  <c r="BV114" i="13"/>
  <c r="BV115" i="13"/>
  <c r="BV116" i="13"/>
  <c r="BV117" i="13"/>
  <c r="BO107" i="13"/>
  <c r="BP107" i="13"/>
  <c r="BQ107" i="13"/>
  <c r="BO108" i="13"/>
  <c r="BP108" i="13"/>
  <c r="BQ108" i="13"/>
  <c r="BO109" i="13"/>
  <c r="BP109" i="13"/>
  <c r="BQ109" i="13"/>
  <c r="BO110" i="13"/>
  <c r="BP110" i="13"/>
  <c r="BQ110" i="13"/>
  <c r="BO111" i="13"/>
  <c r="BP111" i="13"/>
  <c r="BQ111" i="13"/>
  <c r="BO112" i="13"/>
  <c r="BP112" i="13"/>
  <c r="BQ112" i="13"/>
  <c r="BO113" i="13"/>
  <c r="BP113" i="13"/>
  <c r="BQ113" i="13"/>
  <c r="BO114" i="13"/>
  <c r="BP114" i="13"/>
  <c r="BQ114" i="13"/>
  <c r="BO115" i="13"/>
  <c r="BP115" i="13"/>
  <c r="BQ115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N110" i="13"/>
  <c r="AO110" i="13"/>
  <c r="AP110" i="13"/>
  <c r="AQ110" i="13"/>
  <c r="AR110" i="13"/>
  <c r="AS110" i="13"/>
  <c r="AT110" i="13"/>
  <c r="AU110" i="13"/>
  <c r="AV110" i="13"/>
  <c r="C111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C112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C114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C115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BX109" i="13"/>
  <c r="BW109" i="13"/>
  <c r="BT109" i="13"/>
  <c r="BS109" i="13"/>
  <c r="BR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B109" i="13"/>
  <c r="AF13" i="8" s="1"/>
  <c r="A109" i="13"/>
  <c r="BX108" i="13"/>
  <c r="BW108" i="13"/>
  <c r="BT108" i="13"/>
  <c r="BS108" i="13"/>
  <c r="BR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B108" i="13"/>
  <c r="BA108" i="13"/>
  <c r="AZ108" i="13"/>
  <c r="AY108" i="13"/>
  <c r="AX108" i="13"/>
  <c r="AW108" i="13"/>
  <c r="B108" i="13"/>
  <c r="A108" i="13"/>
  <c r="BU98" i="14"/>
  <c r="BU108" i="13" s="1"/>
  <c r="BU99" i="14"/>
  <c r="BU109" i="13" s="1"/>
  <c r="AA272" i="6"/>
  <c r="AC272" i="6" s="1"/>
  <c r="Z272" i="6"/>
  <c r="C272" i="6"/>
  <c r="AB272" i="6"/>
  <c r="AA252" i="6"/>
  <c r="Z252" i="6"/>
  <c r="C252" i="6"/>
  <c r="AB252" i="6"/>
  <c r="B15" i="13"/>
  <c r="D7" i="8" s="1"/>
  <c r="B16" i="13"/>
  <c r="C8" i="8" s="1"/>
  <c r="B17" i="13"/>
  <c r="B18" i="13"/>
  <c r="C10" i="8"/>
  <c r="B19" i="13"/>
  <c r="C11" i="8" s="1"/>
  <c r="E11" i="8"/>
  <c r="B20" i="13"/>
  <c r="B21" i="13"/>
  <c r="C13" i="8" s="1"/>
  <c r="B22" i="13"/>
  <c r="C14" i="8" s="1"/>
  <c r="D10" i="8"/>
  <c r="D13" i="8"/>
  <c r="E8" i="8"/>
  <c r="E10" i="8"/>
  <c r="E13" i="8"/>
  <c r="E14" i="8"/>
  <c r="F1" i="8"/>
  <c r="G1" i="8"/>
  <c r="I1" i="8"/>
  <c r="J1" i="8"/>
  <c r="K1" i="8"/>
  <c r="M1" i="8"/>
  <c r="O1" i="8"/>
  <c r="Q1" i="8"/>
  <c r="S1" i="8"/>
  <c r="U1" i="8"/>
  <c r="W1" i="8"/>
  <c r="X1" i="8"/>
  <c r="Y1" i="8"/>
  <c r="Z1" i="8"/>
  <c r="AB7" i="8"/>
  <c r="AB8" i="8"/>
  <c r="AB9" i="8"/>
  <c r="AB10" i="8"/>
  <c r="AC1" i="8"/>
  <c r="AD7" i="8"/>
  <c r="AD8" i="8"/>
  <c r="AD9" i="8"/>
  <c r="AD10" i="8"/>
  <c r="B103" i="13"/>
  <c r="AH7" i="8" s="1"/>
  <c r="B104" i="13"/>
  <c r="AF8" i="8" s="1"/>
  <c r="B105" i="13"/>
  <c r="AH9" i="8" s="1"/>
  <c r="B106" i="13"/>
  <c r="AH10" i="8" s="1"/>
  <c r="AF10" i="8"/>
  <c r="B107" i="13"/>
  <c r="B110" i="13"/>
  <c r="AH14" i="8"/>
  <c r="B111" i="13"/>
  <c r="AF15" i="8" s="1"/>
  <c r="B112" i="13"/>
  <c r="AG8" i="8"/>
  <c r="AG10" i="8"/>
  <c r="AG13" i="8"/>
  <c r="AI1" i="8"/>
  <c r="AJ1" i="8"/>
  <c r="AL1" i="8"/>
  <c r="AM1" i="8"/>
  <c r="AN1" i="8"/>
  <c r="AP1" i="8"/>
  <c r="AR1" i="8"/>
  <c r="AT1" i="8"/>
  <c r="AU7" i="8"/>
  <c r="AU1" i="8" s="1"/>
  <c r="AU8" i="8"/>
  <c r="AU9" i="8"/>
  <c r="AU10" i="8"/>
  <c r="AU11" i="8"/>
  <c r="AV1" i="8"/>
  <c r="AW7" i="8"/>
  <c r="AW8" i="8"/>
  <c r="AW9" i="8"/>
  <c r="AW10" i="8"/>
  <c r="AW11" i="8"/>
  <c r="AX1" i="8"/>
  <c r="AY7" i="8"/>
  <c r="AY8" i="8"/>
  <c r="AY9" i="8"/>
  <c r="AY10" i="8"/>
  <c r="AY11" i="8"/>
  <c r="AZ1" i="8"/>
  <c r="BA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3" i="8"/>
  <c r="C2" i="8"/>
  <c r="D3" i="8"/>
  <c r="D2" i="8" s="1"/>
  <c r="E3" i="8"/>
  <c r="E2" i="8"/>
  <c r="F3" i="8"/>
  <c r="F2" i="8" s="1"/>
  <c r="H3" i="8"/>
  <c r="J3" i="8"/>
  <c r="L3" i="8"/>
  <c r="M3" i="8" s="1"/>
  <c r="M2" i="8" s="1"/>
  <c r="N3" i="8"/>
  <c r="P3" i="8"/>
  <c r="R3" i="8"/>
  <c r="S3" i="8" s="1"/>
  <c r="S2" i="8" s="1"/>
  <c r="T3" i="8"/>
  <c r="U3" i="8" s="1"/>
  <c r="U2" i="8" s="1"/>
  <c r="T2" i="8"/>
  <c r="V3" i="8"/>
  <c r="W3" i="8" s="1"/>
  <c r="W2" i="8" s="1"/>
  <c r="X3" i="8"/>
  <c r="Y3" i="8" s="1"/>
  <c r="Y2" i="8" s="1"/>
  <c r="Z3" i="8"/>
  <c r="AA3" i="8" s="1"/>
  <c r="AA2" i="8" s="1"/>
  <c r="AB3" i="8"/>
  <c r="AB2" i="8"/>
  <c r="AC3" i="8"/>
  <c r="AC2" i="8" s="1"/>
  <c r="AD3" i="8"/>
  <c r="AD2" i="8" s="1"/>
  <c r="AF3" i="8"/>
  <c r="AF2" i="8" s="1"/>
  <c r="AG3" i="8"/>
  <c r="AG2" i="8" s="1"/>
  <c r="AH3" i="8"/>
  <c r="AH2" i="8"/>
  <c r="AI3" i="8"/>
  <c r="AJ3" i="8" s="1"/>
  <c r="AJ2" i="8" s="1"/>
  <c r="AK3" i="8"/>
  <c r="AL3" i="8" s="1"/>
  <c r="AL2" i="8" s="1"/>
  <c r="AK2" i="8"/>
  <c r="AM3" i="8"/>
  <c r="AO3" i="8"/>
  <c r="AP3" i="8" s="1"/>
  <c r="AP2" i="8" s="1"/>
  <c r="AQ3" i="8"/>
  <c r="AS3" i="8"/>
  <c r="AT3" i="8" s="1"/>
  <c r="AT2" i="8" s="1"/>
  <c r="AS2" i="8"/>
  <c r="AU3" i="8"/>
  <c r="AU2" i="8" s="1"/>
  <c r="AW3" i="8"/>
  <c r="AX3" i="8" s="1"/>
  <c r="AX2" i="8" s="1"/>
  <c r="AY3" i="8"/>
  <c r="BA3" i="8"/>
  <c r="BA2" i="8"/>
  <c r="BB3" i="8"/>
  <c r="BB2" i="8" s="1"/>
  <c r="BC3" i="8"/>
  <c r="BC2" i="8"/>
  <c r="BD3" i="8"/>
  <c r="BD2" i="8"/>
  <c r="BE3" i="8"/>
  <c r="BE2" i="8" s="1"/>
  <c r="BF3" i="8"/>
  <c r="BF2" i="8" s="1"/>
  <c r="BG3" i="8"/>
  <c r="BG2" i="8"/>
  <c r="BH3" i="8"/>
  <c r="BH2" i="8"/>
  <c r="BI3" i="8"/>
  <c r="BI2" i="8"/>
  <c r="BJ3" i="8"/>
  <c r="BJ2" i="8" s="1"/>
  <c r="BK3" i="8"/>
  <c r="BK2" i="8"/>
  <c r="BL3" i="8"/>
  <c r="BL2" i="8"/>
  <c r="BM3" i="8"/>
  <c r="BM2" i="8"/>
  <c r="BN3" i="8"/>
  <c r="BN2" i="8" s="1"/>
  <c r="BO3" i="8"/>
  <c r="BO2" i="8"/>
  <c r="BP3" i="8"/>
  <c r="BP2" i="8"/>
  <c r="BQ3" i="8"/>
  <c r="BQ2" i="8"/>
  <c r="BR3" i="8"/>
  <c r="BR2" i="8" s="1"/>
  <c r="BS3" i="8"/>
  <c r="BS2" i="8"/>
  <c r="BT3" i="8"/>
  <c r="BT2" i="8" s="1"/>
  <c r="BU3" i="8"/>
  <c r="BU2" i="8" s="1"/>
  <c r="BV3" i="8"/>
  <c r="BV2" i="8" s="1"/>
  <c r="BW3" i="8"/>
  <c r="BW2" i="8"/>
  <c r="BX3" i="8"/>
  <c r="BX2" i="8"/>
  <c r="BY3" i="8"/>
  <c r="BY2" i="8"/>
  <c r="BZ3" i="8"/>
  <c r="BZ2" i="8" s="1"/>
  <c r="CA3" i="8"/>
  <c r="CA2" i="8"/>
  <c r="CB3" i="8"/>
  <c r="CB2" i="8"/>
  <c r="CC3" i="8"/>
  <c r="CC2" i="8" s="1"/>
  <c r="CD3" i="8"/>
  <c r="CD2" i="8" s="1"/>
  <c r="CE3" i="8"/>
  <c r="CE2" i="8"/>
  <c r="CF3" i="8"/>
  <c r="CF2" i="8" s="1"/>
  <c r="CG3" i="8"/>
  <c r="CG2" i="8"/>
  <c r="CH3" i="8"/>
  <c r="CH2" i="8" s="1"/>
  <c r="CI3" i="8"/>
  <c r="CI2" i="8" s="1"/>
  <c r="CJ3" i="8"/>
  <c r="CJ2" i="8"/>
  <c r="CK3" i="8"/>
  <c r="CK2" i="8"/>
  <c r="CL3" i="8"/>
  <c r="CL2" i="8" s="1"/>
  <c r="CM3" i="8"/>
  <c r="CM2" i="8"/>
  <c r="CN3" i="8"/>
  <c r="CN2" i="8"/>
  <c r="CO3" i="8"/>
  <c r="CO2" i="8"/>
  <c r="CP3" i="8"/>
  <c r="CP2" i="8" s="1"/>
  <c r="CQ3" i="8"/>
  <c r="CQ2" i="8" s="1"/>
  <c r="CR3" i="8"/>
  <c r="CR2" i="8"/>
  <c r="CS3" i="8"/>
  <c r="CS2" i="8" s="1"/>
  <c r="CT3" i="8"/>
  <c r="CT2" i="8" s="1"/>
  <c r="CU3" i="8"/>
  <c r="CU2" i="8"/>
  <c r="CV3" i="8"/>
  <c r="CV2" i="8"/>
  <c r="CW3" i="8"/>
  <c r="CW2" i="8"/>
  <c r="CX3" i="8"/>
  <c r="CX2" i="8" s="1"/>
  <c r="B3" i="8"/>
  <c r="B2" i="8"/>
  <c r="B1" i="8"/>
  <c r="Z119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AB6" i="8"/>
  <c r="Z136" i="6"/>
  <c r="Z137" i="6"/>
  <c r="Z138" i="6"/>
  <c r="Z139" i="6"/>
  <c r="Z140" i="6"/>
  <c r="Z141" i="6"/>
  <c r="Z142" i="6"/>
  <c r="AD6" i="8"/>
  <c r="AD1" i="8" s="1"/>
  <c r="Z143" i="6"/>
  <c r="Z144" i="6"/>
  <c r="Z145" i="6"/>
  <c r="Z146" i="6"/>
  <c r="Z147" i="6"/>
  <c r="Z148" i="6"/>
  <c r="Z149" i="6"/>
  <c r="Z150" i="6"/>
  <c r="Z151" i="6"/>
  <c r="Z152" i="6"/>
  <c r="Z153" i="6"/>
  <c r="Z154" i="6"/>
  <c r="AU6" i="8"/>
  <c r="Z155" i="6"/>
  <c r="Z156" i="6"/>
  <c r="Z157" i="6"/>
  <c r="Z158" i="6"/>
  <c r="Z159" i="6"/>
  <c r="AW6" i="8"/>
  <c r="Z160" i="6"/>
  <c r="Z161" i="6"/>
  <c r="Z162" i="6"/>
  <c r="Z163" i="6"/>
  <c r="Z164" i="6"/>
  <c r="AY6" i="8"/>
  <c r="Z165" i="6"/>
  <c r="Z166" i="6"/>
  <c r="Z170" i="6"/>
  <c r="Z171" i="6"/>
  <c r="Z172" i="6"/>
  <c r="Z173" i="6"/>
  <c r="Z174" i="6"/>
  <c r="Z175" i="6"/>
  <c r="Z207" i="6"/>
  <c r="AA207" i="6"/>
  <c r="AC207" i="6" s="1"/>
  <c r="AB207" i="6"/>
  <c r="Z208" i="6"/>
  <c r="AA208" i="6"/>
  <c r="AC208" i="6" s="1"/>
  <c r="AB208" i="6"/>
  <c r="Z209" i="6"/>
  <c r="AA209" i="6"/>
  <c r="AC209" i="6" s="1"/>
  <c r="AB209" i="6"/>
  <c r="Z210" i="6"/>
  <c r="AA210" i="6"/>
  <c r="AC210" i="6" s="1"/>
  <c r="AB210" i="6"/>
  <c r="Z211" i="6"/>
  <c r="AA211" i="6"/>
  <c r="AC211" i="6" s="1"/>
  <c r="AB211" i="6"/>
  <c r="Z212" i="6"/>
  <c r="AA212" i="6"/>
  <c r="AC212" i="6" s="1"/>
  <c r="AB212" i="6"/>
  <c r="Z213" i="6"/>
  <c r="AA213" i="6"/>
  <c r="AC213" i="6" s="1"/>
  <c r="AB213" i="6"/>
  <c r="Z214" i="6"/>
  <c r="AA214" i="6"/>
  <c r="AC214" i="6" s="1"/>
  <c r="AB214" i="6"/>
  <c r="Z215" i="6"/>
  <c r="AA215" i="6"/>
  <c r="AC215" i="6" s="1"/>
  <c r="AB215" i="6"/>
  <c r="Z217" i="6"/>
  <c r="AA217" i="6"/>
  <c r="AC217" i="6" s="1"/>
  <c r="AB217" i="6"/>
  <c r="Z218" i="6"/>
  <c r="AA218" i="6"/>
  <c r="AC218" i="6" s="1"/>
  <c r="AB218" i="6"/>
  <c r="Z219" i="6"/>
  <c r="AA219" i="6"/>
  <c r="AC219" i="6" s="1"/>
  <c r="AB219" i="6"/>
  <c r="Z220" i="6"/>
  <c r="AA220" i="6"/>
  <c r="AC220" i="6" s="1"/>
  <c r="AB220" i="6"/>
  <c r="Z221" i="6"/>
  <c r="AA221" i="6"/>
  <c r="AC221" i="6" s="1"/>
  <c r="AB221" i="6"/>
  <c r="Z222" i="6"/>
  <c r="AA222" i="6"/>
  <c r="AC222" i="6" s="1"/>
  <c r="AB222" i="6"/>
  <c r="Z223" i="6"/>
  <c r="AA223" i="6"/>
  <c r="AC223" i="6" s="1"/>
  <c r="AB223" i="6"/>
  <c r="Z238" i="6"/>
  <c r="AA238" i="6"/>
  <c r="AC238" i="6" s="1"/>
  <c r="AB238" i="6"/>
  <c r="Z239" i="6"/>
  <c r="AA239" i="6"/>
  <c r="AC239" i="6" s="1"/>
  <c r="AB239" i="6"/>
  <c r="Z240" i="6"/>
  <c r="AA240" i="6"/>
  <c r="AC240" i="6" s="1"/>
  <c r="AB240" i="6"/>
  <c r="Z241" i="6"/>
  <c r="AA241" i="6"/>
  <c r="AC241" i="6" s="1"/>
  <c r="AB241" i="6"/>
  <c r="Z242" i="6"/>
  <c r="AA242" i="6"/>
  <c r="AC242" i="6" s="1"/>
  <c r="AB242" i="6"/>
  <c r="Z243" i="6"/>
  <c r="AA243" i="6"/>
  <c r="AC243" i="6" s="1"/>
  <c r="AB243" i="6"/>
  <c r="Z244" i="6"/>
  <c r="AA244" i="6"/>
  <c r="AC244" i="6" s="1"/>
  <c r="AB244" i="6"/>
  <c r="Z245" i="6"/>
  <c r="AA245" i="6"/>
  <c r="AC245" i="6" s="1"/>
  <c r="AB245" i="6"/>
  <c r="Z246" i="6"/>
  <c r="AA246" i="6"/>
  <c r="AC246" i="6" s="1"/>
  <c r="AB246" i="6"/>
  <c r="Z247" i="6"/>
  <c r="AA247" i="6"/>
  <c r="AC247" i="6" s="1"/>
  <c r="AB247" i="6"/>
  <c r="Z248" i="6"/>
  <c r="AA248" i="6"/>
  <c r="AC248" i="6" s="1"/>
  <c r="AB248" i="6"/>
  <c r="Z249" i="6"/>
  <c r="AA249" i="6"/>
  <c r="AC249" i="6" s="1"/>
  <c r="AB249" i="6"/>
  <c r="Z250" i="6"/>
  <c r="AA250" i="6"/>
  <c r="AC250" i="6" s="1"/>
  <c r="AB250" i="6"/>
  <c r="Z251" i="6"/>
  <c r="AA251" i="6"/>
  <c r="AC251" i="6" s="1"/>
  <c r="AB251" i="6"/>
  <c r="Z253" i="6"/>
  <c r="AA253" i="6"/>
  <c r="AC253" i="6" s="1"/>
  <c r="AB253" i="6"/>
  <c r="Z254" i="6"/>
  <c r="AA254" i="6"/>
  <c r="AC254" i="6" s="1"/>
  <c r="AB254" i="6"/>
  <c r="Z255" i="6"/>
  <c r="AA255" i="6"/>
  <c r="AC255" i="6" s="1"/>
  <c r="AB255" i="6"/>
  <c r="Z256" i="6"/>
  <c r="AA256" i="6"/>
  <c r="AC256" i="6" s="1"/>
  <c r="AB256" i="6"/>
  <c r="Z258" i="6"/>
  <c r="AA258" i="6"/>
  <c r="AC258" i="6" s="1"/>
  <c r="AB258" i="6"/>
  <c r="Z259" i="6"/>
  <c r="AA259" i="6"/>
  <c r="AC259" i="6" s="1"/>
  <c r="AB259" i="6"/>
  <c r="Z260" i="6"/>
  <c r="AA260" i="6"/>
  <c r="AC260" i="6" s="1"/>
  <c r="AB260" i="6"/>
  <c r="Z261" i="6"/>
  <c r="AA261" i="6"/>
  <c r="AC261" i="6" s="1"/>
  <c r="AB261" i="6"/>
  <c r="Z262" i="6"/>
  <c r="AA262" i="6"/>
  <c r="AC262" i="6" s="1"/>
  <c r="AB262" i="6"/>
  <c r="Z263" i="6"/>
  <c r="AA263" i="6"/>
  <c r="AC263" i="6" s="1"/>
  <c r="AB263" i="6"/>
  <c r="Z264" i="6"/>
  <c r="AA264" i="6"/>
  <c r="AC264" i="6" s="1"/>
  <c r="AB264" i="6"/>
  <c r="Z265" i="6"/>
  <c r="AA265" i="6"/>
  <c r="AB265" i="6"/>
  <c r="Z266" i="6"/>
  <c r="AA266" i="6"/>
  <c r="AC266" i="6" s="1"/>
  <c r="AB266" i="6"/>
  <c r="Z267" i="6"/>
  <c r="AA267" i="6"/>
  <c r="AC267" i="6" s="1"/>
  <c r="AB267" i="6"/>
  <c r="Z268" i="6"/>
  <c r="AA268" i="6"/>
  <c r="AC268" i="6" s="1"/>
  <c r="AB268" i="6"/>
  <c r="Z269" i="6"/>
  <c r="AA269" i="6"/>
  <c r="AC269" i="6" s="1"/>
  <c r="AB269" i="6"/>
  <c r="Z270" i="6"/>
  <c r="AA270" i="6"/>
  <c r="AC270" i="6" s="1"/>
  <c r="AB270" i="6"/>
  <c r="Z271" i="6"/>
  <c r="AA271" i="6"/>
  <c r="B271" i="6" s="1"/>
  <c r="AC271" i="6" s="1"/>
  <c r="AB271" i="6"/>
  <c r="Z273" i="6"/>
  <c r="AA273" i="6"/>
  <c r="AC273" i="6" s="1"/>
  <c r="AB273" i="6"/>
  <c r="Z274" i="6"/>
  <c r="AA274" i="6"/>
  <c r="AC274" i="6" s="1"/>
  <c r="AB274" i="6"/>
  <c r="Z275" i="6"/>
  <c r="AA275" i="6"/>
  <c r="AC275" i="6" s="1"/>
  <c r="AB275" i="6"/>
  <c r="Z276" i="6"/>
  <c r="AA276" i="6"/>
  <c r="AC276" i="6" s="1"/>
  <c r="AB276" i="6"/>
  <c r="Z277" i="6"/>
  <c r="AA277" i="6"/>
  <c r="AC277" i="6" s="1"/>
  <c r="AB277" i="6"/>
  <c r="Z278" i="6"/>
  <c r="AA278" i="6"/>
  <c r="AC278" i="6" s="1"/>
  <c r="AB278" i="6"/>
  <c r="Z279" i="6"/>
  <c r="AA279" i="6"/>
  <c r="AC279" i="6" s="1"/>
  <c r="AB279" i="6"/>
  <c r="Z280" i="6"/>
  <c r="AA280" i="6"/>
  <c r="AC280" i="6" s="1"/>
  <c r="AB280" i="6"/>
  <c r="Z281" i="6"/>
  <c r="AA281" i="6"/>
  <c r="AB281" i="6"/>
  <c r="Z282" i="6"/>
  <c r="AA282" i="6"/>
  <c r="B282" i="6" s="1"/>
  <c r="AB282" i="6"/>
  <c r="Z283" i="6"/>
  <c r="AA283" i="6"/>
  <c r="AB283" i="6"/>
  <c r="Z284" i="6"/>
  <c r="AA284" i="6"/>
  <c r="AC284" i="6" s="1"/>
  <c r="AB284" i="6"/>
  <c r="Z285" i="6"/>
  <c r="AA285" i="6"/>
  <c r="AB285" i="6"/>
  <c r="Z286" i="6"/>
  <c r="AA286" i="6"/>
  <c r="AC286" i="6" s="1"/>
  <c r="AB286" i="6"/>
  <c r="Z287" i="6"/>
  <c r="AA287" i="6"/>
  <c r="AB287" i="6"/>
  <c r="Z288" i="6"/>
  <c r="AA288" i="6"/>
  <c r="AC288" i="6" s="1"/>
  <c r="AB288" i="6"/>
  <c r="Z289" i="6"/>
  <c r="AA289" i="6"/>
  <c r="AB289" i="6"/>
  <c r="Z290" i="6"/>
  <c r="AA290" i="6"/>
  <c r="AC290" i="6" s="1"/>
  <c r="AB290" i="6"/>
  <c r="Z291" i="6"/>
  <c r="AA291" i="6"/>
  <c r="AC291" i="6" s="1"/>
  <c r="AB291" i="6"/>
  <c r="Z292" i="6"/>
  <c r="AA292" i="6"/>
  <c r="AC292" i="6" s="1"/>
  <c r="AB292" i="6"/>
  <c r="Z293" i="6"/>
  <c r="AA293" i="6"/>
  <c r="AB293" i="6"/>
  <c r="Z294" i="6"/>
  <c r="AA294" i="6"/>
  <c r="AC294" i="6" s="1"/>
  <c r="AB294" i="6"/>
  <c r="Z295" i="6"/>
  <c r="AA295" i="6"/>
  <c r="AC295" i="6" s="1"/>
  <c r="AB295" i="6"/>
  <c r="Z296" i="6"/>
  <c r="AA296" i="6"/>
  <c r="AC296" i="6" s="1"/>
  <c r="AB296" i="6"/>
  <c r="Z297" i="6"/>
  <c r="AA297" i="6"/>
  <c r="AC297" i="6" s="1"/>
  <c r="AB297" i="6"/>
  <c r="Z298" i="6"/>
  <c r="AA298" i="6"/>
  <c r="AB298" i="6"/>
  <c r="BU112" i="14"/>
  <c r="BU111" i="14"/>
  <c r="BU110" i="14"/>
  <c r="BU109" i="14"/>
  <c r="BU119" i="13" s="1"/>
  <c r="BU108" i="14"/>
  <c r="BU118" i="13" s="1"/>
  <c r="BU107" i="14"/>
  <c r="BU106" i="14"/>
  <c r="BU116" i="13" s="1"/>
  <c r="BU105" i="14"/>
  <c r="BU115" i="13" s="1"/>
  <c r="BU103" i="14"/>
  <c r="BU113" i="13" s="1"/>
  <c r="BU102" i="14"/>
  <c r="BU112" i="13" s="1"/>
  <c r="BU101" i="14"/>
  <c r="BU111" i="13" s="1"/>
  <c r="BU100" i="14"/>
  <c r="BU110" i="13" s="1"/>
  <c r="BU97" i="14"/>
  <c r="BU96" i="14"/>
  <c r="BU95" i="14"/>
  <c r="BU105" i="13" s="1"/>
  <c r="BU94" i="14"/>
  <c r="BU104" i="13" s="1"/>
  <c r="BU93" i="14"/>
  <c r="BX92" i="14"/>
  <c r="BU92" i="14"/>
  <c r="T92" i="14"/>
  <c r="T102" i="13" s="1"/>
  <c r="S92" i="14"/>
  <c r="BX91" i="14"/>
  <c r="BX101" i="13" s="1"/>
  <c r="BU91" i="14"/>
  <c r="BU101" i="13" s="1"/>
  <c r="T91" i="14"/>
  <c r="S91" i="14"/>
  <c r="S101" i="13" s="1"/>
  <c r="BX90" i="14"/>
  <c r="BX100" i="13" s="1"/>
  <c r="BU90" i="14"/>
  <c r="BU100" i="13" s="1"/>
  <c r="T90" i="14"/>
  <c r="T100" i="13" s="1"/>
  <c r="S90" i="14"/>
  <c r="S100" i="13" s="1"/>
  <c r="BX89" i="14"/>
  <c r="BX99" i="13" s="1"/>
  <c r="BU89" i="14"/>
  <c r="BU99" i="13" s="1"/>
  <c r="T89" i="14"/>
  <c r="T99" i="13" s="1"/>
  <c r="S89" i="14"/>
  <c r="S99" i="13" s="1"/>
  <c r="BX88" i="14"/>
  <c r="BX98" i="13" s="1"/>
  <c r="BU88" i="14"/>
  <c r="T88" i="14"/>
  <c r="T98" i="13" s="1"/>
  <c r="S88" i="14"/>
  <c r="S98" i="13" s="1"/>
  <c r="BX87" i="14"/>
  <c r="BX97" i="13" s="1"/>
  <c r="BU87" i="14"/>
  <c r="T87" i="14"/>
  <c r="S87" i="14"/>
  <c r="BX86" i="14"/>
  <c r="BU86" i="14"/>
  <c r="T86" i="14"/>
  <c r="S86" i="14"/>
  <c r="S96" i="13" s="1"/>
  <c r="BX85" i="14"/>
  <c r="BX95" i="13" s="1"/>
  <c r="BU85" i="14"/>
  <c r="BU95" i="13" s="1"/>
  <c r="T85" i="14"/>
  <c r="S85" i="14"/>
  <c r="BX84" i="14"/>
  <c r="BU84" i="14"/>
  <c r="T84" i="14"/>
  <c r="T94" i="13" s="1"/>
  <c r="S84" i="14"/>
  <c r="S94" i="13" s="1"/>
  <c r="BX83" i="14"/>
  <c r="BX93" i="13" s="1"/>
  <c r="BU83" i="14"/>
  <c r="BU93" i="13" s="1"/>
  <c r="T83" i="14"/>
  <c r="T93" i="13" s="1"/>
  <c r="S83" i="14"/>
  <c r="BX82" i="14"/>
  <c r="BU82" i="14"/>
  <c r="T82" i="14"/>
  <c r="T92" i="13" s="1"/>
  <c r="S82" i="14"/>
  <c r="BX81" i="14"/>
  <c r="BU81" i="14"/>
  <c r="T81" i="14"/>
  <c r="S81" i="14"/>
  <c r="BX80" i="14"/>
  <c r="BU80" i="14"/>
  <c r="BU90" i="13" s="1"/>
  <c r="T80" i="14"/>
  <c r="T90" i="13" s="1"/>
  <c r="S80" i="14"/>
  <c r="S90" i="13" s="1"/>
  <c r="BX79" i="14"/>
  <c r="BX89" i="13" s="1"/>
  <c r="BU79" i="14"/>
  <c r="BU89" i="13" s="1"/>
  <c r="T79" i="14"/>
  <c r="T89" i="13" s="1"/>
  <c r="S79" i="14"/>
  <c r="S89" i="13" s="1"/>
  <c r="BX78" i="14"/>
  <c r="BX88" i="13" s="1"/>
  <c r="BU78" i="14"/>
  <c r="BU88" i="13" s="1"/>
  <c r="T78" i="14"/>
  <c r="T88" i="13" s="1"/>
  <c r="S78" i="14"/>
  <c r="S88" i="13" s="1"/>
  <c r="BX77" i="14"/>
  <c r="BX87" i="13" s="1"/>
  <c r="BU77" i="14"/>
  <c r="T77" i="14"/>
  <c r="S77" i="14"/>
  <c r="S87" i="13" s="1"/>
  <c r="BU76" i="14"/>
  <c r="BU86" i="13" s="1"/>
  <c r="T76" i="14"/>
  <c r="S76" i="14"/>
  <c r="BU75" i="14"/>
  <c r="T75" i="14"/>
  <c r="S75" i="14"/>
  <c r="BU74" i="14"/>
  <c r="BU84" i="13" s="1"/>
  <c r="T74" i="14"/>
  <c r="S74" i="14"/>
  <c r="BU73" i="14"/>
  <c r="T73" i="14"/>
  <c r="T83" i="13" s="1"/>
  <c r="S73" i="14"/>
  <c r="S83" i="13" s="1"/>
  <c r="BU72" i="14"/>
  <c r="BU82" i="13" s="1"/>
  <c r="T72" i="14"/>
  <c r="T82" i="13" s="1"/>
  <c r="S72" i="14"/>
  <c r="S82" i="13" s="1"/>
  <c r="BU71" i="14"/>
  <c r="BU81" i="13" s="1"/>
  <c r="T71" i="14"/>
  <c r="T81" i="13" s="1"/>
  <c r="S71" i="14"/>
  <c r="S81" i="13" s="1"/>
  <c r="BU70" i="14"/>
  <c r="BU80" i="13" s="1"/>
  <c r="T70" i="14"/>
  <c r="S70" i="14"/>
  <c r="BU69" i="14"/>
  <c r="T69" i="14"/>
  <c r="S69" i="14"/>
  <c r="BU68" i="14"/>
  <c r="T68" i="14"/>
  <c r="S68" i="14"/>
  <c r="BU67" i="14"/>
  <c r="T67" i="14"/>
  <c r="S67" i="14"/>
  <c r="BU66" i="14"/>
  <c r="T66" i="14"/>
  <c r="T76" i="13" s="1"/>
  <c r="S66" i="14"/>
  <c r="S76" i="13" s="1"/>
  <c r="BU65" i="14"/>
  <c r="BU75" i="13" s="1"/>
  <c r="T65" i="14"/>
  <c r="S65" i="14"/>
  <c r="BU64" i="14"/>
  <c r="T64" i="14"/>
  <c r="T74" i="13" s="1"/>
  <c r="S64" i="14"/>
  <c r="S74" i="13" s="1"/>
  <c r="BU63" i="14"/>
  <c r="BU73" i="13" s="1"/>
  <c r="T63" i="14"/>
  <c r="T73" i="13" s="1"/>
  <c r="S63" i="14"/>
  <c r="BU62" i="14"/>
  <c r="T62" i="14"/>
  <c r="T72" i="13" s="1"/>
  <c r="S62" i="14"/>
  <c r="S72" i="13" s="1"/>
  <c r="BU61" i="14"/>
  <c r="T61" i="14"/>
  <c r="S61" i="14"/>
  <c r="BU60" i="14"/>
  <c r="T60" i="14"/>
  <c r="S60" i="14"/>
  <c r="S70" i="13" s="1"/>
  <c r="T59" i="14"/>
  <c r="S59" i="14"/>
  <c r="BU58" i="14"/>
  <c r="BU68" i="13" s="1"/>
  <c r="T58" i="14"/>
  <c r="S58" i="14"/>
  <c r="S68" i="13" s="1"/>
  <c r="BU57" i="14"/>
  <c r="BU67" i="13" s="1"/>
  <c r="T57" i="14"/>
  <c r="T67" i="13" s="1"/>
  <c r="S57" i="14"/>
  <c r="S67" i="13" s="1"/>
  <c r="BU56" i="14"/>
  <c r="BU66" i="13" s="1"/>
  <c r="T56" i="14"/>
  <c r="T66" i="13" s="1"/>
  <c r="S56" i="14"/>
  <c r="S66" i="13" s="1"/>
  <c r="BU55" i="14"/>
  <c r="BU65" i="13" s="1"/>
  <c r="T55" i="14"/>
  <c r="S55" i="14"/>
  <c r="BU54" i="14"/>
  <c r="T54" i="14"/>
  <c r="T64" i="13" s="1"/>
  <c r="S54" i="14"/>
  <c r="BU53" i="14"/>
  <c r="T53" i="14"/>
  <c r="S53" i="14"/>
  <c r="BU52" i="14"/>
  <c r="T52" i="14"/>
  <c r="T62" i="13" s="1"/>
  <c r="S52" i="14"/>
  <c r="BU51" i="14"/>
  <c r="BU61" i="13" s="1"/>
  <c r="T51" i="14"/>
  <c r="T61" i="13" s="1"/>
  <c r="S51" i="14"/>
  <c r="S61" i="13" s="1"/>
  <c r="BU50" i="14"/>
  <c r="BU60" i="13" s="1"/>
  <c r="T50" i="14"/>
  <c r="T60" i="13" s="1"/>
  <c r="S50" i="14"/>
  <c r="S60" i="13" s="1"/>
  <c r="BU49" i="14"/>
  <c r="BU59" i="13" s="1"/>
  <c r="T49" i="14"/>
  <c r="T59" i="13" s="1"/>
  <c r="S49" i="14"/>
  <c r="S59" i="13" s="1"/>
  <c r="BU48" i="14"/>
  <c r="BU58" i="13" s="1"/>
  <c r="T48" i="14"/>
  <c r="T58" i="13" s="1"/>
  <c r="S48" i="14"/>
  <c r="BU47" i="14"/>
  <c r="T47" i="14"/>
  <c r="T57" i="13" s="1"/>
  <c r="S47" i="14"/>
  <c r="S57" i="13" s="1"/>
  <c r="T46" i="14"/>
  <c r="S46" i="14"/>
  <c r="T45" i="14"/>
  <c r="S45" i="14"/>
  <c r="S55" i="13" s="1"/>
  <c r="BR44" i="14"/>
  <c r="BU44" i="14" s="1"/>
  <c r="BU54" i="13" s="1"/>
  <c r="T44" i="14"/>
  <c r="S44" i="14"/>
  <c r="BU43" i="14"/>
  <c r="T43" i="14"/>
  <c r="T53" i="13" s="1"/>
  <c r="S43" i="14"/>
  <c r="S53" i="13" s="1"/>
  <c r="BU42" i="14"/>
  <c r="BU52" i="13" s="1"/>
  <c r="T42" i="14"/>
  <c r="T52" i="13" s="1"/>
  <c r="S42" i="14"/>
  <c r="S52" i="13" s="1"/>
  <c r="BU41" i="14"/>
  <c r="BU51" i="13" s="1"/>
  <c r="T41" i="14"/>
  <c r="S41" i="14"/>
  <c r="BR40" i="14"/>
  <c r="BR50" i="13" s="1"/>
  <c r="T40" i="14"/>
  <c r="S40" i="14"/>
  <c r="BR39" i="14"/>
  <c r="BR49" i="13" s="1"/>
  <c r="T39" i="14"/>
  <c r="S39" i="14"/>
  <c r="BU38" i="14"/>
  <c r="T38" i="14"/>
  <c r="S38" i="14"/>
  <c r="BU37" i="14"/>
  <c r="T37" i="14"/>
  <c r="S37" i="14"/>
  <c r="S47" i="13" s="1"/>
  <c r="BU36" i="14"/>
  <c r="BU46" i="13" s="1"/>
  <c r="T36" i="14"/>
  <c r="T46" i="13" s="1"/>
  <c r="S36" i="14"/>
  <c r="S46" i="13" s="1"/>
  <c r="BU35" i="14"/>
  <c r="BU45" i="13" s="1"/>
  <c r="T35" i="14"/>
  <c r="T45" i="13" s="1"/>
  <c r="S35" i="14"/>
  <c r="S45" i="13" s="1"/>
  <c r="BU34" i="14"/>
  <c r="BU44" i="13" s="1"/>
  <c r="T34" i="14"/>
  <c r="T44" i="13" s="1"/>
  <c r="S34" i="14"/>
  <c r="S44" i="13" s="1"/>
  <c r="BU33" i="14"/>
  <c r="BU43" i="13" s="1"/>
  <c r="T33" i="14"/>
  <c r="S33" i="14"/>
  <c r="BU32" i="14"/>
  <c r="T32" i="14"/>
  <c r="T42" i="13" s="1"/>
  <c r="S32" i="14"/>
  <c r="BU31" i="14"/>
  <c r="BU41" i="13" s="1"/>
  <c r="T31" i="14"/>
  <c r="S31" i="14"/>
  <c r="BU30" i="14"/>
  <c r="T30" i="14"/>
  <c r="T40" i="13" s="1"/>
  <c r="S30" i="14"/>
  <c r="S40" i="13" s="1"/>
  <c r="BU29" i="14"/>
  <c r="BU39" i="13" s="1"/>
  <c r="T29" i="14"/>
  <c r="S29" i="14"/>
  <c r="BU28" i="14"/>
  <c r="T28" i="14"/>
  <c r="T38" i="13" s="1"/>
  <c r="S28" i="14"/>
  <c r="S38" i="13" s="1"/>
  <c r="BU27" i="14"/>
  <c r="BU37" i="13" s="1"/>
  <c r="T27" i="14"/>
  <c r="T37" i="13" s="1"/>
  <c r="S27" i="14"/>
  <c r="S37" i="13" s="1"/>
  <c r="BU26" i="14"/>
  <c r="BU36" i="13" s="1"/>
  <c r="T26" i="14"/>
  <c r="T36" i="13" s="1"/>
  <c r="S26" i="14"/>
  <c r="S36" i="13" s="1"/>
  <c r="BU25" i="14"/>
  <c r="BU35" i="13" s="1"/>
  <c r="T25" i="14"/>
  <c r="T35" i="13" s="1"/>
  <c r="S25" i="14"/>
  <c r="S35" i="13" s="1"/>
  <c r="BU24" i="14"/>
  <c r="T24" i="14"/>
  <c r="S24" i="14"/>
  <c r="BU23" i="14"/>
  <c r="T23" i="14"/>
  <c r="S23" i="14"/>
  <c r="BU22" i="14"/>
  <c r="T22" i="14"/>
  <c r="T32" i="13" s="1"/>
  <c r="S22" i="14"/>
  <c r="S32" i="13" s="1"/>
  <c r="BU21" i="14"/>
  <c r="T21" i="14"/>
  <c r="T31" i="13" s="1"/>
  <c r="S21" i="14"/>
  <c r="BU20" i="14"/>
  <c r="T20" i="14"/>
  <c r="T30" i="13" s="1"/>
  <c r="S20" i="14"/>
  <c r="S30" i="13" s="1"/>
  <c r="BU19" i="14"/>
  <c r="BU29" i="13" s="1"/>
  <c r="T19" i="14"/>
  <c r="T29" i="13" s="1"/>
  <c r="S19" i="14"/>
  <c r="BU18" i="14"/>
  <c r="T18" i="14"/>
  <c r="S18" i="14"/>
  <c r="S28" i="13" s="1"/>
  <c r="BU17" i="14"/>
  <c r="BU27" i="13" s="1"/>
  <c r="T17" i="14"/>
  <c r="S17" i="14"/>
  <c r="BU16" i="14"/>
  <c r="T16" i="14"/>
  <c r="S16" i="14"/>
  <c r="BU15" i="14"/>
  <c r="T15" i="14"/>
  <c r="T25" i="13" s="1"/>
  <c r="S15" i="14"/>
  <c r="S25" i="13" s="1"/>
  <c r="BU14" i="14"/>
  <c r="BU24" i="13" s="1"/>
  <c r="T14" i="14"/>
  <c r="T24" i="13" s="1"/>
  <c r="S14" i="14"/>
  <c r="BU13" i="14"/>
  <c r="T13" i="14"/>
  <c r="T23" i="13" s="1"/>
  <c r="S13" i="14"/>
  <c r="S23" i="13" s="1"/>
  <c r="BU12" i="14"/>
  <c r="BU22" i="13" s="1"/>
  <c r="T12" i="14"/>
  <c r="S12" i="14"/>
  <c r="BU11" i="14"/>
  <c r="T11" i="14"/>
  <c r="S11" i="14"/>
  <c r="BU10" i="14"/>
  <c r="BU20" i="13" s="1"/>
  <c r="T10" i="14"/>
  <c r="S10" i="14"/>
  <c r="BU9" i="14"/>
  <c r="T9" i="14"/>
  <c r="S9" i="14"/>
  <c r="S19" i="13" s="1"/>
  <c r="BU8" i="14"/>
  <c r="T8" i="14"/>
  <c r="S8" i="14"/>
  <c r="BU7" i="14"/>
  <c r="T7" i="14"/>
  <c r="T17" i="13" s="1"/>
  <c r="S7" i="14"/>
  <c r="BU6" i="14"/>
  <c r="T6" i="14"/>
  <c r="T16" i="13" s="1"/>
  <c r="S6" i="14"/>
  <c r="S16" i="13" s="1"/>
  <c r="BU5" i="14"/>
  <c r="BU15" i="13" s="1"/>
  <c r="T5" i="14"/>
  <c r="T15" i="13" s="1"/>
  <c r="S5" i="14"/>
  <c r="S15" i="13" s="1"/>
  <c r="BQ122" i="13"/>
  <c r="BP122" i="13"/>
  <c r="BO122" i="13"/>
  <c r="BC122" i="13"/>
  <c r="AV122" i="13"/>
  <c r="AU122" i="13"/>
  <c r="AT122" i="13"/>
  <c r="AS122" i="13"/>
  <c r="AR122" i="13"/>
  <c r="AQ122" i="13"/>
  <c r="AP122" i="13"/>
  <c r="AO122" i="13"/>
  <c r="AN122" i="13"/>
  <c r="AM122" i="13"/>
  <c r="AL122" i="13"/>
  <c r="AK122" i="13"/>
  <c r="AJ122" i="13"/>
  <c r="AI122" i="13"/>
  <c r="AH122" i="13"/>
  <c r="AG122" i="13"/>
  <c r="AF122" i="13"/>
  <c r="AE122" i="13"/>
  <c r="AD122" i="13"/>
  <c r="AC122" i="13"/>
  <c r="AB122" i="13"/>
  <c r="AA122" i="13"/>
  <c r="Z122" i="13"/>
  <c r="Y122" i="13"/>
  <c r="X122" i="13"/>
  <c r="W122" i="13"/>
  <c r="V122" i="13"/>
  <c r="U122" i="13"/>
  <c r="T122" i="13"/>
  <c r="S122" i="13"/>
  <c r="R122" i="13"/>
  <c r="Q122" i="13"/>
  <c r="P122" i="13"/>
  <c r="O122" i="13"/>
  <c r="N122" i="13"/>
  <c r="M122" i="13"/>
  <c r="L122" i="13"/>
  <c r="K122" i="13"/>
  <c r="J122" i="13"/>
  <c r="I122" i="13"/>
  <c r="H122" i="13"/>
  <c r="G122" i="13"/>
  <c r="F122" i="13"/>
  <c r="E122" i="13"/>
  <c r="D122" i="13"/>
  <c r="C122" i="13"/>
  <c r="BQ121" i="13"/>
  <c r="BP121" i="13"/>
  <c r="BO121" i="13"/>
  <c r="BC121" i="13"/>
  <c r="AV121" i="13"/>
  <c r="AU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AE121" i="13"/>
  <c r="AD121" i="13"/>
  <c r="AC121" i="13"/>
  <c r="AB121" i="13"/>
  <c r="AA121" i="13"/>
  <c r="Z121" i="13"/>
  <c r="Y121" i="13"/>
  <c r="X121" i="13"/>
  <c r="W121" i="13"/>
  <c r="V121" i="13"/>
  <c r="U121" i="13"/>
  <c r="T121" i="13"/>
  <c r="S121" i="13"/>
  <c r="R121" i="13"/>
  <c r="Q121" i="13"/>
  <c r="P121" i="13"/>
  <c r="O121" i="13"/>
  <c r="N121" i="13"/>
  <c r="M121" i="13"/>
  <c r="L121" i="13"/>
  <c r="K121" i="13"/>
  <c r="J121" i="13"/>
  <c r="I121" i="13"/>
  <c r="H121" i="13"/>
  <c r="G121" i="13"/>
  <c r="F121" i="13"/>
  <c r="E121" i="13"/>
  <c r="D121" i="13"/>
  <c r="C121" i="13"/>
  <c r="B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A120" i="13"/>
  <c r="B119" i="13"/>
  <c r="BX119" i="13"/>
  <c r="BW119" i="13"/>
  <c r="BV119" i="13"/>
  <c r="BT119" i="13"/>
  <c r="BS119" i="13"/>
  <c r="BR119" i="13"/>
  <c r="BQ119" i="13"/>
  <c r="BP119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B119" i="13"/>
  <c r="AA119" i="13"/>
  <c r="Z119" i="13"/>
  <c r="Y119" i="13"/>
  <c r="X119" i="13"/>
  <c r="W119" i="13"/>
  <c r="V119" i="13"/>
  <c r="U119" i="13"/>
  <c r="T119" i="13"/>
  <c r="S119" i="13"/>
  <c r="R119" i="13"/>
  <c r="Q119" i="13"/>
  <c r="P119" i="13"/>
  <c r="O119" i="13"/>
  <c r="N119" i="13"/>
  <c r="M119" i="13"/>
  <c r="L119" i="13"/>
  <c r="K119" i="13"/>
  <c r="J119" i="13"/>
  <c r="I119" i="13"/>
  <c r="H119" i="13"/>
  <c r="G119" i="13"/>
  <c r="F119" i="13"/>
  <c r="E119" i="13"/>
  <c r="D119" i="13"/>
  <c r="C119" i="13"/>
  <c r="A119" i="13"/>
  <c r="B118" i="13"/>
  <c r="BX118" i="13"/>
  <c r="BW118" i="13"/>
  <c r="BV118" i="13"/>
  <c r="BT118" i="13"/>
  <c r="BS118" i="13"/>
  <c r="BR118" i="13"/>
  <c r="BQ118" i="13"/>
  <c r="BP118" i="13"/>
  <c r="BO118" i="13"/>
  <c r="BN118" i="13"/>
  <c r="BM118" i="13"/>
  <c r="BL118" i="13"/>
  <c r="BK118" i="13"/>
  <c r="BJ118" i="13"/>
  <c r="BI118" i="13"/>
  <c r="BH118" i="13"/>
  <c r="BG118" i="13"/>
  <c r="BF118" i="13"/>
  <c r="BE118" i="13"/>
  <c r="BD118" i="13"/>
  <c r="BC118" i="13"/>
  <c r="BB118" i="13"/>
  <c r="BA118" i="13"/>
  <c r="AZ118" i="13"/>
  <c r="AY118" i="13"/>
  <c r="AX118" i="13"/>
  <c r="AW118" i="13"/>
  <c r="AV118" i="13"/>
  <c r="AU118" i="13"/>
  <c r="AT118" i="13"/>
  <c r="AS118" i="13"/>
  <c r="AR118" i="13"/>
  <c r="AQ118" i="13"/>
  <c r="AP118" i="13"/>
  <c r="AO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Y118" i="13"/>
  <c r="X118" i="13"/>
  <c r="W118" i="13"/>
  <c r="V118" i="13"/>
  <c r="U118" i="13"/>
  <c r="T118" i="13"/>
  <c r="S118" i="13"/>
  <c r="R118" i="13"/>
  <c r="Q118" i="13"/>
  <c r="P118" i="13"/>
  <c r="O118" i="13"/>
  <c r="N118" i="13"/>
  <c r="M118" i="13"/>
  <c r="L118" i="13"/>
  <c r="K118" i="13"/>
  <c r="J118" i="13"/>
  <c r="I118" i="13"/>
  <c r="H118" i="13"/>
  <c r="G118" i="13"/>
  <c r="F118" i="13"/>
  <c r="E118" i="13"/>
  <c r="D118" i="13"/>
  <c r="C118" i="13"/>
  <c r="A118" i="13"/>
  <c r="B117" i="13"/>
  <c r="BX117" i="13"/>
  <c r="BW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AD117" i="13"/>
  <c r="AC117" i="13"/>
  <c r="AB117" i="13"/>
  <c r="AA117" i="13"/>
  <c r="Z117" i="13"/>
  <c r="Y117" i="13"/>
  <c r="X117" i="13"/>
  <c r="W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A117" i="13"/>
  <c r="B116" i="13"/>
  <c r="BX116" i="13"/>
  <c r="BW116" i="13"/>
  <c r="BT116" i="13"/>
  <c r="BS116" i="13"/>
  <c r="BR116" i="13"/>
  <c r="BQ116" i="13"/>
  <c r="BP116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B116" i="13"/>
  <c r="AA116" i="13"/>
  <c r="Z116" i="13"/>
  <c r="Y116" i="13"/>
  <c r="X116" i="13"/>
  <c r="W116" i="13"/>
  <c r="V116" i="13"/>
  <c r="U116" i="13"/>
  <c r="T116" i="13"/>
  <c r="S116" i="13"/>
  <c r="R116" i="13"/>
  <c r="Q116" i="13"/>
  <c r="P116" i="13"/>
  <c r="O116" i="13"/>
  <c r="N116" i="13"/>
  <c r="M116" i="13"/>
  <c r="L116" i="13"/>
  <c r="K116" i="13"/>
  <c r="J116" i="13"/>
  <c r="I116" i="13"/>
  <c r="H116" i="13"/>
  <c r="G116" i="13"/>
  <c r="F116" i="13"/>
  <c r="E116" i="13"/>
  <c r="D116" i="13"/>
  <c r="C116" i="13"/>
  <c r="A116" i="13"/>
  <c r="B115" i="13"/>
  <c r="BX115" i="13"/>
  <c r="BW115" i="13"/>
  <c r="BT115" i="13"/>
  <c r="BS115" i="13"/>
  <c r="BR115" i="13"/>
  <c r="BN115" i="13"/>
  <c r="BM115" i="13"/>
  <c r="BL115" i="13"/>
  <c r="BK115" i="13"/>
  <c r="BJ115" i="13"/>
  <c r="BI115" i="13"/>
  <c r="BH115" i="13"/>
  <c r="BG115" i="13"/>
  <c r="BF115" i="13"/>
  <c r="BE115" i="13"/>
  <c r="BD115" i="13"/>
  <c r="BC115" i="13"/>
  <c r="BB115" i="13"/>
  <c r="BA115" i="13"/>
  <c r="AZ115" i="13"/>
  <c r="AY115" i="13"/>
  <c r="AX115" i="13"/>
  <c r="AW115" i="13"/>
  <c r="A115" i="13"/>
  <c r="B114" i="13"/>
  <c r="BX114" i="13"/>
  <c r="BW114" i="13"/>
  <c r="BU114" i="13"/>
  <c r="BT114" i="13"/>
  <c r="BS114" i="13"/>
  <c r="BR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B114" i="13"/>
  <c r="BA114" i="13"/>
  <c r="AZ114" i="13"/>
  <c r="AY114" i="13"/>
  <c r="AX114" i="13"/>
  <c r="AW114" i="13"/>
  <c r="A114" i="13"/>
  <c r="B113" i="13"/>
  <c r="AG17" i="8" s="1"/>
  <c r="BX113" i="13"/>
  <c r="BW113" i="13"/>
  <c r="BT113" i="13"/>
  <c r="BS113" i="13"/>
  <c r="BR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113" i="13"/>
  <c r="BX112" i="13"/>
  <c r="BW112" i="13"/>
  <c r="BT112" i="13"/>
  <c r="BS112" i="13"/>
  <c r="BR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B112" i="13"/>
  <c r="BA112" i="13"/>
  <c r="AZ112" i="13"/>
  <c r="AY112" i="13"/>
  <c r="AX112" i="13"/>
  <c r="AW112" i="13"/>
  <c r="A112" i="13"/>
  <c r="BX111" i="13"/>
  <c r="BW111" i="13"/>
  <c r="BT111" i="13"/>
  <c r="BS111" i="13"/>
  <c r="BR111" i="13"/>
  <c r="BN111" i="13"/>
  <c r="BM111" i="13"/>
  <c r="BL111" i="13"/>
  <c r="BK111" i="13"/>
  <c r="BJ111" i="13"/>
  <c r="BI111" i="13"/>
  <c r="BH111" i="13"/>
  <c r="BG111" i="13"/>
  <c r="BF111" i="13"/>
  <c r="BE111" i="13"/>
  <c r="BD111" i="13"/>
  <c r="BC111" i="13"/>
  <c r="BB111" i="13"/>
  <c r="BA111" i="13"/>
  <c r="AZ111" i="13"/>
  <c r="AY111" i="13"/>
  <c r="AX111" i="13"/>
  <c r="AW111" i="13"/>
  <c r="A111" i="13"/>
  <c r="BX110" i="13"/>
  <c r="BW110" i="13"/>
  <c r="BT110" i="13"/>
  <c r="BS110" i="13"/>
  <c r="BR110" i="13"/>
  <c r="BN110" i="13"/>
  <c r="BM110" i="13"/>
  <c r="BL110" i="13"/>
  <c r="BK110" i="13"/>
  <c r="BJ110" i="13"/>
  <c r="BI110" i="13"/>
  <c r="BH110" i="13"/>
  <c r="BG110" i="13"/>
  <c r="BF110" i="13"/>
  <c r="BE110" i="13"/>
  <c r="BD110" i="13"/>
  <c r="BC110" i="13"/>
  <c r="BB110" i="13"/>
  <c r="BA110" i="13"/>
  <c r="AZ110" i="13"/>
  <c r="AY110" i="13"/>
  <c r="AX110" i="13"/>
  <c r="AW110" i="13"/>
  <c r="A110" i="13"/>
  <c r="BX107" i="13"/>
  <c r="BW107" i="13"/>
  <c r="BU107" i="13"/>
  <c r="BT107" i="13"/>
  <c r="BS107" i="13"/>
  <c r="BR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B107" i="13"/>
  <c r="BA107" i="13"/>
  <c r="AZ107" i="13"/>
  <c r="AY107" i="13"/>
  <c r="AX107" i="13"/>
  <c r="AW107" i="13"/>
  <c r="A107" i="13"/>
  <c r="BX106" i="13"/>
  <c r="BW106" i="13"/>
  <c r="BU106" i="13"/>
  <c r="BT106" i="13"/>
  <c r="BS106" i="13"/>
  <c r="BR106" i="13"/>
  <c r="BQ106" i="13"/>
  <c r="BP106" i="13"/>
  <c r="BO106" i="13"/>
  <c r="BN106" i="13"/>
  <c r="BM106" i="13"/>
  <c r="BL106" i="13"/>
  <c r="BK106" i="13"/>
  <c r="BJ106" i="13"/>
  <c r="BI106" i="13"/>
  <c r="BH106" i="13"/>
  <c r="BG106" i="13"/>
  <c r="BF106" i="13"/>
  <c r="BE106" i="13"/>
  <c r="BD106" i="13"/>
  <c r="BC106" i="13"/>
  <c r="BB106" i="13"/>
  <c r="BA106" i="13"/>
  <c r="AZ106" i="13"/>
  <c r="AY106" i="13"/>
  <c r="AX106" i="13"/>
  <c r="AW106" i="13"/>
  <c r="A106" i="13"/>
  <c r="BX105" i="13"/>
  <c r="BW105" i="13"/>
  <c r="BV105" i="13"/>
  <c r="BT105" i="13"/>
  <c r="BS105" i="13"/>
  <c r="BR105" i="13"/>
  <c r="BQ105" i="13"/>
  <c r="BP105" i="13"/>
  <c r="BO105" i="13"/>
  <c r="BN105" i="13"/>
  <c r="BM105" i="13"/>
  <c r="BL105" i="13"/>
  <c r="BK105" i="13"/>
  <c r="BJ105" i="13"/>
  <c r="BI105" i="13"/>
  <c r="BH105" i="13"/>
  <c r="BG105" i="13"/>
  <c r="BF105" i="13"/>
  <c r="BE105" i="13"/>
  <c r="BD105" i="13"/>
  <c r="BC105" i="13"/>
  <c r="BB105" i="13"/>
  <c r="BA105" i="13"/>
  <c r="AZ105" i="13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M105" i="13"/>
  <c r="AL105" i="13"/>
  <c r="AK105" i="13"/>
  <c r="AJ105" i="13"/>
  <c r="AI105" i="13"/>
  <c r="AH105" i="13"/>
  <c r="AG105" i="13"/>
  <c r="AF105" i="13"/>
  <c r="AE105" i="13"/>
  <c r="AD105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Q105" i="13"/>
  <c r="P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A105" i="13"/>
  <c r="BX104" i="13"/>
  <c r="BW104" i="13"/>
  <c r="BV104" i="13"/>
  <c r="BT104" i="13"/>
  <c r="BS104" i="13"/>
  <c r="BR104" i="13"/>
  <c r="BQ104" i="13"/>
  <c r="BP104" i="13"/>
  <c r="BO104" i="13"/>
  <c r="BN104" i="13"/>
  <c r="BM104" i="13"/>
  <c r="BL104" i="13"/>
  <c r="BK104" i="13"/>
  <c r="BJ104" i="13"/>
  <c r="BI104" i="13"/>
  <c r="BH104" i="13"/>
  <c r="BG104" i="13"/>
  <c r="BF104" i="13"/>
  <c r="BE104" i="13"/>
  <c r="BD104" i="13"/>
  <c r="BC104" i="13"/>
  <c r="BB104" i="13"/>
  <c r="BA104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M104" i="13"/>
  <c r="AL104" i="13"/>
  <c r="AK104" i="13"/>
  <c r="AJ104" i="13"/>
  <c r="AI104" i="13"/>
  <c r="AH104" i="13"/>
  <c r="AG104" i="13"/>
  <c r="AF104" i="13"/>
  <c r="AE104" i="13"/>
  <c r="AD104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A104" i="13"/>
  <c r="BX103" i="13"/>
  <c r="BW103" i="13"/>
  <c r="BV103" i="13"/>
  <c r="BU103" i="13"/>
  <c r="BT103" i="13"/>
  <c r="BS103" i="13"/>
  <c r="BR103" i="13"/>
  <c r="BQ103" i="13"/>
  <c r="BP103" i="13"/>
  <c r="BO103" i="13"/>
  <c r="BN103" i="13"/>
  <c r="BM103" i="13"/>
  <c r="BL103" i="13"/>
  <c r="BK103" i="13"/>
  <c r="BJ103" i="13"/>
  <c r="BI103" i="13"/>
  <c r="BH103" i="13"/>
  <c r="BG103" i="13"/>
  <c r="BF103" i="13"/>
  <c r="BE103" i="13"/>
  <c r="BD103" i="13"/>
  <c r="BC103" i="13"/>
  <c r="BB103" i="13"/>
  <c r="BA103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M103" i="13"/>
  <c r="AL103" i="13"/>
  <c r="AK103" i="13"/>
  <c r="AJ103" i="13"/>
  <c r="AI103" i="13"/>
  <c r="AH103" i="13"/>
  <c r="AG103" i="13"/>
  <c r="AF103" i="13"/>
  <c r="AE103" i="13"/>
  <c r="AD103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103" i="13"/>
  <c r="C103" i="13"/>
  <c r="A103" i="13"/>
  <c r="B102" i="13"/>
  <c r="CA102" i="13"/>
  <c r="BX102" i="13"/>
  <c r="BW102" i="13"/>
  <c r="BV102" i="13"/>
  <c r="BU102" i="13"/>
  <c r="BT102" i="13"/>
  <c r="BS102" i="13"/>
  <c r="BR102" i="13"/>
  <c r="BQ102" i="13"/>
  <c r="BP102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B102" i="13"/>
  <c r="AA102" i="13"/>
  <c r="Z102" i="13"/>
  <c r="Y102" i="13"/>
  <c r="X102" i="13"/>
  <c r="W102" i="13"/>
  <c r="V102" i="13"/>
  <c r="U102" i="13"/>
  <c r="S102" i="13"/>
  <c r="R102" i="13"/>
  <c r="Q102" i="13"/>
  <c r="P102" i="13"/>
  <c r="O102" i="13"/>
  <c r="N102" i="13"/>
  <c r="M102" i="13"/>
  <c r="L102" i="13"/>
  <c r="K102" i="13"/>
  <c r="J102" i="13"/>
  <c r="I102" i="13"/>
  <c r="H102" i="13"/>
  <c r="G102" i="13"/>
  <c r="F102" i="13"/>
  <c r="E102" i="13"/>
  <c r="D102" i="13"/>
  <c r="C102" i="13"/>
  <c r="A102" i="13"/>
  <c r="B101" i="13"/>
  <c r="D93" i="8" s="1"/>
  <c r="CA101" i="13"/>
  <c r="BW101" i="13"/>
  <c r="BV101" i="13"/>
  <c r="BT101" i="13"/>
  <c r="BS101" i="13"/>
  <c r="BR101" i="13"/>
  <c r="BQ101" i="13"/>
  <c r="BP101" i="13"/>
  <c r="BO101" i="13"/>
  <c r="BN101" i="13"/>
  <c r="BM101" i="13"/>
  <c r="BL101" i="13"/>
  <c r="BK101" i="13"/>
  <c r="BJ101" i="13"/>
  <c r="BI101" i="13"/>
  <c r="BH101" i="13"/>
  <c r="BG101" i="13"/>
  <c r="BF101" i="13"/>
  <c r="BE101" i="13"/>
  <c r="BD101" i="13"/>
  <c r="BC101" i="13"/>
  <c r="BB101" i="13"/>
  <c r="BA101" i="13"/>
  <c r="AZ101" i="13"/>
  <c r="AY101" i="13"/>
  <c r="AX101" i="13"/>
  <c r="AW101" i="13"/>
  <c r="AV101" i="13"/>
  <c r="AU101" i="13"/>
  <c r="AT101" i="13"/>
  <c r="AS101" i="13"/>
  <c r="AR101" i="13"/>
  <c r="AQ101" i="13"/>
  <c r="AP101" i="13"/>
  <c r="AO101" i="13"/>
  <c r="AN101" i="13"/>
  <c r="AM101" i="13"/>
  <c r="AL101" i="13"/>
  <c r="AK101" i="13"/>
  <c r="AJ101" i="13"/>
  <c r="AI101" i="13"/>
  <c r="AH101" i="13"/>
  <c r="AG101" i="13"/>
  <c r="AF101" i="13"/>
  <c r="AE101" i="13"/>
  <c r="AD101" i="13"/>
  <c r="AC101" i="13"/>
  <c r="AB101" i="13"/>
  <c r="AA101" i="13"/>
  <c r="Z101" i="13"/>
  <c r="Y101" i="13"/>
  <c r="X101" i="13"/>
  <c r="W101" i="13"/>
  <c r="V101" i="13"/>
  <c r="U101" i="13"/>
  <c r="T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A101" i="13"/>
  <c r="B100" i="13"/>
  <c r="CA100" i="13"/>
  <c r="BW100" i="13"/>
  <c r="BV100" i="13"/>
  <c r="BT100" i="13"/>
  <c r="BS100" i="13"/>
  <c r="BR100" i="13"/>
  <c r="BQ100" i="13"/>
  <c r="BP100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B100" i="13"/>
  <c r="AA100" i="13"/>
  <c r="Z100" i="13"/>
  <c r="Y100" i="13"/>
  <c r="X100" i="13"/>
  <c r="W100" i="13"/>
  <c r="V100" i="13"/>
  <c r="U100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D100" i="13"/>
  <c r="C100" i="13"/>
  <c r="A100" i="13"/>
  <c r="B99" i="13"/>
  <c r="CA99" i="13"/>
  <c r="BW99" i="13"/>
  <c r="BV99" i="13"/>
  <c r="BT99" i="13"/>
  <c r="BS99" i="13"/>
  <c r="BR99" i="13"/>
  <c r="BQ99" i="13"/>
  <c r="BP99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B99" i="13"/>
  <c r="AA99" i="13"/>
  <c r="Z99" i="13"/>
  <c r="Y99" i="13"/>
  <c r="X99" i="13"/>
  <c r="W99" i="13"/>
  <c r="V99" i="13"/>
  <c r="U99" i="13"/>
  <c r="R99" i="13"/>
  <c r="Q99" i="13"/>
  <c r="P99" i="13"/>
  <c r="O99" i="13"/>
  <c r="N99" i="13"/>
  <c r="M99" i="13"/>
  <c r="L99" i="13"/>
  <c r="K99" i="13"/>
  <c r="J99" i="13"/>
  <c r="I99" i="13"/>
  <c r="H99" i="13"/>
  <c r="G99" i="13"/>
  <c r="F99" i="13"/>
  <c r="E99" i="13"/>
  <c r="D99" i="13"/>
  <c r="C99" i="13"/>
  <c r="A99" i="13"/>
  <c r="B98" i="13"/>
  <c r="CA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B98" i="13"/>
  <c r="AA98" i="13"/>
  <c r="Z98" i="13"/>
  <c r="Y98" i="13"/>
  <c r="X98" i="13"/>
  <c r="W98" i="13"/>
  <c r="V98" i="13"/>
  <c r="U98" i="13"/>
  <c r="R98" i="13"/>
  <c r="Q98" i="13"/>
  <c r="P98" i="13"/>
  <c r="O98" i="13"/>
  <c r="N98" i="13"/>
  <c r="M98" i="13"/>
  <c r="L98" i="13"/>
  <c r="K98" i="13"/>
  <c r="J98" i="13"/>
  <c r="I98" i="13"/>
  <c r="H98" i="13"/>
  <c r="G98" i="13"/>
  <c r="F98" i="13"/>
  <c r="E98" i="13"/>
  <c r="D98" i="13"/>
  <c r="C98" i="13"/>
  <c r="A98" i="13"/>
  <c r="B97" i="13"/>
  <c r="CA97" i="13"/>
  <c r="BW97" i="13"/>
  <c r="BV97" i="13"/>
  <c r="BU97" i="13"/>
  <c r="BT97" i="13"/>
  <c r="BS97" i="13"/>
  <c r="BR97" i="13"/>
  <c r="BQ97" i="13"/>
  <c r="BP97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J97" i="13"/>
  <c r="I97" i="13"/>
  <c r="H97" i="13"/>
  <c r="G97" i="13"/>
  <c r="F97" i="13"/>
  <c r="E97" i="13"/>
  <c r="D97" i="13"/>
  <c r="C97" i="13"/>
  <c r="A97" i="13"/>
  <c r="B96" i="13"/>
  <c r="CA96" i="13"/>
  <c r="BX96" i="13"/>
  <c r="BW96" i="13"/>
  <c r="BV96" i="13"/>
  <c r="BU96" i="13"/>
  <c r="BT96" i="13"/>
  <c r="BS96" i="13"/>
  <c r="BR96" i="13"/>
  <c r="BQ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B96" i="13"/>
  <c r="AA96" i="13"/>
  <c r="Z96" i="13"/>
  <c r="Y96" i="13"/>
  <c r="X96" i="13"/>
  <c r="W96" i="13"/>
  <c r="V96" i="13"/>
  <c r="U96" i="13"/>
  <c r="T96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D96" i="13"/>
  <c r="C96" i="13"/>
  <c r="A96" i="13"/>
  <c r="B95" i="13"/>
  <c r="CA95" i="13"/>
  <c r="BW95" i="13"/>
  <c r="BV95" i="13"/>
  <c r="BT95" i="13"/>
  <c r="BS95" i="13"/>
  <c r="BR95" i="13"/>
  <c r="BQ95" i="13"/>
  <c r="BP95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J95" i="13"/>
  <c r="I95" i="13"/>
  <c r="H95" i="13"/>
  <c r="G95" i="13"/>
  <c r="F95" i="13"/>
  <c r="E95" i="13"/>
  <c r="D95" i="13"/>
  <c r="C95" i="13"/>
  <c r="A95" i="13"/>
  <c r="B94" i="13"/>
  <c r="CA94" i="13"/>
  <c r="BX94" i="13"/>
  <c r="BW94" i="13"/>
  <c r="BV94" i="13"/>
  <c r="BU94" i="13"/>
  <c r="BT94" i="13"/>
  <c r="BS94" i="13"/>
  <c r="BR94" i="13"/>
  <c r="BQ94" i="13"/>
  <c r="BP94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B94" i="13"/>
  <c r="AA94" i="13"/>
  <c r="Z94" i="13"/>
  <c r="Y94" i="13"/>
  <c r="X94" i="13"/>
  <c r="W94" i="13"/>
  <c r="V94" i="13"/>
  <c r="U94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A94" i="13"/>
  <c r="B93" i="13"/>
  <c r="CA93" i="13"/>
  <c r="BW93" i="13"/>
  <c r="BV93" i="13"/>
  <c r="BT93" i="13"/>
  <c r="BS93" i="13"/>
  <c r="BR93" i="13"/>
  <c r="BQ93" i="13"/>
  <c r="BP93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B93" i="13"/>
  <c r="AA93" i="13"/>
  <c r="Z93" i="13"/>
  <c r="Y93" i="13"/>
  <c r="X93" i="13"/>
  <c r="W93" i="13"/>
  <c r="V93" i="13"/>
  <c r="U93" i="13"/>
  <c r="S93" i="13"/>
  <c r="R93" i="13"/>
  <c r="Q93" i="13"/>
  <c r="P93" i="13"/>
  <c r="O93" i="13"/>
  <c r="N93" i="13"/>
  <c r="M93" i="13"/>
  <c r="L93" i="13"/>
  <c r="K93" i="13"/>
  <c r="J93" i="13"/>
  <c r="I93" i="13"/>
  <c r="H93" i="13"/>
  <c r="G93" i="13"/>
  <c r="F93" i="13"/>
  <c r="E93" i="13"/>
  <c r="D93" i="13"/>
  <c r="C93" i="13"/>
  <c r="A93" i="13"/>
  <c r="B92" i="13"/>
  <c r="CA92" i="13"/>
  <c r="BX92" i="13"/>
  <c r="BW92" i="13"/>
  <c r="BV92" i="13"/>
  <c r="BU92" i="13"/>
  <c r="BT92" i="13"/>
  <c r="BS92" i="13"/>
  <c r="BR92" i="13"/>
  <c r="BQ92" i="13"/>
  <c r="BP92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B92" i="13"/>
  <c r="AA92" i="13"/>
  <c r="Z92" i="13"/>
  <c r="Y92" i="13"/>
  <c r="X92" i="13"/>
  <c r="W92" i="13"/>
  <c r="V92" i="13"/>
  <c r="U92" i="13"/>
  <c r="S92" i="13"/>
  <c r="R92" i="13"/>
  <c r="Q92" i="13"/>
  <c r="P92" i="13"/>
  <c r="O92" i="13"/>
  <c r="N92" i="13"/>
  <c r="M92" i="13"/>
  <c r="L92" i="13"/>
  <c r="K92" i="13"/>
  <c r="J92" i="13"/>
  <c r="I92" i="13"/>
  <c r="H92" i="13"/>
  <c r="G92" i="13"/>
  <c r="F92" i="13"/>
  <c r="E92" i="13"/>
  <c r="D92" i="13"/>
  <c r="C92" i="13"/>
  <c r="A92" i="13"/>
  <c r="B91" i="13"/>
  <c r="CA91" i="13"/>
  <c r="BX91" i="13"/>
  <c r="BW91" i="13"/>
  <c r="BV91" i="13"/>
  <c r="BU91" i="13"/>
  <c r="BT91" i="13"/>
  <c r="BS91" i="13"/>
  <c r="BR91" i="13"/>
  <c r="BQ91" i="13"/>
  <c r="BP91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N91" i="13"/>
  <c r="M91" i="13"/>
  <c r="L91" i="13"/>
  <c r="K91" i="13"/>
  <c r="J91" i="13"/>
  <c r="I91" i="13"/>
  <c r="H91" i="13"/>
  <c r="G91" i="13"/>
  <c r="F91" i="13"/>
  <c r="E91" i="13"/>
  <c r="D91" i="13"/>
  <c r="C91" i="13"/>
  <c r="A91" i="13"/>
  <c r="B90" i="13"/>
  <c r="CA90" i="13"/>
  <c r="BX90" i="13"/>
  <c r="BW90" i="13"/>
  <c r="BV90" i="13"/>
  <c r="BT90" i="13"/>
  <c r="BS90" i="13"/>
  <c r="BR90" i="13"/>
  <c r="BQ90" i="13"/>
  <c r="BP90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B90" i="13"/>
  <c r="AA90" i="13"/>
  <c r="Z90" i="13"/>
  <c r="Y90" i="13"/>
  <c r="X90" i="13"/>
  <c r="W90" i="13"/>
  <c r="V90" i="13"/>
  <c r="U90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E90" i="13"/>
  <c r="D90" i="13"/>
  <c r="C90" i="13"/>
  <c r="A90" i="13"/>
  <c r="B89" i="13"/>
  <c r="CA89" i="13"/>
  <c r="BW89" i="13"/>
  <c r="BV89" i="13"/>
  <c r="BT89" i="13"/>
  <c r="BS89" i="13"/>
  <c r="BR89" i="13"/>
  <c r="BQ89" i="13"/>
  <c r="BP89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B89" i="13"/>
  <c r="AA89" i="13"/>
  <c r="Z89" i="13"/>
  <c r="Y89" i="13"/>
  <c r="X89" i="13"/>
  <c r="W89" i="13"/>
  <c r="V89" i="13"/>
  <c r="U89" i="13"/>
  <c r="R89" i="13"/>
  <c r="Q89" i="13"/>
  <c r="P89" i="13"/>
  <c r="O89" i="13"/>
  <c r="N89" i="13"/>
  <c r="M89" i="13"/>
  <c r="L89" i="13"/>
  <c r="K89" i="13"/>
  <c r="J89" i="13"/>
  <c r="I89" i="13"/>
  <c r="H89" i="13"/>
  <c r="G89" i="13"/>
  <c r="F89" i="13"/>
  <c r="E89" i="13"/>
  <c r="D89" i="13"/>
  <c r="C89" i="13"/>
  <c r="A89" i="13"/>
  <c r="B88" i="13"/>
  <c r="CA88" i="13"/>
  <c r="BW88" i="13"/>
  <c r="BV88" i="13"/>
  <c r="BT88" i="13"/>
  <c r="BS88" i="13"/>
  <c r="BR88" i="13"/>
  <c r="BQ88" i="13"/>
  <c r="BP88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B88" i="13"/>
  <c r="AA88" i="13"/>
  <c r="Z88" i="13"/>
  <c r="Y88" i="13"/>
  <c r="X88" i="13"/>
  <c r="W88" i="13"/>
  <c r="V88" i="13"/>
  <c r="U88" i="13"/>
  <c r="R88" i="13"/>
  <c r="Q88" i="13"/>
  <c r="P88" i="13"/>
  <c r="O88" i="13"/>
  <c r="N88" i="13"/>
  <c r="M88" i="13"/>
  <c r="L88" i="13"/>
  <c r="K88" i="13"/>
  <c r="J88" i="13"/>
  <c r="I88" i="13"/>
  <c r="H88" i="13"/>
  <c r="G88" i="13"/>
  <c r="F88" i="13"/>
  <c r="E88" i="13"/>
  <c r="D88" i="13"/>
  <c r="C88" i="13"/>
  <c r="A88" i="13"/>
  <c r="B87" i="13"/>
  <c r="CA87" i="13"/>
  <c r="BW87" i="13"/>
  <c r="BV87" i="13"/>
  <c r="BU87" i="13"/>
  <c r="BT87" i="13"/>
  <c r="BS87" i="13"/>
  <c r="BR87" i="13"/>
  <c r="BQ87" i="13"/>
  <c r="BP87" i="13"/>
  <c r="BO87" i="13"/>
  <c r="BN87" i="13"/>
  <c r="BM87" i="13"/>
  <c r="BL87" i="13"/>
  <c r="BK87" i="13"/>
  <c r="BJ87" i="13"/>
  <c r="BI87" i="13"/>
  <c r="BH87" i="13"/>
  <c r="BG87" i="13"/>
  <c r="BF87" i="13"/>
  <c r="BE87" i="13"/>
  <c r="BD87" i="13"/>
  <c r="BC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AJ87" i="13"/>
  <c r="AI87" i="13"/>
  <c r="AH87" i="13"/>
  <c r="AG87" i="13"/>
  <c r="AF87" i="13"/>
  <c r="AE87" i="13"/>
  <c r="AD87" i="13"/>
  <c r="AC87" i="13"/>
  <c r="AB87" i="13"/>
  <c r="AA87" i="13"/>
  <c r="Z87" i="13"/>
  <c r="Y87" i="13"/>
  <c r="X87" i="13"/>
  <c r="W87" i="13"/>
  <c r="V87" i="13"/>
  <c r="U87" i="13"/>
  <c r="T87" i="13"/>
  <c r="R87" i="13"/>
  <c r="Q87" i="13"/>
  <c r="P87" i="13"/>
  <c r="O87" i="13"/>
  <c r="N87" i="13"/>
  <c r="M87" i="13"/>
  <c r="L87" i="13"/>
  <c r="K87" i="13"/>
  <c r="J87" i="13"/>
  <c r="I87" i="13"/>
  <c r="H87" i="13"/>
  <c r="G87" i="13"/>
  <c r="F87" i="13"/>
  <c r="E87" i="13"/>
  <c r="D87" i="13"/>
  <c r="C87" i="13"/>
  <c r="A87" i="13"/>
  <c r="B86" i="13"/>
  <c r="CA86" i="13"/>
  <c r="BX86" i="13"/>
  <c r="BW86" i="13"/>
  <c r="BV86" i="13"/>
  <c r="BT86" i="13"/>
  <c r="BS86" i="13"/>
  <c r="BR86" i="13"/>
  <c r="BQ86" i="13"/>
  <c r="BP86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D86" i="13"/>
  <c r="C86" i="13"/>
  <c r="A86" i="13"/>
  <c r="B85" i="13"/>
  <c r="D77" i="8" s="1"/>
  <c r="CA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L85" i="13"/>
  <c r="K85" i="13"/>
  <c r="J85" i="13"/>
  <c r="I85" i="13"/>
  <c r="H85" i="13"/>
  <c r="G85" i="13"/>
  <c r="F85" i="13"/>
  <c r="E85" i="13"/>
  <c r="D85" i="13"/>
  <c r="C85" i="13"/>
  <c r="A85" i="13"/>
  <c r="B84" i="13"/>
  <c r="D76" i="8" s="1"/>
  <c r="A15" i="13"/>
  <c r="CB15" i="13" s="1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CA84" i="13"/>
  <c r="BX84" i="13"/>
  <c r="BW84" i="13"/>
  <c r="BV84" i="13"/>
  <c r="BT84" i="13"/>
  <c r="BS84" i="13"/>
  <c r="BR84" i="13"/>
  <c r="BQ84" i="13"/>
  <c r="BP84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Q84" i="13"/>
  <c r="P84" i="13"/>
  <c r="O84" i="13"/>
  <c r="N84" i="13"/>
  <c r="M84" i="13"/>
  <c r="L84" i="13"/>
  <c r="K84" i="13"/>
  <c r="J84" i="13"/>
  <c r="I84" i="13"/>
  <c r="H84" i="13"/>
  <c r="G84" i="13"/>
  <c r="F84" i="13"/>
  <c r="E84" i="13"/>
  <c r="D84" i="13"/>
  <c r="C84" i="13"/>
  <c r="B83" i="13"/>
  <c r="CA83" i="13"/>
  <c r="BX83" i="13"/>
  <c r="BW83" i="13"/>
  <c r="BV83" i="13"/>
  <c r="BU83" i="13"/>
  <c r="BT83" i="13"/>
  <c r="BS83" i="13"/>
  <c r="BR83" i="13"/>
  <c r="BQ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B83" i="13"/>
  <c r="AA83" i="13"/>
  <c r="Z83" i="13"/>
  <c r="Y83" i="13"/>
  <c r="X83" i="13"/>
  <c r="W83" i="13"/>
  <c r="V83" i="13"/>
  <c r="U83" i="13"/>
  <c r="R83" i="13"/>
  <c r="Q83" i="13"/>
  <c r="P83" i="13"/>
  <c r="O83" i="13"/>
  <c r="N83" i="13"/>
  <c r="M83" i="13"/>
  <c r="L83" i="13"/>
  <c r="K83" i="13"/>
  <c r="J83" i="13"/>
  <c r="I83" i="13"/>
  <c r="H83" i="13"/>
  <c r="G83" i="13"/>
  <c r="F83" i="13"/>
  <c r="E83" i="13"/>
  <c r="D83" i="13"/>
  <c r="C83" i="13"/>
  <c r="B82" i="13"/>
  <c r="CA82" i="13"/>
  <c r="BX82" i="13"/>
  <c r="BW82" i="13"/>
  <c r="BV82" i="13"/>
  <c r="BT82" i="13"/>
  <c r="BS82" i="13"/>
  <c r="BR82" i="13"/>
  <c r="BQ82" i="13"/>
  <c r="BP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B82" i="13"/>
  <c r="AA82" i="13"/>
  <c r="Z82" i="13"/>
  <c r="Y82" i="13"/>
  <c r="X82" i="13"/>
  <c r="W82" i="13"/>
  <c r="V82" i="13"/>
  <c r="U82" i="13"/>
  <c r="R82" i="13"/>
  <c r="Q82" i="13"/>
  <c r="P82" i="13"/>
  <c r="O82" i="13"/>
  <c r="N82" i="13"/>
  <c r="M82" i="13"/>
  <c r="L82" i="13"/>
  <c r="K82" i="13"/>
  <c r="J82" i="13"/>
  <c r="I82" i="13"/>
  <c r="H82" i="13"/>
  <c r="G82" i="13"/>
  <c r="F82" i="13"/>
  <c r="E82" i="13"/>
  <c r="D82" i="13"/>
  <c r="C82" i="13"/>
  <c r="B81" i="13"/>
  <c r="CA81" i="13"/>
  <c r="BX81" i="13"/>
  <c r="BW81" i="13"/>
  <c r="BV81" i="13"/>
  <c r="BT81" i="13"/>
  <c r="BS81" i="13"/>
  <c r="BR81" i="13"/>
  <c r="BQ81" i="13"/>
  <c r="BP81" i="13"/>
  <c r="BO81" i="13"/>
  <c r="BN81" i="13"/>
  <c r="BM81" i="13"/>
  <c r="BL81" i="13"/>
  <c r="BK81" i="13"/>
  <c r="BJ81" i="13"/>
  <c r="BI81" i="13"/>
  <c r="BH81" i="13"/>
  <c r="BG81" i="13"/>
  <c r="BF81" i="13"/>
  <c r="BE81" i="13"/>
  <c r="BD81" i="13"/>
  <c r="BC81" i="13"/>
  <c r="BB81" i="13"/>
  <c r="BA81" i="13"/>
  <c r="AZ81" i="13"/>
  <c r="AY81" i="13"/>
  <c r="AX81" i="13"/>
  <c r="AW81" i="13"/>
  <c r="AV81" i="13"/>
  <c r="AU81" i="13"/>
  <c r="AT81" i="13"/>
  <c r="AS81" i="13"/>
  <c r="AR81" i="13"/>
  <c r="AQ81" i="13"/>
  <c r="AP81" i="13"/>
  <c r="AO81" i="13"/>
  <c r="AN81" i="13"/>
  <c r="AM81" i="13"/>
  <c r="AL81" i="13"/>
  <c r="AK81" i="13"/>
  <c r="AJ81" i="13"/>
  <c r="AI81" i="13"/>
  <c r="AH81" i="13"/>
  <c r="AG81" i="13"/>
  <c r="AF81" i="13"/>
  <c r="AE81" i="13"/>
  <c r="AD81" i="13"/>
  <c r="AC81" i="13"/>
  <c r="AB81" i="13"/>
  <c r="AA81" i="13"/>
  <c r="Z81" i="13"/>
  <c r="Y81" i="13"/>
  <c r="X81" i="13"/>
  <c r="W81" i="13"/>
  <c r="V81" i="13"/>
  <c r="U81" i="13"/>
  <c r="R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C81" i="13"/>
  <c r="B80" i="13"/>
  <c r="CA80" i="13"/>
  <c r="BX80" i="13"/>
  <c r="BW80" i="13"/>
  <c r="BV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W80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E80" i="13"/>
  <c r="D80" i="13"/>
  <c r="C80" i="13"/>
  <c r="B79" i="13"/>
  <c r="CA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W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E79" i="13"/>
  <c r="D79" i="13"/>
  <c r="C79" i="13"/>
  <c r="B78" i="13"/>
  <c r="C70" i="8" s="1"/>
  <c r="CA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W78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B77" i="13"/>
  <c r="CA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C77" i="13"/>
  <c r="B76" i="13"/>
  <c r="C68" i="8" s="1"/>
  <c r="CA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W76" i="13"/>
  <c r="V76" i="13"/>
  <c r="U76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E76" i="13"/>
  <c r="D76" i="13"/>
  <c r="C76" i="13"/>
  <c r="B75" i="13"/>
  <c r="CA75" i="13"/>
  <c r="BX75" i="13"/>
  <c r="BW75" i="13"/>
  <c r="BV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B74" i="13"/>
  <c r="CA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W74" i="13"/>
  <c r="V74" i="13"/>
  <c r="U74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E74" i="13"/>
  <c r="D74" i="13"/>
  <c r="C74" i="13"/>
  <c r="B73" i="13"/>
  <c r="CA73" i="13"/>
  <c r="BX73" i="13"/>
  <c r="BW73" i="13"/>
  <c r="BV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W73" i="13"/>
  <c r="V73" i="13"/>
  <c r="U73" i="13"/>
  <c r="S73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E73" i="13"/>
  <c r="D73" i="13"/>
  <c r="C73" i="13"/>
  <c r="B72" i="13"/>
  <c r="CA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W72" i="13"/>
  <c r="V72" i="13"/>
  <c r="U72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E72" i="13"/>
  <c r="D72" i="13"/>
  <c r="C72" i="13"/>
  <c r="B71" i="13"/>
  <c r="CA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W71" i="13"/>
  <c r="V71" i="13"/>
  <c r="U71" i="13"/>
  <c r="T71" i="13"/>
  <c r="S71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E71" i="13"/>
  <c r="D71" i="13"/>
  <c r="C71" i="13"/>
  <c r="B70" i="13"/>
  <c r="CA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E70" i="13"/>
  <c r="D70" i="13"/>
  <c r="C70" i="13"/>
  <c r="B69" i="13"/>
  <c r="CA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E69" i="13"/>
  <c r="D69" i="13"/>
  <c r="C69" i="13"/>
  <c r="B68" i="13"/>
  <c r="CA68" i="13"/>
  <c r="BX68" i="13"/>
  <c r="BW68" i="13"/>
  <c r="BV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W68" i="13"/>
  <c r="V68" i="13"/>
  <c r="U68" i="13"/>
  <c r="T68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E68" i="13"/>
  <c r="D68" i="13"/>
  <c r="C68" i="13"/>
  <c r="B67" i="13"/>
  <c r="D59" i="8" s="1"/>
  <c r="CA67" i="13"/>
  <c r="BX67" i="13"/>
  <c r="BW67" i="13"/>
  <c r="BV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W67" i="13"/>
  <c r="V67" i="13"/>
  <c r="U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E67" i="13"/>
  <c r="D67" i="13"/>
  <c r="C67" i="13"/>
  <c r="B66" i="13"/>
  <c r="CA66" i="13"/>
  <c r="BX66" i="13"/>
  <c r="BW66" i="13"/>
  <c r="BV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W66" i="13"/>
  <c r="V66" i="13"/>
  <c r="U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E66" i="13"/>
  <c r="D66" i="13"/>
  <c r="C66" i="13"/>
  <c r="B65" i="13"/>
  <c r="E57" i="8" s="1"/>
  <c r="CA65" i="13"/>
  <c r="BX65" i="13"/>
  <c r="BW65" i="13"/>
  <c r="BV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D65" i="13"/>
  <c r="C65" i="13"/>
  <c r="B64" i="13"/>
  <c r="CA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W64" i="13"/>
  <c r="V64" i="13"/>
  <c r="U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D64" i="13"/>
  <c r="C64" i="13"/>
  <c r="B63" i="13"/>
  <c r="C55" i="8" s="1"/>
  <c r="CA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B62" i="13"/>
  <c r="E54" i="8" s="1"/>
  <c r="CA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W62" i="13"/>
  <c r="V62" i="13"/>
  <c r="U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B61" i="13"/>
  <c r="CA61" i="13"/>
  <c r="BX61" i="13"/>
  <c r="BW61" i="13"/>
  <c r="BV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W61" i="13"/>
  <c r="V61" i="13"/>
  <c r="U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C61" i="13"/>
  <c r="B60" i="13"/>
  <c r="CA60" i="13"/>
  <c r="BX60" i="13"/>
  <c r="BW60" i="13"/>
  <c r="BV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60" i="13"/>
  <c r="B59" i="13"/>
  <c r="CA59" i="13"/>
  <c r="BX59" i="13"/>
  <c r="BW59" i="13"/>
  <c r="BV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W59" i="13"/>
  <c r="V59" i="13"/>
  <c r="U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B58" i="13"/>
  <c r="CA58" i="13"/>
  <c r="BX58" i="13"/>
  <c r="BW58" i="13"/>
  <c r="BV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D58" i="13"/>
  <c r="C58" i="13"/>
  <c r="B57" i="13"/>
  <c r="CA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E57" i="13"/>
  <c r="D57" i="13"/>
  <c r="C57" i="13"/>
  <c r="B56" i="13"/>
  <c r="CA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B55" i="13"/>
  <c r="CA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W55" i="13"/>
  <c r="V55" i="13"/>
  <c r="U55" i="13"/>
  <c r="T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E55" i="13"/>
  <c r="D55" i="13"/>
  <c r="C55" i="13"/>
  <c r="B54" i="13"/>
  <c r="E46" i="8" s="1"/>
  <c r="CD54" i="13"/>
  <c r="CA54" i="13"/>
  <c r="BX54" i="13"/>
  <c r="BW54" i="13"/>
  <c r="BV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D54" i="13"/>
  <c r="C54" i="13"/>
  <c r="B53" i="13"/>
  <c r="CA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E53" i="13"/>
  <c r="D53" i="13"/>
  <c r="C53" i="13"/>
  <c r="B52" i="13"/>
  <c r="CA52" i="13"/>
  <c r="BX52" i="13"/>
  <c r="BW52" i="13"/>
  <c r="BV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E52" i="13"/>
  <c r="D52" i="13"/>
  <c r="C52" i="13"/>
  <c r="B51" i="13"/>
  <c r="CA51" i="13"/>
  <c r="BX51" i="13"/>
  <c r="BW51" i="13"/>
  <c r="BV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B50" i="13"/>
  <c r="CA50" i="13"/>
  <c r="BX50" i="13"/>
  <c r="BW50" i="13"/>
  <c r="BV50" i="13"/>
  <c r="BU50" i="13"/>
  <c r="BT50" i="13"/>
  <c r="BS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D50" i="13"/>
  <c r="C50" i="13"/>
  <c r="B49" i="13"/>
  <c r="CA49" i="13"/>
  <c r="BX49" i="13"/>
  <c r="BW49" i="13"/>
  <c r="BV49" i="13"/>
  <c r="BT49" i="13"/>
  <c r="BS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B48" i="13"/>
  <c r="C40" i="8" s="1"/>
  <c r="CA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C48" i="13"/>
  <c r="B47" i="13"/>
  <c r="CA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B46" i="13"/>
  <c r="CA46" i="13"/>
  <c r="BX46" i="13"/>
  <c r="BW46" i="13"/>
  <c r="BV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E46" i="13"/>
  <c r="D46" i="13"/>
  <c r="C46" i="13"/>
  <c r="B45" i="13"/>
  <c r="C37" i="8" s="1"/>
  <c r="CA45" i="13"/>
  <c r="BX45" i="13"/>
  <c r="BW45" i="13"/>
  <c r="BV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W45" i="13"/>
  <c r="V45" i="13"/>
  <c r="U45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E45" i="13"/>
  <c r="D45" i="13"/>
  <c r="C45" i="13"/>
  <c r="B44" i="13"/>
  <c r="CA44" i="13"/>
  <c r="BX44" i="13"/>
  <c r="BW44" i="13"/>
  <c r="BV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W44" i="13"/>
  <c r="V44" i="13"/>
  <c r="U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B43" i="13"/>
  <c r="CA43" i="13"/>
  <c r="BX43" i="13"/>
  <c r="BW43" i="13"/>
  <c r="BV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B42" i="13"/>
  <c r="D34" i="8" s="1"/>
  <c r="CA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W42" i="13"/>
  <c r="V42" i="13"/>
  <c r="U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B41" i="13"/>
  <c r="C33" i="8" s="1"/>
  <c r="CA41" i="13"/>
  <c r="BX41" i="13"/>
  <c r="BW41" i="13"/>
  <c r="BV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B40" i="13"/>
  <c r="CA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W40" i="13"/>
  <c r="V40" i="13"/>
  <c r="U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B39" i="13"/>
  <c r="CA39" i="13"/>
  <c r="BX39" i="13"/>
  <c r="BW39" i="13"/>
  <c r="BV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B38" i="13"/>
  <c r="CA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B37" i="13"/>
  <c r="CA37" i="13"/>
  <c r="BX37" i="13"/>
  <c r="BW37" i="13"/>
  <c r="BV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B36" i="13"/>
  <c r="C28" i="8" s="1"/>
  <c r="CA36" i="13"/>
  <c r="BX36" i="13"/>
  <c r="BW36" i="13"/>
  <c r="BV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B35" i="13"/>
  <c r="E27" i="8" s="1"/>
  <c r="CA35" i="13"/>
  <c r="BX35" i="13"/>
  <c r="BW35" i="13"/>
  <c r="BV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B34" i="13"/>
  <c r="CA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B33" i="13"/>
  <c r="E25" i="8" s="1"/>
  <c r="CA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B32" i="13"/>
  <c r="C24" i="8" s="1"/>
  <c r="CA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B31" i="13"/>
  <c r="C23" i="8"/>
  <c r="CA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0" i="13"/>
  <c r="CA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B29" i="13"/>
  <c r="CA29" i="13"/>
  <c r="BX29" i="13"/>
  <c r="BW29" i="13"/>
  <c r="BV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8" i="13"/>
  <c r="C20" i="8" s="1"/>
  <c r="E20" i="8"/>
  <c r="CA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7" i="13"/>
  <c r="E19" i="8" s="1"/>
  <c r="CA27" i="13"/>
  <c r="BX27" i="13"/>
  <c r="BW27" i="13"/>
  <c r="BV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B26" i="13"/>
  <c r="E18" i="8" s="1"/>
  <c r="CA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B25" i="13"/>
  <c r="CA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4" i="13"/>
  <c r="E16" i="8" s="1"/>
  <c r="CA24" i="13"/>
  <c r="BX24" i="13"/>
  <c r="BW24" i="13"/>
  <c r="BV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3" i="13"/>
  <c r="C15" i="8" s="1"/>
  <c r="CA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A22" i="13"/>
  <c r="BX22" i="13"/>
  <c r="BW22" i="13"/>
  <c r="BV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CA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CA20" i="13"/>
  <c r="BX20" i="13"/>
  <c r="BW20" i="13"/>
  <c r="BV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CA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CA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CA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CA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CA15" i="13"/>
  <c r="BX15" i="13"/>
  <c r="BW15" i="13"/>
  <c r="BV15" i="13"/>
  <c r="BT15" i="13"/>
  <c r="BS15" i="13"/>
  <c r="BR15" i="13"/>
  <c r="BQ15" i="13"/>
  <c r="BP15" i="13"/>
  <c r="BO15" i="13"/>
  <c r="BN15" i="13"/>
  <c r="BM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4" i="13"/>
  <c r="B4" i="13" s="1"/>
  <c r="A14" i="13"/>
  <c r="A4" i="13" s="1"/>
  <c r="BS13" i="13"/>
  <c r="BT13" i="13" s="1"/>
  <c r="BU13" i="13" s="1"/>
  <c r="BH12" i="13"/>
  <c r="BI12" i="13" s="1"/>
  <c r="BJ12" i="13" s="1"/>
  <c r="BK12" i="13" s="1"/>
  <c r="BL12" i="13" s="1"/>
  <c r="BE11" i="13"/>
  <c r="BF11" i="13" s="1"/>
  <c r="AW10" i="13"/>
  <c r="AR12" i="7" s="1"/>
  <c r="AM9" i="13"/>
  <c r="AN9" i="13" s="1"/>
  <c r="AO9" i="13" s="1"/>
  <c r="AP9" i="13" s="1"/>
  <c r="AH8" i="13"/>
  <c r="AG8" i="13"/>
  <c r="AD8" i="13"/>
  <c r="BX7" i="13"/>
  <c r="P6" i="13"/>
  <c r="D6" i="13"/>
  <c r="B5" i="13"/>
  <c r="BU3" i="13"/>
  <c r="BU4" i="13"/>
  <c r="BT3" i="13"/>
  <c r="BT4" i="13" s="1"/>
  <c r="BS3" i="13"/>
  <c r="BS4" i="13" s="1"/>
  <c r="BQ3" i="13"/>
  <c r="BQ4" i="13"/>
  <c r="BP3" i="13"/>
  <c r="BP4" i="13" s="1"/>
  <c r="BO3" i="13"/>
  <c r="BO4" i="13" s="1"/>
  <c r="BH3" i="13"/>
  <c r="BH4" i="13" s="1"/>
  <c r="BG3" i="13"/>
  <c r="BG4" i="13"/>
  <c r="BB3" i="13"/>
  <c r="BB4" i="13" s="1"/>
  <c r="AK3" i="13"/>
  <c r="AK4" i="13" s="1"/>
  <c r="AJ3" i="13"/>
  <c r="AJ4" i="13"/>
  <c r="AG3" i="13"/>
  <c r="AG4" i="13" s="1"/>
  <c r="AD3" i="13"/>
  <c r="AD4" i="13"/>
  <c r="AC3" i="13"/>
  <c r="AC4" i="13" s="1"/>
  <c r="AB3" i="13"/>
  <c r="AB4" i="13"/>
  <c r="AA3" i="13"/>
  <c r="AA4" i="13" s="1"/>
  <c r="Z3" i="13"/>
  <c r="Z4" i="13"/>
  <c r="Y3" i="13"/>
  <c r="Y4" i="13" s="1"/>
  <c r="X3" i="13"/>
  <c r="X4" i="13" s="1"/>
  <c r="W3" i="13"/>
  <c r="W4" i="13"/>
  <c r="V3" i="13"/>
  <c r="V4" i="13"/>
  <c r="U3" i="13"/>
  <c r="U4" i="13" s="1"/>
  <c r="T3" i="13"/>
  <c r="T4" i="13" s="1"/>
  <c r="R3" i="13"/>
  <c r="R4" i="13"/>
  <c r="Q3" i="13"/>
  <c r="Q4" i="13"/>
  <c r="P3" i="13"/>
  <c r="P4" i="13" s="1"/>
  <c r="N3" i="13"/>
  <c r="N4" i="13"/>
  <c r="M3" i="13"/>
  <c r="M4" i="13"/>
  <c r="L3" i="13"/>
  <c r="L4" i="13"/>
  <c r="K3" i="13"/>
  <c r="K4" i="13" s="1"/>
  <c r="J3" i="13"/>
  <c r="J4" i="13"/>
  <c r="I3" i="13"/>
  <c r="I4" i="13" s="1"/>
  <c r="H3" i="13"/>
  <c r="H4" i="13"/>
  <c r="G3" i="13"/>
  <c r="G4" i="13" s="1"/>
  <c r="F3" i="13"/>
  <c r="F4" i="13" s="1"/>
  <c r="E3" i="13"/>
  <c r="E4" i="13"/>
  <c r="D3" i="13"/>
  <c r="D4" i="13" s="1"/>
  <c r="C3" i="13"/>
  <c r="C4" i="13" s="1"/>
  <c r="BX3" i="13"/>
  <c r="BW3" i="13"/>
  <c r="BV3" i="13"/>
  <c r="BR3" i="13"/>
  <c r="BN3" i="13"/>
  <c r="BM3" i="13"/>
  <c r="BL3" i="13"/>
  <c r="BK3" i="13"/>
  <c r="BJ3" i="13"/>
  <c r="BI3" i="13"/>
  <c r="BF3" i="13"/>
  <c r="BE3" i="13"/>
  <c r="BD3" i="13"/>
  <c r="BC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I3" i="13"/>
  <c r="AH3" i="13"/>
  <c r="AF3" i="13"/>
  <c r="AE3" i="13"/>
  <c r="S3" i="13"/>
  <c r="O3" i="13"/>
  <c r="B3" i="13"/>
  <c r="A3" i="13"/>
  <c r="BX2" i="13"/>
  <c r="BW2" i="13"/>
  <c r="BV2" i="13"/>
  <c r="BU2" i="13"/>
  <c r="BT2" i="13"/>
  <c r="BS2" i="13"/>
  <c r="BR2" i="13"/>
  <c r="BQ2" i="13"/>
  <c r="BP2" i="13"/>
  <c r="BO2" i="13"/>
  <c r="BN2" i="13"/>
  <c r="BM2" i="13"/>
  <c r="BL2" i="13"/>
  <c r="BK2" i="13"/>
  <c r="BJ2" i="13"/>
  <c r="BI2" i="13"/>
  <c r="BH2" i="13"/>
  <c r="BG2" i="13"/>
  <c r="BF2" i="13"/>
  <c r="BE2" i="13"/>
  <c r="BD2" i="13"/>
  <c r="BC2" i="13"/>
  <c r="BB2" i="13"/>
  <c r="BA2" i="13"/>
  <c r="AZ2" i="13"/>
  <c r="AY2" i="13"/>
  <c r="AX2" i="13"/>
  <c r="AW2" i="13"/>
  <c r="AV2" i="13"/>
  <c r="AU2" i="13"/>
  <c r="AT2" i="13"/>
  <c r="AS2" i="13"/>
  <c r="AR2" i="13"/>
  <c r="AQ2" i="13"/>
  <c r="AP2" i="13"/>
  <c r="AO2" i="13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C2" i="13"/>
  <c r="B2" i="13"/>
  <c r="A2" i="13"/>
  <c r="BX1" i="13"/>
  <c r="BW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C16" i="5"/>
  <c r="C15" i="5"/>
  <c r="C14" i="5"/>
  <c r="T13" i="5"/>
  <c r="C13" i="5"/>
  <c r="C12" i="5"/>
  <c r="C11" i="5"/>
  <c r="C10" i="5"/>
  <c r="C9" i="5"/>
  <c r="C8" i="5"/>
  <c r="A8" i="5"/>
  <c r="AS1" i="8" s="1"/>
  <c r="C7" i="5"/>
  <c r="A7" i="5"/>
  <c r="C6" i="5"/>
  <c r="A6" i="5"/>
  <c r="C5" i="5"/>
  <c r="A5" i="5"/>
  <c r="C4" i="5"/>
  <c r="A4" i="5"/>
  <c r="N3" i="5"/>
  <c r="C3" i="5"/>
  <c r="A3" i="5"/>
  <c r="R2" i="5"/>
  <c r="C2" i="5"/>
  <c r="A2" i="5"/>
  <c r="E1" i="5"/>
  <c r="C1" i="5"/>
  <c r="A92" i="15"/>
  <c r="A81" i="15"/>
  <c r="A79" i="15"/>
  <c r="A33" i="15"/>
  <c r="A4" i="15"/>
  <c r="E94" i="8"/>
  <c r="E89" i="8"/>
  <c r="D89" i="8"/>
  <c r="C89" i="8"/>
  <c r="E87" i="8"/>
  <c r="D87" i="8"/>
  <c r="C87" i="8"/>
  <c r="D86" i="8"/>
  <c r="C86" i="8"/>
  <c r="E84" i="8"/>
  <c r="D84" i="8"/>
  <c r="E83" i="8"/>
  <c r="D83" i="8"/>
  <c r="C83" i="8"/>
  <c r="C81" i="8"/>
  <c r="E75" i="8"/>
  <c r="D75" i="8"/>
  <c r="C75" i="8"/>
  <c r="E73" i="8"/>
  <c r="D73" i="8"/>
  <c r="C73" i="8"/>
  <c r="E69" i="8"/>
  <c r="D69" i="8"/>
  <c r="C69" i="8"/>
  <c r="E67" i="8"/>
  <c r="D67" i="8"/>
  <c r="C67" i="8"/>
  <c r="D64" i="8"/>
  <c r="C64" i="8"/>
  <c r="D63" i="8"/>
  <c r="E62" i="8"/>
  <c r="D62" i="8"/>
  <c r="C62" i="8"/>
  <c r="E61" i="8"/>
  <c r="D61" i="8"/>
  <c r="C61" i="8"/>
  <c r="D57" i="8"/>
  <c r="C57" i="8"/>
  <c r="E56" i="8"/>
  <c r="D56" i="8"/>
  <c r="C56" i="8"/>
  <c r="E53" i="8"/>
  <c r="D53" i="8"/>
  <c r="C53" i="8"/>
  <c r="E49" i="8"/>
  <c r="D49" i="8"/>
  <c r="C49" i="8"/>
  <c r="D48" i="8"/>
  <c r="C48" i="8"/>
  <c r="D46" i="8"/>
  <c r="C46" i="8"/>
  <c r="E45" i="8"/>
  <c r="C43" i="8"/>
  <c r="E41" i="8"/>
  <c r="D41" i="8"/>
  <c r="C41" i="8"/>
  <c r="E40" i="8"/>
  <c r="D40" i="8"/>
  <c r="D39" i="8"/>
  <c r="E38" i="8"/>
  <c r="D38" i="8"/>
  <c r="C38" i="8"/>
  <c r="E37" i="8"/>
  <c r="D37" i="8"/>
  <c r="E36" i="8"/>
  <c r="D36" i="8"/>
  <c r="E35" i="8"/>
  <c r="D35" i="8"/>
  <c r="C35" i="8"/>
  <c r="E33" i="8"/>
  <c r="D33" i="8"/>
  <c r="E29" i="8"/>
  <c r="D29" i="8"/>
  <c r="C29" i="8"/>
  <c r="AH24" i="8"/>
  <c r="AG24" i="8"/>
  <c r="AF24" i="8"/>
  <c r="E24" i="8"/>
  <c r="AH23" i="8"/>
  <c r="AG23" i="8"/>
  <c r="AG22" i="8"/>
  <c r="AH20" i="8"/>
  <c r="D19" i="8"/>
  <c r="C19" i="8"/>
  <c r="AF17" i="8"/>
  <c r="D16" i="8"/>
  <c r="C16" i="8"/>
  <c r="AH15" i="8"/>
  <c r="AG15" i="8"/>
  <c r="AZ11" i="8"/>
  <c r="AX11" i="8"/>
  <c r="AV11" i="8"/>
  <c r="AZ10" i="8"/>
  <c r="AX10" i="8"/>
  <c r="AV10" i="8"/>
  <c r="AC10" i="8"/>
  <c r="AZ9" i="8"/>
  <c r="AX9" i="8"/>
  <c r="AV9" i="8"/>
  <c r="AC9" i="8"/>
  <c r="AZ8" i="8"/>
  <c r="AX8" i="8"/>
  <c r="AV8" i="8"/>
  <c r="AC8" i="8"/>
  <c r="AZ7" i="8"/>
  <c r="AX7" i="8"/>
  <c r="AV7" i="8"/>
  <c r="AC7" i="8"/>
  <c r="AZ6" i="8"/>
  <c r="AX6" i="8"/>
  <c r="AV6" i="8"/>
  <c r="AC6" i="8"/>
  <c r="AH3" i="7"/>
  <c r="CC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X4" i="7"/>
  <c r="AW4" i="7"/>
  <c r="AV4" i="7"/>
  <c r="AU4" i="7"/>
  <c r="AT4" i="7"/>
  <c r="AS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X4" i="7"/>
  <c r="V4" i="7"/>
  <c r="S4" i="7"/>
  <c r="R4" i="7"/>
  <c r="Q4" i="7"/>
  <c r="P4" i="7"/>
  <c r="O4" i="7"/>
  <c r="N4" i="7"/>
  <c r="M4" i="7"/>
  <c r="L4" i="7"/>
  <c r="K4" i="7"/>
  <c r="J4" i="7"/>
  <c r="I4" i="7"/>
  <c r="H4" i="7"/>
  <c r="E4" i="7"/>
  <c r="D4" i="7"/>
  <c r="CC3" i="7"/>
  <c r="CC2" i="7" s="1"/>
  <c r="CB3" i="7"/>
  <c r="CB2" i="7" s="1"/>
  <c r="CA3" i="7"/>
  <c r="CA2" i="7"/>
  <c r="BZ3" i="7"/>
  <c r="BZ2" i="7" s="1"/>
  <c r="BY3" i="7"/>
  <c r="BY2" i="7"/>
  <c r="BX3" i="7"/>
  <c r="BX2" i="7" s="1"/>
  <c r="BR3" i="7"/>
  <c r="BR2" i="7"/>
  <c r="BQ3" i="7"/>
  <c r="BQ2" i="7" s="1"/>
  <c r="BP3" i="7"/>
  <c r="BP2" i="7" s="1"/>
  <c r="BO3" i="7"/>
  <c r="BO2" i="7" s="1"/>
  <c r="BN3" i="7"/>
  <c r="BN2" i="7" s="1"/>
  <c r="BM3" i="7"/>
  <c r="BM2" i="7" s="1"/>
  <c r="T3" i="7"/>
  <c r="T2" i="7" s="1"/>
  <c r="P3" i="7"/>
  <c r="Q3" i="7" s="1"/>
  <c r="O3" i="7"/>
  <c r="O2" i="7" s="1"/>
  <c r="K3" i="7"/>
  <c r="G3" i="7"/>
  <c r="F3" i="7"/>
  <c r="F2" i="7" s="1"/>
  <c r="C3" i="7"/>
  <c r="D3" i="7"/>
  <c r="D2" i="7" s="1"/>
  <c r="B3" i="7"/>
  <c r="B2" i="7" s="1"/>
  <c r="V2" i="7"/>
  <c r="U2" i="7"/>
  <c r="C2" i="7"/>
  <c r="B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6" i="6"/>
  <c r="C255" i="6"/>
  <c r="C254" i="6"/>
  <c r="C251" i="6"/>
  <c r="C250" i="6"/>
  <c r="C249" i="6"/>
  <c r="C248" i="6"/>
  <c r="C247" i="6"/>
  <c r="C246" i="6"/>
  <c r="C245" i="6"/>
  <c r="C244" i="6"/>
  <c r="C243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5" i="6"/>
  <c r="C224" i="6"/>
  <c r="C223" i="6"/>
  <c r="C222" i="6"/>
  <c r="C221" i="6"/>
  <c r="C220" i="6"/>
  <c r="C219" i="6"/>
  <c r="C218" i="6"/>
  <c r="C217" i="6"/>
  <c r="C215" i="6"/>
  <c r="C214" i="6"/>
  <c r="C213" i="6"/>
  <c r="C212" i="6"/>
  <c r="C211" i="6"/>
  <c r="C210" i="6"/>
  <c r="C209" i="6"/>
  <c r="C208" i="6"/>
  <c r="C207" i="6"/>
  <c r="C175" i="6"/>
  <c r="C174" i="6"/>
  <c r="C173" i="6"/>
  <c r="C172" i="6"/>
  <c r="C171" i="6"/>
  <c r="C170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19" i="6"/>
  <c r="Z118" i="6"/>
  <c r="C118" i="6"/>
  <c r="Z117" i="6"/>
  <c r="C117" i="6"/>
  <c r="Z116" i="6"/>
  <c r="B116" i="6" s="1"/>
  <c r="C116" i="6"/>
  <c r="Z115" i="6"/>
  <c r="C115" i="6"/>
  <c r="Z114" i="6"/>
  <c r="C114" i="6"/>
  <c r="Z113" i="6"/>
  <c r="C113" i="6"/>
  <c r="Z112" i="6"/>
  <c r="C112" i="6"/>
  <c r="Z111" i="6"/>
  <c r="C111" i="6"/>
  <c r="Z110" i="6"/>
  <c r="C110" i="6"/>
  <c r="Z109" i="6"/>
  <c r="B109" i="6" s="1"/>
  <c r="C109" i="6"/>
  <c r="C107" i="6"/>
  <c r="Z91" i="6"/>
  <c r="C91" i="6"/>
  <c r="Z90" i="6"/>
  <c r="C90" i="6"/>
  <c r="Z89" i="6"/>
  <c r="C89" i="6"/>
  <c r="Z88" i="6"/>
  <c r="C88" i="6"/>
  <c r="Z87" i="6"/>
  <c r="C87" i="6"/>
  <c r="Z86" i="6"/>
  <c r="C86" i="6"/>
  <c r="Z85" i="6"/>
  <c r="C85" i="6"/>
  <c r="Z84" i="6"/>
  <c r="B84" i="6" s="1"/>
  <c r="C84" i="6"/>
  <c r="Z83" i="6"/>
  <c r="C83" i="6"/>
  <c r="Z82" i="6"/>
  <c r="B82" i="6" s="1"/>
  <c r="C82" i="6"/>
  <c r="Z81" i="6"/>
  <c r="B81" i="6" s="1"/>
  <c r="C81" i="6"/>
  <c r="Z80" i="6"/>
  <c r="C80" i="6"/>
  <c r="Z79" i="6"/>
  <c r="C79" i="6"/>
  <c r="Z78" i="6"/>
  <c r="C78" i="6"/>
  <c r="Z77" i="6"/>
  <c r="C77" i="6"/>
  <c r="Z76" i="6"/>
  <c r="C76" i="6"/>
  <c r="Z75" i="6"/>
  <c r="C75" i="6"/>
  <c r="Z74" i="6"/>
  <c r="C74" i="6"/>
  <c r="Z73" i="6"/>
  <c r="B73" i="6" s="1"/>
  <c r="C73" i="6"/>
  <c r="Z72" i="6"/>
  <c r="B72" i="6" s="1"/>
  <c r="C72" i="6"/>
  <c r="Z71" i="6"/>
  <c r="C71" i="6"/>
  <c r="Z70" i="6"/>
  <c r="C70" i="6"/>
  <c r="Z69" i="6"/>
  <c r="C69" i="6"/>
  <c r="Z68" i="6"/>
  <c r="C68" i="6"/>
  <c r="Z67" i="6"/>
  <c r="C67" i="6"/>
  <c r="Z66" i="6"/>
  <c r="C66" i="6"/>
  <c r="Z65" i="6"/>
  <c r="C65" i="6"/>
  <c r="Z64" i="6"/>
  <c r="C64" i="6"/>
  <c r="Z63" i="6"/>
  <c r="Z62" i="6"/>
  <c r="B62" i="6" s="1"/>
  <c r="C62" i="6"/>
  <c r="Z61" i="6"/>
  <c r="B61" i="6" s="1"/>
  <c r="C61" i="6"/>
  <c r="Z60" i="6"/>
  <c r="B60" i="6" s="1"/>
  <c r="C60" i="6"/>
  <c r="Z59" i="6"/>
  <c r="C59" i="6"/>
  <c r="Z58" i="6"/>
  <c r="C58" i="6"/>
  <c r="Z57" i="6"/>
  <c r="C57" i="6"/>
  <c r="Z56" i="6"/>
  <c r="C56" i="6"/>
  <c r="AA55" i="6"/>
  <c r="AC55" i="6" s="1"/>
  <c r="AB55" i="6"/>
  <c r="Z55" i="6"/>
  <c r="C55" i="6"/>
  <c r="AA54" i="6"/>
  <c r="AB54" i="6"/>
  <c r="Z54" i="6"/>
  <c r="C54" i="6"/>
  <c r="AA53" i="6"/>
  <c r="AC53" i="6" s="1"/>
  <c r="AB53" i="6"/>
  <c r="Z53" i="6"/>
  <c r="C53" i="6"/>
  <c r="AA52" i="6"/>
  <c r="AC52" i="6" s="1"/>
  <c r="AB52" i="6"/>
  <c r="Z52" i="6"/>
  <c r="C52" i="6"/>
  <c r="AA51" i="6"/>
  <c r="AC51" i="6" s="1"/>
  <c r="AB51" i="6"/>
  <c r="Z51" i="6"/>
  <c r="C51" i="6"/>
  <c r="AA50" i="6"/>
  <c r="AC50" i="6" s="1"/>
  <c r="AB50" i="6"/>
  <c r="Z50" i="6"/>
  <c r="C50" i="6"/>
  <c r="AA49" i="6"/>
  <c r="AC49" i="6" s="1"/>
  <c r="AB49" i="6"/>
  <c r="Z49" i="6"/>
  <c r="C49" i="6"/>
  <c r="AA48" i="6"/>
  <c r="AC48" i="6" s="1"/>
  <c r="AB48" i="6"/>
  <c r="Z48" i="6"/>
  <c r="C48" i="6"/>
  <c r="AA47" i="6"/>
  <c r="AC47" i="6" s="1"/>
  <c r="AB47" i="6"/>
  <c r="Z47" i="6"/>
  <c r="C47" i="6"/>
  <c r="AA46" i="6"/>
  <c r="AC46" i="6" s="1"/>
  <c r="AB46" i="6"/>
  <c r="Z46" i="6"/>
  <c r="C46" i="6"/>
  <c r="AA45" i="6"/>
  <c r="AC45" i="6" s="1"/>
  <c r="AB45" i="6"/>
  <c r="Z45" i="6"/>
  <c r="C45" i="6"/>
  <c r="AA44" i="6"/>
  <c r="AC44" i="6" s="1"/>
  <c r="AB44" i="6"/>
  <c r="Z44" i="6"/>
  <c r="C44" i="6"/>
  <c r="AA43" i="6"/>
  <c r="AC43" i="6" s="1"/>
  <c r="AB43" i="6"/>
  <c r="Z43" i="6"/>
  <c r="C43" i="6"/>
  <c r="AA42" i="6"/>
  <c r="AC42" i="6" s="1"/>
  <c r="AB42" i="6"/>
  <c r="Z42" i="6"/>
  <c r="C42" i="6"/>
  <c r="AA41" i="6"/>
  <c r="AC41" i="6" s="1"/>
  <c r="AB41" i="6"/>
  <c r="Z41" i="6"/>
  <c r="C41" i="6"/>
  <c r="AA40" i="6"/>
  <c r="AC40" i="6" s="1"/>
  <c r="AB40" i="6"/>
  <c r="Z40" i="6"/>
  <c r="C40" i="6"/>
  <c r="AA39" i="6"/>
  <c r="AC39" i="6" s="1"/>
  <c r="AB39" i="6"/>
  <c r="Z39" i="6"/>
  <c r="C39" i="6"/>
  <c r="AA38" i="6"/>
  <c r="AC38" i="6" s="1"/>
  <c r="AB38" i="6"/>
  <c r="Z38" i="6"/>
  <c r="C38" i="6"/>
  <c r="AA37" i="6"/>
  <c r="AC37" i="6" s="1"/>
  <c r="AB37" i="6"/>
  <c r="Z37" i="6"/>
  <c r="C37" i="6"/>
  <c r="AA36" i="6"/>
  <c r="AC36" i="6" s="1"/>
  <c r="AB36" i="6"/>
  <c r="Z36" i="6"/>
  <c r="C36" i="6"/>
  <c r="AA35" i="6"/>
  <c r="AC35" i="6" s="1"/>
  <c r="AB35" i="6"/>
  <c r="Z35" i="6"/>
  <c r="C35" i="6"/>
  <c r="AA34" i="6"/>
  <c r="AC34" i="6" s="1"/>
  <c r="AB34" i="6"/>
  <c r="Z34" i="6"/>
  <c r="C34" i="6"/>
  <c r="AA33" i="6"/>
  <c r="AC33" i="6" s="1"/>
  <c r="AB33" i="6"/>
  <c r="Z33" i="6"/>
  <c r="C33" i="6"/>
  <c r="AA32" i="6"/>
  <c r="AC32" i="6" s="1"/>
  <c r="AB32" i="6"/>
  <c r="Z32" i="6"/>
  <c r="C32" i="6"/>
  <c r="AA31" i="6"/>
  <c r="AC31" i="6" s="1"/>
  <c r="AB31" i="6"/>
  <c r="Z31" i="6"/>
  <c r="C31" i="6"/>
  <c r="AA30" i="6"/>
  <c r="AC30" i="6" s="1"/>
  <c r="AB30" i="6"/>
  <c r="Z30" i="6"/>
  <c r="C30" i="6"/>
  <c r="AA29" i="6"/>
  <c r="AC29" i="6" s="1"/>
  <c r="AB29" i="6"/>
  <c r="Z29" i="6"/>
  <c r="C29" i="6"/>
  <c r="AA28" i="6"/>
  <c r="AC28" i="6" s="1"/>
  <c r="AB28" i="6"/>
  <c r="Z28" i="6"/>
  <c r="C28" i="6"/>
  <c r="AA27" i="6"/>
  <c r="AB27" i="6"/>
  <c r="Z27" i="6"/>
  <c r="C27" i="6"/>
  <c r="AA26" i="6"/>
  <c r="AC26" i="6" s="1"/>
  <c r="AB26" i="6"/>
  <c r="Z26" i="6"/>
  <c r="C26" i="6"/>
  <c r="AA25" i="6"/>
  <c r="AC25" i="6" s="1"/>
  <c r="AB25" i="6"/>
  <c r="Z25" i="6"/>
  <c r="C25" i="6"/>
  <c r="AA24" i="6"/>
  <c r="AC24" i="6" s="1"/>
  <c r="AB24" i="6"/>
  <c r="Z24" i="6"/>
  <c r="C24" i="6"/>
  <c r="AA23" i="6"/>
  <c r="AC23" i="6" s="1"/>
  <c r="AB23" i="6"/>
  <c r="Z23" i="6"/>
  <c r="C23" i="6"/>
  <c r="AA22" i="6"/>
  <c r="AC22" i="6" s="1"/>
  <c r="AB22" i="6"/>
  <c r="Z22" i="6"/>
  <c r="C22" i="6"/>
  <c r="AA21" i="6"/>
  <c r="AC21" i="6" s="1"/>
  <c r="AB21" i="6"/>
  <c r="Z21" i="6"/>
  <c r="C21" i="6"/>
  <c r="AA20" i="6"/>
  <c r="AC20" i="6" s="1"/>
  <c r="AB20" i="6"/>
  <c r="Z20" i="6"/>
  <c r="C20" i="6"/>
  <c r="AA19" i="6"/>
  <c r="AC19" i="6" s="1"/>
  <c r="AB19" i="6"/>
  <c r="Z19" i="6"/>
  <c r="C19" i="6"/>
  <c r="AA18" i="6"/>
  <c r="AC18" i="6" s="1"/>
  <c r="AB18" i="6"/>
  <c r="Z18" i="6"/>
  <c r="C18" i="6"/>
  <c r="AA17" i="6"/>
  <c r="AC17" i="6" s="1"/>
  <c r="AB17" i="6"/>
  <c r="Z17" i="6"/>
  <c r="C17" i="6"/>
  <c r="AA16" i="6"/>
  <c r="AC16" i="6" s="1"/>
  <c r="AB16" i="6"/>
  <c r="Z16" i="6"/>
  <c r="C16" i="6"/>
  <c r="AA15" i="6"/>
  <c r="AC15" i="6" s="1"/>
  <c r="AB15" i="6"/>
  <c r="Z15" i="6"/>
  <c r="C15" i="6"/>
  <c r="AA14" i="6"/>
  <c r="AC14" i="6" s="1"/>
  <c r="AB14" i="6"/>
  <c r="Z14" i="6"/>
  <c r="C14" i="6"/>
  <c r="AA13" i="6"/>
  <c r="AC13" i="6" s="1"/>
  <c r="AB13" i="6"/>
  <c r="Z13" i="6"/>
  <c r="C13" i="6"/>
  <c r="AA12" i="6"/>
  <c r="AC12" i="6" s="1"/>
  <c r="AB12" i="6"/>
  <c r="Z12" i="6"/>
  <c r="C12" i="6"/>
  <c r="AA11" i="6"/>
  <c r="AC11" i="6" s="1"/>
  <c r="AB11" i="6"/>
  <c r="Z11" i="6"/>
  <c r="C11" i="6"/>
  <c r="AA10" i="6"/>
  <c r="AC10" i="6" s="1"/>
  <c r="AB10" i="6"/>
  <c r="Z10" i="6"/>
  <c r="C10" i="6"/>
  <c r="AA9" i="6"/>
  <c r="AC9" i="6" s="1"/>
  <c r="AB9" i="6"/>
  <c r="Z9" i="6"/>
  <c r="C9" i="6"/>
  <c r="AA8" i="6"/>
  <c r="AC8" i="6" s="1"/>
  <c r="AB8" i="6"/>
  <c r="Z8" i="6"/>
  <c r="C8" i="6"/>
  <c r="AA7" i="6"/>
  <c r="AC7" i="6" s="1"/>
  <c r="AB7" i="6"/>
  <c r="Z7" i="6"/>
  <c r="C7" i="6"/>
  <c r="AA6" i="6"/>
  <c r="AC6" i="6" s="1"/>
  <c r="AB6" i="6"/>
  <c r="Z6" i="6"/>
  <c r="AA5" i="6"/>
  <c r="AC5" i="6" s="1"/>
  <c r="AB5" i="6"/>
  <c r="Z5" i="6"/>
  <c r="C5" i="6"/>
  <c r="AA4" i="6"/>
  <c r="AB4" i="6"/>
  <c r="Z4" i="6"/>
  <c r="C4" i="6"/>
  <c r="AA3" i="6"/>
  <c r="AC3" i="6" s="1"/>
  <c r="AB3" i="6"/>
  <c r="Z3" i="6"/>
  <c r="C3" i="6"/>
  <c r="AA2" i="6"/>
  <c r="AC2" i="6" s="1"/>
  <c r="AB2" i="6"/>
  <c r="Z2" i="6"/>
  <c r="B11" i="1"/>
  <c r="B10" i="1"/>
  <c r="B9" i="1"/>
  <c r="E44" i="8"/>
  <c r="D58" i="8"/>
  <c r="D60" i="8"/>
  <c r="E60" i="8"/>
  <c r="AI2" i="8"/>
  <c r="O3" i="8"/>
  <c r="O2" i="8" s="1"/>
  <c r="N2" i="8"/>
  <c r="AV3" i="8"/>
  <c r="AV2" i="8" s="1"/>
  <c r="C80" i="8"/>
  <c r="D80" i="8"/>
  <c r="E80" i="8"/>
  <c r="G3" i="8"/>
  <c r="G2" i="8"/>
  <c r="AG9" i="8"/>
  <c r="AF9" i="8"/>
  <c r="C77" i="8"/>
  <c r="E77" i="8"/>
  <c r="AN3" i="8"/>
  <c r="AN2" i="8"/>
  <c r="AM2" i="8"/>
  <c r="D66" i="8"/>
  <c r="AZ3" i="8"/>
  <c r="AZ2" i="8" s="1"/>
  <c r="AY2" i="8"/>
  <c r="AE3" i="8"/>
  <c r="AE2" i="8" s="1"/>
  <c r="D20" i="8"/>
  <c r="K3" i="8"/>
  <c r="K2" i="8" s="1"/>
  <c r="J2" i="8"/>
  <c r="C18" i="8"/>
  <c r="D18" i="8"/>
  <c r="AR3" i="8"/>
  <c r="AR2" i="8" s="1"/>
  <c r="AQ2" i="8"/>
  <c r="C85" i="8"/>
  <c r="E85" i="8"/>
  <c r="AF23" i="8"/>
  <c r="D23" i="8"/>
  <c r="AG7" i="8"/>
  <c r="BS4" i="7"/>
  <c r="D11" i="8"/>
  <c r="AH8" i="8"/>
  <c r="B231" i="6"/>
  <c r="B225" i="6"/>
  <c r="B139" i="6"/>
  <c r="AC252" i="6"/>
  <c r="B153" i="6"/>
  <c r="AR82" i="7"/>
  <c r="AR31" i="7"/>
  <c r="B64" i="6" l="1"/>
  <c r="B74" i="6"/>
  <c r="CD97" i="13"/>
  <c r="CD22" i="13"/>
  <c r="CD101" i="13"/>
  <c r="CD121" i="13"/>
  <c r="CD105" i="13"/>
  <c r="CD95" i="13"/>
  <c r="CD24" i="13"/>
  <c r="CD89" i="13"/>
  <c r="CD15" i="13"/>
  <c r="CD26" i="13"/>
  <c r="CD62" i="13"/>
  <c r="CD32" i="13"/>
  <c r="CD34" i="13"/>
  <c r="CD81" i="13"/>
  <c r="CD49" i="13"/>
  <c r="CD17" i="13"/>
  <c r="CD96" i="13"/>
  <c r="CD73" i="13"/>
  <c r="CD59" i="13"/>
  <c r="CD78" i="13"/>
  <c r="CD122" i="13"/>
  <c r="AC135" i="6"/>
  <c r="E88" i="8"/>
  <c r="C88" i="8"/>
  <c r="D88" i="8"/>
  <c r="AG21" i="8"/>
  <c r="AF21" i="8"/>
  <c r="CD119" i="13"/>
  <c r="B219" i="6"/>
  <c r="E65" i="8"/>
  <c r="D65" i="8"/>
  <c r="C65" i="8"/>
  <c r="AR42" i="7"/>
  <c r="AH17" i="8"/>
  <c r="CD57" i="13"/>
  <c r="AR30" i="7"/>
  <c r="CD39" i="13"/>
  <c r="CD61" i="13"/>
  <c r="AR52" i="7"/>
  <c r="CD66" i="13"/>
  <c r="AR19" i="7"/>
  <c r="AR25" i="7"/>
  <c r="B102" i="6"/>
  <c r="CD56" i="13"/>
  <c r="AR67" i="7"/>
  <c r="CD52" i="13"/>
  <c r="F4" i="7"/>
  <c r="E48" i="8"/>
  <c r="CB16" i="13"/>
  <c r="CB17" i="13" s="1"/>
  <c r="CB18" i="13" s="1"/>
  <c r="CB19" i="13" s="1"/>
  <c r="CB20" i="13" s="1"/>
  <c r="CB21" i="13" s="1"/>
  <c r="CB22" i="13" s="1"/>
  <c r="CB23" i="13" s="1"/>
  <c r="CB24" i="13" s="1"/>
  <c r="CB25" i="13" s="1"/>
  <c r="CB26" i="13" s="1"/>
  <c r="CB27" i="13" s="1"/>
  <c r="CB28" i="13" s="1"/>
  <c r="CB29" i="13" s="1"/>
  <c r="CB30" i="13" s="1"/>
  <c r="CB31" i="13" s="1"/>
  <c r="CB32" i="13" s="1"/>
  <c r="CB33" i="13" s="1"/>
  <c r="CB34" i="13" s="1"/>
  <c r="CB35" i="13" s="1"/>
  <c r="CB36" i="13" s="1"/>
  <c r="CB37" i="13" s="1"/>
  <c r="CB38" i="13" s="1"/>
  <c r="CB39" i="13" s="1"/>
  <c r="CB40" i="13" s="1"/>
  <c r="CB41" i="13" s="1"/>
  <c r="CB42" i="13" s="1"/>
  <c r="CB43" i="13" s="1"/>
  <c r="CB44" i="13" s="1"/>
  <c r="CB45" i="13" s="1"/>
  <c r="CB46" i="13" s="1"/>
  <c r="CB47" i="13" s="1"/>
  <c r="CB48" i="13" s="1"/>
  <c r="CB49" i="13" s="1"/>
  <c r="CB50" i="13" s="1"/>
  <c r="CB51" i="13" s="1"/>
  <c r="CB52" i="13" s="1"/>
  <c r="CB53" i="13" s="1"/>
  <c r="CB54" i="13" s="1"/>
  <c r="CB55" i="13" s="1"/>
  <c r="CB56" i="13" s="1"/>
  <c r="CB57" i="13" s="1"/>
  <c r="CB58" i="13" s="1"/>
  <c r="CB59" i="13" s="1"/>
  <c r="CB60" i="13" s="1"/>
  <c r="CB61" i="13" s="1"/>
  <c r="CB62" i="13" s="1"/>
  <c r="CB63" i="13" s="1"/>
  <c r="CB64" i="13" s="1"/>
  <c r="CB65" i="13" s="1"/>
  <c r="CB66" i="13" s="1"/>
  <c r="CB67" i="13" s="1"/>
  <c r="CB68" i="13" s="1"/>
  <c r="CB69" i="13" s="1"/>
  <c r="CB70" i="13" s="1"/>
  <c r="CB71" i="13" s="1"/>
  <c r="CB72" i="13" s="1"/>
  <c r="CB73" i="13" s="1"/>
  <c r="CB74" i="13" s="1"/>
  <c r="CB75" i="13" s="1"/>
  <c r="CB76" i="13" s="1"/>
  <c r="CB77" i="13" s="1"/>
  <c r="CB78" i="13" s="1"/>
  <c r="CB79" i="13" s="1"/>
  <c r="CB80" i="13" s="1"/>
  <c r="CB81" i="13" s="1"/>
  <c r="CB82" i="13" s="1"/>
  <c r="CB83" i="13" s="1"/>
  <c r="CB84" i="13" s="1"/>
  <c r="D78" i="8"/>
  <c r="C78" i="8"/>
  <c r="BU39" i="14"/>
  <c r="BU49" i="13" s="1"/>
  <c r="BB1" i="8"/>
  <c r="CD98" i="13"/>
  <c r="E90" i="8"/>
  <c r="D90" i="8"/>
  <c r="CD80" i="13"/>
  <c r="AR75" i="7"/>
  <c r="B58" i="6"/>
  <c r="CD113" i="13"/>
  <c r="AR58" i="7"/>
  <c r="AR78" i="7"/>
  <c r="CD115" i="13"/>
  <c r="CD74" i="13"/>
  <c r="CD21" i="13"/>
  <c r="AC122" i="6"/>
  <c r="AR104" i="7"/>
  <c r="CD38" i="13"/>
  <c r="CD106" i="13"/>
  <c r="AC165" i="6"/>
  <c r="B165" i="6"/>
  <c r="CD99" i="13"/>
  <c r="D91" i="8"/>
  <c r="E91" i="8"/>
  <c r="C91" i="8"/>
  <c r="AR16" i="7"/>
  <c r="D72" i="8"/>
  <c r="CD19" i="13"/>
  <c r="CD31" i="13"/>
  <c r="E23" i="8"/>
  <c r="AH21" i="8"/>
  <c r="C25" i="8"/>
  <c r="E72" i="8"/>
  <c r="AK1" i="8"/>
  <c r="L1" i="8"/>
  <c r="N1" i="8"/>
  <c r="AO1" i="8"/>
  <c r="AC153" i="6" s="1"/>
  <c r="P1" i="8"/>
  <c r="AQ1" i="8"/>
  <c r="R1" i="8"/>
  <c r="H1" i="8"/>
  <c r="E82" i="8"/>
  <c r="D82" i="8"/>
  <c r="C82" i="8"/>
  <c r="V1" i="8"/>
  <c r="AC134" i="6" s="1"/>
  <c r="AR72" i="7"/>
  <c r="AR48" i="7"/>
  <c r="V2" i="8"/>
  <c r="CD100" i="13"/>
  <c r="B112" i="6"/>
  <c r="BX4" i="7"/>
  <c r="C27" i="8"/>
  <c r="CD29" i="13"/>
  <c r="CD46" i="13"/>
  <c r="CD53" i="13"/>
  <c r="D45" i="8"/>
  <c r="C45" i="8"/>
  <c r="CD65" i="13"/>
  <c r="AF14" i="8"/>
  <c r="AG14" i="8"/>
  <c r="E21" i="8"/>
  <c r="D21" i="8"/>
  <c r="C21" i="8"/>
  <c r="T1" i="8"/>
  <c r="AC127" i="6" s="1"/>
  <c r="AC139" i="6"/>
  <c r="E76" i="8"/>
  <c r="B113" i="6"/>
  <c r="CD63" i="13"/>
  <c r="CC15" i="13"/>
  <c r="CC16" i="13" s="1"/>
  <c r="CC17" i="13" s="1"/>
  <c r="CC18" i="13" s="1"/>
  <c r="CC19" i="13" s="1"/>
  <c r="CC20" i="13" s="1"/>
  <c r="CC21" i="13" s="1"/>
  <c r="CC22" i="13" s="1"/>
  <c r="CC23" i="13" s="1"/>
  <c r="CC24" i="13" s="1"/>
  <c r="CC25" i="13" s="1"/>
  <c r="CC26" i="13" s="1"/>
  <c r="CC27" i="13" s="1"/>
  <c r="CC28" i="13" s="1"/>
  <c r="CC29" i="13" s="1"/>
  <c r="CC30" i="13" s="1"/>
  <c r="CC31" i="13" s="1"/>
  <c r="CC32" i="13" s="1"/>
  <c r="CC33" i="13" s="1"/>
  <c r="CC34" i="13" s="1"/>
  <c r="CC35" i="13" s="1"/>
  <c r="CC36" i="13" s="1"/>
  <c r="CC37" i="13" s="1"/>
  <c r="CC38" i="13" s="1"/>
  <c r="CC39" i="13" s="1"/>
  <c r="CC40" i="13" s="1"/>
  <c r="CC41" i="13" s="1"/>
  <c r="CC42" i="13" s="1"/>
  <c r="CC43" i="13" s="1"/>
  <c r="CC44" i="13" s="1"/>
  <c r="CC45" i="13" s="1"/>
  <c r="CC46" i="13" s="1"/>
  <c r="CC47" i="13" s="1"/>
  <c r="CC48" i="13" s="1"/>
  <c r="CC49" i="13" s="1"/>
  <c r="CC50" i="13" s="1"/>
  <c r="CC51" i="13" s="1"/>
  <c r="CC52" i="13" s="1"/>
  <c r="CC53" i="13" s="1"/>
  <c r="CC54" i="13" s="1"/>
  <c r="CC55" i="13" s="1"/>
  <c r="CC56" i="13" s="1"/>
  <c r="CC57" i="13" s="1"/>
  <c r="CC58" i="13" s="1"/>
  <c r="CC59" i="13" s="1"/>
  <c r="CC60" i="13" s="1"/>
  <c r="CC61" i="13" s="1"/>
  <c r="CC62" i="13" s="1"/>
  <c r="CC63" i="13" s="1"/>
  <c r="CC64" i="13" s="1"/>
  <c r="CC65" i="13" s="1"/>
  <c r="CC66" i="13" s="1"/>
  <c r="CC67" i="13" s="1"/>
  <c r="CC68" i="13" s="1"/>
  <c r="CC69" i="13" s="1"/>
  <c r="CC70" i="13" s="1"/>
  <c r="CC71" i="13" s="1"/>
  <c r="CC72" i="13" s="1"/>
  <c r="CC73" i="13" s="1"/>
  <c r="CC74" i="13" s="1"/>
  <c r="CC75" i="13" s="1"/>
  <c r="CC76" i="13" s="1"/>
  <c r="CC77" i="13" s="1"/>
  <c r="CC78" i="13" s="1"/>
  <c r="CC79" i="13" s="1"/>
  <c r="CC80" i="13" s="1"/>
  <c r="CC81" i="13" s="1"/>
  <c r="CC82" i="13" s="1"/>
  <c r="CC83" i="13" s="1"/>
  <c r="CC84" i="13" s="1"/>
  <c r="CD104" i="13"/>
  <c r="CD110" i="13"/>
  <c r="AR70" i="7"/>
  <c r="AR92" i="7"/>
  <c r="AR97" i="7"/>
  <c r="AR61" i="7"/>
  <c r="AR40" i="7"/>
  <c r="AR83" i="7"/>
  <c r="AR93" i="7"/>
  <c r="AR68" i="7"/>
  <c r="AR55" i="7"/>
  <c r="AR29" i="7"/>
  <c r="AX10" i="13"/>
  <c r="AY10" i="13" s="1"/>
  <c r="AZ10" i="13" s="1"/>
  <c r="BA10" i="13" s="1"/>
  <c r="BB10" i="13" s="1"/>
  <c r="AR102" i="7"/>
  <c r="AR111" i="7"/>
  <c r="AR9" i="7"/>
  <c r="AR49" i="7"/>
  <c r="CD23" i="13"/>
  <c r="AY1" i="8"/>
  <c r="AR90" i="7"/>
  <c r="CD88" i="13"/>
  <c r="B80" i="6"/>
  <c r="CD18" i="13"/>
  <c r="D51" i="8"/>
  <c r="B235" i="6"/>
  <c r="E51" i="8"/>
  <c r="CD35" i="13"/>
  <c r="CD103" i="13"/>
  <c r="B227" i="6"/>
  <c r="Z2" i="8"/>
  <c r="CD16" i="13"/>
  <c r="AW1" i="8"/>
  <c r="AF12" i="8"/>
  <c r="AH12" i="8"/>
  <c r="D70" i="8"/>
  <c r="C42" i="8"/>
  <c r="D42" i="8"/>
  <c r="AR77" i="7"/>
  <c r="E70" i="8"/>
  <c r="AH19" i="8"/>
  <c r="AG19" i="8"/>
  <c r="AF19" i="8"/>
  <c r="BU4" i="7"/>
  <c r="Y4" i="7"/>
  <c r="C4" i="7"/>
  <c r="W4" i="7"/>
  <c r="B4" i="7"/>
  <c r="AR4" i="7"/>
  <c r="U4" i="7"/>
  <c r="T4" i="7"/>
  <c r="CA4" i="7"/>
  <c r="AY4" i="7"/>
  <c r="G4" i="7"/>
  <c r="BZ4" i="7"/>
  <c r="AC154" i="6"/>
  <c r="E15" i="8"/>
  <c r="C72" i="8"/>
  <c r="CD67" i="13"/>
  <c r="C59" i="8"/>
  <c r="D15" i="8"/>
  <c r="C90" i="8"/>
  <c r="CD90" i="13"/>
  <c r="CD92" i="13"/>
  <c r="C84" i="8"/>
  <c r="CD120" i="13"/>
  <c r="AR15" i="7"/>
  <c r="AR91" i="7"/>
  <c r="C76" i="8"/>
  <c r="BY4" i="7"/>
  <c r="D27" i="8"/>
  <c r="CD72" i="13"/>
  <c r="E64" i="8"/>
  <c r="AR51" i="7"/>
  <c r="AR18" i="7"/>
  <c r="CD85" i="13"/>
  <c r="CD84" i="13"/>
  <c r="B65" i="6"/>
  <c r="Q10" i="5"/>
  <c r="CD27" i="13"/>
  <c r="CD70" i="13"/>
  <c r="CD102" i="13"/>
  <c r="CD111" i="13"/>
  <c r="CD40" i="13"/>
  <c r="C32" i="8"/>
  <c r="E32" i="8"/>
  <c r="D32" i="8"/>
  <c r="CD71" i="13"/>
  <c r="AF25" i="8"/>
  <c r="AG25" i="8"/>
  <c r="AR66" i="7"/>
  <c r="E30" i="8"/>
  <c r="D30" i="8"/>
  <c r="C30" i="8"/>
  <c r="AR85" i="7"/>
  <c r="CD82" i="13"/>
  <c r="H2" i="8"/>
  <c r="I3" i="8"/>
  <c r="I2" i="8" s="1"/>
  <c r="AR89" i="7"/>
  <c r="CD28" i="13"/>
  <c r="CD117" i="13"/>
  <c r="E59" i="8"/>
  <c r="CD41" i="13"/>
  <c r="AR26" i="7"/>
  <c r="D94" i="8"/>
  <c r="C94" i="8"/>
  <c r="CX1" i="8"/>
  <c r="CD37" i="13"/>
  <c r="CD69" i="13"/>
  <c r="D24" i="8"/>
  <c r="C54" i="8"/>
  <c r="CD51" i="13"/>
  <c r="CD83" i="13"/>
  <c r="R2" i="8"/>
  <c r="B66" i="6"/>
  <c r="B77" i="6"/>
  <c r="D54" i="8"/>
  <c r="B101" i="6"/>
  <c r="AR63" i="7"/>
  <c r="E3" i="7"/>
  <c r="E2" i="7" s="1"/>
  <c r="CD64" i="13"/>
  <c r="L2" i="8"/>
  <c r="D43" i="8"/>
  <c r="CD77" i="13"/>
  <c r="AC140" i="6"/>
  <c r="B89" i="6"/>
  <c r="B68" i="6"/>
  <c r="CD91" i="13"/>
  <c r="B78" i="6"/>
  <c r="B57" i="6"/>
  <c r="CD43" i="13"/>
  <c r="CD75" i="13"/>
  <c r="AC282" i="6"/>
  <c r="AC156" i="6"/>
  <c r="B156" i="6"/>
  <c r="CD58" i="13"/>
  <c r="C50" i="8"/>
  <c r="E50" i="8"/>
  <c r="D50" i="8"/>
  <c r="AC224" i="6"/>
  <c r="B224" i="6"/>
  <c r="D17" i="8"/>
  <c r="CD25" i="13"/>
  <c r="C17" i="8"/>
  <c r="E17" i="8"/>
  <c r="C52" i="8"/>
  <c r="CD60" i="13"/>
  <c r="E52" i="8"/>
  <c r="D52" i="8"/>
  <c r="AC237" i="6"/>
  <c r="B237" i="6"/>
  <c r="AC229" i="6"/>
  <c r="B229" i="6"/>
  <c r="AC103" i="6"/>
  <c r="B103" i="6"/>
  <c r="C22" i="8"/>
  <c r="D22" i="8"/>
  <c r="E22" i="8"/>
  <c r="CD30" i="13"/>
  <c r="BC3" i="7"/>
  <c r="AF16" i="8"/>
  <c r="AG16" i="8"/>
  <c r="AH16" i="8"/>
  <c r="CD112" i="13"/>
  <c r="AG1" i="8"/>
  <c r="AC155" i="6" s="1"/>
  <c r="H3" i="7"/>
  <c r="G2" i="7"/>
  <c r="AH23" i="7"/>
  <c r="AH71" i="7"/>
  <c r="AH90" i="7"/>
  <c r="AH88" i="7"/>
  <c r="AH53" i="7"/>
  <c r="AH22" i="7"/>
  <c r="AH27" i="7"/>
  <c r="AH7" i="7"/>
  <c r="AI3" i="7"/>
  <c r="AH72" i="7"/>
  <c r="AH32" i="7"/>
  <c r="AH79" i="7"/>
  <c r="AH15" i="7"/>
  <c r="AH73" i="7"/>
  <c r="AH59" i="7"/>
  <c r="AH37" i="7"/>
  <c r="AH2" i="7"/>
  <c r="AH58" i="7" s="1"/>
  <c r="AH64" i="7"/>
  <c r="AH14" i="7"/>
  <c r="AH74" i="7"/>
  <c r="AH47" i="7"/>
  <c r="AH28" i="7"/>
  <c r="AH25" i="7"/>
  <c r="AH13" i="7"/>
  <c r="AH67" i="7"/>
  <c r="AH50" i="7"/>
  <c r="AH42" i="7"/>
  <c r="AH76" i="7"/>
  <c r="AH48" i="7"/>
  <c r="W2" i="7"/>
  <c r="W50" i="7" s="1"/>
  <c r="X3" i="7"/>
  <c r="W96" i="7"/>
  <c r="AH85" i="7"/>
  <c r="AH39" i="7"/>
  <c r="AH84" i="7"/>
  <c r="AH63" i="7"/>
  <c r="AR105" i="7"/>
  <c r="AR76" i="7"/>
  <c r="AR94" i="7"/>
  <c r="AR87" i="7"/>
  <c r="AR50" i="7"/>
  <c r="AR99" i="7"/>
  <c r="AR35" i="7"/>
  <c r="AR95" i="7"/>
  <c r="AR24" i="7"/>
  <c r="AR33" i="7"/>
  <c r="AR34" i="7"/>
  <c r="AR14" i="7"/>
  <c r="AR7" i="7"/>
  <c r="AR13" i="7"/>
  <c r="AR109" i="7"/>
  <c r="AR80" i="7"/>
  <c r="AR98" i="7"/>
  <c r="AR96" i="7"/>
  <c r="AR54" i="7"/>
  <c r="AR107" i="7"/>
  <c r="AR39" i="7"/>
  <c r="AR108" i="7"/>
  <c r="AR28" i="7"/>
  <c r="AR37" i="7"/>
  <c r="AR38" i="7"/>
  <c r="AR43" i="7"/>
  <c r="AR11" i="7"/>
  <c r="AR17" i="7"/>
  <c r="AR113" i="7"/>
  <c r="AR88" i="7"/>
  <c r="AR106" i="7"/>
  <c r="AR73" i="7"/>
  <c r="AR62" i="7"/>
  <c r="AR64" i="7"/>
  <c r="AR53" i="7"/>
  <c r="AR103" i="7"/>
  <c r="AR36" i="7"/>
  <c r="AR44" i="7"/>
  <c r="AR57" i="7"/>
  <c r="AR56" i="7"/>
  <c r="AR45" i="7"/>
  <c r="AR100" i="7"/>
  <c r="AR101" i="7"/>
  <c r="AR110" i="7"/>
  <c r="AR74" i="7"/>
  <c r="AR60" i="7"/>
  <c r="AR23" i="7"/>
  <c r="AR20" i="7"/>
  <c r="AR71" i="7"/>
  <c r="AR6" i="7"/>
  <c r="AR86" i="7"/>
  <c r="AS2" i="7"/>
  <c r="AR112" i="7"/>
  <c r="AR79" i="7"/>
  <c r="AR69" i="7"/>
  <c r="AR27" i="7"/>
  <c r="AR32" i="7"/>
  <c r="AR21" i="7"/>
  <c r="AR10" i="7"/>
  <c r="AR8" i="7"/>
  <c r="AR84" i="7"/>
  <c r="AR81" i="7"/>
  <c r="AR46" i="7"/>
  <c r="AR59" i="7"/>
  <c r="AR65" i="7"/>
  <c r="AR41" i="7"/>
  <c r="AR22" i="7"/>
  <c r="AR47" i="7"/>
  <c r="AH78" i="7"/>
  <c r="AH70" i="7"/>
  <c r="AH62" i="7"/>
  <c r="C71" i="8"/>
  <c r="D71" i="8"/>
  <c r="E71" i="8"/>
  <c r="CD79" i="13"/>
  <c r="AG11" i="8"/>
  <c r="AF11" i="8"/>
  <c r="CD107" i="13"/>
  <c r="AH11" i="8"/>
  <c r="BA3" i="7"/>
  <c r="BB2" i="7" s="1"/>
  <c r="D92" i="8"/>
  <c r="C92" i="8"/>
  <c r="E92" i="8"/>
  <c r="AH11" i="7"/>
  <c r="AH33" i="7"/>
  <c r="AH83" i="7"/>
  <c r="E39" i="8"/>
  <c r="C39" i="8"/>
  <c r="CD47" i="13"/>
  <c r="Q3" i="8"/>
  <c r="Q2" i="8" s="1"/>
  <c r="P2" i="8"/>
  <c r="E12" i="8"/>
  <c r="CD20" i="13"/>
  <c r="C12" i="8"/>
  <c r="D12" i="8"/>
  <c r="Z3" i="7"/>
  <c r="D26" i="8"/>
  <c r="C26" i="8"/>
  <c r="D28" i="8"/>
  <c r="E28" i="8"/>
  <c r="CD36" i="13"/>
  <c r="AU3" i="7"/>
  <c r="E55" i="8"/>
  <c r="D55" i="8"/>
  <c r="E66" i="8"/>
  <c r="C66" i="8"/>
  <c r="D68" i="8"/>
  <c r="E68" i="8"/>
  <c r="CD76" i="13"/>
  <c r="C79" i="8"/>
  <c r="D79" i="8"/>
  <c r="CD87" i="13"/>
  <c r="E79" i="8"/>
  <c r="CD93" i="13"/>
  <c r="D85" i="8"/>
  <c r="AF20" i="8"/>
  <c r="CD116" i="13"/>
  <c r="AG20" i="8"/>
  <c r="C31" i="8"/>
  <c r="D31" i="8"/>
  <c r="E31" i="8"/>
  <c r="CD50" i="13"/>
  <c r="E42" i="8"/>
  <c r="C44" i="8"/>
  <c r="D44" i="8"/>
  <c r="CD118" i="13"/>
  <c r="AF22" i="8"/>
  <c r="AH22" i="8"/>
  <c r="R3" i="7"/>
  <c r="Q2" i="7"/>
  <c r="D47" i="8"/>
  <c r="E47" i="8"/>
  <c r="C58" i="8"/>
  <c r="E58" i="8"/>
  <c r="CD68" i="13"/>
  <c r="C60" i="8"/>
  <c r="E86" i="8"/>
  <c r="CD94" i="13"/>
  <c r="CD42" i="13"/>
  <c r="E34" i="8"/>
  <c r="C34" i="8"/>
  <c r="CD44" i="13"/>
  <c r="C36" i="8"/>
  <c r="E9" i="8"/>
  <c r="C9" i="8"/>
  <c r="E26" i="8"/>
  <c r="C47" i="8"/>
  <c r="CD33" i="13"/>
  <c r="CD55" i="13"/>
  <c r="AO2" i="8"/>
  <c r="K2" i="7"/>
  <c r="L3" i="7"/>
  <c r="E63" i="8"/>
  <c r="C63" i="8"/>
  <c r="E74" i="8"/>
  <c r="C74" i="8"/>
  <c r="D74" i="8"/>
  <c r="E78" i="8"/>
  <c r="CD86" i="13"/>
  <c r="E81" i="8"/>
  <c r="D81" i="8"/>
  <c r="E93" i="8"/>
  <c r="C93" i="8"/>
  <c r="AF18" i="8"/>
  <c r="AG18" i="8"/>
  <c r="AH18" i="8"/>
  <c r="CD114" i="13"/>
  <c r="B115" i="6"/>
  <c r="D25" i="8"/>
  <c r="D9" i="8"/>
  <c r="B107" i="6"/>
  <c r="AC129" i="6"/>
  <c r="AW2" i="8"/>
  <c r="X2" i="8"/>
  <c r="AH13" i="8"/>
  <c r="AF7" i="8"/>
  <c r="AF1" i="8" s="1"/>
  <c r="AC150" i="6" s="1"/>
  <c r="D14" i="8"/>
  <c r="E7" i="8"/>
  <c r="B71" i="6"/>
  <c r="B75" i="6"/>
  <c r="B87" i="6"/>
  <c r="B124" i="6"/>
  <c r="C7" i="8"/>
  <c r="AC162" i="6"/>
  <c r="AC158" i="6"/>
  <c r="CD45" i="13"/>
  <c r="CD48" i="13"/>
  <c r="AG12" i="8"/>
  <c r="P2" i="7"/>
  <c r="E43" i="8"/>
  <c r="C51" i="8"/>
  <c r="D8" i="8"/>
  <c r="D1" i="8" s="1"/>
  <c r="AC130" i="6" s="1"/>
  <c r="B241" i="6"/>
  <c r="B45" i="6"/>
  <c r="B149" i="6"/>
  <c r="B148" i="6"/>
  <c r="B272" i="6"/>
  <c r="B133" i="6"/>
  <c r="B170" i="6"/>
  <c r="B151" i="6"/>
  <c r="B96" i="6"/>
  <c r="B93" i="6"/>
  <c r="B32" i="6"/>
  <c r="B175" i="6"/>
  <c r="B104" i="6"/>
  <c r="B166" i="6"/>
  <c r="B298" i="6"/>
  <c r="B18" i="6"/>
  <c r="B273" i="6"/>
  <c r="B215" i="6"/>
  <c r="B16" i="6"/>
  <c r="B7" i="6"/>
  <c r="B21" i="6"/>
  <c r="B25" i="6"/>
  <c r="B35" i="6"/>
  <c r="B48" i="6"/>
  <c r="B46" i="6"/>
  <c r="B44" i="6"/>
  <c r="B244" i="6"/>
  <c r="B208" i="6"/>
  <c r="B34" i="6"/>
  <c r="B232" i="6"/>
  <c r="B12" i="6"/>
  <c r="B41" i="6"/>
  <c r="B223" i="6"/>
  <c r="B51" i="6"/>
  <c r="B294" i="6"/>
  <c r="B276" i="6"/>
  <c r="B220" i="6"/>
  <c r="B290" i="6"/>
  <c r="B207" i="6"/>
  <c r="B280" i="6"/>
  <c r="B19" i="6"/>
  <c r="B36" i="6"/>
  <c r="B146" i="6"/>
  <c r="B296" i="6"/>
  <c r="B260" i="6"/>
  <c r="B266" i="6"/>
  <c r="B245" i="6"/>
  <c r="B274" i="6"/>
  <c r="B30" i="6"/>
  <c r="AC298" i="6"/>
  <c r="AC233" i="6"/>
  <c r="B111" i="6"/>
  <c r="B20" i="6"/>
  <c r="B37" i="6"/>
  <c r="B39" i="6"/>
  <c r="B292" i="6"/>
  <c r="B278" i="6"/>
  <c r="B270" i="6"/>
  <c r="B254" i="6"/>
  <c r="B243" i="6"/>
  <c r="B213" i="6"/>
  <c r="B95" i="6"/>
  <c r="B258" i="6"/>
  <c r="B284" i="6"/>
  <c r="B27" i="6"/>
  <c r="B52" i="6"/>
  <c r="B222" i="6"/>
  <c r="B211" i="6"/>
  <c r="B50" i="6"/>
  <c r="B79" i="6"/>
  <c r="B114" i="6"/>
  <c r="B288" i="6"/>
  <c r="B246" i="6"/>
  <c r="B209" i="6"/>
  <c r="B277" i="6"/>
  <c r="B38" i="6"/>
  <c r="B53" i="6"/>
  <c r="B55" i="6"/>
  <c r="B281" i="6"/>
  <c r="B279" i="6"/>
  <c r="B212" i="6"/>
  <c r="B216" i="6"/>
  <c r="B9" i="6"/>
  <c r="B11" i="6"/>
  <c r="B240" i="6"/>
  <c r="B218" i="6"/>
  <c r="B210" i="6"/>
  <c r="B131" i="6"/>
  <c r="AC164" i="6"/>
  <c r="AC143" i="6"/>
  <c r="AC128" i="6"/>
  <c r="AC157" i="6"/>
  <c r="AC125" i="6"/>
  <c r="B205" i="6"/>
  <c r="AC132" i="6"/>
  <c r="B4" i="6"/>
  <c r="B287" i="6"/>
  <c r="AC159" i="6"/>
  <c r="AC141" i="6"/>
  <c r="AC163" i="6"/>
  <c r="AC152" i="6"/>
  <c r="AC142" i="6"/>
  <c r="AC121" i="6"/>
  <c r="B261" i="6"/>
  <c r="B268" i="6"/>
  <c r="B259" i="6"/>
  <c r="B264" i="6"/>
  <c r="B263" i="6"/>
  <c r="B204" i="6"/>
  <c r="B239" i="6"/>
  <c r="B238" i="6"/>
  <c r="B286" i="6"/>
  <c r="B249" i="6"/>
  <c r="B247" i="6"/>
  <c r="B252" i="6"/>
  <c r="B251" i="6"/>
  <c r="B256" i="6"/>
  <c r="B257" i="6"/>
  <c r="B186" i="6"/>
  <c r="B76" i="6"/>
  <c r="B293" i="6"/>
  <c r="B13" i="6"/>
  <c r="B23" i="6"/>
  <c r="B110" i="6"/>
  <c r="B197" i="6"/>
  <c r="B199" i="6"/>
  <c r="B289" i="6"/>
  <c r="B265" i="6"/>
  <c r="B106" i="6"/>
  <c r="B5" i="6"/>
  <c r="B285" i="6"/>
  <c r="B234" i="6"/>
  <c r="B14" i="6"/>
  <c r="B283" i="6"/>
  <c r="B172" i="6"/>
  <c r="B200" i="6"/>
  <c r="B185" i="6"/>
  <c r="B202" i="6"/>
  <c r="B194" i="6"/>
  <c r="B184" i="6"/>
  <c r="B183" i="6"/>
  <c r="B147" i="6"/>
  <c r="B145" i="6"/>
  <c r="B126" i="6"/>
  <c r="AC265" i="6"/>
  <c r="B136" i="6"/>
  <c r="AC136" i="6" s="1"/>
  <c r="B100" i="6"/>
  <c r="B105" i="6"/>
  <c r="B178" i="6"/>
  <c r="B59" i="6"/>
  <c r="B291" i="6"/>
  <c r="B275" i="6"/>
  <c r="B10" i="6"/>
  <c r="B17" i="6"/>
  <c r="B26" i="6"/>
  <c r="B33" i="6"/>
  <c r="B42" i="6"/>
  <c r="B49" i="6"/>
  <c r="B54" i="6"/>
  <c r="B69" i="6"/>
  <c r="B297" i="6"/>
  <c r="B255" i="6"/>
  <c r="B250" i="6"/>
  <c r="B248" i="6"/>
  <c r="B236" i="6"/>
  <c r="B230" i="6"/>
  <c r="B228" i="6"/>
  <c r="B226" i="6"/>
  <c r="B201" i="6"/>
  <c r="B8" i="6"/>
  <c r="B24" i="6"/>
  <c r="B40" i="6"/>
  <c r="B56" i="6"/>
  <c r="B67" i="6"/>
  <c r="B83" i="6"/>
  <c r="B90" i="6"/>
  <c r="B117" i="6"/>
  <c r="B187" i="6"/>
  <c r="B196" i="6"/>
  <c r="B43" i="6"/>
  <c r="B3" i="6"/>
  <c r="B85" i="6"/>
  <c r="B262" i="6"/>
  <c r="B295" i="6"/>
  <c r="B15" i="6"/>
  <c r="B22" i="6"/>
  <c r="AC27" i="6"/>
  <c r="B29" i="6"/>
  <c r="B31" i="6"/>
  <c r="B47" i="6"/>
  <c r="B88" i="6"/>
  <c r="AC293" i="6"/>
  <c r="AC289" i="6"/>
  <c r="AC287" i="6"/>
  <c r="AC285" i="6"/>
  <c r="AC283" i="6"/>
  <c r="AC281" i="6"/>
  <c r="B221" i="6"/>
  <c r="B217" i="6"/>
  <c r="B214" i="6"/>
  <c r="AC234" i="6"/>
  <c r="B94" i="6"/>
  <c r="B161" i="6"/>
  <c r="B92" i="6"/>
  <c r="B70" i="6"/>
  <c r="B86" i="6"/>
  <c r="B91" i="6"/>
  <c r="B118" i="6"/>
  <c r="B28" i="6"/>
  <c r="B269" i="6"/>
  <c r="B267" i="6"/>
  <c r="B138" i="6"/>
  <c r="B119" i="6"/>
  <c r="B99" i="6"/>
  <c r="B167" i="6"/>
  <c r="B203" i="6"/>
  <c r="AC54" i="6"/>
  <c r="AC4" i="6"/>
  <c r="B174" i="6"/>
  <c r="B169" i="6"/>
  <c r="B198" i="6"/>
  <c r="B180" i="6"/>
  <c r="B195" i="6"/>
  <c r="B176" i="6"/>
  <c r="B177" i="6"/>
  <c r="B168" i="6"/>
  <c r="B173" i="6"/>
  <c r="B171" i="6"/>
  <c r="B181" i="6"/>
  <c r="B179" i="6"/>
  <c r="W67" i="7" l="1"/>
  <c r="W86" i="7"/>
  <c r="W18" i="7"/>
  <c r="W110" i="7"/>
  <c r="W16" i="7"/>
  <c r="W44" i="7"/>
  <c r="W52" i="7"/>
  <c r="W60" i="7"/>
  <c r="AH55" i="7"/>
  <c r="W84" i="7"/>
  <c r="W101" i="7"/>
  <c r="AH82" i="7"/>
  <c r="W74" i="7"/>
  <c r="W37" i="7"/>
  <c r="W10" i="7"/>
  <c r="W81" i="7"/>
  <c r="AH1" i="8"/>
  <c r="AC160" i="6" s="1"/>
  <c r="W28" i="7"/>
  <c r="W90" i="7"/>
  <c r="AH61" i="7"/>
  <c r="AH20" i="7"/>
  <c r="W12" i="7"/>
  <c r="W23" i="7"/>
  <c r="W26" i="7"/>
  <c r="W64" i="7"/>
  <c r="C1" i="8"/>
  <c r="AC123" i="6" s="1"/>
  <c r="AH68" i="7"/>
  <c r="W17" i="7"/>
  <c r="W34" i="7"/>
  <c r="AH12" i="7"/>
  <c r="AH65" i="7"/>
  <c r="W21" i="7"/>
  <c r="W39" i="7"/>
  <c r="AH56" i="7"/>
  <c r="AH54" i="7"/>
  <c r="W42" i="7"/>
  <c r="W35" i="7"/>
  <c r="AH52" i="7"/>
  <c r="W20" i="7"/>
  <c r="W65" i="7"/>
  <c r="W32" i="7"/>
  <c r="W68" i="7"/>
  <c r="W59" i="7"/>
  <c r="AH16" i="7"/>
  <c r="W108" i="7"/>
  <c r="W38" i="7"/>
  <c r="BB33" i="7"/>
  <c r="BB30" i="7"/>
  <c r="BB53" i="7"/>
  <c r="BB42" i="7"/>
  <c r="BB68" i="7"/>
  <c r="BB109" i="7"/>
  <c r="BB44" i="7"/>
  <c r="BB99" i="7"/>
  <c r="BB93" i="7"/>
  <c r="BB71" i="7"/>
  <c r="BB91" i="7"/>
  <c r="BB69" i="7"/>
  <c r="BB6" i="7"/>
  <c r="BB26" i="7"/>
  <c r="BB27" i="7"/>
  <c r="BB110" i="7"/>
  <c r="BB13" i="7"/>
  <c r="BB81" i="7"/>
  <c r="BB54" i="7"/>
  <c r="BB66" i="7"/>
  <c r="BB7" i="7"/>
  <c r="BB46" i="7"/>
  <c r="BB62" i="7"/>
  <c r="BB80" i="7"/>
  <c r="BB25" i="7"/>
  <c r="BB39" i="7"/>
  <c r="BB78" i="7"/>
  <c r="BB95" i="7"/>
  <c r="BB105" i="7"/>
  <c r="BB38" i="7"/>
  <c r="BB111" i="7"/>
  <c r="BB107" i="7"/>
  <c r="BB48" i="7"/>
  <c r="BB96" i="7"/>
  <c r="BB24" i="7"/>
  <c r="BB61" i="7"/>
  <c r="BB104" i="7"/>
  <c r="BB12" i="7"/>
  <c r="BB15" i="7"/>
  <c r="BB76" i="7"/>
  <c r="BB102" i="7"/>
  <c r="BB45" i="7"/>
  <c r="BB79" i="7"/>
  <c r="BB98" i="7"/>
  <c r="BB97" i="7"/>
  <c r="BB64" i="7"/>
  <c r="BB106" i="7"/>
  <c r="BB47" i="7"/>
  <c r="BB23" i="7"/>
  <c r="BB92" i="7"/>
  <c r="BB50" i="7"/>
  <c r="BB94" i="7"/>
  <c r="BB108" i="7"/>
  <c r="BB31" i="7"/>
  <c r="BB67" i="7"/>
  <c r="BB20" i="7"/>
  <c r="BB43" i="7"/>
  <c r="BB40" i="7"/>
  <c r="BB86" i="7"/>
  <c r="BB83" i="7"/>
  <c r="BB90" i="7"/>
  <c r="BB57" i="7"/>
  <c r="BB55" i="7"/>
  <c r="BB22" i="7"/>
  <c r="BB100" i="7"/>
  <c r="BB8" i="7"/>
  <c r="BB41" i="7"/>
  <c r="BB70" i="7"/>
  <c r="BB113" i="7"/>
  <c r="BB59" i="7"/>
  <c r="BB10" i="7"/>
  <c r="BB75" i="7"/>
  <c r="BB103" i="7"/>
  <c r="BB73" i="7"/>
  <c r="BB52" i="7"/>
  <c r="BB72" i="7"/>
  <c r="BB17" i="7"/>
  <c r="BB58" i="7"/>
  <c r="BB112" i="7"/>
  <c r="BB9" i="7"/>
  <c r="BB32" i="7"/>
  <c r="BB19" i="7"/>
  <c r="BB21" i="7"/>
  <c r="BB88" i="7"/>
  <c r="BB56" i="7"/>
  <c r="BB85" i="7"/>
  <c r="BB51" i="7"/>
  <c r="BB89" i="7"/>
  <c r="BB60" i="7"/>
  <c r="BB101" i="7"/>
  <c r="BB82" i="7"/>
  <c r="BB63" i="7"/>
  <c r="BB11" i="7"/>
  <c r="BB37" i="7"/>
  <c r="BB18" i="7"/>
  <c r="BB34" i="7"/>
  <c r="BB36" i="7"/>
  <c r="BB16" i="7"/>
  <c r="BB35" i="7"/>
  <c r="BB84" i="7"/>
  <c r="BB74" i="7"/>
  <c r="BB49" i="7"/>
  <c r="BB87" i="7"/>
  <c r="BB65" i="7"/>
  <c r="BB28" i="7"/>
  <c r="BB77" i="7"/>
  <c r="BB29" i="7"/>
  <c r="BB14" i="7"/>
  <c r="AV3" i="7"/>
  <c r="R2" i="7"/>
  <c r="S3" i="7"/>
  <c r="S2" i="7" s="1"/>
  <c r="AS93" i="7"/>
  <c r="AS98" i="7"/>
  <c r="AS113" i="7"/>
  <c r="AS104" i="7"/>
  <c r="AS86" i="7"/>
  <c r="AS64" i="7"/>
  <c r="AS59" i="7"/>
  <c r="AS107" i="7"/>
  <c r="AS68" i="7"/>
  <c r="AS31" i="7"/>
  <c r="AS36" i="7"/>
  <c r="AS30" i="7"/>
  <c r="AS97" i="7"/>
  <c r="AS102" i="7"/>
  <c r="AS53" i="7"/>
  <c r="AS95" i="7"/>
  <c r="AS76" i="7"/>
  <c r="AS43" i="7"/>
  <c r="AS78" i="7"/>
  <c r="AS75" i="7"/>
  <c r="AS39" i="7"/>
  <c r="AS90" i="7"/>
  <c r="AS38" i="7"/>
  <c r="AS8" i="7"/>
  <c r="AS17" i="7"/>
  <c r="AS105" i="7"/>
  <c r="AS110" i="7"/>
  <c r="AS77" i="7"/>
  <c r="AS61" i="7"/>
  <c r="AS111" i="7"/>
  <c r="AS83" i="7"/>
  <c r="AS51" i="7"/>
  <c r="AS45" i="7"/>
  <c r="AS41" i="7"/>
  <c r="AS49" i="7"/>
  <c r="AS18" i="7"/>
  <c r="AS15" i="7"/>
  <c r="AS16" i="7"/>
  <c r="AS29" i="7"/>
  <c r="AS101" i="7"/>
  <c r="AS85" i="7"/>
  <c r="AS96" i="7"/>
  <c r="AS91" i="7"/>
  <c r="AS54" i="7"/>
  <c r="AS99" i="7"/>
  <c r="AS10" i="7"/>
  <c r="AS22" i="7"/>
  <c r="AS9" i="7"/>
  <c r="AS109" i="7"/>
  <c r="AS89" i="7"/>
  <c r="AS57" i="7"/>
  <c r="AS100" i="7"/>
  <c r="AS66" i="7"/>
  <c r="AS44" i="7"/>
  <c r="AS14" i="7"/>
  <c r="AS11" i="7"/>
  <c r="AS24" i="7"/>
  <c r="AS80" i="7"/>
  <c r="AS71" i="7"/>
  <c r="AS103" i="7"/>
  <c r="AS52" i="7"/>
  <c r="AS69" i="7"/>
  <c r="AS26" i="7"/>
  <c r="AS20" i="7"/>
  <c r="AS12" i="7"/>
  <c r="AS92" i="7"/>
  <c r="AS70" i="7"/>
  <c r="AS60" i="7"/>
  <c r="AS55" i="7"/>
  <c r="AS28" i="7"/>
  <c r="AS37" i="7"/>
  <c r="AS112" i="7"/>
  <c r="AS72" i="7"/>
  <c r="AS63" i="7"/>
  <c r="AS7" i="7"/>
  <c r="AS32" i="7"/>
  <c r="AS81" i="7"/>
  <c r="AS67" i="7"/>
  <c r="AS46" i="7"/>
  <c r="AS23" i="7"/>
  <c r="AS19" i="7"/>
  <c r="AS94" i="7"/>
  <c r="AS74" i="7"/>
  <c r="AS47" i="7"/>
  <c r="AS58" i="7"/>
  <c r="AS27" i="7"/>
  <c r="AS106" i="7"/>
  <c r="AS79" i="7"/>
  <c r="AS50" i="7"/>
  <c r="AS34" i="7"/>
  <c r="AS35" i="7"/>
  <c r="AS87" i="7"/>
  <c r="AS33" i="7"/>
  <c r="AS65" i="7"/>
  <c r="AS6" i="7"/>
  <c r="AS73" i="7"/>
  <c r="AS42" i="7"/>
  <c r="AS88" i="7"/>
  <c r="AS82" i="7"/>
  <c r="AS13" i="7"/>
  <c r="AS56" i="7"/>
  <c r="AS108" i="7"/>
  <c r="AS84" i="7"/>
  <c r="AS21" i="7"/>
  <c r="AS40" i="7"/>
  <c r="AS25" i="7"/>
  <c r="AS62" i="7"/>
  <c r="AS48" i="7"/>
  <c r="X20" i="7"/>
  <c r="X44" i="7"/>
  <c r="X80" i="7"/>
  <c r="X2" i="7"/>
  <c r="X40" i="7" s="1"/>
  <c r="X60" i="7"/>
  <c r="X37" i="7"/>
  <c r="X94" i="7"/>
  <c r="Y2" i="7"/>
  <c r="AH87" i="7"/>
  <c r="AH66" i="7"/>
  <c r="AH6" i="7"/>
  <c r="AH57" i="7"/>
  <c r="AH10" i="7"/>
  <c r="AH8" i="7"/>
  <c r="AH44" i="7"/>
  <c r="AH34" i="7"/>
  <c r="AH41" i="7"/>
  <c r="AH36" i="7"/>
  <c r="AH45" i="7"/>
  <c r="AH81" i="7"/>
  <c r="AH26" i="7"/>
  <c r="AT2" i="7"/>
  <c r="W109" i="7"/>
  <c r="W88" i="7"/>
  <c r="W94" i="7"/>
  <c r="W45" i="7"/>
  <c r="W113" i="7"/>
  <c r="W46" i="7"/>
  <c r="W31" i="7"/>
  <c r="W82" i="7"/>
  <c r="AH91" i="7"/>
  <c r="AH29" i="7"/>
  <c r="AH9" i="7"/>
  <c r="AH43" i="7"/>
  <c r="AH46" i="7"/>
  <c r="I3" i="7"/>
  <c r="H2" i="7"/>
  <c r="W103" i="7"/>
  <c r="W102" i="7"/>
  <c r="W63" i="7"/>
  <c r="W40" i="7"/>
  <c r="W79" i="7"/>
  <c r="W89" i="7"/>
  <c r="W104" i="7"/>
  <c r="W55" i="7"/>
  <c r="AH40" i="7"/>
  <c r="AH30" i="7"/>
  <c r="AH86" i="7"/>
  <c r="AH60" i="7"/>
  <c r="AH75" i="7"/>
  <c r="BC52" i="7"/>
  <c r="BC48" i="7"/>
  <c r="BC47" i="7"/>
  <c r="BC96" i="7"/>
  <c r="BC21" i="7"/>
  <c r="BC81" i="7"/>
  <c r="BC63" i="7"/>
  <c r="BC106" i="7"/>
  <c r="BC58" i="7"/>
  <c r="BC75" i="7"/>
  <c r="BC50" i="7"/>
  <c r="BC72" i="7"/>
  <c r="BD3" i="7"/>
  <c r="BC62" i="7"/>
  <c r="BC2" i="7"/>
  <c r="BC35" i="7" s="1"/>
  <c r="E1" i="8"/>
  <c r="AC137" i="6" s="1"/>
  <c r="W78" i="7"/>
  <c r="W70" i="7"/>
  <c r="W58" i="7"/>
  <c r="W9" i="7"/>
  <c r="W80" i="7"/>
  <c r="W24" i="7"/>
  <c r="W105" i="7"/>
  <c r="AH89" i="7"/>
  <c r="AH31" i="7"/>
  <c r="AH92" i="7"/>
  <c r="AH93" i="7"/>
  <c r="AH35" i="7"/>
  <c r="AH77" i="7"/>
  <c r="AH24" i="7"/>
  <c r="AH18" i="7"/>
  <c r="W91" i="7"/>
  <c r="W95" i="7"/>
  <c r="W47" i="7"/>
  <c r="W43" i="7"/>
  <c r="W6" i="7"/>
  <c r="W111" i="7"/>
  <c r="W51" i="7"/>
  <c r="W54" i="7"/>
  <c r="W27" i="7"/>
  <c r="W36" i="7"/>
  <c r="W76" i="7"/>
  <c r="W75" i="7"/>
  <c r="W53" i="7"/>
  <c r="W22" i="7"/>
  <c r="W8" i="7"/>
  <c r="W92" i="7"/>
  <c r="W99" i="7"/>
  <c r="W66" i="7"/>
  <c r="W30" i="7"/>
  <c r="W11" i="7"/>
  <c r="W97" i="7"/>
  <c r="W85" i="7"/>
  <c r="W49" i="7"/>
  <c r="W19" i="7"/>
  <c r="W15" i="7"/>
  <c r="W87" i="7"/>
  <c r="W77" i="7"/>
  <c r="W71" i="7"/>
  <c r="W112" i="7"/>
  <c r="W98" i="7"/>
  <c r="W48" i="7"/>
  <c r="W93" i="7"/>
  <c r="W29" i="7"/>
  <c r="W73" i="7"/>
  <c r="W33" i="7"/>
  <c r="W56" i="7"/>
  <c r="W83" i="7"/>
  <c r="W57" i="7"/>
  <c r="W14" i="7"/>
  <c r="W25" i="7"/>
  <c r="W72" i="7"/>
  <c r="AI75" i="7"/>
  <c r="AI51" i="7"/>
  <c r="AJ3" i="7"/>
  <c r="AI2" i="7"/>
  <c r="AI54" i="7" s="1"/>
  <c r="AI57" i="7"/>
  <c r="AI34" i="7"/>
  <c r="AI8" i="7"/>
  <c r="AI92" i="7"/>
  <c r="AI67" i="7"/>
  <c r="AI41" i="7"/>
  <c r="L2" i="7"/>
  <c r="M3" i="7"/>
  <c r="AA3" i="7"/>
  <c r="W62" i="7"/>
  <c r="W106" i="7"/>
  <c r="W13" i="7"/>
  <c r="W7" i="7"/>
  <c r="W107" i="7"/>
  <c r="W41" i="7"/>
  <c r="W69" i="7"/>
  <c r="W61" i="7"/>
  <c r="W100" i="7"/>
  <c r="AH69" i="7"/>
  <c r="AH19" i="7"/>
  <c r="AH38" i="7"/>
  <c r="AH17" i="7"/>
  <c r="AH51" i="7"/>
  <c r="AH21" i="7"/>
  <c r="AH49" i="7"/>
  <c r="AH80" i="7"/>
  <c r="X75" i="7" l="1"/>
  <c r="X99" i="7"/>
  <c r="X14" i="7"/>
  <c r="X53" i="7"/>
  <c r="X74" i="7"/>
  <c r="AI69" i="7"/>
  <c r="AI36" i="7"/>
  <c r="X38" i="7"/>
  <c r="X84" i="7"/>
  <c r="X59" i="7"/>
  <c r="X35" i="7"/>
  <c r="AI17" i="7"/>
  <c r="X30" i="7"/>
  <c r="AI53" i="7"/>
  <c r="AI42" i="7"/>
  <c r="AI90" i="7"/>
  <c r="AI58" i="7"/>
  <c r="X87" i="7"/>
  <c r="X48" i="7"/>
  <c r="X25" i="7"/>
  <c r="X83" i="7"/>
  <c r="AI47" i="7"/>
  <c r="X76" i="7"/>
  <c r="AI55" i="7"/>
  <c r="X63" i="7"/>
  <c r="AI83" i="7"/>
  <c r="AI82" i="7"/>
  <c r="X8" i="7"/>
  <c r="X47" i="7"/>
  <c r="X77" i="7"/>
  <c r="X95" i="7"/>
  <c r="AI50" i="7"/>
  <c r="X21" i="7"/>
  <c r="AI77" i="7"/>
  <c r="X39" i="7"/>
  <c r="AI91" i="7"/>
  <c r="X36" i="7"/>
  <c r="X98" i="7"/>
  <c r="X45" i="7"/>
  <c r="X61" i="7"/>
  <c r="X51" i="7"/>
  <c r="X9" i="7"/>
  <c r="AI79" i="7"/>
  <c r="X16" i="7"/>
  <c r="X58" i="7"/>
  <c r="AI63" i="7"/>
  <c r="X66" i="7"/>
  <c r="X33" i="7"/>
  <c r="X52" i="7"/>
  <c r="AI78" i="7"/>
  <c r="X32" i="7"/>
  <c r="X15" i="7"/>
  <c r="X92" i="7"/>
  <c r="AI48" i="7"/>
  <c r="BC27" i="7"/>
  <c r="X50" i="7"/>
  <c r="X109" i="7"/>
  <c r="X106" i="7"/>
  <c r="X89" i="7"/>
  <c r="X26" i="7"/>
  <c r="X101" i="7"/>
  <c r="X71" i="7"/>
  <c r="BC31" i="7"/>
  <c r="X41" i="7"/>
  <c r="X81" i="7"/>
  <c r="AB3" i="7"/>
  <c r="N3" i="7"/>
  <c r="N2" i="7" s="1"/>
  <c r="M2" i="7"/>
  <c r="Y63" i="7"/>
  <c r="Y84" i="7"/>
  <c r="Y13" i="7"/>
  <c r="Y10" i="7"/>
  <c r="Y67" i="7"/>
  <c r="Y54" i="7"/>
  <c r="Y20" i="7"/>
  <c r="Y60" i="7"/>
  <c r="Y91" i="7"/>
  <c r="Y68" i="7"/>
  <c r="Y77" i="7"/>
  <c r="Y22" i="7"/>
  <c r="Y86" i="7"/>
  <c r="Y78" i="7"/>
  <c r="Y57" i="7"/>
  <c r="Y30" i="7"/>
  <c r="Y39" i="7"/>
  <c r="Y90" i="7"/>
  <c r="Y80" i="7"/>
  <c r="Y70" i="7"/>
  <c r="Y17" i="7"/>
  <c r="Y51" i="7"/>
  <c r="Y55" i="7"/>
  <c r="Y32" i="7"/>
  <c r="Y83" i="7"/>
  <c r="Y12" i="7"/>
  <c r="Y16" i="7"/>
  <c r="Y49" i="7"/>
  <c r="Y88" i="7"/>
  <c r="Y41" i="7"/>
  <c r="Y6" i="7"/>
  <c r="Y28" i="7"/>
  <c r="Y61" i="7"/>
  <c r="Y66" i="7"/>
  <c r="Y46" i="7"/>
  <c r="Y79" i="7"/>
  <c r="Y37" i="7"/>
  <c r="Y92" i="7"/>
  <c r="Y45" i="7"/>
  <c r="Y64" i="7"/>
  <c r="Y33" i="7"/>
  <c r="Y74" i="7"/>
  <c r="Y65" i="7"/>
  <c r="Y56" i="7"/>
  <c r="Y93" i="7"/>
  <c r="Y52" i="7"/>
  <c r="Y50" i="7"/>
  <c r="Y24" i="7"/>
  <c r="Y47" i="7"/>
  <c r="Y27" i="7"/>
  <c r="Y21" i="7"/>
  <c r="Y40" i="7"/>
  <c r="Y11" i="7"/>
  <c r="Y53" i="7"/>
  <c r="Y81" i="7"/>
  <c r="Y26" i="7"/>
  <c r="Y25" i="7"/>
  <c r="Y58" i="7"/>
  <c r="Y71" i="7"/>
  <c r="Y73" i="7"/>
  <c r="Y62" i="7"/>
  <c r="Y14" i="7"/>
  <c r="Y15" i="7"/>
  <c r="Y7" i="7"/>
  <c r="Y34" i="7"/>
  <c r="Y8" i="7"/>
  <c r="Y75" i="7"/>
  <c r="Y29" i="7"/>
  <c r="Y43" i="7"/>
  <c r="Y69" i="7"/>
  <c r="Y23" i="7"/>
  <c r="Y72" i="7"/>
  <c r="Y76" i="7"/>
  <c r="Y85" i="7"/>
  <c r="Y42" i="7"/>
  <c r="Y36" i="7"/>
  <c r="Y38" i="7"/>
  <c r="Y48" i="7"/>
  <c r="Y59" i="7"/>
  <c r="Y44" i="7"/>
  <c r="Y18" i="7"/>
  <c r="Y82" i="7"/>
  <c r="Y19" i="7"/>
  <c r="Y87" i="7"/>
  <c r="Y31" i="7"/>
  <c r="Y35" i="7"/>
  <c r="Y89" i="7"/>
  <c r="Y9" i="7"/>
  <c r="AI21" i="7"/>
  <c r="AI11" i="7"/>
  <c r="AI72" i="7"/>
  <c r="AI40" i="7"/>
  <c r="AI10" i="7"/>
  <c r="AI84" i="7"/>
  <c r="AI44" i="7"/>
  <c r="BC34" i="7"/>
  <c r="BC51" i="7"/>
  <c r="BC102" i="7"/>
  <c r="BC22" i="7"/>
  <c r="BC13" i="7"/>
  <c r="BC32" i="7"/>
  <c r="BC24" i="7"/>
  <c r="BC43" i="7"/>
  <c r="BC19" i="7"/>
  <c r="BC91" i="7"/>
  <c r="BC56" i="7"/>
  <c r="BC65" i="7"/>
  <c r="BC8" i="7"/>
  <c r="BC69" i="7"/>
  <c r="AT79" i="7"/>
  <c r="AT88" i="7"/>
  <c r="AT70" i="7"/>
  <c r="AT59" i="7"/>
  <c r="AT30" i="7"/>
  <c r="AT31" i="7"/>
  <c r="AT28" i="7"/>
  <c r="AT29" i="7"/>
  <c r="AT95" i="7"/>
  <c r="AT16" i="7"/>
  <c r="AT104" i="7"/>
  <c r="AT105" i="7"/>
  <c r="AT99" i="7"/>
  <c r="AT49" i="7"/>
  <c r="AT106" i="7"/>
  <c r="AT103" i="7"/>
  <c r="AT81" i="7"/>
  <c r="AT55" i="7"/>
  <c r="AT13" i="7"/>
  <c r="AT47" i="7"/>
  <c r="AT67" i="7"/>
  <c r="AT82" i="7"/>
  <c r="AT110" i="7"/>
  <c r="AT98" i="7"/>
  <c r="AT40" i="7"/>
  <c r="AT25" i="7"/>
  <c r="AT50" i="7"/>
  <c r="AT71" i="7"/>
  <c r="AT90" i="7"/>
  <c r="AT63" i="7"/>
  <c r="AT18" i="7"/>
  <c r="AT58" i="7"/>
  <c r="AT33" i="7"/>
  <c r="AT6" i="7"/>
  <c r="AT83" i="7"/>
  <c r="AT76" i="7"/>
  <c r="AT45" i="7"/>
  <c r="AT34" i="7"/>
  <c r="AT19" i="7"/>
  <c r="AT41" i="7"/>
  <c r="AT43" i="7"/>
  <c r="AT8" i="7"/>
  <c r="AT91" i="7"/>
  <c r="AT84" i="7"/>
  <c r="AT53" i="7"/>
  <c r="AT38" i="7"/>
  <c r="AT23" i="7"/>
  <c r="AT74" i="7"/>
  <c r="AT89" i="7"/>
  <c r="AT12" i="7"/>
  <c r="AT100" i="7"/>
  <c r="AT92" i="7"/>
  <c r="AT57" i="7"/>
  <c r="AT56" i="7"/>
  <c r="AT39" i="7"/>
  <c r="AT20" i="7"/>
  <c r="AT9" i="7"/>
  <c r="AT54" i="7"/>
  <c r="AT77" i="7"/>
  <c r="AT86" i="7"/>
  <c r="AT11" i="7"/>
  <c r="AT107" i="7"/>
  <c r="AT48" i="7"/>
  <c r="AT46" i="7"/>
  <c r="AT93" i="7"/>
  <c r="AT64" i="7"/>
  <c r="AT10" i="7"/>
  <c r="AT75" i="7"/>
  <c r="AT94" i="7"/>
  <c r="AT52" i="7"/>
  <c r="AT66" i="7"/>
  <c r="AT61" i="7"/>
  <c r="AT112" i="7"/>
  <c r="AT97" i="7"/>
  <c r="AT17" i="7"/>
  <c r="AT108" i="7"/>
  <c r="AT37" i="7"/>
  <c r="AT24" i="7"/>
  <c r="AT32" i="7"/>
  <c r="AT26" i="7"/>
  <c r="AT102" i="7"/>
  <c r="AT65" i="7"/>
  <c r="AT14" i="7"/>
  <c r="AT85" i="7"/>
  <c r="AT113" i="7"/>
  <c r="AT72" i="7"/>
  <c r="AT73" i="7"/>
  <c r="AT15" i="7"/>
  <c r="AT111" i="7"/>
  <c r="AT42" i="7"/>
  <c r="AT62" i="7"/>
  <c r="AT22" i="7"/>
  <c r="AT78" i="7"/>
  <c r="AT101" i="7"/>
  <c r="AT44" i="7"/>
  <c r="AT68" i="7"/>
  <c r="AT51" i="7"/>
  <c r="AT96" i="7"/>
  <c r="AT35" i="7"/>
  <c r="AT7" i="7"/>
  <c r="AT87" i="7"/>
  <c r="AT36" i="7"/>
  <c r="AT80" i="7"/>
  <c r="AT21" i="7"/>
  <c r="AT27" i="7"/>
  <c r="AT109" i="7"/>
  <c r="AT60" i="7"/>
  <c r="AT69" i="7"/>
  <c r="BC89" i="7"/>
  <c r="BC23" i="7"/>
  <c r="AI64" i="7"/>
  <c r="AI22" i="7"/>
  <c r="AI86" i="7"/>
  <c r="AI71" i="7"/>
  <c r="AI13" i="7"/>
  <c r="AI39" i="7"/>
  <c r="AI7" i="7"/>
  <c r="AI46" i="7"/>
  <c r="AI89" i="7"/>
  <c r="AI52" i="7"/>
  <c r="AI27" i="7"/>
  <c r="BC37" i="7"/>
  <c r="BC109" i="7"/>
  <c r="BC38" i="7"/>
  <c r="BC26" i="7"/>
  <c r="BC15" i="7"/>
  <c r="BC7" i="7"/>
  <c r="BC57" i="7"/>
  <c r="BC98" i="7"/>
  <c r="BC11" i="7"/>
  <c r="BC105" i="7"/>
  <c r="BC67" i="7"/>
  <c r="BC14" i="7"/>
  <c r="BC83" i="7"/>
  <c r="BC49" i="7"/>
  <c r="X73" i="7"/>
  <c r="X86" i="7"/>
  <c r="X102" i="7"/>
  <c r="X72" i="7"/>
  <c r="X31" i="7"/>
  <c r="X19" i="7"/>
  <c r="X97" i="7"/>
  <c r="X64" i="7"/>
  <c r="X27" i="7"/>
  <c r="X107" i="7"/>
  <c r="X55" i="7"/>
  <c r="AJ2" i="7"/>
  <c r="AJ63" i="7" s="1"/>
  <c r="AJ90" i="7"/>
  <c r="AJ45" i="7"/>
  <c r="AK3" i="7"/>
  <c r="AJ27" i="7"/>
  <c r="AJ57" i="7"/>
  <c r="AJ10" i="7"/>
  <c r="AJ17" i="7"/>
  <c r="AJ54" i="7"/>
  <c r="AJ67" i="7"/>
  <c r="AJ39" i="7"/>
  <c r="AJ20" i="7"/>
  <c r="AJ26" i="7"/>
  <c r="AW3" i="7"/>
  <c r="AV93" i="7"/>
  <c r="AV2" i="7"/>
  <c r="AV10" i="7" s="1"/>
  <c r="AV97" i="7"/>
  <c r="AV96" i="7"/>
  <c r="AV48" i="7"/>
  <c r="AV111" i="7"/>
  <c r="AV95" i="7"/>
  <c r="AV7" i="7"/>
  <c r="AV8" i="7"/>
  <c r="AV12" i="7"/>
  <c r="BC61" i="7"/>
  <c r="BC104" i="7"/>
  <c r="AI73" i="7"/>
  <c r="AI76" i="7"/>
  <c r="AI65" i="7"/>
  <c r="AI60" i="7"/>
  <c r="AI88" i="7"/>
  <c r="AI38" i="7"/>
  <c r="AI23" i="7"/>
  <c r="AI31" i="7"/>
  <c r="AI68" i="7"/>
  <c r="AI15" i="7"/>
  <c r="BC40" i="7"/>
  <c r="BC59" i="7"/>
  <c r="BC93" i="7"/>
  <c r="BC112" i="7"/>
  <c r="BC87" i="7"/>
  <c r="BC92" i="7"/>
  <c r="BC97" i="7"/>
  <c r="BC28" i="7"/>
  <c r="BC12" i="7"/>
  <c r="BC74" i="7"/>
  <c r="BC55" i="7"/>
  <c r="BC9" i="7"/>
  <c r="BC76" i="7"/>
  <c r="BC42" i="7"/>
  <c r="X79" i="7"/>
  <c r="X46" i="7"/>
  <c r="X57" i="7"/>
  <c r="X17" i="7"/>
  <c r="X65" i="7"/>
  <c r="X93" i="7"/>
  <c r="X54" i="7"/>
  <c r="X28" i="7"/>
  <c r="X24" i="7"/>
  <c r="X6" i="7"/>
  <c r="X68" i="7"/>
  <c r="X43" i="7"/>
  <c r="X113" i="7"/>
  <c r="X105" i="7"/>
  <c r="BC66" i="7"/>
  <c r="BC25" i="7"/>
  <c r="BC46" i="7"/>
  <c r="AI25" i="7"/>
  <c r="AI12" i="7"/>
  <c r="AI43" i="7"/>
  <c r="AI45" i="7"/>
  <c r="AI62" i="7"/>
  <c r="AI85" i="7"/>
  <c r="AI30" i="7"/>
  <c r="AI9" i="7"/>
  <c r="AI66" i="7"/>
  <c r="AI35" i="7"/>
  <c r="AI29" i="7"/>
  <c r="BC54" i="7"/>
  <c r="BC113" i="7"/>
  <c r="BC78" i="7"/>
  <c r="BC84" i="7"/>
  <c r="BC88" i="7"/>
  <c r="BC108" i="7"/>
  <c r="BC79" i="7"/>
  <c r="BC100" i="7"/>
  <c r="BC101" i="7"/>
  <c r="BC86" i="7"/>
  <c r="BC45" i="7"/>
  <c r="BC29" i="7"/>
  <c r="BC60" i="7"/>
  <c r="BC44" i="7"/>
  <c r="X10" i="7"/>
  <c r="X100" i="7"/>
  <c r="X82" i="7"/>
  <c r="X111" i="7"/>
  <c r="X67" i="7"/>
  <c r="X7" i="7"/>
  <c r="X12" i="7"/>
  <c r="X110" i="7"/>
  <c r="X42" i="7"/>
  <c r="X103" i="7"/>
  <c r="X85" i="7"/>
  <c r="X88" i="7"/>
  <c r="X90" i="7"/>
  <c r="X22" i="7"/>
  <c r="AU2" i="7"/>
  <c r="J3" i="7"/>
  <c r="J2" i="7" s="1"/>
  <c r="I2" i="7"/>
  <c r="BC53" i="7"/>
  <c r="BC36" i="7"/>
  <c r="BC94" i="7"/>
  <c r="AI6" i="7"/>
  <c r="AI16" i="7"/>
  <c r="AI59" i="7"/>
  <c r="AI18" i="7"/>
  <c r="AI56" i="7"/>
  <c r="AI70" i="7"/>
  <c r="AI74" i="7"/>
  <c r="AI19" i="7"/>
  <c r="AI93" i="7"/>
  <c r="AI24" i="7"/>
  <c r="AI28" i="7"/>
  <c r="BC111" i="7"/>
  <c r="BC33" i="7"/>
  <c r="BC90" i="7"/>
  <c r="BC70" i="7"/>
  <c r="BC68" i="7"/>
  <c r="BC64" i="7"/>
  <c r="BC103" i="7"/>
  <c r="BC80" i="7"/>
  <c r="BC73" i="7"/>
  <c r="BC41" i="7"/>
  <c r="BC39" i="7"/>
  <c r="BC110" i="7"/>
  <c r="BC6" i="7"/>
  <c r="X69" i="7"/>
  <c r="X112" i="7"/>
  <c r="X11" i="7"/>
  <c r="X49" i="7"/>
  <c r="X70" i="7"/>
  <c r="X91" i="7"/>
  <c r="X29" i="7"/>
  <c r="X13" i="7"/>
  <c r="X56" i="7"/>
  <c r="X23" i="7"/>
  <c r="BE3" i="7"/>
  <c r="BD85" i="7"/>
  <c r="BD78" i="7"/>
  <c r="BD23" i="7"/>
  <c r="BD82" i="7"/>
  <c r="BD8" i="7"/>
  <c r="BD6" i="7"/>
  <c r="BD84" i="7"/>
  <c r="BD37" i="7"/>
  <c r="BD2" i="7"/>
  <c r="BD91" i="7" s="1"/>
  <c r="BD22" i="7"/>
  <c r="BD17" i="7"/>
  <c r="BD15" i="7"/>
  <c r="BD30" i="7"/>
  <c r="BD104" i="7"/>
  <c r="BD42" i="7"/>
  <c r="BD36" i="7"/>
  <c r="BD68" i="7"/>
  <c r="BD16" i="7"/>
  <c r="BD72" i="7"/>
  <c r="BD48" i="7"/>
  <c r="BD46" i="7"/>
  <c r="BD26" i="7"/>
  <c r="BD19" i="7"/>
  <c r="BD106" i="7"/>
  <c r="BD70" i="7"/>
  <c r="BD27" i="7"/>
  <c r="BD69" i="7"/>
  <c r="BD90" i="7"/>
  <c r="BD43" i="7"/>
  <c r="BD83" i="7"/>
  <c r="BD14" i="7"/>
  <c r="BD63" i="7"/>
  <c r="BD109" i="7"/>
  <c r="BD58" i="7"/>
  <c r="BD71" i="7"/>
  <c r="BD57" i="7"/>
  <c r="BD93" i="7"/>
  <c r="BD77" i="7"/>
  <c r="BD47" i="7"/>
  <c r="BD51" i="7"/>
  <c r="BD52" i="7"/>
  <c r="BD100" i="7"/>
  <c r="BD86" i="7"/>
  <c r="BD103" i="7"/>
  <c r="BD67" i="7"/>
  <c r="BD39" i="7"/>
  <c r="BD92" i="7"/>
  <c r="BD80" i="7"/>
  <c r="BD98" i="7"/>
  <c r="BD111" i="7"/>
  <c r="BD54" i="7"/>
  <c r="BD49" i="7"/>
  <c r="BD32" i="7"/>
  <c r="BD38" i="7"/>
  <c r="BD65" i="7"/>
  <c r="BD99" i="7"/>
  <c r="BD11" i="7"/>
  <c r="BD74" i="7"/>
  <c r="BD44" i="7"/>
  <c r="BD13" i="7"/>
  <c r="BD18" i="7"/>
  <c r="BD31" i="7"/>
  <c r="BD29" i="7"/>
  <c r="BD79" i="7"/>
  <c r="BD105" i="7"/>
  <c r="BD53" i="7"/>
  <c r="BD45" i="7"/>
  <c r="BD24" i="7"/>
  <c r="BD28" i="7"/>
  <c r="BD34" i="7"/>
  <c r="BD73" i="7"/>
  <c r="BD112" i="7"/>
  <c r="BD87" i="7"/>
  <c r="BD59" i="7"/>
  <c r="BD20" i="7"/>
  <c r="BD41" i="7"/>
  <c r="BD95" i="7"/>
  <c r="BD101" i="7"/>
  <c r="BD21" i="7"/>
  <c r="BD76" i="7"/>
  <c r="BD89" i="7"/>
  <c r="BD94" i="7"/>
  <c r="BD35" i="7"/>
  <c r="BD88" i="7"/>
  <c r="BD97" i="7"/>
  <c r="BD108" i="7"/>
  <c r="BD81" i="7"/>
  <c r="BD25" i="7"/>
  <c r="BD62" i="7"/>
  <c r="BD113" i="7"/>
  <c r="BD55" i="7"/>
  <c r="BD9" i="7"/>
  <c r="BD61" i="7"/>
  <c r="BD10" i="7"/>
  <c r="BD96" i="7"/>
  <c r="BD40" i="7"/>
  <c r="BD33" i="7"/>
  <c r="BD64" i="7"/>
  <c r="BD50" i="7"/>
  <c r="BC10" i="7"/>
  <c r="Z2" i="7"/>
  <c r="AA2" i="7" s="1"/>
  <c r="AI20" i="7"/>
  <c r="AI26" i="7"/>
  <c r="AI14" i="7"/>
  <c r="AI80" i="7"/>
  <c r="AI32" i="7"/>
  <c r="AI61" i="7"/>
  <c r="AI87" i="7"/>
  <c r="AI81" i="7"/>
  <c r="AI49" i="7"/>
  <c r="AI37" i="7"/>
  <c r="AI33" i="7"/>
  <c r="BC20" i="7"/>
  <c r="BC17" i="7"/>
  <c r="BC30" i="7"/>
  <c r="BC85" i="7"/>
  <c r="BC107" i="7"/>
  <c r="BC99" i="7"/>
  <c r="BC77" i="7"/>
  <c r="BC95" i="7"/>
  <c r="BC71" i="7"/>
  <c r="BC18" i="7"/>
  <c r="BC16" i="7"/>
  <c r="BC82" i="7"/>
  <c r="X78" i="7"/>
  <c r="X104" i="7"/>
  <c r="X108" i="7"/>
  <c r="X96" i="7"/>
  <c r="X34" i="7"/>
  <c r="X18" i="7"/>
  <c r="X62" i="7"/>
  <c r="AJ16" i="7" l="1"/>
  <c r="AV104" i="7"/>
  <c r="AJ22" i="7"/>
  <c r="AJ15" i="7"/>
  <c r="AV64" i="7"/>
  <c r="AV40" i="7"/>
  <c r="AJ81" i="7"/>
  <c r="AJ37" i="7"/>
  <c r="AJ18" i="7"/>
  <c r="AJ53" i="7"/>
  <c r="AJ64" i="7"/>
  <c r="AJ35" i="7"/>
  <c r="AJ51" i="7"/>
  <c r="AV103" i="7"/>
  <c r="AV83" i="7"/>
  <c r="AJ78" i="7"/>
  <c r="AJ21" i="7"/>
  <c r="AJ38" i="7"/>
  <c r="AJ74" i="7"/>
  <c r="AV55" i="7"/>
  <c r="AJ43" i="7"/>
  <c r="AJ76" i="7"/>
  <c r="AV19" i="7"/>
  <c r="AV100" i="7"/>
  <c r="AJ52" i="7"/>
  <c r="AJ71" i="7"/>
  <c r="AJ24" i="7"/>
  <c r="AJ41" i="7"/>
  <c r="AJ62" i="7"/>
  <c r="AJ33" i="7"/>
  <c r="AJ29" i="7"/>
  <c r="AJ13" i="7"/>
  <c r="AJ65" i="7"/>
  <c r="AJ47" i="7"/>
  <c r="AJ68" i="7"/>
  <c r="AJ6" i="7"/>
  <c r="AJ46" i="7"/>
  <c r="AJ82" i="7"/>
  <c r="AJ61" i="7"/>
  <c r="AV78" i="7"/>
  <c r="AJ80" i="7"/>
  <c r="AJ12" i="7"/>
  <c r="AJ31" i="7"/>
  <c r="AJ49" i="7"/>
  <c r="AV46" i="7"/>
  <c r="AJ56" i="7"/>
  <c r="AJ30" i="7"/>
  <c r="AJ66" i="7"/>
  <c r="AJ19" i="7"/>
  <c r="AJ40" i="7"/>
  <c r="AJ32" i="7"/>
  <c r="AJ73" i="7"/>
  <c r="AJ85" i="7"/>
  <c r="AV98" i="7"/>
  <c r="AJ44" i="7"/>
  <c r="AJ87" i="7"/>
  <c r="AJ69" i="7"/>
  <c r="AV16" i="7"/>
  <c r="AJ75" i="7"/>
  <c r="AJ93" i="7"/>
  <c r="AJ89" i="7"/>
  <c r="AJ58" i="7"/>
  <c r="AJ91" i="7"/>
  <c r="AJ84" i="7"/>
  <c r="AJ11" i="7"/>
  <c r="AJ42" i="7"/>
  <c r="AJ50" i="7"/>
  <c r="AV69" i="7"/>
  <c r="AJ92" i="7"/>
  <c r="AJ59" i="7"/>
  <c r="AV21" i="7"/>
  <c r="AJ88" i="7"/>
  <c r="AJ77" i="7"/>
  <c r="AJ70" i="7"/>
  <c r="AV85" i="7"/>
  <c r="AV99" i="7"/>
  <c r="AJ14" i="7"/>
  <c r="AJ83" i="7"/>
  <c r="AJ72" i="7"/>
  <c r="AJ86" i="7"/>
  <c r="AJ25" i="7"/>
  <c r="AJ48" i="7"/>
  <c r="AJ23" i="7"/>
  <c r="AJ60" i="7"/>
  <c r="AJ79" i="7"/>
  <c r="AV52" i="7"/>
  <c r="AJ34" i="7"/>
  <c r="AJ55" i="7"/>
  <c r="AJ36" i="7"/>
  <c r="BD12" i="7"/>
  <c r="BD7" i="7"/>
  <c r="AV39" i="7"/>
  <c r="AV54" i="7"/>
  <c r="AJ28" i="7"/>
  <c r="AJ7" i="7"/>
  <c r="AJ8" i="7"/>
  <c r="AJ9" i="7"/>
  <c r="AA22" i="7"/>
  <c r="AA47" i="7"/>
  <c r="AA84" i="7"/>
  <c r="AA10" i="7"/>
  <c r="AA89" i="7"/>
  <c r="AA44" i="7"/>
  <c r="AA59" i="7"/>
  <c r="AA8" i="7"/>
  <c r="AA64" i="7"/>
  <c r="AA17" i="7"/>
  <c r="AA46" i="7"/>
  <c r="AA56" i="7"/>
  <c r="AA50" i="7"/>
  <c r="AA11" i="7"/>
  <c r="AA43" i="7"/>
  <c r="AA82" i="7"/>
  <c r="AA37" i="7"/>
  <c r="AA9" i="7"/>
  <c r="AA87" i="7"/>
  <c r="AA65" i="7"/>
  <c r="AA60" i="7"/>
  <c r="AA78" i="7"/>
  <c r="AA92" i="7"/>
  <c r="AA40" i="7"/>
  <c r="AA6" i="7"/>
  <c r="AA27" i="7"/>
  <c r="AA66" i="7"/>
  <c r="AA49" i="7"/>
  <c r="AA24" i="7"/>
  <c r="AA7" i="7"/>
  <c r="AA41" i="7"/>
  <c r="AA57" i="7"/>
  <c r="AA39" i="7"/>
  <c r="AA83" i="7"/>
  <c r="AA72" i="7"/>
  <c r="AA63" i="7"/>
  <c r="AA19" i="7"/>
  <c r="AA58" i="7"/>
  <c r="AA54" i="7"/>
  <c r="AA85" i="7"/>
  <c r="AA26" i="7"/>
  <c r="AA18" i="7"/>
  <c r="AA81" i="7"/>
  <c r="AA76" i="7"/>
  <c r="AA42" i="7"/>
  <c r="AA74" i="7"/>
  <c r="AA21" i="7"/>
  <c r="AA25" i="7"/>
  <c r="AA23" i="7"/>
  <c r="AA13" i="7"/>
  <c r="AA62" i="7"/>
  <c r="AA14" i="7"/>
  <c r="AA29" i="7"/>
  <c r="AA61" i="7"/>
  <c r="AA51" i="7"/>
  <c r="AA88" i="7"/>
  <c r="AA80" i="7"/>
  <c r="AA34" i="7"/>
  <c r="AA48" i="7"/>
  <c r="AA93" i="7"/>
  <c r="AA15" i="7"/>
  <c r="AA53" i="7"/>
  <c r="AA79" i="7"/>
  <c r="AA32" i="7"/>
  <c r="AA28" i="7"/>
  <c r="AA45" i="7"/>
  <c r="AA33" i="7"/>
  <c r="AA91" i="7"/>
  <c r="AA12" i="7"/>
  <c r="AA30" i="7"/>
  <c r="AA71" i="7"/>
  <c r="AA16" i="7"/>
  <c r="AA55" i="7"/>
  <c r="AA38" i="7"/>
  <c r="AA69" i="7"/>
  <c r="AA31" i="7"/>
  <c r="AA73" i="7"/>
  <c r="AA68" i="7"/>
  <c r="AA75" i="7"/>
  <c r="AA52" i="7"/>
  <c r="AA77" i="7"/>
  <c r="AA67" i="7"/>
  <c r="AA86" i="7"/>
  <c r="AA90" i="7"/>
  <c r="AA70" i="7"/>
  <c r="AA35" i="7"/>
  <c r="AA20" i="7"/>
  <c r="AA36" i="7"/>
  <c r="AK2" i="7"/>
  <c r="AK93" i="7" s="1"/>
  <c r="AK37" i="7"/>
  <c r="AL3" i="7"/>
  <c r="AK77" i="7"/>
  <c r="AK73" i="7"/>
  <c r="AK31" i="7"/>
  <c r="AK16" i="7"/>
  <c r="AK60" i="7"/>
  <c r="AK11" i="7"/>
  <c r="AV68" i="7"/>
  <c r="AV80" i="7"/>
  <c r="AV77" i="7"/>
  <c r="AV86" i="7"/>
  <c r="AV88" i="7"/>
  <c r="AV94" i="7"/>
  <c r="AV71" i="7"/>
  <c r="BD110" i="7"/>
  <c r="AV11" i="7"/>
  <c r="AV51" i="7"/>
  <c r="AV70" i="7"/>
  <c r="AV44" i="7"/>
  <c r="AV101" i="7"/>
  <c r="AV66" i="7"/>
  <c r="AV47" i="7"/>
  <c r="AV90" i="7"/>
  <c r="AV57" i="7"/>
  <c r="AV74" i="7"/>
  <c r="AV38" i="7"/>
  <c r="AV15" i="7"/>
  <c r="AV28" i="7"/>
  <c r="Z75" i="7"/>
  <c r="Z43" i="7"/>
  <c r="Z45" i="7"/>
  <c r="Z49" i="7"/>
  <c r="Z34" i="7"/>
  <c r="Z19" i="7"/>
  <c r="Z56" i="7"/>
  <c r="Z9" i="7"/>
  <c r="Z16" i="7"/>
  <c r="Z14" i="7"/>
  <c r="Z51" i="7"/>
  <c r="Z24" i="7"/>
  <c r="Z7" i="7"/>
  <c r="Z40" i="7"/>
  <c r="Z72" i="7"/>
  <c r="Z42" i="7"/>
  <c r="Z39" i="7"/>
  <c r="Z50" i="7"/>
  <c r="Z44" i="7"/>
  <c r="Z62" i="7"/>
  <c r="Z54" i="7"/>
  <c r="Z53" i="7"/>
  <c r="Z22" i="7"/>
  <c r="Z83" i="7"/>
  <c r="Z6" i="7"/>
  <c r="Z37" i="7"/>
  <c r="Z61" i="7"/>
  <c r="Z65" i="7"/>
  <c r="Z77" i="7"/>
  <c r="Z15" i="7"/>
  <c r="Z38" i="7"/>
  <c r="Z79" i="7"/>
  <c r="Z58" i="7"/>
  <c r="Z76" i="7"/>
  <c r="Z29" i="7"/>
  <c r="Z80" i="7"/>
  <c r="Z32" i="7"/>
  <c r="Z89" i="7"/>
  <c r="Z68" i="7"/>
  <c r="Z90" i="7"/>
  <c r="Z48" i="7"/>
  <c r="Z84" i="7"/>
  <c r="Z66" i="7"/>
  <c r="Z73" i="7"/>
  <c r="Z71" i="7"/>
  <c r="Z17" i="7"/>
  <c r="Z31" i="7"/>
  <c r="Z33" i="7"/>
  <c r="Z67" i="7"/>
  <c r="Z87" i="7"/>
  <c r="Z28" i="7"/>
  <c r="Z57" i="7"/>
  <c r="Z59" i="7"/>
  <c r="Z92" i="7"/>
  <c r="Z41" i="7"/>
  <c r="Z55" i="7"/>
  <c r="Z26" i="7"/>
  <c r="Z13" i="7"/>
  <c r="Z46" i="7"/>
  <c r="Z64" i="7"/>
  <c r="Z91" i="7"/>
  <c r="Z63" i="7"/>
  <c r="Z69" i="7"/>
  <c r="Z11" i="7"/>
  <c r="Z30" i="7"/>
  <c r="Z20" i="7"/>
  <c r="Z85" i="7"/>
  <c r="Z70" i="7"/>
  <c r="Z47" i="7"/>
  <c r="Z74" i="7"/>
  <c r="Z10" i="7"/>
  <c r="Z12" i="7"/>
  <c r="Z60" i="7"/>
  <c r="Z36" i="7"/>
  <c r="Z82" i="7"/>
  <c r="Z21" i="7"/>
  <c r="Z8" i="7"/>
  <c r="Z52" i="7"/>
  <c r="Z27" i="7"/>
  <c r="Z25" i="7"/>
  <c r="Z88" i="7"/>
  <c r="Z86" i="7"/>
  <c r="Z93" i="7"/>
  <c r="Z81" i="7"/>
  <c r="Z23" i="7"/>
  <c r="Z18" i="7"/>
  <c r="Z78" i="7"/>
  <c r="Z35" i="7"/>
  <c r="AV6" i="7"/>
  <c r="AV9" i="7"/>
  <c r="AV29" i="7"/>
  <c r="AV24" i="7"/>
  <c r="AV61" i="7"/>
  <c r="AV32" i="7"/>
  <c r="BD56" i="7"/>
  <c r="BD75" i="7"/>
  <c r="BD107" i="7"/>
  <c r="BD60" i="7"/>
  <c r="AV108" i="7"/>
  <c r="AV109" i="7"/>
  <c r="AV91" i="7"/>
  <c r="AV102" i="7"/>
  <c r="AV65" i="7"/>
  <c r="AV79" i="7"/>
  <c r="AV73" i="7"/>
  <c r="AV72" i="7"/>
  <c r="AV84" i="7"/>
  <c r="AV63" i="7"/>
  <c r="AV106" i="7"/>
  <c r="AV37" i="7"/>
  <c r="AV14" i="7"/>
  <c r="AX3" i="7"/>
  <c r="AW2" i="7"/>
  <c r="AW86" i="7" s="1"/>
  <c r="AW68" i="7"/>
  <c r="AW33" i="7"/>
  <c r="AW108" i="7"/>
  <c r="AB55" i="7"/>
  <c r="AB70" i="7"/>
  <c r="AB14" i="7"/>
  <c r="AB62" i="7"/>
  <c r="AB67" i="7"/>
  <c r="AB61" i="7"/>
  <c r="AB21" i="7"/>
  <c r="AB12" i="7"/>
  <c r="AC3" i="7"/>
  <c r="AB49" i="7"/>
  <c r="AB79" i="7"/>
  <c r="AB39" i="7"/>
  <c r="AB37" i="7"/>
  <c r="AB10" i="7"/>
  <c r="AB86" i="7"/>
  <c r="AB93" i="7"/>
  <c r="AB72" i="7"/>
  <c r="AB2" i="7"/>
  <c r="AB69" i="7" s="1"/>
  <c r="AB48" i="7"/>
  <c r="AB85" i="7"/>
  <c r="AB18" i="7"/>
  <c r="AB15" i="7"/>
  <c r="AB35" i="7"/>
  <c r="AV17" i="7"/>
  <c r="AV42" i="7"/>
  <c r="AV87" i="7"/>
  <c r="AV58" i="7"/>
  <c r="AU40" i="7"/>
  <c r="AU92" i="7"/>
  <c r="AU74" i="7"/>
  <c r="AU53" i="7"/>
  <c r="AU113" i="7"/>
  <c r="AU91" i="7"/>
  <c r="AU6" i="7"/>
  <c r="AU31" i="7"/>
  <c r="AU14" i="7"/>
  <c r="AU13" i="7"/>
  <c r="AU107" i="7"/>
  <c r="AU48" i="7"/>
  <c r="AU90" i="7"/>
  <c r="AU80" i="7"/>
  <c r="AU110" i="7"/>
  <c r="AU69" i="7"/>
  <c r="AU19" i="7"/>
  <c r="AU57" i="7"/>
  <c r="AU109" i="7"/>
  <c r="AU7" i="7"/>
  <c r="AU36" i="7"/>
  <c r="AU21" i="7"/>
  <c r="AU29" i="7"/>
  <c r="AU42" i="7"/>
  <c r="AU32" i="7"/>
  <c r="AU103" i="7"/>
  <c r="AU45" i="7"/>
  <c r="AU67" i="7"/>
  <c r="AU105" i="7"/>
  <c r="AU96" i="7"/>
  <c r="AU58" i="7"/>
  <c r="AU8" i="7"/>
  <c r="AU98" i="7"/>
  <c r="AU73" i="7"/>
  <c r="AU66" i="7"/>
  <c r="AU85" i="7"/>
  <c r="AU59" i="7"/>
  <c r="AU25" i="7"/>
  <c r="AU54" i="7"/>
  <c r="AU49" i="7"/>
  <c r="AU50" i="7"/>
  <c r="AU62" i="7"/>
  <c r="AU34" i="7"/>
  <c r="AU89" i="7"/>
  <c r="AU78" i="7"/>
  <c r="AU17" i="7"/>
  <c r="AU9" i="7"/>
  <c r="AU43" i="7"/>
  <c r="AU16" i="7"/>
  <c r="AU102" i="7"/>
  <c r="AU86" i="7"/>
  <c r="AU39" i="7"/>
  <c r="AU81" i="7"/>
  <c r="AU15" i="7"/>
  <c r="AU71" i="7"/>
  <c r="AU27" i="7"/>
  <c r="AU23" i="7"/>
  <c r="AU55" i="7"/>
  <c r="AU100" i="7"/>
  <c r="AU10" i="7"/>
  <c r="AU83" i="7"/>
  <c r="AU87" i="7"/>
  <c r="AU60" i="7"/>
  <c r="AU51" i="7"/>
  <c r="AU68" i="7"/>
  <c r="AU30" i="7"/>
  <c r="AU56" i="7"/>
  <c r="AU24" i="7"/>
  <c r="AU46" i="7"/>
  <c r="AU112" i="7"/>
  <c r="AU82" i="7"/>
  <c r="AU35" i="7"/>
  <c r="AU28" i="7"/>
  <c r="AU72" i="7"/>
  <c r="AU88" i="7"/>
  <c r="AU11" i="7"/>
  <c r="AU20" i="7"/>
  <c r="AU38" i="7"/>
  <c r="AU26" i="7"/>
  <c r="AU84" i="7"/>
  <c r="AU93" i="7"/>
  <c r="AU61" i="7"/>
  <c r="AU77" i="7"/>
  <c r="AU47" i="7"/>
  <c r="AU95" i="7"/>
  <c r="AU106" i="7"/>
  <c r="AU64" i="7"/>
  <c r="AU44" i="7"/>
  <c r="AU101" i="7"/>
  <c r="AU65" i="7"/>
  <c r="AU18" i="7"/>
  <c r="AU63" i="7"/>
  <c r="AU12" i="7"/>
  <c r="AU22" i="7"/>
  <c r="AU79" i="7"/>
  <c r="AU70" i="7"/>
  <c r="AU37" i="7"/>
  <c r="AU52" i="7"/>
  <c r="AU41" i="7"/>
  <c r="AU94" i="7"/>
  <c r="AU108" i="7"/>
  <c r="AU104" i="7"/>
  <c r="AU111" i="7"/>
  <c r="AU75" i="7"/>
  <c r="AU99" i="7"/>
  <c r="AU76" i="7"/>
  <c r="AU33" i="7"/>
  <c r="AU97" i="7"/>
  <c r="AV27" i="7"/>
  <c r="AV18" i="7"/>
  <c r="AV107" i="7"/>
  <c r="AV92" i="7"/>
  <c r="AV113" i="7"/>
  <c r="AV110" i="7"/>
  <c r="AV82" i="7"/>
  <c r="AV81" i="7"/>
  <c r="BD102" i="7"/>
  <c r="BD66" i="7"/>
  <c r="AV76" i="7"/>
  <c r="AV25" i="7"/>
  <c r="AV35" i="7"/>
  <c r="AV20" i="7"/>
  <c r="AV26" i="7"/>
  <c r="AV53" i="7"/>
  <c r="AV23" i="7"/>
  <c r="AV50" i="7"/>
  <c r="AV30" i="7"/>
  <c r="AV13" i="7"/>
  <c r="AV112" i="7"/>
  <c r="AV41" i="7"/>
  <c r="AV67" i="7"/>
  <c r="AV62" i="7"/>
  <c r="BF3" i="7"/>
  <c r="BE18" i="7"/>
  <c r="BE21" i="7"/>
  <c r="BE111" i="7"/>
  <c r="BE2" i="7"/>
  <c r="BE63" i="7" s="1"/>
  <c r="BE90" i="7"/>
  <c r="BE12" i="7"/>
  <c r="BE7" i="7"/>
  <c r="BE79" i="7"/>
  <c r="BE64" i="7"/>
  <c r="BE45" i="7"/>
  <c r="BE72" i="7"/>
  <c r="BE77" i="7"/>
  <c r="BE47" i="7"/>
  <c r="BE69" i="7"/>
  <c r="BE67" i="7"/>
  <c r="BE48" i="7"/>
  <c r="BE95" i="7"/>
  <c r="BE35" i="7"/>
  <c r="BE24" i="7"/>
  <c r="BE78" i="7"/>
  <c r="BE27" i="7"/>
  <c r="BE31" i="7"/>
  <c r="BE70" i="7"/>
  <c r="BE26" i="7"/>
  <c r="BE22" i="7"/>
  <c r="BE40" i="7"/>
  <c r="BE87" i="7"/>
  <c r="BE37" i="7"/>
  <c r="BE25" i="7"/>
  <c r="BE68" i="7"/>
  <c r="BE60" i="7"/>
  <c r="BE84" i="7"/>
  <c r="BE88" i="7"/>
  <c r="BE74" i="7"/>
  <c r="BE100" i="7"/>
  <c r="BE71" i="7"/>
  <c r="BE15" i="7"/>
  <c r="BE57" i="7"/>
  <c r="BE65" i="7"/>
  <c r="BE112" i="7"/>
  <c r="BE43" i="7"/>
  <c r="BE38" i="7"/>
  <c r="BE107" i="7"/>
  <c r="BE52" i="7"/>
  <c r="BE75" i="7"/>
  <c r="AV105" i="7"/>
  <c r="AV34" i="7"/>
  <c r="AV31" i="7"/>
  <c r="AV45" i="7"/>
  <c r="AV43" i="7"/>
  <c r="AV75" i="7"/>
  <c r="AV33" i="7"/>
  <c r="AV59" i="7"/>
  <c r="AV89" i="7"/>
  <c r="AV22" i="7"/>
  <c r="AV60" i="7"/>
  <c r="AV36" i="7"/>
  <c r="AV56" i="7"/>
  <c r="AV49" i="7"/>
  <c r="AW7" i="7" l="1"/>
  <c r="AB53" i="7"/>
  <c r="AB9" i="7"/>
  <c r="AW44" i="7"/>
  <c r="AK47" i="7"/>
  <c r="AB28" i="7"/>
  <c r="AW96" i="7"/>
  <c r="AW113" i="7"/>
  <c r="AK82" i="7"/>
  <c r="AB32" i="7"/>
  <c r="AW20" i="7"/>
  <c r="AW111" i="7"/>
  <c r="AK44" i="7"/>
  <c r="AB19" i="7"/>
  <c r="AW9" i="7"/>
  <c r="AB64" i="7"/>
  <c r="AB68" i="7"/>
  <c r="AW104" i="7"/>
  <c r="AW75" i="7"/>
  <c r="AK25" i="7"/>
  <c r="AW78" i="7"/>
  <c r="AW67" i="7"/>
  <c r="AW23" i="7"/>
  <c r="AW47" i="7"/>
  <c r="AW61" i="7"/>
  <c r="AB71" i="7"/>
  <c r="AW71" i="7"/>
  <c r="AB50" i="7"/>
  <c r="AB60" i="7"/>
  <c r="AW25" i="7"/>
  <c r="AB23" i="7"/>
  <c r="AB56" i="7"/>
  <c r="AB43" i="7"/>
  <c r="AW93" i="7"/>
  <c r="AW69" i="7"/>
  <c r="AW100" i="7"/>
  <c r="AW112" i="7"/>
  <c r="AW101" i="7"/>
  <c r="AB16" i="7"/>
  <c r="AB77" i="7"/>
  <c r="AW53" i="7"/>
  <c r="AW28" i="7"/>
  <c r="AB47" i="7"/>
  <c r="AW109" i="7"/>
  <c r="BE58" i="7"/>
  <c r="BE11" i="7"/>
  <c r="BE42" i="7"/>
  <c r="AB46" i="7"/>
  <c r="AB82" i="7"/>
  <c r="AW36" i="7"/>
  <c r="AW58" i="7"/>
  <c r="AW31" i="7"/>
  <c r="AW38" i="7"/>
  <c r="AW106" i="7"/>
  <c r="AW24" i="7"/>
  <c r="AB59" i="7"/>
  <c r="AW15" i="7"/>
  <c r="AW21" i="7"/>
  <c r="AB90" i="7"/>
  <c r="AW65" i="7"/>
  <c r="AB20" i="7"/>
  <c r="AW34" i="7"/>
  <c r="AW95" i="7"/>
  <c r="AB13" i="7"/>
  <c r="AB76" i="7"/>
  <c r="AW99" i="7"/>
  <c r="AW52" i="7"/>
  <c r="AW32" i="7"/>
  <c r="AW79" i="7"/>
  <c r="AW80" i="7"/>
  <c r="AB26" i="7"/>
  <c r="AW91" i="7"/>
  <c r="AW6" i="7"/>
  <c r="AB80" i="7"/>
  <c r="AW10" i="7"/>
  <c r="AW66" i="7"/>
  <c r="AW64" i="7"/>
  <c r="AB22" i="7"/>
  <c r="BE17" i="7"/>
  <c r="BE85" i="7"/>
  <c r="BE33" i="7"/>
  <c r="BE101" i="7"/>
  <c r="BE94" i="7"/>
  <c r="BE96" i="7"/>
  <c r="AB44" i="7"/>
  <c r="AB52" i="7"/>
  <c r="AW81" i="7"/>
  <c r="AW48" i="7"/>
  <c r="AK70" i="7"/>
  <c r="AK75" i="7"/>
  <c r="AK27" i="7"/>
  <c r="AK59" i="7"/>
  <c r="AK32" i="7"/>
  <c r="AK18" i="7"/>
  <c r="AK51" i="7"/>
  <c r="AK88" i="7"/>
  <c r="AK50" i="7"/>
  <c r="AK28" i="7"/>
  <c r="AK48" i="7"/>
  <c r="AK72" i="7"/>
  <c r="BE80" i="7"/>
  <c r="BE104" i="7"/>
  <c r="BE50" i="7"/>
  <c r="BE46" i="7"/>
  <c r="BE20" i="7"/>
  <c r="BE9" i="7"/>
  <c r="BE93" i="7"/>
  <c r="BE91" i="7"/>
  <c r="BE113" i="7"/>
  <c r="BE14" i="7"/>
  <c r="BE56" i="7"/>
  <c r="BE110" i="7"/>
  <c r="BE109" i="7"/>
  <c r="BE73" i="7"/>
  <c r="AB87" i="7"/>
  <c r="AB89" i="7"/>
  <c r="AB7" i="7"/>
  <c r="AB92" i="7"/>
  <c r="AB78" i="7"/>
  <c r="AB63" i="7"/>
  <c r="AW77" i="7"/>
  <c r="AW62" i="7"/>
  <c r="AW89" i="7"/>
  <c r="AW76" i="7"/>
  <c r="AW110" i="7"/>
  <c r="AW107" i="7"/>
  <c r="AW11" i="7"/>
  <c r="AW30" i="7"/>
  <c r="AW37" i="7"/>
  <c r="AW46" i="7"/>
  <c r="AW41" i="7"/>
  <c r="AW12" i="7"/>
  <c r="AW50" i="7"/>
  <c r="AW97" i="7"/>
  <c r="AK87" i="7"/>
  <c r="AK26" i="7"/>
  <c r="AK74" i="7"/>
  <c r="AK56" i="7"/>
  <c r="AK55" i="7"/>
  <c r="AK35" i="7"/>
  <c r="AK39" i="7"/>
  <c r="AK21" i="7"/>
  <c r="AK46" i="7"/>
  <c r="AK90" i="7"/>
  <c r="AK23" i="7"/>
  <c r="AK85" i="7"/>
  <c r="AK65" i="7"/>
  <c r="AK33" i="7"/>
  <c r="AK80" i="7"/>
  <c r="AK34" i="7"/>
  <c r="AK14" i="7"/>
  <c r="AK7" i="7"/>
  <c r="AK79" i="7"/>
  <c r="AK61" i="7"/>
  <c r="AK62" i="7"/>
  <c r="AK83" i="7"/>
  <c r="AC70" i="7"/>
  <c r="AC76" i="7"/>
  <c r="AC17" i="7"/>
  <c r="AC87" i="7"/>
  <c r="AC68" i="7"/>
  <c r="AC55" i="7"/>
  <c r="AC82" i="7"/>
  <c r="AC78" i="7"/>
  <c r="AC60" i="7"/>
  <c r="AC13" i="7"/>
  <c r="AC49" i="7"/>
  <c r="AC92" i="7"/>
  <c r="AC79" i="7"/>
  <c r="AC67" i="7"/>
  <c r="AC2" i="7"/>
  <c r="AC59" i="7" s="1"/>
  <c r="AC62" i="7"/>
  <c r="AC11" i="7"/>
  <c r="AC40" i="7"/>
  <c r="AD3" i="7"/>
  <c r="AC56" i="7"/>
  <c r="AC6" i="7"/>
  <c r="AC73" i="7"/>
  <c r="AC84" i="7"/>
  <c r="AC71" i="7"/>
  <c r="AC27" i="7"/>
  <c r="AC43" i="7"/>
  <c r="AC35" i="7"/>
  <c r="AC23" i="7"/>
  <c r="AC50" i="7"/>
  <c r="AC69" i="7"/>
  <c r="AC53" i="7"/>
  <c r="AC85" i="7"/>
  <c r="AM3" i="7"/>
  <c r="AL41" i="7"/>
  <c r="AL91" i="7"/>
  <c r="AL54" i="7"/>
  <c r="AL78" i="7"/>
  <c r="AL6" i="7"/>
  <c r="AL47" i="7"/>
  <c r="AL65" i="7"/>
  <c r="AL8" i="7"/>
  <c r="AL24" i="7"/>
  <c r="AL2" i="7"/>
  <c r="AL87" i="7" s="1"/>
  <c r="AL26" i="7"/>
  <c r="AL29" i="7"/>
  <c r="AL70" i="7"/>
  <c r="AL18" i="7"/>
  <c r="AL43" i="7"/>
  <c r="AL89" i="7"/>
  <c r="AL30" i="7"/>
  <c r="AL37" i="7"/>
  <c r="AL45" i="7"/>
  <c r="AL74" i="7"/>
  <c r="AL82" i="7"/>
  <c r="AL55" i="7"/>
  <c r="AL39" i="7"/>
  <c r="AL83" i="7"/>
  <c r="AL15" i="7"/>
  <c r="AL40" i="7"/>
  <c r="AL32" i="7"/>
  <c r="AL21" i="7"/>
  <c r="AL11" i="7"/>
  <c r="AL33" i="7"/>
  <c r="BE81" i="7"/>
  <c r="BE29" i="7"/>
  <c r="BE39" i="7"/>
  <c r="BE61" i="7"/>
  <c r="BE34" i="7"/>
  <c r="BE55" i="7"/>
  <c r="BE59" i="7"/>
  <c r="BE66" i="7"/>
  <c r="BE76" i="7"/>
  <c r="BE49" i="7"/>
  <c r="BE62" i="7"/>
  <c r="BE83" i="7"/>
  <c r="BE16" i="7"/>
  <c r="AB74" i="7"/>
  <c r="AB11" i="7"/>
  <c r="AB83" i="7"/>
  <c r="AB30" i="7"/>
  <c r="AB73" i="7"/>
  <c r="AB31" i="7"/>
  <c r="AB66" i="7"/>
  <c r="AB54" i="7"/>
  <c r="AB91" i="7"/>
  <c r="AB65" i="7"/>
  <c r="AB34" i="7"/>
  <c r="AB88" i="7"/>
  <c r="AW83" i="7"/>
  <c r="AW102" i="7"/>
  <c r="AW74" i="7"/>
  <c r="AW29" i="7"/>
  <c r="AW63" i="7"/>
  <c r="AW88" i="7"/>
  <c r="AW98" i="7"/>
  <c r="AW19" i="7"/>
  <c r="AW92" i="7"/>
  <c r="AW55" i="7"/>
  <c r="AW35" i="7"/>
  <c r="AW13" i="7"/>
  <c r="AW60" i="7"/>
  <c r="AK84" i="7"/>
  <c r="AK92" i="7"/>
  <c r="AK67" i="7"/>
  <c r="AK30" i="7"/>
  <c r="AK89" i="7"/>
  <c r="AK49" i="7"/>
  <c r="AK57" i="7"/>
  <c r="AK19" i="7"/>
  <c r="AK17" i="7"/>
  <c r="AK91" i="7"/>
  <c r="AW43" i="7"/>
  <c r="AW49" i="7"/>
  <c r="AW54" i="7"/>
  <c r="AW73" i="7"/>
  <c r="AK64" i="7"/>
  <c r="AK15" i="7"/>
  <c r="AK24" i="7"/>
  <c r="AK53" i="7"/>
  <c r="AK76" i="7"/>
  <c r="AK42" i="7"/>
  <c r="AK13" i="7"/>
  <c r="AK29" i="7"/>
  <c r="AK10" i="7"/>
  <c r="AK40" i="7"/>
  <c r="AK20" i="7"/>
  <c r="BG3" i="7"/>
  <c r="BF2" i="7"/>
  <c r="BF43" i="7" s="1"/>
  <c r="BF29" i="7"/>
  <c r="BF25" i="7"/>
  <c r="BF33" i="7"/>
  <c r="BF67" i="7"/>
  <c r="BF75" i="7"/>
  <c r="BF78" i="7"/>
  <c r="BF34" i="7"/>
  <c r="BF107" i="7"/>
  <c r="BF46" i="7"/>
  <c r="BF98" i="7"/>
  <c r="BF14" i="7"/>
  <c r="BF30" i="7"/>
  <c r="BF68" i="7"/>
  <c r="BF104" i="7"/>
  <c r="BF50" i="7"/>
  <c r="BF61" i="7"/>
  <c r="BF70" i="7"/>
  <c r="BF73" i="7"/>
  <c r="BF87" i="7"/>
  <c r="BF96" i="7"/>
  <c r="BF20" i="7"/>
  <c r="BF10" i="7"/>
  <c r="BF6" i="7"/>
  <c r="BF77" i="7"/>
  <c r="BF21" i="7"/>
  <c r="BF55" i="7"/>
  <c r="AY2" i="7"/>
  <c r="AX47" i="7"/>
  <c r="AX8" i="7"/>
  <c r="AX51" i="7"/>
  <c r="AX105" i="7"/>
  <c r="AX9" i="7"/>
  <c r="AX65" i="7"/>
  <c r="AX89" i="7"/>
  <c r="AX2" i="7"/>
  <c r="AX18" i="7" s="1"/>
  <c r="AX94" i="7"/>
  <c r="AX70" i="7"/>
  <c r="AX17" i="7"/>
  <c r="AX66" i="7"/>
  <c r="AX39" i="7"/>
  <c r="AX26" i="7"/>
  <c r="AX88" i="7"/>
  <c r="AX82" i="7"/>
  <c r="AX16" i="7"/>
  <c r="AX98" i="7"/>
  <c r="AX38" i="7"/>
  <c r="AX45" i="7"/>
  <c r="AX28" i="7"/>
  <c r="AX7" i="7"/>
  <c r="AX56" i="7"/>
  <c r="AX24" i="7"/>
  <c r="AX25" i="7"/>
  <c r="AX67" i="7"/>
  <c r="AX59" i="7"/>
  <c r="AX109" i="7"/>
  <c r="AX71" i="7"/>
  <c r="AX30" i="7"/>
  <c r="AX92" i="7"/>
  <c r="BE19" i="7"/>
  <c r="BE98" i="7"/>
  <c r="BE105" i="7"/>
  <c r="BE108" i="7"/>
  <c r="BE30" i="7"/>
  <c r="BE32" i="7"/>
  <c r="BE6" i="7"/>
  <c r="BE97" i="7"/>
  <c r="BE82" i="7"/>
  <c r="BE51" i="7"/>
  <c r="BE44" i="7"/>
  <c r="BE86" i="7"/>
  <c r="BE36" i="7"/>
  <c r="AB27" i="7"/>
  <c r="AB17" i="7"/>
  <c r="AB84" i="7"/>
  <c r="AB41" i="7"/>
  <c r="AB57" i="7"/>
  <c r="AB40" i="7"/>
  <c r="AB36" i="7"/>
  <c r="AB24" i="7"/>
  <c r="AB38" i="7"/>
  <c r="AB8" i="7"/>
  <c r="AB58" i="7"/>
  <c r="AW39" i="7"/>
  <c r="AW17" i="7"/>
  <c r="AW27" i="7"/>
  <c r="AW105" i="7"/>
  <c r="AW18" i="7"/>
  <c r="AW84" i="7"/>
  <c r="AW103" i="7"/>
  <c r="AW26" i="7"/>
  <c r="AW14" i="7"/>
  <c r="AW8" i="7"/>
  <c r="AW82" i="7"/>
  <c r="AW51" i="7"/>
  <c r="AW70" i="7"/>
  <c r="AK12" i="7"/>
  <c r="AK69" i="7"/>
  <c r="AK43" i="7"/>
  <c r="AK66" i="7"/>
  <c r="AK45" i="7"/>
  <c r="AK81" i="7"/>
  <c r="AK6" i="7"/>
  <c r="AK71" i="7"/>
  <c r="AK22" i="7"/>
  <c r="AK86" i="7"/>
  <c r="AK58" i="7"/>
  <c r="BE99" i="7"/>
  <c r="BE102" i="7"/>
  <c r="BE10" i="7"/>
  <c r="BE28" i="7"/>
  <c r="BE53" i="7"/>
  <c r="BE106" i="7"/>
  <c r="BE92" i="7"/>
  <c r="BE41" i="7"/>
  <c r="BE23" i="7"/>
  <c r="BE54" i="7"/>
  <c r="BE89" i="7"/>
  <c r="BE13" i="7"/>
  <c r="BE8" i="7"/>
  <c r="BE103" i="7"/>
  <c r="AB75" i="7"/>
  <c r="AB42" i="7"/>
  <c r="AB51" i="7"/>
  <c r="AB6" i="7"/>
  <c r="AB33" i="7"/>
  <c r="AB25" i="7"/>
  <c r="AB29" i="7"/>
  <c r="AB45" i="7"/>
  <c r="AB81" i="7"/>
  <c r="AW56" i="7"/>
  <c r="AW59" i="7"/>
  <c r="AW90" i="7"/>
  <c r="AW87" i="7"/>
  <c r="AW94" i="7"/>
  <c r="AW40" i="7"/>
  <c r="AW16" i="7"/>
  <c r="AW85" i="7"/>
  <c r="AW42" i="7"/>
  <c r="AW57" i="7"/>
  <c r="AW45" i="7"/>
  <c r="AW72" i="7"/>
  <c r="AW22" i="7"/>
  <c r="AK68" i="7"/>
  <c r="AK38" i="7"/>
  <c r="AK9" i="7"/>
  <c r="AK8" i="7"/>
  <c r="AK78" i="7"/>
  <c r="AK36" i="7"/>
  <c r="AK52" i="7"/>
  <c r="AK54" i="7"/>
  <c r="AK41" i="7"/>
  <c r="AK63" i="7"/>
  <c r="AX15" i="7" l="1"/>
  <c r="AX84" i="7"/>
  <c r="BF80" i="7"/>
  <c r="AX77" i="7"/>
  <c r="AX104" i="7"/>
  <c r="BF17" i="7"/>
  <c r="BF19" i="7"/>
  <c r="AX68" i="7"/>
  <c r="AX93" i="7"/>
  <c r="AX90" i="7"/>
  <c r="AX111" i="7"/>
  <c r="AX72" i="7"/>
  <c r="BF57" i="7"/>
  <c r="BF36" i="7"/>
  <c r="BF39" i="7"/>
  <c r="AL73" i="7"/>
  <c r="AL59" i="7"/>
  <c r="AL53" i="7"/>
  <c r="AC77" i="7"/>
  <c r="AC46" i="7"/>
  <c r="AX49" i="7"/>
  <c r="AX27" i="7"/>
  <c r="BF71" i="7"/>
  <c r="BF108" i="7"/>
  <c r="AX106" i="7"/>
  <c r="AX62" i="7"/>
  <c r="BF51" i="7"/>
  <c r="AL60" i="7"/>
  <c r="AL92" i="7"/>
  <c r="AL79" i="7"/>
  <c r="AX11" i="7"/>
  <c r="AX23" i="7"/>
  <c r="AX63" i="7"/>
  <c r="AX44" i="7"/>
  <c r="AX103" i="7"/>
  <c r="BF92" i="7"/>
  <c r="BF7" i="7"/>
  <c r="BF82" i="7"/>
  <c r="AL42" i="7"/>
  <c r="AL49" i="7"/>
  <c r="AL25" i="7"/>
  <c r="AC28" i="7"/>
  <c r="AC86" i="7"/>
  <c r="BF37" i="7"/>
  <c r="AX74" i="7"/>
  <c r="AX43" i="7"/>
  <c r="BF90" i="7"/>
  <c r="AX83" i="7"/>
  <c r="AX81" i="7"/>
  <c r="BF100" i="7"/>
  <c r="AL67" i="7"/>
  <c r="AX58" i="7"/>
  <c r="AX55" i="7"/>
  <c r="BF97" i="7"/>
  <c r="BF38" i="7"/>
  <c r="BF91" i="7"/>
  <c r="BF8" i="7"/>
  <c r="AL63" i="7"/>
  <c r="AX102" i="7"/>
  <c r="BF26" i="7"/>
  <c r="BF111" i="7"/>
  <c r="AL23" i="7"/>
  <c r="AX10" i="7"/>
  <c r="AX64" i="7"/>
  <c r="AX54" i="7"/>
  <c r="AX108" i="7"/>
  <c r="BF113" i="7"/>
  <c r="BF23" i="7"/>
  <c r="BF42" i="7"/>
  <c r="BF105" i="7"/>
  <c r="AL17" i="7"/>
  <c r="AL75" i="7"/>
  <c r="AC65" i="7"/>
  <c r="AC44" i="7"/>
  <c r="AC30" i="7"/>
  <c r="BF81" i="7"/>
  <c r="AX20" i="7"/>
  <c r="BF16" i="7"/>
  <c r="BF86" i="7"/>
  <c r="BF102" i="7"/>
  <c r="AL31" i="7"/>
  <c r="AX101" i="7"/>
  <c r="AX78" i="7"/>
  <c r="AX14" i="7"/>
  <c r="BF72" i="7"/>
  <c r="AX35" i="7"/>
  <c r="AX110" i="7"/>
  <c r="BF84" i="7"/>
  <c r="BF103" i="7"/>
  <c r="AL52" i="7"/>
  <c r="AC63" i="7"/>
  <c r="AC33" i="7"/>
  <c r="AX100" i="7"/>
  <c r="AX6" i="7"/>
  <c r="AX76" i="7"/>
  <c r="AX95" i="7"/>
  <c r="BF101" i="7"/>
  <c r="BF45" i="7"/>
  <c r="BF109" i="7"/>
  <c r="BF88" i="7"/>
  <c r="AL20" i="7"/>
  <c r="AL90" i="7"/>
  <c r="AL34" i="7"/>
  <c r="AC58" i="7"/>
  <c r="AC57" i="7"/>
  <c r="AC42" i="7"/>
  <c r="BF11" i="7"/>
  <c r="AX33" i="7"/>
  <c r="BF79" i="7"/>
  <c r="AX85" i="7"/>
  <c r="AL51" i="7"/>
  <c r="AX97" i="7"/>
  <c r="AC89" i="7"/>
  <c r="AX73" i="7"/>
  <c r="BF83" i="7"/>
  <c r="AL57" i="7"/>
  <c r="AC90" i="7"/>
  <c r="AX50" i="7"/>
  <c r="AX87" i="7"/>
  <c r="AX60" i="7"/>
  <c r="AX113" i="7"/>
  <c r="BF94" i="7"/>
  <c r="BF9" i="7"/>
  <c r="BF95" i="7"/>
  <c r="BF99" i="7"/>
  <c r="AL7" i="7"/>
  <c r="AL80" i="7"/>
  <c r="AL72" i="7"/>
  <c r="AC45" i="7"/>
  <c r="AC52" i="7"/>
  <c r="AX52" i="7"/>
  <c r="BF52" i="7"/>
  <c r="AX86" i="7"/>
  <c r="AX22" i="7"/>
  <c r="BF69" i="7"/>
  <c r="BF60" i="7"/>
  <c r="BF58" i="7"/>
  <c r="BF12" i="7"/>
  <c r="AL44" i="7"/>
  <c r="AX57" i="7"/>
  <c r="AX37" i="7"/>
  <c r="BF41" i="7"/>
  <c r="BF47" i="7"/>
  <c r="AX96" i="7"/>
  <c r="AL36" i="7"/>
  <c r="AX75" i="7"/>
  <c r="BF15" i="7"/>
  <c r="AL14" i="7"/>
  <c r="AX61" i="7"/>
  <c r="BF66" i="7"/>
  <c r="AX53" i="7"/>
  <c r="AX41" i="7"/>
  <c r="AX42" i="7"/>
  <c r="AX32" i="7"/>
  <c r="BF89" i="7"/>
  <c r="BF54" i="7"/>
  <c r="BF65" i="7"/>
  <c r="AL10" i="7"/>
  <c r="AL9" i="7"/>
  <c r="AL64" i="7"/>
  <c r="AC37" i="7"/>
  <c r="AC25" i="7"/>
  <c r="AC81" i="7"/>
  <c r="AC54" i="7"/>
  <c r="AC19" i="7"/>
  <c r="AD6" i="7"/>
  <c r="AD65" i="7"/>
  <c r="AD49" i="7"/>
  <c r="AD70" i="7"/>
  <c r="AD13" i="7"/>
  <c r="AD71" i="7"/>
  <c r="AD10" i="7"/>
  <c r="AE2" i="7"/>
  <c r="AD35" i="7"/>
  <c r="AD2" i="7"/>
  <c r="AD16" i="7" s="1"/>
  <c r="AD27" i="7"/>
  <c r="AD68" i="7"/>
  <c r="AD43" i="7"/>
  <c r="AD60" i="7"/>
  <c r="AD38" i="7"/>
  <c r="AD54" i="7"/>
  <c r="AD62" i="7"/>
  <c r="AD90" i="7"/>
  <c r="AD9" i="7"/>
  <c r="AL69" i="7"/>
  <c r="AL84" i="7"/>
  <c r="AC36" i="7"/>
  <c r="AC20" i="7"/>
  <c r="AC66" i="7"/>
  <c r="AC51" i="7"/>
  <c r="AC74" i="7"/>
  <c r="AC34" i="7"/>
  <c r="AC32" i="7"/>
  <c r="AC93" i="7"/>
  <c r="AY106" i="7"/>
  <c r="AY107" i="7"/>
  <c r="AY74" i="7"/>
  <c r="AY97" i="7"/>
  <c r="AY79" i="7"/>
  <c r="AY68" i="7"/>
  <c r="AY55" i="7"/>
  <c r="AY70" i="7"/>
  <c r="AY63" i="7"/>
  <c r="AY42" i="7"/>
  <c r="AY37" i="7"/>
  <c r="AY56" i="7"/>
  <c r="AY13" i="7"/>
  <c r="AY14" i="7"/>
  <c r="AY113" i="7"/>
  <c r="AY81" i="7"/>
  <c r="AY82" i="7"/>
  <c r="AY54" i="7"/>
  <c r="AY96" i="7"/>
  <c r="AY92" i="7"/>
  <c r="AY75" i="7"/>
  <c r="AY91" i="7"/>
  <c r="AY48" i="7"/>
  <c r="AY27" i="7"/>
  <c r="AY8" i="7"/>
  <c r="AY12" i="7"/>
  <c r="AY20" i="7"/>
  <c r="AY22" i="7"/>
  <c r="AY111" i="7"/>
  <c r="AY67" i="7"/>
  <c r="AY69" i="7"/>
  <c r="AY84" i="7"/>
  <c r="AY76" i="7"/>
  <c r="AY50" i="7"/>
  <c r="AY19" i="7"/>
  <c r="AY21" i="7"/>
  <c r="AY36" i="7"/>
  <c r="AY18" i="7"/>
  <c r="AY98" i="7"/>
  <c r="AY90" i="7"/>
  <c r="AY105" i="7"/>
  <c r="AY112" i="7"/>
  <c r="AY53" i="7"/>
  <c r="AY77" i="7"/>
  <c r="AY45" i="7"/>
  <c r="AY11" i="7"/>
  <c r="AY59" i="7"/>
  <c r="AY33" i="7"/>
  <c r="AY89" i="7"/>
  <c r="AY66" i="7"/>
  <c r="AY73" i="7"/>
  <c r="AY71" i="7"/>
  <c r="AY43" i="7"/>
  <c r="AY15" i="7"/>
  <c r="AY31" i="7"/>
  <c r="AY10" i="7"/>
  <c r="AY94" i="7"/>
  <c r="AZ2" i="7"/>
  <c r="AY87" i="7"/>
  <c r="AY49" i="7"/>
  <c r="AY64" i="7"/>
  <c r="AY24" i="7"/>
  <c r="AY39" i="7"/>
  <c r="AY30" i="7"/>
  <c r="AY110" i="7"/>
  <c r="AY86" i="7"/>
  <c r="AY72" i="7"/>
  <c r="AY61" i="7"/>
  <c r="AY51" i="7"/>
  <c r="AY35" i="7"/>
  <c r="AY26" i="7"/>
  <c r="AY25" i="7"/>
  <c r="AY95" i="7"/>
  <c r="AY80" i="7"/>
  <c r="AY65" i="7"/>
  <c r="AY100" i="7"/>
  <c r="AY40" i="7"/>
  <c r="AY34" i="7"/>
  <c r="AY9" i="7"/>
  <c r="AY99" i="7"/>
  <c r="AY88" i="7"/>
  <c r="AY93" i="7"/>
  <c r="AY44" i="7"/>
  <c r="AY41" i="7"/>
  <c r="AY29" i="7"/>
  <c r="AY17" i="7"/>
  <c r="AY62" i="7"/>
  <c r="AY83" i="7"/>
  <c r="AY28" i="7"/>
  <c r="AY78" i="7"/>
  <c r="AY52" i="7"/>
  <c r="AY23" i="7"/>
  <c r="AY103" i="7"/>
  <c r="AY60" i="7"/>
  <c r="AY16" i="7"/>
  <c r="AY102" i="7"/>
  <c r="AY101" i="7"/>
  <c r="AY7" i="7"/>
  <c r="AY46" i="7"/>
  <c r="AY47" i="7"/>
  <c r="AY57" i="7"/>
  <c r="AY38" i="7"/>
  <c r="AY109" i="7"/>
  <c r="AY104" i="7"/>
  <c r="AY6" i="7"/>
  <c r="AY58" i="7"/>
  <c r="AY108" i="7"/>
  <c r="AY32" i="7"/>
  <c r="AY85" i="7"/>
  <c r="AX46" i="7"/>
  <c r="AX19" i="7"/>
  <c r="AX12" i="7"/>
  <c r="AX107" i="7"/>
  <c r="AX36" i="7"/>
  <c r="BF53" i="7"/>
  <c r="BF85" i="7"/>
  <c r="BF63" i="7"/>
  <c r="BF49" i="7"/>
  <c r="BF44" i="7"/>
  <c r="BF56" i="7"/>
  <c r="BF31" i="7"/>
  <c r="BF48" i="7"/>
  <c r="BF112" i="7"/>
  <c r="BF24" i="7"/>
  <c r="BF13" i="7"/>
  <c r="BF59" i="7"/>
  <c r="BF32" i="7"/>
  <c r="AL61" i="7"/>
  <c r="AL35" i="7"/>
  <c r="AL46" i="7"/>
  <c r="AL19" i="7"/>
  <c r="AL86" i="7"/>
  <c r="AL66" i="7"/>
  <c r="AL38" i="7"/>
  <c r="AL56" i="7"/>
  <c r="AL13" i="7"/>
  <c r="AL27" i="7"/>
  <c r="AL22" i="7"/>
  <c r="AC14" i="7"/>
  <c r="AC64" i="7"/>
  <c r="AC41" i="7"/>
  <c r="AC24" i="7"/>
  <c r="AC29" i="7"/>
  <c r="AC31" i="7"/>
  <c r="AC26" i="7"/>
  <c r="AC47" i="7"/>
  <c r="AC10" i="7"/>
  <c r="AC9" i="7"/>
  <c r="AC61" i="7"/>
  <c r="AM2" i="7"/>
  <c r="AM31" i="7" s="1"/>
  <c r="AM25" i="7"/>
  <c r="AM67" i="7"/>
  <c r="AM16" i="7"/>
  <c r="AM82" i="7"/>
  <c r="AM51" i="7"/>
  <c r="AM54" i="7"/>
  <c r="AM50" i="7"/>
  <c r="AM92" i="7"/>
  <c r="AM20" i="7"/>
  <c r="AM76" i="7"/>
  <c r="AN2" i="7"/>
  <c r="AM85" i="7"/>
  <c r="AM56" i="7"/>
  <c r="AM34" i="7"/>
  <c r="AM62" i="7"/>
  <c r="AM53" i="7"/>
  <c r="AM45" i="7"/>
  <c r="AM36" i="7"/>
  <c r="AM30" i="7"/>
  <c r="BF22" i="7"/>
  <c r="AL28" i="7"/>
  <c r="AL68" i="7"/>
  <c r="AL50" i="7"/>
  <c r="AL88" i="7"/>
  <c r="AC39" i="7"/>
  <c r="AC22" i="7"/>
  <c r="AC75" i="7"/>
  <c r="AC18" i="7"/>
  <c r="AC7" i="7"/>
  <c r="AC15" i="7"/>
  <c r="AC83" i="7"/>
  <c r="BG84" i="7"/>
  <c r="BG75" i="7"/>
  <c r="BG101" i="7"/>
  <c r="BG27" i="7"/>
  <c r="BG109" i="7"/>
  <c r="BG111" i="7"/>
  <c r="BH3" i="7"/>
  <c r="BG71" i="7"/>
  <c r="BG69" i="7"/>
  <c r="BG98" i="7"/>
  <c r="BG42" i="7"/>
  <c r="BG24" i="7"/>
  <c r="BG43" i="7"/>
  <c r="BG102" i="7"/>
  <c r="BG91" i="7"/>
  <c r="BG80" i="7"/>
  <c r="BG89" i="7"/>
  <c r="BG29" i="7"/>
  <c r="BG105" i="7"/>
  <c r="BG54" i="7"/>
  <c r="BG64" i="7"/>
  <c r="BG33" i="7"/>
  <c r="BG108" i="7"/>
  <c r="BG41" i="7"/>
  <c r="BG6" i="7"/>
  <c r="BG28" i="7"/>
  <c r="BG99" i="7"/>
  <c r="BG10" i="7"/>
  <c r="BG110" i="7"/>
  <c r="BG13" i="7"/>
  <c r="BG97" i="7"/>
  <c r="BG2" i="7"/>
  <c r="BG12" i="7" s="1"/>
  <c r="BG50" i="7"/>
  <c r="BG79" i="7"/>
  <c r="BG32" i="7"/>
  <c r="BG8" i="7"/>
  <c r="BG70" i="7"/>
  <c r="BG55" i="7"/>
  <c r="BG49" i="7"/>
  <c r="BG19" i="7"/>
  <c r="BG47" i="7"/>
  <c r="BG11" i="7"/>
  <c r="BG86" i="7"/>
  <c r="BG45" i="7"/>
  <c r="BG107" i="7"/>
  <c r="BG63" i="7"/>
  <c r="BG15" i="7"/>
  <c r="BG90" i="7"/>
  <c r="BG103" i="7"/>
  <c r="BG96" i="7"/>
  <c r="BG68" i="7"/>
  <c r="BG95" i="7"/>
  <c r="BG9" i="7"/>
  <c r="BG7" i="7"/>
  <c r="AX79" i="7"/>
  <c r="AX29" i="7"/>
  <c r="AX80" i="7"/>
  <c r="AX112" i="7"/>
  <c r="AX21" i="7"/>
  <c r="AX13" i="7"/>
  <c r="AX34" i="7"/>
  <c r="AX48" i="7"/>
  <c r="AX91" i="7"/>
  <c r="AX69" i="7"/>
  <c r="AX31" i="7"/>
  <c r="AX99" i="7"/>
  <c r="AX40" i="7"/>
  <c r="BF106" i="7"/>
  <c r="BF62" i="7"/>
  <c r="BF74" i="7"/>
  <c r="BF64" i="7"/>
  <c r="BF27" i="7"/>
  <c r="BF18" i="7"/>
  <c r="BF93" i="7"/>
  <c r="BF40" i="7"/>
  <c r="BF76" i="7"/>
  <c r="BF28" i="7"/>
  <c r="BF35" i="7"/>
  <c r="BF110" i="7"/>
  <c r="AL16" i="7"/>
  <c r="AL62" i="7"/>
  <c r="AL71" i="7"/>
  <c r="AL85" i="7"/>
  <c r="AL76" i="7"/>
  <c r="AL77" i="7"/>
  <c r="AL58" i="7"/>
  <c r="AL93" i="7"/>
  <c r="AL12" i="7"/>
  <c r="AL81" i="7"/>
  <c r="AL48" i="7"/>
  <c r="AC72" i="7"/>
  <c r="AC91" i="7"/>
  <c r="AC12" i="7"/>
  <c r="AC48" i="7"/>
  <c r="AC80" i="7"/>
  <c r="AC21" i="7"/>
  <c r="AC16" i="7"/>
  <c r="AC38" i="7"/>
  <c r="AC8" i="7"/>
  <c r="AC88" i="7"/>
  <c r="AM78" i="7" l="1"/>
  <c r="AD80" i="7"/>
  <c r="AM27" i="7"/>
  <c r="AM59" i="7"/>
  <c r="AM83" i="7"/>
  <c r="AM88" i="7"/>
  <c r="AD44" i="7"/>
  <c r="AM24" i="7"/>
  <c r="AM89" i="7"/>
  <c r="AM55" i="7"/>
  <c r="AM35" i="7"/>
  <c r="AM19" i="7"/>
  <c r="AM70" i="7"/>
  <c r="AM91" i="7"/>
  <c r="AD78" i="7"/>
  <c r="AM68" i="7"/>
  <c r="BG65" i="7"/>
  <c r="BG25" i="7"/>
  <c r="BG46" i="7"/>
  <c r="AM46" i="7"/>
  <c r="AM61" i="7"/>
  <c r="AD23" i="7"/>
  <c r="AM49" i="7"/>
  <c r="BG20" i="7"/>
  <c r="AM69" i="7"/>
  <c r="AM58" i="7"/>
  <c r="AD47" i="7"/>
  <c r="AM41" i="7"/>
  <c r="AM71" i="7"/>
  <c r="AM14" i="7"/>
  <c r="AD77" i="7"/>
  <c r="AD22" i="7"/>
  <c r="BG92" i="7"/>
  <c r="BG81" i="7"/>
  <c r="BG56" i="7"/>
  <c r="AM57" i="7"/>
  <c r="AM65" i="7"/>
  <c r="AD69" i="7"/>
  <c r="BI2" i="7"/>
  <c r="BH79" i="7"/>
  <c r="BH32" i="7"/>
  <c r="BH12" i="7"/>
  <c r="BH90" i="7"/>
  <c r="BH110" i="7"/>
  <c r="BH2" i="7"/>
  <c r="BH24" i="7" s="1"/>
  <c r="BH59" i="7"/>
  <c r="BH39" i="7"/>
  <c r="BH62" i="7"/>
  <c r="BH95" i="7"/>
  <c r="BH51" i="7"/>
  <c r="BH88" i="7"/>
  <c r="BH18" i="7"/>
  <c r="BH97" i="7"/>
  <c r="BH86" i="7"/>
  <c r="BH100" i="7"/>
  <c r="BH89" i="7"/>
  <c r="BH29" i="7"/>
  <c r="BH63" i="7"/>
  <c r="BH47" i="7"/>
  <c r="AD37" i="7"/>
  <c r="AD59" i="7"/>
  <c r="AD61" i="7"/>
  <c r="AD17" i="7"/>
  <c r="AD64" i="7"/>
  <c r="AD92" i="7"/>
  <c r="AD86" i="7"/>
  <c r="BG17" i="7"/>
  <c r="BG87" i="7"/>
  <c r="BG85" i="7"/>
  <c r="BG112" i="7"/>
  <c r="BG61" i="7"/>
  <c r="BG104" i="7"/>
  <c r="BG52" i="7"/>
  <c r="BG93" i="7"/>
  <c r="BG37" i="7"/>
  <c r="BG40" i="7"/>
  <c r="BG72" i="7"/>
  <c r="BG18" i="7"/>
  <c r="BG35" i="7"/>
  <c r="BG44" i="7"/>
  <c r="AM48" i="7"/>
  <c r="AM7" i="7"/>
  <c r="AM8" i="7"/>
  <c r="AM33" i="7"/>
  <c r="AM23" i="7"/>
  <c r="AM10" i="7"/>
  <c r="AM13" i="7"/>
  <c r="AM18" i="7"/>
  <c r="AM77" i="7"/>
  <c r="AM84" i="7"/>
  <c r="AM28" i="7"/>
  <c r="AD42" i="7"/>
  <c r="AD79" i="7"/>
  <c r="AD67" i="7"/>
  <c r="AD73" i="7"/>
  <c r="AD45" i="7"/>
  <c r="AD84" i="7"/>
  <c r="AD81" i="7"/>
  <c r="AD36" i="7"/>
  <c r="AD66" i="7"/>
  <c r="AD32" i="7"/>
  <c r="AD15" i="7"/>
  <c r="AD40" i="7"/>
  <c r="AD89" i="7"/>
  <c r="AD41" i="7"/>
  <c r="AD28" i="7"/>
  <c r="AD63" i="7"/>
  <c r="AD14" i="7"/>
  <c r="AD51" i="7"/>
  <c r="AD11" i="7"/>
  <c r="AD85" i="7"/>
  <c r="AD21" i="7"/>
  <c r="AD48" i="7"/>
  <c r="AD57" i="7"/>
  <c r="AD26" i="7"/>
  <c r="BG38" i="7"/>
  <c r="AM29" i="7"/>
  <c r="AD83" i="7"/>
  <c r="AD55" i="7"/>
  <c r="AD46" i="7"/>
  <c r="AD31" i="7"/>
  <c r="AD82" i="7"/>
  <c r="AD75" i="7"/>
  <c r="AD50" i="7"/>
  <c r="AD87" i="7"/>
  <c r="AD91" i="7"/>
  <c r="AD88" i="7"/>
  <c r="AD39" i="7"/>
  <c r="AZ105" i="7"/>
  <c r="AZ72" i="7"/>
  <c r="AZ81" i="7"/>
  <c r="AZ66" i="7"/>
  <c r="AZ64" i="7"/>
  <c r="AZ45" i="7"/>
  <c r="AZ57" i="7"/>
  <c r="AZ56" i="7"/>
  <c r="AZ82" i="7"/>
  <c r="AZ38" i="7"/>
  <c r="AZ47" i="7"/>
  <c r="AZ12" i="7"/>
  <c r="AZ80" i="7"/>
  <c r="AZ89" i="7"/>
  <c r="AZ75" i="7"/>
  <c r="AZ74" i="7"/>
  <c r="AZ78" i="7"/>
  <c r="AZ96" i="7"/>
  <c r="AZ90" i="7"/>
  <c r="AZ17" i="7"/>
  <c r="AZ49" i="7"/>
  <c r="AZ69" i="7"/>
  <c r="AZ52" i="7"/>
  <c r="AZ84" i="7"/>
  <c r="AZ94" i="7"/>
  <c r="AZ83" i="7"/>
  <c r="AZ42" i="7"/>
  <c r="AZ86" i="7"/>
  <c r="AZ23" i="7"/>
  <c r="AZ20" i="7"/>
  <c r="AZ21" i="7"/>
  <c r="AZ61" i="7"/>
  <c r="AZ99" i="7"/>
  <c r="AZ7" i="7"/>
  <c r="AZ112" i="7"/>
  <c r="AZ68" i="7"/>
  <c r="AZ91" i="7"/>
  <c r="AZ111" i="7"/>
  <c r="AZ55" i="7"/>
  <c r="AZ33" i="7"/>
  <c r="AZ34" i="7"/>
  <c r="AZ11" i="7"/>
  <c r="AZ76" i="7"/>
  <c r="AZ100" i="7"/>
  <c r="AZ60" i="7"/>
  <c r="AZ27" i="7"/>
  <c r="AZ37" i="7"/>
  <c r="AZ43" i="7"/>
  <c r="AZ15" i="7"/>
  <c r="AZ88" i="7"/>
  <c r="AZ108" i="7"/>
  <c r="AZ71" i="7"/>
  <c r="AZ31" i="7"/>
  <c r="AZ41" i="7"/>
  <c r="AZ79" i="7"/>
  <c r="AZ6" i="7"/>
  <c r="AZ97" i="7"/>
  <c r="AZ85" i="7"/>
  <c r="AZ50" i="7"/>
  <c r="AZ39" i="7"/>
  <c r="AZ28" i="7"/>
  <c r="AZ53" i="7"/>
  <c r="AZ48" i="7"/>
  <c r="AZ9" i="7"/>
  <c r="AZ109" i="7"/>
  <c r="AZ58" i="7"/>
  <c r="AZ36" i="7"/>
  <c r="AZ22" i="7"/>
  <c r="AZ67" i="7"/>
  <c r="AZ40" i="7"/>
  <c r="AZ26" i="7"/>
  <c r="AZ77" i="7"/>
  <c r="AZ35" i="7"/>
  <c r="AZ107" i="7"/>
  <c r="AZ113" i="7"/>
  <c r="AZ103" i="7"/>
  <c r="AZ44" i="7"/>
  <c r="AZ98" i="7"/>
  <c r="AZ63" i="7"/>
  <c r="AZ65" i="7"/>
  <c r="AZ13" i="7"/>
  <c r="AZ102" i="7"/>
  <c r="AZ95" i="7"/>
  <c r="AZ87" i="7"/>
  <c r="AZ8" i="7"/>
  <c r="AZ110" i="7"/>
  <c r="AZ25" i="7"/>
  <c r="AZ93" i="7"/>
  <c r="AZ101" i="7"/>
  <c r="AZ10" i="7"/>
  <c r="AZ54" i="7"/>
  <c r="AZ18" i="7"/>
  <c r="AZ59" i="7"/>
  <c r="AZ32" i="7"/>
  <c r="AZ46" i="7"/>
  <c r="AZ24" i="7"/>
  <c r="AZ19" i="7"/>
  <c r="AZ73" i="7"/>
  <c r="AZ106" i="7"/>
  <c r="AZ30" i="7"/>
  <c r="AZ104" i="7"/>
  <c r="AZ51" i="7"/>
  <c r="AZ29" i="7"/>
  <c r="AZ70" i="7"/>
  <c r="AZ16" i="7"/>
  <c r="AZ62" i="7"/>
  <c r="AZ14" i="7"/>
  <c r="AZ92" i="7"/>
  <c r="BA2" i="7"/>
  <c r="AE91" i="7"/>
  <c r="AE96" i="7"/>
  <c r="AE113" i="7"/>
  <c r="AE82" i="7"/>
  <c r="AE110" i="7"/>
  <c r="AE63" i="7"/>
  <c r="AE62" i="7"/>
  <c r="AE109" i="7"/>
  <c r="AE42" i="7"/>
  <c r="AE34" i="7"/>
  <c r="AE39" i="7"/>
  <c r="AE30" i="7"/>
  <c r="AE44" i="7"/>
  <c r="AE83" i="7"/>
  <c r="AE88" i="7"/>
  <c r="AE56" i="7"/>
  <c r="AE81" i="7"/>
  <c r="AE73" i="7"/>
  <c r="AE78" i="7"/>
  <c r="AE50" i="7"/>
  <c r="AE41" i="7"/>
  <c r="AE13" i="7"/>
  <c r="AE28" i="7"/>
  <c r="AE7" i="7"/>
  <c r="AE8" i="7"/>
  <c r="AE95" i="7"/>
  <c r="AE93" i="7"/>
  <c r="AE64" i="7"/>
  <c r="AE97" i="7"/>
  <c r="AE71" i="7"/>
  <c r="AE46" i="7"/>
  <c r="AE52" i="7"/>
  <c r="AE48" i="7"/>
  <c r="AE26" i="7"/>
  <c r="AE23" i="7"/>
  <c r="AE15" i="7"/>
  <c r="AE16" i="7"/>
  <c r="AE99" i="7"/>
  <c r="AE100" i="7"/>
  <c r="AE69" i="7"/>
  <c r="AE105" i="7"/>
  <c r="AE86" i="7"/>
  <c r="AE47" i="7"/>
  <c r="AE58" i="7"/>
  <c r="AE53" i="7"/>
  <c r="AE10" i="7"/>
  <c r="AE31" i="7"/>
  <c r="AE19" i="7"/>
  <c r="AE24" i="7"/>
  <c r="AE108" i="7"/>
  <c r="AE106" i="7"/>
  <c r="AE94" i="7"/>
  <c r="AE43" i="7"/>
  <c r="AE61" i="7"/>
  <c r="AE20" i="7"/>
  <c r="AE35" i="7"/>
  <c r="AE112" i="7"/>
  <c r="AE60" i="7"/>
  <c r="AE102" i="7"/>
  <c r="AE54" i="7"/>
  <c r="AE57" i="7"/>
  <c r="AE36" i="7"/>
  <c r="AE11" i="7"/>
  <c r="AE79" i="7"/>
  <c r="AE72" i="7"/>
  <c r="AE68" i="7"/>
  <c r="AE85" i="7"/>
  <c r="AE77" i="7"/>
  <c r="AE9" i="7"/>
  <c r="AE22" i="7"/>
  <c r="AE103" i="7"/>
  <c r="AE80" i="7"/>
  <c r="AE89" i="7"/>
  <c r="AE55" i="7"/>
  <c r="AE49" i="7"/>
  <c r="AE14" i="7"/>
  <c r="AE25" i="7"/>
  <c r="AE12" i="7"/>
  <c r="AE92" i="7"/>
  <c r="AE67" i="7"/>
  <c r="AE29" i="7"/>
  <c r="AE40" i="7"/>
  <c r="AE104" i="7"/>
  <c r="AE70" i="7"/>
  <c r="AE37" i="7"/>
  <c r="AE27" i="7"/>
  <c r="AE87" i="7"/>
  <c r="AE75" i="7"/>
  <c r="AE101" i="7"/>
  <c r="AE38" i="7"/>
  <c r="AE98" i="7"/>
  <c r="AE6" i="7"/>
  <c r="AE107" i="7"/>
  <c r="AE74" i="7"/>
  <c r="AE45" i="7"/>
  <c r="AE33" i="7"/>
  <c r="AE111" i="7"/>
  <c r="AE90" i="7"/>
  <c r="AE65" i="7"/>
  <c r="AE18" i="7"/>
  <c r="AE66" i="7"/>
  <c r="AE51" i="7"/>
  <c r="AE59" i="7"/>
  <c r="AE76" i="7"/>
  <c r="AE32" i="7"/>
  <c r="AE17" i="7"/>
  <c r="AE21" i="7"/>
  <c r="AE84" i="7"/>
  <c r="AF2" i="7"/>
  <c r="BG77" i="7"/>
  <c r="BG88" i="7"/>
  <c r="BG16" i="7"/>
  <c r="BG23" i="7"/>
  <c r="AM74" i="7"/>
  <c r="AM81" i="7"/>
  <c r="AM80" i="7"/>
  <c r="AM75" i="7"/>
  <c r="AM66" i="7"/>
  <c r="AM72" i="7"/>
  <c r="AM17" i="7"/>
  <c r="BG106" i="7"/>
  <c r="BG53" i="7"/>
  <c r="BG66" i="7"/>
  <c r="BG74" i="7"/>
  <c r="BG51" i="7"/>
  <c r="BG39" i="7"/>
  <c r="BG22" i="7"/>
  <c r="BG78" i="7"/>
  <c r="BG82" i="7"/>
  <c r="BG100" i="7"/>
  <c r="BG94" i="7"/>
  <c r="BG83" i="7"/>
  <c r="BG76" i="7"/>
  <c r="BG73" i="7"/>
  <c r="AM90" i="7"/>
  <c r="AM73" i="7"/>
  <c r="AM37" i="7"/>
  <c r="AM93" i="7"/>
  <c r="AM9" i="7"/>
  <c r="AM44" i="7"/>
  <c r="AM40" i="7"/>
  <c r="AM15" i="7"/>
  <c r="AM79" i="7"/>
  <c r="AM6" i="7"/>
  <c r="AM86" i="7"/>
  <c r="AD30" i="7"/>
  <c r="AD56" i="7"/>
  <c r="AD93" i="7"/>
  <c r="AD24" i="7"/>
  <c r="AD18" i="7"/>
  <c r="AD34" i="7"/>
  <c r="AD19" i="7"/>
  <c r="AD72" i="7"/>
  <c r="AD58" i="7"/>
  <c r="AD74" i="7"/>
  <c r="AN78" i="7"/>
  <c r="AN75" i="7"/>
  <c r="AN56" i="7"/>
  <c r="AN62" i="7"/>
  <c r="AN37" i="7"/>
  <c r="AN55" i="7"/>
  <c r="AN43" i="7"/>
  <c r="AN50" i="7"/>
  <c r="AN28" i="7"/>
  <c r="AN16" i="7"/>
  <c r="AN6" i="7"/>
  <c r="AN87" i="7"/>
  <c r="AN64" i="7"/>
  <c r="AN66" i="7"/>
  <c r="AN33" i="7"/>
  <c r="AN34" i="7"/>
  <c r="AN31" i="7"/>
  <c r="AN47" i="7"/>
  <c r="AN42" i="7"/>
  <c r="AN14" i="7"/>
  <c r="AN91" i="7"/>
  <c r="AN72" i="7"/>
  <c r="AN77" i="7"/>
  <c r="AN41" i="7"/>
  <c r="AN38" i="7"/>
  <c r="AN35" i="7"/>
  <c r="AN59" i="7"/>
  <c r="AN46" i="7"/>
  <c r="AN9" i="7"/>
  <c r="AN70" i="7"/>
  <c r="AN81" i="7"/>
  <c r="AN68" i="7"/>
  <c r="AN61" i="7"/>
  <c r="AN73" i="7"/>
  <c r="AN51" i="7"/>
  <c r="AN49" i="7"/>
  <c r="AN20" i="7"/>
  <c r="AN17" i="7"/>
  <c r="AN7" i="7"/>
  <c r="AN74" i="7"/>
  <c r="AN89" i="7"/>
  <c r="AN44" i="7"/>
  <c r="AN67" i="7"/>
  <c r="AN88" i="7"/>
  <c r="AN57" i="7"/>
  <c r="AN53" i="7"/>
  <c r="AN24" i="7"/>
  <c r="AN8" i="7"/>
  <c r="AN11" i="7"/>
  <c r="AN82" i="7"/>
  <c r="AN71" i="7"/>
  <c r="AN48" i="7"/>
  <c r="AN84" i="7"/>
  <c r="AN21" i="7"/>
  <c r="AN22" i="7"/>
  <c r="AN19" i="7"/>
  <c r="AN32" i="7"/>
  <c r="AN12" i="7"/>
  <c r="AN15" i="7"/>
  <c r="AN90" i="7"/>
  <c r="AN65" i="7"/>
  <c r="AN26" i="7"/>
  <c r="AN80" i="7"/>
  <c r="AN52" i="7"/>
  <c r="AN30" i="7"/>
  <c r="AN76" i="7"/>
  <c r="AN60" i="7"/>
  <c r="AN63" i="7"/>
  <c r="AN36" i="7"/>
  <c r="AN79" i="7"/>
  <c r="AN29" i="7"/>
  <c r="AN45" i="7"/>
  <c r="AN85" i="7"/>
  <c r="AN93" i="7"/>
  <c r="AN27" i="7"/>
  <c r="AN86" i="7"/>
  <c r="AN39" i="7"/>
  <c r="AN25" i="7"/>
  <c r="AO2" i="7"/>
  <c r="AN58" i="7"/>
  <c r="AN54" i="7"/>
  <c r="AN10" i="7"/>
  <c r="AN92" i="7"/>
  <c r="AN13" i="7"/>
  <c r="AN18" i="7"/>
  <c r="AN40" i="7"/>
  <c r="AN23" i="7"/>
  <c r="AN69" i="7"/>
  <c r="AN83" i="7"/>
  <c r="AM39" i="7"/>
  <c r="AM42" i="7"/>
  <c r="BG67" i="7"/>
  <c r="BG26" i="7"/>
  <c r="AM60" i="7"/>
  <c r="AM38" i="7"/>
  <c r="AM63" i="7"/>
  <c r="AM22" i="7"/>
  <c r="BG62" i="7"/>
  <c r="BG58" i="7"/>
  <c r="BG57" i="7"/>
  <c r="BG31" i="7"/>
  <c r="BG59" i="7"/>
  <c r="BG60" i="7"/>
  <c r="BG48" i="7"/>
  <c r="BG113" i="7"/>
  <c r="BG30" i="7"/>
  <c r="BG34" i="7"/>
  <c r="BG36" i="7"/>
  <c r="BG14" i="7"/>
  <c r="BG21" i="7"/>
  <c r="AM64" i="7"/>
  <c r="AM87" i="7"/>
  <c r="AM12" i="7"/>
  <c r="AM26" i="7"/>
  <c r="AM11" i="7"/>
  <c r="AM52" i="7"/>
  <c r="AM43" i="7"/>
  <c r="AM21" i="7"/>
  <c r="AM47" i="7"/>
  <c r="AM32" i="7"/>
  <c r="AD29" i="7"/>
  <c r="AD53" i="7"/>
  <c r="AD52" i="7"/>
  <c r="AD25" i="7"/>
  <c r="AD12" i="7"/>
  <c r="AD33" i="7"/>
  <c r="AD8" i="7"/>
  <c r="AD76" i="7"/>
  <c r="AD20" i="7"/>
  <c r="AD7" i="7"/>
  <c r="BH104" i="7" l="1"/>
  <c r="BH10" i="7"/>
  <c r="BH53" i="7"/>
  <c r="BH92" i="7"/>
  <c r="BH22" i="7"/>
  <c r="BH71" i="7"/>
  <c r="BH101" i="7"/>
  <c r="BH108" i="7"/>
  <c r="BH11" i="7"/>
  <c r="BH57" i="7"/>
  <c r="BH81" i="7"/>
  <c r="BH54" i="7"/>
  <c r="BH70" i="7"/>
  <c r="BH58" i="7"/>
  <c r="BH35" i="7"/>
  <c r="BH76" i="7"/>
  <c r="BH41" i="7"/>
  <c r="BH72" i="7"/>
  <c r="BH48" i="7"/>
  <c r="BH84" i="7"/>
  <c r="BH44" i="7"/>
  <c r="BH15" i="7"/>
  <c r="BH50" i="7"/>
  <c r="BH13" i="7"/>
  <c r="BH7" i="7"/>
  <c r="BH80" i="7"/>
  <c r="BH33" i="7"/>
  <c r="BH99" i="7"/>
  <c r="BH65" i="7"/>
  <c r="BH25" i="7"/>
  <c r="BH19" i="7"/>
  <c r="BH21" i="7"/>
  <c r="BH77" i="7"/>
  <c r="AO81" i="7"/>
  <c r="AO70" i="7"/>
  <c r="AO72" i="7"/>
  <c r="AO71" i="7"/>
  <c r="AO45" i="7"/>
  <c r="AO19" i="7"/>
  <c r="AO9" i="7"/>
  <c r="AO41" i="7"/>
  <c r="AO10" i="7"/>
  <c r="AO15" i="7"/>
  <c r="AO82" i="7"/>
  <c r="AO63" i="7"/>
  <c r="AP2" i="7"/>
  <c r="AO50" i="7"/>
  <c r="AO56" i="7"/>
  <c r="AO64" i="7"/>
  <c r="AO33" i="7"/>
  <c r="AO30" i="7"/>
  <c r="AO37" i="7"/>
  <c r="AO39" i="7"/>
  <c r="AO79" i="7"/>
  <c r="AO80" i="7"/>
  <c r="AO58" i="7"/>
  <c r="AO92" i="7"/>
  <c r="AO49" i="7"/>
  <c r="AO27" i="7"/>
  <c r="AO52" i="7"/>
  <c r="AO32" i="7"/>
  <c r="AO34" i="7"/>
  <c r="AO90" i="7"/>
  <c r="AO88" i="7"/>
  <c r="AO62" i="7"/>
  <c r="AO61" i="7"/>
  <c r="AO53" i="7"/>
  <c r="AO35" i="7"/>
  <c r="AO8" i="7"/>
  <c r="AO40" i="7"/>
  <c r="AO60" i="7"/>
  <c r="AO86" i="7"/>
  <c r="AO73" i="7"/>
  <c r="AO74" i="7"/>
  <c r="AO28" i="7"/>
  <c r="AO22" i="7"/>
  <c r="AO6" i="7"/>
  <c r="AO83" i="7"/>
  <c r="AO85" i="7"/>
  <c r="AO65" i="7"/>
  <c r="AO36" i="7"/>
  <c r="AO38" i="7"/>
  <c r="AO14" i="7"/>
  <c r="AO93" i="7"/>
  <c r="AO76" i="7"/>
  <c r="AO42" i="7"/>
  <c r="AO47" i="7"/>
  <c r="AO12" i="7"/>
  <c r="AO21" i="7"/>
  <c r="AO75" i="7"/>
  <c r="AO89" i="7"/>
  <c r="AO46" i="7"/>
  <c r="AO68" i="7"/>
  <c r="AO18" i="7"/>
  <c r="AO24" i="7"/>
  <c r="AO11" i="7"/>
  <c r="AO59" i="7"/>
  <c r="AO51" i="7"/>
  <c r="AO13" i="7"/>
  <c r="AO91" i="7"/>
  <c r="AO78" i="7"/>
  <c r="AO57" i="7"/>
  <c r="AO17" i="7"/>
  <c r="AO87" i="7"/>
  <c r="AO67" i="7"/>
  <c r="AO16" i="7"/>
  <c r="AO7" i="7"/>
  <c r="AO77" i="7"/>
  <c r="AO26" i="7"/>
  <c r="AO54" i="7"/>
  <c r="AO25" i="7"/>
  <c r="AO23" i="7"/>
  <c r="AO66" i="7"/>
  <c r="AO44" i="7"/>
  <c r="AO31" i="7"/>
  <c r="AO20" i="7"/>
  <c r="AO48" i="7"/>
  <c r="AO43" i="7"/>
  <c r="AO69" i="7"/>
  <c r="AO55" i="7"/>
  <c r="AO29" i="7"/>
  <c r="AO84" i="7"/>
  <c r="AF69" i="7"/>
  <c r="AF76" i="7"/>
  <c r="AF92" i="7"/>
  <c r="AF33" i="7"/>
  <c r="AF100" i="7"/>
  <c r="AF97" i="7"/>
  <c r="AF67" i="7"/>
  <c r="AF36" i="7"/>
  <c r="AF68" i="7"/>
  <c r="AF9" i="7"/>
  <c r="AF82" i="7"/>
  <c r="AF87" i="7"/>
  <c r="AF111" i="7"/>
  <c r="AF77" i="7"/>
  <c r="AF66" i="7"/>
  <c r="AF57" i="7"/>
  <c r="AF21" i="7"/>
  <c r="AF34" i="7"/>
  <c r="AF27" i="7"/>
  <c r="AF45" i="7"/>
  <c r="AF105" i="7"/>
  <c r="AF54" i="7"/>
  <c r="AF86" i="7"/>
  <c r="AF107" i="7"/>
  <c r="AF70" i="7"/>
  <c r="AF101" i="7"/>
  <c r="AF44" i="7"/>
  <c r="AF80" i="7"/>
  <c r="AF29" i="7"/>
  <c r="AF59" i="7"/>
  <c r="AF35" i="7"/>
  <c r="AF63" i="7"/>
  <c r="AF50" i="7"/>
  <c r="AF17" i="7"/>
  <c r="AF7" i="7"/>
  <c r="AF78" i="7"/>
  <c r="AF74" i="7"/>
  <c r="AF48" i="7"/>
  <c r="AF53" i="7"/>
  <c r="AF89" i="7"/>
  <c r="AF39" i="7"/>
  <c r="AF40" i="7"/>
  <c r="AF8" i="7"/>
  <c r="AF11" i="7"/>
  <c r="AF75" i="7"/>
  <c r="AG2" i="7"/>
  <c r="AF52" i="7"/>
  <c r="AF12" i="7"/>
  <c r="AF94" i="7"/>
  <c r="AF91" i="7"/>
  <c r="AF73" i="7"/>
  <c r="AF93" i="7"/>
  <c r="AF61" i="7"/>
  <c r="AF51" i="7"/>
  <c r="AF15" i="7"/>
  <c r="AF56" i="7"/>
  <c r="AF88" i="7"/>
  <c r="AF108" i="7"/>
  <c r="AF22" i="7"/>
  <c r="AF72" i="7"/>
  <c r="AF16" i="7"/>
  <c r="AF6" i="7"/>
  <c r="AF71" i="7"/>
  <c r="AF83" i="7"/>
  <c r="AF58" i="7"/>
  <c r="AF19" i="7"/>
  <c r="AF13" i="7"/>
  <c r="AF98" i="7"/>
  <c r="AF60" i="7"/>
  <c r="AF96" i="7"/>
  <c r="AF25" i="7"/>
  <c r="AF26" i="7"/>
  <c r="AF43" i="7"/>
  <c r="AF49" i="7"/>
  <c r="AF10" i="7"/>
  <c r="AF103" i="7"/>
  <c r="AF102" i="7"/>
  <c r="AF41" i="7"/>
  <c r="AF64" i="7"/>
  <c r="AF104" i="7"/>
  <c r="AF37" i="7"/>
  <c r="AF30" i="7"/>
  <c r="AF55" i="7"/>
  <c r="AF20" i="7"/>
  <c r="AF14" i="7"/>
  <c r="AF90" i="7"/>
  <c r="AF79" i="7"/>
  <c r="AF85" i="7"/>
  <c r="AF38" i="7"/>
  <c r="AF24" i="7"/>
  <c r="AF113" i="7"/>
  <c r="AF42" i="7"/>
  <c r="AF46" i="7"/>
  <c r="AF18" i="7"/>
  <c r="AF47" i="7"/>
  <c r="AF62" i="7"/>
  <c r="AF28" i="7"/>
  <c r="AF31" i="7"/>
  <c r="AF81" i="7"/>
  <c r="AF84" i="7"/>
  <c r="AF65" i="7"/>
  <c r="AF32" i="7"/>
  <c r="AF95" i="7"/>
  <c r="AF109" i="7"/>
  <c r="AF23" i="7"/>
  <c r="AF110" i="7"/>
  <c r="AF112" i="7"/>
  <c r="AF106" i="7"/>
  <c r="AF99" i="7"/>
  <c r="BH42" i="7"/>
  <c r="BH106" i="7"/>
  <c r="BH45" i="7"/>
  <c r="BH61" i="7"/>
  <c r="BH40" i="7"/>
  <c r="BH105" i="7"/>
  <c r="BH73" i="7"/>
  <c r="BH85" i="7"/>
  <c r="BH27" i="7"/>
  <c r="BH83" i="7"/>
  <c r="BH103" i="7"/>
  <c r="BH91" i="7"/>
  <c r="BH43" i="7"/>
  <c r="BH31" i="7"/>
  <c r="BH96" i="7"/>
  <c r="BH55" i="7"/>
  <c r="BI84" i="7"/>
  <c r="BI85" i="7"/>
  <c r="BI61" i="7"/>
  <c r="BI112" i="7"/>
  <c r="BI100" i="7"/>
  <c r="BI52" i="7"/>
  <c r="BI51" i="7"/>
  <c r="BI46" i="7"/>
  <c r="BI26" i="7"/>
  <c r="BI10" i="7"/>
  <c r="BI20" i="7"/>
  <c r="BI19" i="7"/>
  <c r="BI24" i="7"/>
  <c r="BI92" i="7"/>
  <c r="BI94" i="7"/>
  <c r="BI76" i="7"/>
  <c r="BI79" i="7"/>
  <c r="BI74" i="7"/>
  <c r="BI60" i="7"/>
  <c r="BI69" i="7"/>
  <c r="BI90" i="7"/>
  <c r="BI45" i="7"/>
  <c r="BI23" i="7"/>
  <c r="BI36" i="7"/>
  <c r="BI35" i="7"/>
  <c r="BI44" i="7"/>
  <c r="BI93" i="7"/>
  <c r="BI98" i="7"/>
  <c r="BI113" i="7"/>
  <c r="BI87" i="7"/>
  <c r="BI78" i="7"/>
  <c r="BI64" i="7"/>
  <c r="BI59" i="7"/>
  <c r="BI41" i="7"/>
  <c r="BI55" i="7"/>
  <c r="BI31" i="7"/>
  <c r="BI58" i="7"/>
  <c r="BI22" i="7"/>
  <c r="BI71" i="7"/>
  <c r="BI9" i="7"/>
  <c r="BI110" i="7"/>
  <c r="BI65" i="7"/>
  <c r="BI95" i="7"/>
  <c r="BI48" i="7"/>
  <c r="BI49" i="7"/>
  <c r="BI11" i="7"/>
  <c r="BI28" i="7"/>
  <c r="BI88" i="7"/>
  <c r="BI73" i="7"/>
  <c r="BI111" i="7"/>
  <c r="BI75" i="7"/>
  <c r="BI72" i="7"/>
  <c r="BI34" i="7"/>
  <c r="BI33" i="7"/>
  <c r="BI18" i="7"/>
  <c r="BI13" i="7"/>
  <c r="BI101" i="7"/>
  <c r="BI81" i="7"/>
  <c r="BI96" i="7"/>
  <c r="BI83" i="7"/>
  <c r="BI54" i="7"/>
  <c r="BI70" i="7"/>
  <c r="BI6" i="7"/>
  <c r="BI30" i="7"/>
  <c r="BI29" i="7"/>
  <c r="BI97" i="7"/>
  <c r="BI53" i="7"/>
  <c r="BI56" i="7"/>
  <c r="BI82" i="7"/>
  <c r="BI17" i="7"/>
  <c r="BI37" i="7"/>
  <c r="BI105" i="7"/>
  <c r="BI57" i="7"/>
  <c r="BI68" i="7"/>
  <c r="BI43" i="7"/>
  <c r="BI25" i="7"/>
  <c r="BI32" i="7"/>
  <c r="BI109" i="7"/>
  <c r="BJ2" i="7"/>
  <c r="BI91" i="7"/>
  <c r="BI47" i="7"/>
  <c r="BI42" i="7"/>
  <c r="BI8" i="7"/>
  <c r="BI103" i="7"/>
  <c r="BI27" i="7"/>
  <c r="BI77" i="7"/>
  <c r="BI108" i="7"/>
  <c r="BI63" i="7"/>
  <c r="BI14" i="7"/>
  <c r="BI12" i="7"/>
  <c r="BI99" i="7"/>
  <c r="BI89" i="7"/>
  <c r="BI86" i="7"/>
  <c r="BI50" i="7"/>
  <c r="BI39" i="7"/>
  <c r="BI16" i="7"/>
  <c r="BI102" i="7"/>
  <c r="BI7" i="7"/>
  <c r="BI15" i="7"/>
  <c r="BI40" i="7"/>
  <c r="BI62" i="7"/>
  <c r="BI66" i="7"/>
  <c r="BI21" i="7"/>
  <c r="BI106" i="7"/>
  <c r="BI107" i="7"/>
  <c r="BI80" i="7"/>
  <c r="BI67" i="7"/>
  <c r="BI104" i="7"/>
  <c r="BI38" i="7"/>
  <c r="BH20" i="7"/>
  <c r="BH28" i="7"/>
  <c r="BH37" i="7"/>
  <c r="BH6" i="7"/>
  <c r="BH16" i="7"/>
  <c r="BH9" i="7"/>
  <c r="BH14" i="7"/>
  <c r="BH67" i="7"/>
  <c r="BH60" i="7"/>
  <c r="BH52" i="7"/>
  <c r="BH23" i="7"/>
  <c r="BH98" i="7"/>
  <c r="BH30" i="7"/>
  <c r="BH93" i="7"/>
  <c r="BH102" i="7"/>
  <c r="BH26" i="7"/>
  <c r="BH78" i="7"/>
  <c r="BH36" i="7"/>
  <c r="BH107" i="7"/>
  <c r="BH87" i="7"/>
  <c r="BH109" i="7"/>
  <c r="BH111" i="7"/>
  <c r="BH56" i="7"/>
  <c r="BH69" i="7"/>
  <c r="BH68" i="7"/>
  <c r="BH75" i="7"/>
  <c r="BH49" i="7"/>
  <c r="BA69" i="7"/>
  <c r="BA52" i="7"/>
  <c r="BA15" i="7"/>
  <c r="BA16" i="7"/>
  <c r="BA6" i="7"/>
  <c r="BA23" i="7"/>
  <c r="BA27" i="7"/>
  <c r="BA22" i="7"/>
  <c r="BA95" i="7"/>
  <c r="BA76" i="7"/>
  <c r="BA84" i="7"/>
  <c r="BA32" i="7"/>
  <c r="BA51" i="7"/>
  <c r="BA110" i="7"/>
  <c r="BA10" i="7"/>
  <c r="BA13" i="7"/>
  <c r="BA57" i="7"/>
  <c r="BA39" i="7"/>
  <c r="BA89" i="7"/>
  <c r="BA113" i="7"/>
  <c r="BA99" i="7"/>
  <c r="BA102" i="7"/>
  <c r="BA107" i="7"/>
  <c r="BA103" i="7"/>
  <c r="BA72" i="7"/>
  <c r="BA18" i="7"/>
  <c r="BA20" i="7"/>
  <c r="BA14" i="7"/>
  <c r="BA50" i="7"/>
  <c r="BA88" i="7"/>
  <c r="BA81" i="7"/>
  <c r="BA42" i="7"/>
  <c r="BA11" i="7"/>
  <c r="BA74" i="7"/>
  <c r="BA75" i="7"/>
  <c r="BA28" i="7"/>
  <c r="BA63" i="7"/>
  <c r="BA83" i="7"/>
  <c r="BA48" i="7"/>
  <c r="BA40" i="7"/>
  <c r="BA12" i="7"/>
  <c r="BA21" i="7"/>
  <c r="BA7" i="7"/>
  <c r="BA109" i="7"/>
  <c r="BA105" i="7"/>
  <c r="BA8" i="7"/>
  <c r="BA56" i="7"/>
  <c r="BA44" i="7"/>
  <c r="BA82" i="7"/>
  <c r="BA65" i="7"/>
  <c r="BA9" i="7"/>
  <c r="BA17" i="7"/>
  <c r="BA93" i="7"/>
  <c r="BA29" i="7"/>
  <c r="BA87" i="7"/>
  <c r="BA78" i="7"/>
  <c r="BA49" i="7"/>
  <c r="BA33" i="7"/>
  <c r="BA94" i="7"/>
  <c r="BA90" i="7"/>
  <c r="BA98" i="7"/>
  <c r="BA53" i="7"/>
  <c r="BA77" i="7"/>
  <c r="BA106" i="7"/>
  <c r="BA41" i="7"/>
  <c r="BA80" i="7"/>
  <c r="BA35" i="7"/>
  <c r="BA61" i="7"/>
  <c r="BA19" i="7"/>
  <c r="BA79" i="7"/>
  <c r="BA26" i="7"/>
  <c r="BA111" i="7"/>
  <c r="BA24" i="7"/>
  <c r="BA100" i="7"/>
  <c r="BA55" i="7"/>
  <c r="BA58" i="7"/>
  <c r="BA96" i="7"/>
  <c r="BA71" i="7"/>
  <c r="BA34" i="7"/>
  <c r="BA43" i="7"/>
  <c r="BA62" i="7"/>
  <c r="BA47" i="7"/>
  <c r="BA46" i="7"/>
  <c r="BA97" i="7"/>
  <c r="BA37" i="7"/>
  <c r="BA59" i="7"/>
  <c r="BA64" i="7"/>
  <c r="BA67" i="7"/>
  <c r="BA30" i="7"/>
  <c r="BA70" i="7"/>
  <c r="BA45" i="7"/>
  <c r="BA38" i="7"/>
  <c r="BA36" i="7"/>
  <c r="BA73" i="7"/>
  <c r="BA104" i="7"/>
  <c r="BA25" i="7"/>
  <c r="BA31" i="7"/>
  <c r="BA108" i="7"/>
  <c r="BA92" i="7"/>
  <c r="BA112" i="7"/>
  <c r="BA54" i="7"/>
  <c r="BA66" i="7"/>
  <c r="BA68" i="7"/>
  <c r="BA86" i="7"/>
  <c r="BA85" i="7"/>
  <c r="BA60" i="7"/>
  <c r="BA101" i="7"/>
  <c r="BA91" i="7"/>
  <c r="BH82" i="7"/>
  <c r="BH8" i="7"/>
  <c r="BH38" i="7"/>
  <c r="BH112" i="7"/>
  <c r="BH94" i="7"/>
  <c r="BH66" i="7"/>
  <c r="BH46" i="7"/>
  <c r="BH34" i="7"/>
  <c r="BH74" i="7"/>
  <c r="BH64" i="7"/>
  <c r="BH17" i="7"/>
  <c r="BH113" i="7"/>
  <c r="BJ79" i="7" l="1"/>
  <c r="BJ93" i="7"/>
  <c r="BJ99" i="7"/>
  <c r="BJ49" i="7"/>
  <c r="BJ110" i="7"/>
  <c r="BJ38" i="7"/>
  <c r="BJ56" i="7"/>
  <c r="BJ111" i="7"/>
  <c r="BJ24" i="7"/>
  <c r="BJ77" i="7"/>
  <c r="BJ17" i="7"/>
  <c r="BJ106" i="7"/>
  <c r="BJ16" i="7"/>
  <c r="BJ87" i="7"/>
  <c r="BJ101" i="7"/>
  <c r="BJ72" i="7"/>
  <c r="BJ57" i="7"/>
  <c r="BJ63" i="7"/>
  <c r="BJ62" i="7"/>
  <c r="BJ74" i="7"/>
  <c r="BJ23" i="7"/>
  <c r="BJ32" i="7"/>
  <c r="BJ95" i="7"/>
  <c r="BJ25" i="7"/>
  <c r="BJ13" i="7"/>
  <c r="BJ7" i="7"/>
  <c r="BJ108" i="7"/>
  <c r="BJ67" i="7"/>
  <c r="BJ76" i="7"/>
  <c r="BJ45" i="7"/>
  <c r="BJ85" i="7"/>
  <c r="BJ18" i="7"/>
  <c r="BJ98" i="7"/>
  <c r="BJ54" i="7"/>
  <c r="BJ29" i="7"/>
  <c r="BJ14" i="7"/>
  <c r="BK2" i="7"/>
  <c r="BJ71" i="7"/>
  <c r="BJ53" i="7"/>
  <c r="BJ94" i="7"/>
  <c r="BJ22" i="7"/>
  <c r="BJ103" i="7"/>
  <c r="BJ33" i="7"/>
  <c r="BJ8" i="7"/>
  <c r="BJ40" i="7"/>
  <c r="BJ80" i="7"/>
  <c r="BJ19" i="7"/>
  <c r="BJ9" i="7"/>
  <c r="BJ75" i="7"/>
  <c r="BJ84" i="7"/>
  <c r="BJ61" i="7"/>
  <c r="BJ102" i="7"/>
  <c r="BJ26" i="7"/>
  <c r="BJ27" i="7"/>
  <c r="BJ20" i="7"/>
  <c r="BJ37" i="7"/>
  <c r="BJ43" i="7"/>
  <c r="BJ12" i="7"/>
  <c r="BJ96" i="7"/>
  <c r="BJ82" i="7"/>
  <c r="BJ39" i="7"/>
  <c r="BJ15" i="7"/>
  <c r="BJ83" i="7"/>
  <c r="BJ88" i="7"/>
  <c r="BJ65" i="7"/>
  <c r="BJ59" i="7"/>
  <c r="BJ30" i="7"/>
  <c r="BJ31" i="7"/>
  <c r="BJ28" i="7"/>
  <c r="BJ48" i="7"/>
  <c r="BJ46" i="7"/>
  <c r="BJ52" i="7"/>
  <c r="BJ66" i="7"/>
  <c r="BJ89" i="7"/>
  <c r="BJ91" i="7"/>
  <c r="BJ92" i="7"/>
  <c r="BJ73" i="7"/>
  <c r="BJ70" i="7"/>
  <c r="BJ34" i="7"/>
  <c r="BJ35" i="7"/>
  <c r="BJ36" i="7"/>
  <c r="BJ60" i="7"/>
  <c r="BJ47" i="7"/>
  <c r="BJ11" i="7"/>
  <c r="BJ97" i="7"/>
  <c r="BJ55" i="7"/>
  <c r="BJ81" i="7"/>
  <c r="BJ90" i="7"/>
  <c r="BJ44" i="7"/>
  <c r="BJ112" i="7"/>
  <c r="BJ58" i="7"/>
  <c r="BJ113" i="7"/>
  <c r="BJ107" i="7"/>
  <c r="BJ105" i="7"/>
  <c r="BJ42" i="7"/>
  <c r="BJ6" i="7"/>
  <c r="BJ109" i="7"/>
  <c r="BJ64" i="7"/>
  <c r="BJ104" i="7"/>
  <c r="BJ21" i="7"/>
  <c r="BJ50" i="7"/>
  <c r="BJ41" i="7"/>
  <c r="BJ10" i="7"/>
  <c r="BJ100" i="7"/>
  <c r="BJ78" i="7"/>
  <c r="BJ86" i="7"/>
  <c r="BJ68" i="7"/>
  <c r="BJ69" i="7"/>
  <c r="BJ51" i="7"/>
  <c r="AP59" i="7"/>
  <c r="AP65" i="7"/>
  <c r="AP40" i="7"/>
  <c r="AP91" i="7"/>
  <c r="AP21" i="7"/>
  <c r="AP26" i="7"/>
  <c r="AP31" i="7"/>
  <c r="AP88" i="7"/>
  <c r="AP17" i="7"/>
  <c r="AP70" i="7"/>
  <c r="AP69" i="7"/>
  <c r="AP75" i="7"/>
  <c r="AP71" i="7"/>
  <c r="AP64" i="7"/>
  <c r="AP66" i="7"/>
  <c r="AP29" i="7"/>
  <c r="AP34" i="7"/>
  <c r="AP39" i="7"/>
  <c r="AP48" i="7"/>
  <c r="AP8" i="7"/>
  <c r="AP42" i="7"/>
  <c r="AP82" i="7"/>
  <c r="AP67" i="7"/>
  <c r="AP72" i="7"/>
  <c r="AP76" i="7"/>
  <c r="AP20" i="7"/>
  <c r="AP33" i="7"/>
  <c r="AP38" i="7"/>
  <c r="AP50" i="7"/>
  <c r="AP49" i="7"/>
  <c r="AP12" i="7"/>
  <c r="AP6" i="7"/>
  <c r="AP89" i="7"/>
  <c r="AP55" i="7"/>
  <c r="AP79" i="7"/>
  <c r="AP44" i="7"/>
  <c r="AP30" i="7"/>
  <c r="AP19" i="7"/>
  <c r="AP13" i="7"/>
  <c r="AP78" i="7"/>
  <c r="AP84" i="7"/>
  <c r="AP57" i="7"/>
  <c r="AP54" i="7"/>
  <c r="AP60" i="7"/>
  <c r="AP27" i="7"/>
  <c r="AP16" i="7"/>
  <c r="AP74" i="7"/>
  <c r="AP51" i="7"/>
  <c r="AP32" i="7"/>
  <c r="AP80" i="7"/>
  <c r="AP53" i="7"/>
  <c r="AP10" i="7"/>
  <c r="AP63" i="7"/>
  <c r="AP36" i="7"/>
  <c r="AP93" i="7"/>
  <c r="AP23" i="7"/>
  <c r="AP14" i="7"/>
  <c r="AQ2" i="7"/>
  <c r="AP92" i="7"/>
  <c r="AP46" i="7"/>
  <c r="AP25" i="7"/>
  <c r="AP35" i="7"/>
  <c r="AP9" i="7"/>
  <c r="AP73" i="7"/>
  <c r="AP68" i="7"/>
  <c r="AP18" i="7"/>
  <c r="AP85" i="7"/>
  <c r="AP87" i="7"/>
  <c r="AP37" i="7"/>
  <c r="AP62" i="7"/>
  <c r="AP83" i="7"/>
  <c r="AP90" i="7"/>
  <c r="AP61" i="7"/>
  <c r="AP41" i="7"/>
  <c r="AP56" i="7"/>
  <c r="AP7" i="7"/>
  <c r="AP86" i="7"/>
  <c r="AP58" i="7"/>
  <c r="AP11" i="7"/>
  <c r="AP15" i="7"/>
  <c r="AP45" i="7"/>
  <c r="AP77" i="7"/>
  <c r="AP22" i="7"/>
  <c r="AP81" i="7"/>
  <c r="AP47" i="7"/>
  <c r="AP52" i="7"/>
  <c r="AP24" i="7"/>
  <c r="AP28" i="7"/>
  <c r="AP43" i="7"/>
  <c r="AG50" i="7"/>
  <c r="AG82" i="7"/>
  <c r="AG44" i="7"/>
  <c r="AG79" i="7"/>
  <c r="AG57" i="7"/>
  <c r="AG89" i="7"/>
  <c r="AG29" i="7"/>
  <c r="AG52" i="7"/>
  <c r="AG15" i="7"/>
  <c r="AG51" i="7"/>
  <c r="AG70" i="7"/>
  <c r="AG11" i="7"/>
  <c r="AG101" i="7"/>
  <c r="AG74" i="7"/>
  <c r="AG72" i="7"/>
  <c r="AG93" i="7"/>
  <c r="AG63" i="7"/>
  <c r="AG25" i="7"/>
  <c r="AG77" i="7"/>
  <c r="AG62" i="7"/>
  <c r="AG109" i="7"/>
  <c r="AG111" i="7"/>
  <c r="AG45" i="7"/>
  <c r="AG6" i="7"/>
  <c r="AG28" i="7"/>
  <c r="AG92" i="7"/>
  <c r="AG35" i="7"/>
  <c r="AG113" i="7"/>
  <c r="AG86" i="7"/>
  <c r="AG16" i="7"/>
  <c r="AG22" i="7"/>
  <c r="AG67" i="7"/>
  <c r="AG26" i="7"/>
  <c r="AG71" i="7"/>
  <c r="AG48" i="7"/>
  <c r="AG20" i="7"/>
  <c r="AG13" i="7"/>
  <c r="AG112" i="7"/>
  <c r="AG10" i="7"/>
  <c r="AG54" i="7"/>
  <c r="AG58" i="7"/>
  <c r="AG39" i="7"/>
  <c r="AG21" i="7"/>
  <c r="AG97" i="7"/>
  <c r="AG105" i="7"/>
  <c r="AG102" i="7"/>
  <c r="AG36" i="7"/>
  <c r="AG87" i="7"/>
  <c r="AG40" i="7"/>
  <c r="AG73" i="7"/>
  <c r="AG76" i="7"/>
  <c r="AG110" i="7"/>
  <c r="AG81" i="7"/>
  <c r="AG108" i="7"/>
  <c r="AG85" i="7"/>
  <c r="AG8" i="7"/>
  <c r="AG106" i="7"/>
  <c r="AG100" i="7"/>
  <c r="AG69" i="7"/>
  <c r="AG90" i="7"/>
  <c r="AG31" i="7"/>
  <c r="AG103" i="7"/>
  <c r="AG61" i="7"/>
  <c r="AG68" i="7"/>
  <c r="AG23" i="7"/>
  <c r="AG7" i="7"/>
  <c r="AG78" i="7"/>
  <c r="AG17" i="7"/>
  <c r="AG53" i="7"/>
  <c r="AG91" i="7"/>
  <c r="AG95" i="7"/>
  <c r="AG27" i="7"/>
  <c r="AG41" i="7"/>
  <c r="AG98" i="7"/>
  <c r="AG38" i="7"/>
  <c r="AG84" i="7"/>
  <c r="AG24" i="7"/>
  <c r="AG30" i="7"/>
  <c r="AG60" i="7"/>
  <c r="AG9" i="7"/>
  <c r="AG47" i="7"/>
  <c r="AG19" i="7"/>
  <c r="AG46" i="7"/>
  <c r="AG64" i="7"/>
  <c r="AG56" i="7"/>
  <c r="AG18" i="7"/>
  <c r="AG49" i="7"/>
  <c r="AG14" i="7"/>
  <c r="AG66" i="7"/>
  <c r="AG34" i="7"/>
  <c r="AG32" i="7"/>
  <c r="AG37" i="7"/>
  <c r="AG104" i="7"/>
  <c r="AG83" i="7"/>
  <c r="AG43" i="7"/>
  <c r="AG12" i="7"/>
  <c r="AG42" i="7"/>
  <c r="AG96" i="7"/>
  <c r="AG59" i="7"/>
  <c r="AG55" i="7"/>
  <c r="AG75" i="7"/>
  <c r="AG94" i="7"/>
  <c r="AG65" i="7"/>
  <c r="AG80" i="7"/>
  <c r="AG99" i="7"/>
  <c r="AG33" i="7"/>
  <c r="AG88" i="7"/>
  <c r="AG107" i="7"/>
  <c r="BK90" i="7" l="1"/>
  <c r="BK103" i="7"/>
  <c r="BK59" i="7"/>
  <c r="BK112" i="7"/>
  <c r="BK40" i="7"/>
  <c r="BK67" i="7"/>
  <c r="BK26" i="7"/>
  <c r="BK31" i="7"/>
  <c r="BK33" i="7"/>
  <c r="BK7" i="7"/>
  <c r="BK12" i="7"/>
  <c r="BK80" i="7"/>
  <c r="BK101" i="7"/>
  <c r="BK107" i="7"/>
  <c r="BK77" i="7"/>
  <c r="BK70" i="7"/>
  <c r="BK45" i="7"/>
  <c r="BK58" i="7"/>
  <c r="BK85" i="7"/>
  <c r="BK53" i="7"/>
  <c r="BK61" i="7"/>
  <c r="BK10" i="7"/>
  <c r="BK15" i="7"/>
  <c r="BK24" i="7"/>
  <c r="BK91" i="7"/>
  <c r="BK79" i="7"/>
  <c r="BL2" i="7"/>
  <c r="BK82" i="7"/>
  <c r="BK78" i="7"/>
  <c r="BK46" i="7"/>
  <c r="BK54" i="7"/>
  <c r="BK37" i="7"/>
  <c r="BK6" i="7"/>
  <c r="BK25" i="7"/>
  <c r="BK19" i="7"/>
  <c r="BK92" i="7"/>
  <c r="BK72" i="7"/>
  <c r="BK99" i="7"/>
  <c r="BK86" i="7"/>
  <c r="BK44" i="7"/>
  <c r="BK48" i="7"/>
  <c r="BK42" i="7"/>
  <c r="BK27" i="7"/>
  <c r="BK87" i="7"/>
  <c r="BK63" i="7"/>
  <c r="BK16" i="7"/>
  <c r="BK102" i="7"/>
  <c r="BK28" i="7"/>
  <c r="BK100" i="7"/>
  <c r="BK52" i="7"/>
  <c r="BK95" i="7"/>
  <c r="BK47" i="7"/>
  <c r="BK68" i="7"/>
  <c r="BK57" i="7"/>
  <c r="BK75" i="7"/>
  <c r="BK14" i="7"/>
  <c r="BK35" i="7"/>
  <c r="BK88" i="7"/>
  <c r="BK109" i="7"/>
  <c r="BK20" i="7"/>
  <c r="BK97" i="7"/>
  <c r="BK64" i="7"/>
  <c r="BK41" i="7"/>
  <c r="BK30" i="7"/>
  <c r="BK56" i="7"/>
  <c r="BK111" i="7"/>
  <c r="BK51" i="7"/>
  <c r="BK62" i="7"/>
  <c r="BK73" i="7"/>
  <c r="BK9" i="7"/>
  <c r="BK11" i="7"/>
  <c r="BK83" i="7"/>
  <c r="BK89" i="7"/>
  <c r="BK34" i="7"/>
  <c r="BK76" i="7"/>
  <c r="BK60" i="7"/>
  <c r="BK81" i="7"/>
  <c r="BK55" i="7"/>
  <c r="BK65" i="7"/>
  <c r="BK110" i="7"/>
  <c r="BK13" i="7"/>
  <c r="BK36" i="7"/>
  <c r="BK22" i="7"/>
  <c r="BK8" i="7"/>
  <c r="BK96" i="7"/>
  <c r="BK108" i="7"/>
  <c r="BK66" i="7"/>
  <c r="BK69" i="7"/>
  <c r="BK84" i="7"/>
  <c r="BK71" i="7"/>
  <c r="BK23" i="7"/>
  <c r="BK105" i="7"/>
  <c r="BK74" i="7"/>
  <c r="BK39" i="7"/>
  <c r="BK104" i="7"/>
  <c r="BK17" i="7"/>
  <c r="BK98" i="7"/>
  <c r="BK21" i="7"/>
  <c r="BK113" i="7"/>
  <c r="BK29" i="7"/>
  <c r="BK93" i="7"/>
  <c r="BK50" i="7"/>
  <c r="BK94" i="7"/>
  <c r="BK106" i="7"/>
  <c r="BK49" i="7"/>
  <c r="BK32" i="7"/>
  <c r="BK18" i="7"/>
  <c r="BK38" i="7"/>
  <c r="BK43" i="7"/>
  <c r="AQ19" i="7"/>
  <c r="AQ71" i="7"/>
  <c r="AQ26" i="7"/>
  <c r="AQ16" i="7"/>
  <c r="AQ92" i="7"/>
  <c r="AQ17" i="7"/>
  <c r="AQ56" i="7"/>
  <c r="AQ58" i="7"/>
  <c r="AQ32" i="7"/>
  <c r="AQ72" i="7"/>
  <c r="AQ37" i="7"/>
  <c r="AQ8" i="7"/>
  <c r="AQ74" i="7"/>
  <c r="AQ27" i="7"/>
  <c r="AQ79" i="7"/>
  <c r="AQ60" i="7"/>
  <c r="AQ11" i="7"/>
  <c r="AQ57" i="7"/>
  <c r="AQ55" i="7"/>
  <c r="AQ20" i="7"/>
  <c r="AQ83" i="7"/>
  <c r="AQ29" i="7"/>
  <c r="AQ70" i="7"/>
  <c r="AQ10" i="7"/>
  <c r="AQ36" i="7"/>
  <c r="AQ13" i="7"/>
  <c r="AQ46" i="7"/>
  <c r="AQ23" i="7"/>
  <c r="AQ64" i="7"/>
  <c r="AQ62" i="7"/>
  <c r="AQ45" i="7"/>
  <c r="AQ35" i="7"/>
  <c r="AQ77" i="7"/>
  <c r="AQ81" i="7"/>
  <c r="AQ68" i="7"/>
  <c r="AQ93" i="7"/>
  <c r="AQ9" i="7"/>
  <c r="AQ51" i="7"/>
  <c r="AQ61" i="7"/>
  <c r="AQ89" i="7"/>
  <c r="AQ85" i="7"/>
  <c r="AQ38" i="7"/>
  <c r="AQ7" i="7"/>
  <c r="AQ42" i="7"/>
  <c r="AQ80" i="7"/>
  <c r="AQ88" i="7"/>
  <c r="AQ41" i="7"/>
  <c r="AQ40" i="7"/>
  <c r="AQ73" i="7"/>
  <c r="AQ24" i="7"/>
  <c r="AQ14" i="7"/>
  <c r="AQ12" i="7"/>
  <c r="AQ43" i="7"/>
  <c r="AQ53" i="7"/>
  <c r="AQ54" i="7"/>
  <c r="AQ90" i="7"/>
  <c r="AQ91" i="7"/>
  <c r="AQ33" i="7"/>
  <c r="AQ22" i="7"/>
  <c r="AQ82" i="7"/>
  <c r="AQ25" i="7"/>
  <c r="AQ63" i="7"/>
  <c r="AQ59" i="7"/>
  <c r="AQ49" i="7"/>
  <c r="AQ76" i="7"/>
  <c r="AQ86" i="7"/>
  <c r="AQ6" i="7"/>
  <c r="AQ21" i="7"/>
  <c r="AQ28" i="7"/>
  <c r="AQ69" i="7"/>
  <c r="AQ44" i="7"/>
  <c r="AQ39" i="7"/>
  <c r="AQ84" i="7"/>
  <c r="AQ31" i="7"/>
  <c r="AQ78" i="7"/>
  <c r="AQ75" i="7"/>
  <c r="AQ65" i="7"/>
  <c r="AQ48" i="7"/>
  <c r="AQ18" i="7"/>
  <c r="AQ67" i="7"/>
  <c r="AQ47" i="7"/>
  <c r="AQ52" i="7"/>
  <c r="AQ15" i="7"/>
  <c r="AQ34" i="7"/>
  <c r="AQ50" i="7"/>
  <c r="AQ87" i="7"/>
  <c r="AQ30" i="7"/>
  <c r="AQ66" i="7"/>
  <c r="BL69" i="7" l="1"/>
  <c r="BL11" i="7"/>
  <c r="BL110" i="7"/>
  <c r="BL77" i="7"/>
  <c r="BL96" i="7"/>
  <c r="BL57" i="7"/>
  <c r="BL26" i="7"/>
  <c r="BL90" i="7"/>
  <c r="BL39" i="7"/>
  <c r="BL108" i="7"/>
  <c r="BL92" i="7"/>
  <c r="BL79" i="7"/>
  <c r="BL24" i="7"/>
  <c r="BL83" i="7"/>
  <c r="BL28" i="7"/>
  <c r="BL87" i="7"/>
  <c r="BL32" i="7"/>
  <c r="BL82" i="7"/>
  <c r="BL21" i="7"/>
  <c r="BL36" i="7"/>
  <c r="BL95" i="7"/>
  <c r="BL42" i="7"/>
  <c r="BL98" i="7"/>
  <c r="BL70" i="7"/>
  <c r="BL19" i="7"/>
  <c r="BL23" i="7"/>
  <c r="BL100" i="7"/>
  <c r="BL43" i="7"/>
  <c r="BL45" i="7"/>
  <c r="BL13" i="7"/>
  <c r="BL30" i="7"/>
  <c r="BL112" i="7"/>
  <c r="BL74" i="7"/>
  <c r="BL113" i="7"/>
  <c r="BL40" i="7"/>
  <c r="BL80" i="7"/>
  <c r="BL102" i="7"/>
  <c r="BL25" i="7"/>
  <c r="BL55" i="7"/>
  <c r="BL34" i="7"/>
  <c r="BL99" i="7"/>
  <c r="BL53" i="7"/>
  <c r="BL103" i="7"/>
  <c r="BL61" i="7"/>
  <c r="BL107" i="7"/>
  <c r="BL93" i="7"/>
  <c r="BL65" i="7"/>
  <c r="BL88" i="7"/>
  <c r="BL78" i="7"/>
  <c r="BL106" i="7"/>
  <c r="BL27" i="7"/>
  <c r="BL54" i="7"/>
  <c r="BL9" i="7"/>
  <c r="BL84" i="7"/>
  <c r="BL73" i="7"/>
  <c r="BL58" i="7"/>
  <c r="BL31" i="7"/>
  <c r="BL15" i="7"/>
  <c r="BL29" i="7"/>
  <c r="BL38" i="7"/>
  <c r="BL59" i="7"/>
  <c r="BL109" i="7"/>
  <c r="BL76" i="7"/>
  <c r="BL18" i="7"/>
  <c r="BL46" i="7"/>
  <c r="BL22" i="7"/>
  <c r="BL64" i="7"/>
  <c r="BL8" i="7"/>
  <c r="BL67" i="7"/>
  <c r="BL101" i="7"/>
  <c r="BL97" i="7"/>
  <c r="BL111" i="7"/>
  <c r="BL33" i="7"/>
  <c r="BL91" i="7"/>
  <c r="BL37" i="7"/>
  <c r="BL56" i="7"/>
  <c r="BL47" i="7"/>
  <c r="BL66" i="7"/>
  <c r="BL17" i="7"/>
  <c r="BL12" i="7"/>
  <c r="BL105" i="7"/>
  <c r="BL62" i="7"/>
  <c r="BL86" i="7"/>
  <c r="BL68" i="7"/>
  <c r="BL48" i="7"/>
  <c r="BL7" i="7"/>
  <c r="BL85" i="7"/>
  <c r="BL20" i="7"/>
  <c r="BL75" i="7"/>
  <c r="BL35" i="7"/>
  <c r="BL81" i="7"/>
  <c r="BL89" i="7"/>
  <c r="BL6" i="7"/>
  <c r="BL14" i="7"/>
  <c r="BL63" i="7"/>
  <c r="BL41" i="7"/>
  <c r="BL94" i="7"/>
  <c r="BL16" i="7"/>
  <c r="BL60" i="7"/>
  <c r="BL50" i="7"/>
  <c r="BL104" i="7"/>
  <c r="BL10" i="7"/>
  <c r="BL49" i="7"/>
  <c r="BL71" i="7"/>
  <c r="BL44" i="7"/>
  <c r="BL52" i="7"/>
  <c r="BL72" i="7"/>
  <c r="BL51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<sst xmlns="http://schemas.openxmlformats.org/spreadsheetml/2006/main" count="6761" uniqueCount="1242">
  <si>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</si>
  <si>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</si>
  <si>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</si>
  <si>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</si>
  <si>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</si>
  <si>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</si>
  <si>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</si>
  <si>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</si>
  <si>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</si>
  <si>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</si>
  <si>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</si>
  <si>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</si>
  <si>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</si>
  <si>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</si>
  <si>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</si>
  <si>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</si>
  <si>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</si>
  <si>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</si>
  <si>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</si>
  <si>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</si>
  <si>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</si>
  <si>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</si>
  <si>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</si>
  <si>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</si>
  <si>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</si>
  <si>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</si>
  <si>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</si>
  <si>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</si>
  <si>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</si>
  <si>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</si>
  <si>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</si>
  <si>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</si>
  <si>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</si>
  <si>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</si>
  <si>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</si>
  <si>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</si>
  <si>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</si>
  <si>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</si>
  <si>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</si>
  <si>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</si>
  <si>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</si>
  <si>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</si>
  <si>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</si>
  <si>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</si>
  <si>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</si>
  <si>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</si>
  <si>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</si>
  <si>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</si>
  <si>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</si>
  <si>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</si>
  <si>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</si>
  <si>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</si>
  <si>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</si>
  <si>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</si>
  <si>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</si>
  <si>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</si>
  <si>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</si>
  <si>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</si>
  <si>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</si>
  <si>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</si>
  <si>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</si>
  <si>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</si>
  <si>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</si>
  <si>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</si>
  <si>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</si>
  <si>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</si>
  <si>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</si>
  <si>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</si>
  <si>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</si>
  <si>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</si>
  <si>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</si>
  <si>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</si>
  <si>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</si>
  <si>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</si>
  <si>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</si>
  <si>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</si>
  <si>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</si>
  <si>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</si>
  <si>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</si>
  <si>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</si>
  <si>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</si>
  <si>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</si>
  <si>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</si>
  <si>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</si>
  <si>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</si>
  <si>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</si>
  <si>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</si>
  <si>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</si>
  <si>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</si>
  <si>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</si>
  <si>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V</t>
  </si>
  <si>
    <t>ZZYZX</t>
  </si>
  <si>
    <t>{empty}</t>
  </si>
  <si>
    <t>gs_handle_type</t>
  </si>
  <si>
    <t>Nominalbreite</t>
  </si>
  <si>
    <t>Nominalhöhe</t>
  </si>
  <si>
    <t>Z-Achse</t>
  </si>
  <si>
    <t>AC_WindowInWallContour</t>
  </si>
  <si>
    <t>AC_WallContourPolygon</t>
  </si>
  <si>
    <t>gs_door_handle</t>
  </si>
  <si>
    <t>gs_cust_handle</t>
  </si>
  <si>
    <t>gs_cust_handle2</t>
  </si>
  <si>
    <t>gs_han_height</t>
  </si>
  <si>
    <t>gs_han_height2</t>
  </si>
  <si>
    <t>gs_han_pos</t>
  </si>
  <si>
    <t>gs_han_pos2</t>
  </si>
  <si>
    <t>Oberlicht</t>
  </si>
  <si>
    <t>gs_kamp</t>
  </si>
  <si>
    <t>gs_handle_mat</t>
  </si>
  <si>
    <t>Griff</t>
  </si>
  <si>
    <t>gs_handle_ac_mat</t>
  </si>
  <si>
    <t>Griff Zubehör</t>
  </si>
  <si>
    <t>stored_material</t>
  </si>
  <si>
    <t>bThreshold</t>
  </si>
  <si>
    <t>Schwelle</t>
  </si>
  <si>
    <t>gs_sill_outside</t>
  </si>
  <si>
    <t>gs_custom_cc_array_left</t>
  </si>
  <si>
    <t>gs_custom_cc_array_right</t>
  </si>
  <si>
    <t>gs_full_edit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</si>
  <si>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</si>
  <si>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</si>
  <si>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</si>
  <si>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</si>
  <si>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</si>
  <si>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</si>
  <si>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</si>
  <si>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</si>
  <si>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</si>
  <si>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</si>
  <si>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</si>
  <si>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</si>
  <si>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</si>
  <si>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</si>
  <si>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</si>
  <si>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gs_ui_current_page</t>
  </si>
  <si>
    <t>gs_ui_sub_tabpage</t>
  </si>
  <si>
    <t>gs_ui_sub_tabpage_closure</t>
  </si>
  <si>
    <t>gs_GLOB_MODPAR_NAME</t>
  </si>
  <si>
    <t>gs_sidelight_left</t>
  </si>
  <si>
    <t>Linkes Seitenfeld</t>
  </si>
  <si>
    <t>gs_sidelight_right</t>
  </si>
  <si>
    <t>Rechtes Seitenfeld</t>
  </si>
  <si>
    <t>iUIPictIndex</t>
  </si>
  <si>
    <t>LibraryLangCode</t>
  </si>
  <si>
    <t>GER</t>
  </si>
  <si>
    <t>Hersteller</t>
  </si>
  <si>
    <t>gs_list_accessories</t>
  </si>
  <si>
    <t>Zubehör</t>
  </si>
  <si>
    <t>Brandschutz</t>
  </si>
  <si>
    <t>Selbstschließend</t>
  </si>
  <si>
    <t>Schallschutz</t>
  </si>
  <si>
    <t>Gewicht</t>
  </si>
  <si>
    <t>gs_list_orientationDef_m</t>
  </si>
  <si>
    <t>Türausrichtungsdefinition</t>
  </si>
  <si>
    <t>ac_OpeningSide</t>
  </si>
  <si>
    <t>R</t>
  </si>
  <si>
    <t>gs_list_nameplate</t>
  </si>
  <si>
    <t>Bezeichnungsschild</t>
  </si>
  <si>
    <t>gs_list_doortype</t>
  </si>
  <si>
    <t>Türart</t>
  </si>
  <si>
    <t>Produkt</t>
  </si>
  <si>
    <t>Version:</t>
  </si>
  <si>
    <t>Drückertyp OS</t>
  </si>
  <si>
    <t>Drücker OS</t>
  </si>
  <si>
    <t>Drückertyp SS</t>
  </si>
  <si>
    <t>Drücker SS</t>
  </si>
  <si>
    <t>Drücker Material OS</t>
  </si>
  <si>
    <t>Drücker Material SS</t>
  </si>
  <si>
    <t>Drücker Oberfläche OS</t>
  </si>
  <si>
    <t>Drücker Oberfläche SS</t>
  </si>
  <si>
    <t>Abdeckung OS</t>
  </si>
  <si>
    <t>Abdeckung SS</t>
  </si>
  <si>
    <t>Lochung</t>
  </si>
  <si>
    <t>Drücker vertikale Position</t>
  </si>
  <si>
    <t>Stoßgriff Typ OS</t>
  </si>
  <si>
    <t>Stoßgriff vertikale Position OS</t>
  </si>
  <si>
    <t>Stoßgriff horizontale Position OS</t>
  </si>
  <si>
    <t>Stossgriff Oberfläche OS</t>
  </si>
  <si>
    <t>Stoßgriff Typ SS</t>
  </si>
  <si>
    <t>Stoßgriff horizontale Position SS</t>
  </si>
  <si>
    <t>Stoßgriff vertikale Position SS</t>
  </si>
  <si>
    <t>Stossgriff Oberfläche SS</t>
  </si>
  <si>
    <t>Planungsstatus</t>
  </si>
  <si>
    <t>Freigabe</t>
  </si>
  <si>
    <t>Freitext</t>
  </si>
  <si>
    <t>Ganzzahl</t>
  </si>
  <si>
    <t>Diskret</t>
  </si>
  <si>
    <t>Jeder</t>
  </si>
  <si>
    <t>FM</t>
  </si>
  <si>
    <t>BS</t>
  </si>
  <si>
    <t>GS</t>
  </si>
  <si>
    <t>RV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</si>
  <si>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</si>
  <si>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</si>
  <si>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</si>
  <si>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</si>
  <si>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</si>
  <si>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</si>
  <si>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</si>
  <si>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</si>
  <si>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</si>
  <si>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</si>
  <si>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</si>
  <si>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Klärung</t>
  </si>
  <si>
    <t>Planung</t>
  </si>
  <si>
    <t>Typ</t>
  </si>
  <si>
    <t>[-]</t>
  </si>
  <si>
    <t>Ja/Nein</t>
  </si>
  <si>
    <t>Fließkomma</t>
  </si>
  <si>
    <t>[m]</t>
  </si>
  <si>
    <t>[cm]</t>
  </si>
  <si>
    <t>Öffnungsart</t>
  </si>
  <si>
    <t>Angabe, wie das Türblatt bewegt wird. Beschreibt die Hauptcharakteristik der Tür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</si>
  <si>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</si>
  <si>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</si>
  <si>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</si>
  <si>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</si>
  <si>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</si>
  <si>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</si>
  <si>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Oberlicht Anzahl</t>
  </si>
  <si>
    <t>Seitenteile Anzahl</t>
  </si>
  <si>
    <t>Öffnungswinkel min / max</t>
  </si>
  <si>
    <t>[°]</t>
  </si>
  <si>
    <t>Aufschlagrichtung</t>
  </si>
  <si>
    <t>Anschlagsseite</t>
  </si>
  <si>
    <t>Bezeichnung der deutschen DIN-Konformen Anschlagseite DIN-Rechts oder DIN-Links</t>
  </si>
  <si>
    <t>Elektroausstattung</t>
  </si>
  <si>
    <t>Anforderungen hinsichtlich Brandschutz</t>
  </si>
  <si>
    <t>FM, Brandschutz</t>
  </si>
  <si>
    <t>Rauchschutz</t>
  </si>
  <si>
    <t>Anforderungen hinsichtlich Rauchschutz</t>
  </si>
  <si>
    <t>Anforderungen hinsichtlich Schallschutz</t>
  </si>
  <si>
    <t>Wärmeschutz</t>
  </si>
  <si>
    <t>Anforderungen hinsichtlich Wärmeschutz</t>
  </si>
  <si>
    <t>Strahlenschutz</t>
  </si>
  <si>
    <t>Anforderungen hinsichtlich Strahlenschutz</t>
  </si>
  <si>
    <t>Einbruchschutz</t>
  </si>
  <si>
    <t>Anforderungen hinsichtlich Einbruchschutz</t>
  </si>
  <si>
    <t>Beschußsicherheit</t>
  </si>
  <si>
    <t>Anforderungen hinsichtlich Beschußsicherheit</t>
  </si>
  <si>
    <t>Sprengwirkungsschutz</t>
  </si>
  <si>
    <t>Anforderungen hinsichtlich Sprengwirkungsschutz</t>
  </si>
  <si>
    <t>Laserschutz</t>
  </si>
  <si>
    <t>Anforderungen hinsichtlich Laserschutz</t>
  </si>
  <si>
    <t>Hochwasserschutz</t>
  </si>
  <si>
    <t>Anforderungen hinsichtlich Hochwasserschutz</t>
  </si>
  <si>
    <t>Klimaklasse</t>
  </si>
  <si>
    <t>Anforderungen hinsichtlich Klimaklasse</t>
  </si>
  <si>
    <t>Mechanische Beanspruchung</t>
  </si>
  <si>
    <t xml:space="preserve"> </t>
  </si>
  <si>
    <t>Anforderungen hinsichtlich mechanischer Beanspruchung</t>
  </si>
  <si>
    <t>Explosionsschutz</t>
  </si>
  <si>
    <t>Anforderungen hinsichtlich Explosionsschutz</t>
  </si>
  <si>
    <t>Vandalismus</t>
  </si>
  <si>
    <t>Anforderungen hinsichtlich Vandalismus</t>
  </si>
  <si>
    <t>Unfallverhütung</t>
  </si>
  <si>
    <t>Anforderungen hinsichtlich Unfallverhütung nach DGUV</t>
  </si>
  <si>
    <t>Nassraum</t>
  </si>
  <si>
    <t>Anforderungen hinsichtlich eines Einsatzes im Nassraum</t>
  </si>
  <si>
    <t>Feuchtraum</t>
  </si>
  <si>
    <t>Anforderungen hinsichtlich eines Einsatzes im Feuchtraum</t>
  </si>
  <si>
    <t>Dichtigkeit</t>
  </si>
  <si>
    <t>Anforderungen hinsichtlich Dichtigkeit</t>
  </si>
  <si>
    <t>VDS-Klasse</t>
  </si>
  <si>
    <t>Funktionale Anforderungen</t>
  </si>
  <si>
    <t>Barrierefreiheit</t>
  </si>
  <si>
    <t>Anforderungen hinsichtlich Barrierefreiheit</t>
  </si>
  <si>
    <t>Flucht-Rettungsweg</t>
  </si>
  <si>
    <t>Anforderungen hinsichtlich eines Einsatzen in Flucht- und Rettungswegen</t>
  </si>
  <si>
    <t>Absturzsicherung</t>
  </si>
  <si>
    <t>Anforderungen hinsichtlich einer Sicherung gegen Absturz</t>
  </si>
  <si>
    <t>RWA-Zuluft</t>
  </si>
  <si>
    <t>Anforderungen hinsichtlich RWA-Zuluft</t>
  </si>
  <si>
    <t>Angabe, ob die Tür selbstständig schließend ausgeführt werden muss</t>
  </si>
  <si>
    <t>Automatisiert</t>
  </si>
  <si>
    <t>Angabe, ob die Tür mit einem automatik Antrieb ausgestattet werden muss</t>
  </si>
  <si>
    <t>Klemmschutz</t>
  </si>
  <si>
    <t>Angabe, ob ein Klemmschutz an der Tür vorhanden sein muss</t>
  </si>
  <si>
    <t>Hygiene</t>
  </si>
  <si>
    <t>Anforderungen hinsichtlich Hygiene</t>
  </si>
  <si>
    <t>Nachhaltigkeit</t>
  </si>
  <si>
    <t>Anforderungen hinsichtlich der Nachhaltigkeit nach LEED, DGNB etc.</t>
  </si>
  <si>
    <t>Anforderungen hinsichtlich Dauerbeständigkeit. Z.B. Angabe der geforderten minimalen Anzahl von Lastzyklen</t>
  </si>
  <si>
    <t>Korrosionschutz</t>
  </si>
  <si>
    <t>Anforderungen hinsichtlich Korrosionsschutz</t>
  </si>
  <si>
    <t>Elektromagnetische Abschirmung</t>
  </si>
  <si>
    <t>Anforderungen hinsichtlich elektromagnetischer Abschirmung</t>
  </si>
  <si>
    <t>Nutzungstyp</t>
  </si>
  <si>
    <t>Art der typischen Nutzung. Angabe des Verwendungsgebietes wie beispielsweise Schule, Kindergarten, Hospital, Verwaltung</t>
  </si>
  <si>
    <t>Bedienkraft</t>
  </si>
  <si>
    <t>Angabe zur geforderte bzw. ausgeführten Bedienkraft der Tür</t>
  </si>
  <si>
    <t>[mm]</t>
  </si>
  <si>
    <t>mm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</si>
  <si>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</si>
  <si>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</si>
  <si>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</si>
  <si>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</si>
  <si>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</si>
  <si>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</si>
  <si>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</si>
  <si>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Schloßtyp</t>
  </si>
  <si>
    <t>Wechselfunktionen</t>
  </si>
  <si>
    <t>Verriegelungsfunktionen</t>
  </si>
  <si>
    <t>Selbstverriegelnd</t>
  </si>
  <si>
    <t>Standflügelverriegelung</t>
  </si>
  <si>
    <t>Schließanlage</t>
  </si>
  <si>
    <t>Schließung</t>
  </si>
  <si>
    <t>Art des Griffs Öffnungsseite</t>
  </si>
  <si>
    <t>Beschreibung des Türdrückers, Türknopfs, Muschelgriffs oder Glastürbeschlags der Öffnungsseite</t>
  </si>
  <si>
    <t>Art des Griffs Schlosseite</t>
  </si>
  <si>
    <t>Beschreibung des Türdrückers, Türknopfs, Muschelgriffs oder Glastürbeschlags der Schlosseite</t>
  </si>
  <si>
    <t>Art des Materials Griffs Öffnungsseite</t>
  </si>
  <si>
    <t>Oberflächenbeschaffenheit des Griffs Öffnungsseite</t>
  </si>
  <si>
    <t>Art der Abdeckung Öfnungsseite</t>
  </si>
  <si>
    <t>Art der Abdeckung Schlosseite</t>
  </si>
  <si>
    <t>Art der Lochung</t>
  </si>
  <si>
    <t>Vertikale Position Griff Mittelachse in mm von OKFF</t>
  </si>
  <si>
    <t>Bleieinlage</t>
  </si>
  <si>
    <t>Bodendichtung</t>
  </si>
  <si>
    <t>keine, standard, absenkbar</t>
  </si>
  <si>
    <t>Auflaufdichtung</t>
  </si>
  <si>
    <t>keine, standard, mit Aluminiumschwelle</t>
  </si>
  <si>
    <t>Kabelkanal</t>
  </si>
  <si>
    <t>Aufdopplung Türblatt</t>
  </si>
  <si>
    <t>Sockelblech</t>
  </si>
  <si>
    <t>kein,Aluminium, Edelstahl</t>
  </si>
  <si>
    <t>Zeiterfassung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</si>
  <si>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</si>
  <si>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</si>
  <si>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</si>
  <si>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</si>
  <si>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</si>
  <si>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</si>
  <si>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</si>
  <si>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</si>
  <si>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/>
  </si>
  <si>
    <t>TÜR - ANFORDERUNGEN</t>
  </si>
  <si>
    <t>Brandschutzanforderung</t>
  </si>
  <si>
    <t>Schallschutzanforderung</t>
  </si>
  <si>
    <t>Anforderung Barrierefreiheit</t>
  </si>
  <si>
    <t>Anforderung Zugangskontrolle</t>
  </si>
  <si>
    <t>Feuchteschutzanforderung</t>
  </si>
  <si>
    <t>Fluchtweganforderung</t>
  </si>
  <si>
    <t>DK</t>
  </si>
  <si>
    <t>Grundanforderungen an die Tür</t>
  </si>
  <si>
    <t>TÜR - TYPDEFINITION</t>
  </si>
  <si>
    <t>Seitenteil links</t>
  </si>
  <si>
    <t>Seitenteil rechts</t>
  </si>
  <si>
    <t>ALTERNATIVE
PARAMETER
NAME (e.g. IFC/Building Smart)</t>
  </si>
  <si>
    <t>bs_locking_system</t>
  </si>
  <si>
    <t>bs_access_control</t>
  </si>
  <si>
    <t>ac_library</t>
  </si>
  <si>
    <t>Index auf UI-Bitmaps</t>
  </si>
  <si>
    <t>Bearbeitbare Fixpunkte</t>
  </si>
  <si>
    <t>Flucht- und Rettungsweg</t>
  </si>
  <si>
    <t>UI-Unterseite</t>
  </si>
  <si>
    <t>Aktuelle UI-Seite</t>
  </si>
  <si>
    <t>Sprachversion der Bibliothek</t>
  </si>
  <si>
    <t>Schutzanforderungen</t>
  </si>
  <si>
    <t>Nominale Objektbreite</t>
  </si>
  <si>
    <t>Nominale Objekthöhe</t>
  </si>
  <si>
    <t>nicht verwendet</t>
  </si>
  <si>
    <t>LoI 0</t>
  </si>
  <si>
    <t>Mindestdurchgangsbreite</t>
  </si>
  <si>
    <t>Mindestöffnungswinkel</t>
  </si>
  <si>
    <t>Grundeigenschaften</t>
  </si>
  <si>
    <t>dk_basic_features</t>
  </si>
  <si>
    <t>Drehflügel</t>
  </si>
  <si>
    <t>Zugang von der  BS</t>
  </si>
  <si>
    <t>Zugang von der BGS</t>
  </si>
  <si>
    <t>Öffnen von der BS</t>
  </si>
  <si>
    <t>Öffnen von der BGS</t>
  </si>
  <si>
    <t>Schließverhalten</t>
  </si>
  <si>
    <t>Flügelposition im Betrieb</t>
  </si>
  <si>
    <t>Überwachung Türzustand</t>
  </si>
  <si>
    <t>Jeder (J); Identifikation (ID); zeitweise Identifikation (ZID)</t>
  </si>
  <si>
    <t>manuell (MÖ); unterstützt (UÖ); automatisch (AÖ)</t>
  </si>
  <si>
    <t>manuell schließen (MS); permanent selbstschließend (PS); gesteuert selbsschließend (GS)</t>
  </si>
  <si>
    <t>geschlossen (G); zeitweise offen (ZO); im Betrieb offen (IBO)</t>
  </si>
  <si>
    <t>Türflügelposition; Verriegelung, Drückerbetätigung, Schlüsselbetätigung; Fernentriegelung; Türoffenzeit; Notöffnung; Durchbruch; Aufbruch; Sabotage</t>
  </si>
  <si>
    <t>Anforderungen Zutrittskontrolle</t>
  </si>
  <si>
    <t>bs_ac_identify1</t>
  </si>
  <si>
    <t>bs_ac_identify2</t>
  </si>
  <si>
    <t>bs_ac_opening1</t>
  </si>
  <si>
    <t>bs_ac_opening2</t>
  </si>
  <si>
    <t>bs_ac_closing</t>
  </si>
  <si>
    <t>bs_ac_status</t>
  </si>
  <si>
    <t>MS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</si>
  <si>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</si>
  <si>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keine</t>
  </si>
  <si>
    <t>undefiniert</t>
  </si>
  <si>
    <t>Stahl</t>
  </si>
  <si>
    <t>Zuletzt geänderter Parameter</t>
  </si>
  <si>
    <t>User Interface + Editing</t>
  </si>
  <si>
    <t>gs_sunShade_iCashedEnableTypes</t>
  </si>
  <si>
    <t>gs_mountingFrame</t>
  </si>
  <si>
    <t>gs_RevealTypeEnable</t>
  </si>
  <si>
    <t>gs_subHandle</t>
  </si>
  <si>
    <t>Eigener Griff Bandseite</t>
  </si>
  <si>
    <t>Eigener Griff Bandgegenseite</t>
  </si>
  <si>
    <t>Einbaurahmen</t>
  </si>
  <si>
    <t>---</t>
  </si>
  <si>
    <t>REF GS</t>
  </si>
  <si>
    <t>REF BS</t>
  </si>
  <si>
    <t xml:space="preserve">Geforderte VDS-Klasse Einbruchmeldeanlagen </t>
  </si>
  <si>
    <t>Einbruchmeldeanlage</t>
  </si>
  <si>
    <t>max. Wärmedurchgangskoeffizient</t>
  </si>
  <si>
    <t>E</t>
  </si>
  <si>
    <t>-</t>
  </si>
  <si>
    <t>bs_ac_control</t>
  </si>
  <si>
    <t>bs_door_OpeningType</t>
  </si>
  <si>
    <t>bs_door_ConstructionType</t>
  </si>
  <si>
    <t>bs_door_leafs</t>
  </si>
  <si>
    <t>Mindestdurchgangshöhe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</si>
  <si>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</si>
  <si>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allgemein</t>
  </si>
  <si>
    <t>Holzkonstruktion, Rohrrahmentür, Stahlblechtür</t>
  </si>
  <si>
    <t>Anzahl der Türblätter</t>
  </si>
  <si>
    <t>bs_demand_FireResistance</t>
  </si>
  <si>
    <t>bs_demand_NoiseInsulaion</t>
  </si>
  <si>
    <t>bs_demand_Accessibility</t>
  </si>
  <si>
    <t>bs_demand_AdmissionControl</t>
  </si>
  <si>
    <t>bs_demand_MoistureProofing</t>
  </si>
  <si>
    <t>bs_demand_EscapeRoute</t>
  </si>
  <si>
    <t>bs_quality_FireResistanceRating</t>
  </si>
  <si>
    <t>bs_quality_NoiseInsulaion</t>
  </si>
  <si>
    <t>bs_quality_ThermalInsulaion</t>
  </si>
  <si>
    <t>bs_quality_RadiationProtection</t>
  </si>
  <si>
    <t>bs_quality_BurglaryProtection</t>
  </si>
  <si>
    <t>bs_quality_StrafingProtection</t>
  </si>
  <si>
    <t>bs_quality_DetonationProtection</t>
  </si>
  <si>
    <t>bs_quality_LaserProtection</t>
  </si>
  <si>
    <t>bs_quality_FloodProtection</t>
  </si>
  <si>
    <t>bs_quality_ClimateClass</t>
  </si>
  <si>
    <t>bs_quality_MechanicalLoad</t>
  </si>
  <si>
    <t>bs_quality_VandalismProtection</t>
  </si>
  <si>
    <t>bs_quality_AccidentPrevention</t>
  </si>
  <si>
    <t>bs_quality_WetRoom</t>
  </si>
  <si>
    <t>bs_quality_DampArea</t>
  </si>
  <si>
    <t>bs_quality_BurglaryAlarmSystem</t>
  </si>
  <si>
    <t>bs_quality_EscapeRoute</t>
  </si>
  <si>
    <t>bs_quality_UsableClearance</t>
  </si>
  <si>
    <t>bs_quality_UsableHeight</t>
  </si>
  <si>
    <t>bs_quality_OpeningAngle</t>
  </si>
  <si>
    <t>bs_quality_GuardrailHeight</t>
  </si>
  <si>
    <t>bs_quality_SHE</t>
  </si>
  <si>
    <t>bs_quality_SelfClosing</t>
  </si>
  <si>
    <t>bs_quality_Automation</t>
  </si>
  <si>
    <t>bs_quality_AntiTrapProtection</t>
  </si>
  <si>
    <t>bs_quality_Hygiene</t>
  </si>
  <si>
    <t>bs_quality_Sustainability</t>
  </si>
  <si>
    <t>bs_quality_CorrosionPrevention</t>
  </si>
  <si>
    <t>bs_quality_Occupancy</t>
  </si>
  <si>
    <t>bs_quality_Accessibility</t>
  </si>
  <si>
    <t>bs_quality_ActuatingForce</t>
  </si>
  <si>
    <t>Gesamtanzahl der Seitenteile ??? Überflüssig?</t>
  </si>
  <si>
    <t>Der minimale Öffnungswinkel des Türblattes. Kann bei Schiebetüren entfallen. ???</t>
  </si>
  <si>
    <t>Seitenfelder</t>
  </si>
  <si>
    <t>Oberlicht / Kämpfer / Riegel</t>
  </si>
  <si>
    <t>Angabe, in welchen Raum sich die Tür öffnet. ??? redundant? Mögliche Angabe z.B. in Raum 5, Flur, Aussen, Innen.</t>
  </si>
  <si>
    <t>L</t>
  </si>
  <si>
    <t>VALUE LIST</t>
  </si>
  <si>
    <t>Türausrichtung in Wandebene</t>
  </si>
  <si>
    <t>Elektrische Zuleitungen</t>
  </si>
  <si>
    <t>bs_door_sidelight</t>
  </si>
  <si>
    <t>bs_door_electrified</t>
  </si>
  <si>
    <t>Fensterbank außen</t>
  </si>
  <si>
    <t>bs_quality_SmokeResistance</t>
  </si>
  <si>
    <t>bs_quality_EMShielding</t>
  </si>
  <si>
    <t>Verfügbare Türgriffsysteme</t>
  </si>
  <si>
    <t>Verfügbare Zargensysteme</t>
  </si>
  <si>
    <t>Verfügbare Türblattsysteme</t>
  </si>
  <si>
    <t>Verfügbare Autamatisierungssysteme</t>
  </si>
  <si>
    <t>Verfügbare Zugangskontrollsysteme</t>
  </si>
  <si>
    <t>dk_extendable_components</t>
  </si>
  <si>
    <t>Erweiterungsbibliotheken</t>
  </si>
  <si>
    <t>bs_access_control_type</t>
  </si>
  <si>
    <t>handle_system</t>
  </si>
  <si>
    <t>frame_system</t>
  </si>
  <si>
    <t>panel_system</t>
  </si>
  <si>
    <t>closer_system</t>
  </si>
  <si>
    <t>automation_system</t>
  </si>
  <si>
    <t>access_control_system</t>
  </si>
  <si>
    <t>VERFAHRENSBEDINGTE + INTERNE PARAMETER</t>
  </si>
  <si>
    <t>dk_bim</t>
  </si>
  <si>
    <t>BIM + Struktur</t>
  </si>
  <si>
    <t>dk_LOI</t>
  </si>
  <si>
    <t>dk_LOD</t>
  </si>
  <si>
    <t>Level of Input</t>
  </si>
  <si>
    <t>Level of Detail</t>
  </si>
  <si>
    <t>develop</t>
  </si>
  <si>
    <t>Entwicklungsmodus</t>
  </si>
  <si>
    <t>Stift Kontur Türgriff 2D+3D</t>
  </si>
  <si>
    <t>Stift (opake) Füllschraffur 2D</t>
  </si>
  <si>
    <t>Beschläge / Türgriff</t>
  </si>
  <si>
    <t>dk_handle_pen</t>
  </si>
  <si>
    <t>dk_handle_fill_pen</t>
  </si>
  <si>
    <t>bs_requirement_functional</t>
  </si>
  <si>
    <t>bs_requirement_protection</t>
  </si>
  <si>
    <t>bs_requirement_basic</t>
  </si>
  <si>
    <t>UIpicIdxArray</t>
  </si>
  <si>
    <t>UItextArray</t>
  </si>
  <si>
    <t>UIvaluesArray</t>
  </si>
  <si>
    <t>AVVariableNames UI</t>
  </si>
  <si>
    <t>Rauchschutzanforderung</t>
  </si>
  <si>
    <t>hinge_system</t>
  </si>
  <si>
    <t>case_system</t>
  </si>
  <si>
    <t>Verfügbare Türschließersysteme</t>
  </si>
  <si>
    <t>Verfügbare Türbandsysteme</t>
  </si>
  <si>
    <t>Verfügbare Türschlosssysteme</t>
  </si>
  <si>
    <t>grip_system</t>
  </si>
  <si>
    <t>Verfügbare Stossgriffsysteme</t>
  </si>
  <si>
    <t>accessory_system</t>
  </si>
  <si>
    <t>Verfügbare Zubehörsysteme</t>
  </si>
  <si>
    <t>W</t>
  </si>
  <si>
    <t>bs_demand_SmokeResistance</t>
  </si>
  <si>
    <t>bs_quality_ExplosionSafety</t>
  </si>
  <si>
    <t>bs_quality_Tightness</t>
  </si>
  <si>
    <t>bs_quality_GasDefense</t>
  </si>
  <si>
    <t>Gasschutz</t>
  </si>
  <si>
    <t>bs_quality_UsefulLife</t>
  </si>
  <si>
    <t>Nutzungsdauer</t>
  </si>
  <si>
    <t>bs_quality_IntensityOfUse</t>
  </si>
  <si>
    <t>Nutzungsintensität</t>
  </si>
  <si>
    <t>bs_door_pushbar</t>
  </si>
  <si>
    <t>Stoßgriff</t>
  </si>
  <si>
    <t>Türtyp / Öffnungsart</t>
  </si>
  <si>
    <t>Aus</t>
  </si>
  <si>
    <t>gs_cust_handle3</t>
  </si>
  <si>
    <t>Grifftyp Bandseite</t>
  </si>
  <si>
    <t>gs_handle_type3</t>
  </si>
  <si>
    <t>gs_handle_type2</t>
  </si>
  <si>
    <t>Grifftyp Bandgegenseite</t>
  </si>
  <si>
    <t>gs_handle_side3</t>
  </si>
  <si>
    <t>Griffhöhe Gangflügel</t>
  </si>
  <si>
    <t>bs_door_case</t>
  </si>
  <si>
    <t>Türschloss</t>
  </si>
  <si>
    <t>bs_handle_model</t>
  </si>
  <si>
    <t>Griffmodell Bandseite</t>
  </si>
  <si>
    <t>bs_handle_model3</t>
  </si>
  <si>
    <t>bs_handle_model2</t>
  </si>
  <si>
    <t>bs_handle_orientation</t>
  </si>
  <si>
    <t>bs_handle_material</t>
  </si>
  <si>
    <t>bs_handle_surface</t>
  </si>
  <si>
    <t>Oberfläche Drücker Bandseite</t>
  </si>
  <si>
    <t>Material Drücker Bandseite</t>
  </si>
  <si>
    <t>gs_doorplate</t>
  </si>
  <si>
    <t>Türschild / Rosette</t>
  </si>
  <si>
    <t>Lochung Gangflügel</t>
  </si>
  <si>
    <t>Griffmodell Bandgegenseite</t>
  </si>
  <si>
    <t>bs_handle_orientation2</t>
  </si>
  <si>
    <t>bs_handle_material2</t>
  </si>
  <si>
    <t>bs_handle_surface2</t>
  </si>
  <si>
    <t>Art des Materials Griffs Schlossseite</t>
  </si>
  <si>
    <t>Oberflächenbeschaffenheit des Griffs Schlossseite</t>
  </si>
  <si>
    <t>Material Drücker Bandgegenseite</t>
  </si>
  <si>
    <t>Oberfläche Drücker Bandgegenseite</t>
  </si>
  <si>
    <t>Ausrichtung Drücker Bandgegenseite</t>
  </si>
  <si>
    <t>Ausrichtung Drücker Bandseite</t>
  </si>
  <si>
    <t>Produktgruppe</t>
  </si>
  <si>
    <t>bs_handle_product_line</t>
  </si>
  <si>
    <t>bs_handle_orientation3</t>
  </si>
  <si>
    <t>bs_handle_material3</t>
  </si>
  <si>
    <t>bs_handle_surface3</t>
  </si>
  <si>
    <t>DR</t>
  </si>
  <si>
    <t>ES</t>
  </si>
  <si>
    <t>Abdeckung Bandseite</t>
  </si>
  <si>
    <t>Abdeckung Bandgegenseite</t>
  </si>
  <si>
    <t>bs_doorplate1</t>
  </si>
  <si>
    <t>bs_doorplate2</t>
  </si>
  <si>
    <t>bs_doorplate3</t>
  </si>
  <si>
    <t>Abdeckung Standflügel</t>
  </si>
  <si>
    <t>bs_case_hole</t>
  </si>
  <si>
    <t>bs_case_hole2</t>
  </si>
  <si>
    <t>bs_closure1</t>
  </si>
  <si>
    <t>PZ</t>
  </si>
  <si>
    <t>bs_closure2</t>
  </si>
  <si>
    <t>bs_closure3</t>
  </si>
  <si>
    <t>Lochung Abdeckung Bandseite</t>
  </si>
  <si>
    <t>Lochung Abdeckung Bandgegenseite</t>
  </si>
  <si>
    <t>bs_doorplate_surface1</t>
  </si>
  <si>
    <t>bs_doorplate_material1</t>
  </si>
  <si>
    <t>bs_doorplate_material2</t>
  </si>
  <si>
    <t>bs_doorplate_surface2</t>
  </si>
  <si>
    <t>bs_doorplate_material3</t>
  </si>
  <si>
    <t>bs_doorplate_surface3</t>
  </si>
  <si>
    <t>Material Abdeckung Bandgegenseite</t>
  </si>
  <si>
    <t>Oberfläche Abdeckung Bandgegenseite</t>
  </si>
  <si>
    <t>Oberfläche Abdeckung Bandseite</t>
  </si>
  <si>
    <t>Material Abdeckung Bandseite</t>
  </si>
  <si>
    <t>bs_doorplate_product_line</t>
  </si>
  <si>
    <t>Modell Abdeckung Bandseite</t>
  </si>
  <si>
    <t>Produktbezeichnung</t>
  </si>
  <si>
    <t>bs_doorplate_model1</t>
  </si>
  <si>
    <t>bs_doorplate_model2</t>
  </si>
  <si>
    <t>Modell Abdeckung Bandgegenseite</t>
  </si>
  <si>
    <t>bs_doorplate_model3</t>
  </si>
  <si>
    <t>Modell Abdeckung Standflügel</t>
  </si>
  <si>
    <t>Lochung Abdeckung Standflügel</t>
  </si>
  <si>
    <t>Material Abdeckung Standflügel</t>
  </si>
  <si>
    <t>Oberfläche Abdeckung Standflügel</t>
  </si>
  <si>
    <t>Grifftyp Standflügel</t>
  </si>
  <si>
    <t>Griffmodell Standflügel</t>
  </si>
  <si>
    <t>Eigener Griff Standflügel</t>
  </si>
  <si>
    <t>Griff am Standflügel auf Bandseite</t>
  </si>
  <si>
    <t>Ausrichtung Drücker Standflügel</t>
  </si>
  <si>
    <t>Material Drücker Standflügel</t>
  </si>
  <si>
    <t>Oberfläche Drücker Standflügel</t>
  </si>
  <si>
    <t>Griffhöhe Standflügel</t>
  </si>
  <si>
    <t>Lochung Standflügel</t>
  </si>
  <si>
    <t>VALIDATE</t>
  </si>
  <si>
    <t>Fluchtweg- und Rettungsweganforderung</t>
  </si>
  <si>
    <t>Klimatische Anforderungen</t>
  </si>
  <si>
    <t>Anforderungen Barrierefreiheit</t>
  </si>
  <si>
    <t>DORMA_OTS</t>
  </si>
  <si>
    <t>DORMA</t>
  </si>
  <si>
    <t>DORMA_OGRO</t>
  </si>
  <si>
    <t>OGRO</t>
  </si>
  <si>
    <t>dk_dlg_subset</t>
  </si>
  <si>
    <t>Dialogseiten-Gruppe</t>
  </si>
  <si>
    <t>ECD_Properties.XML</t>
  </si>
  <si>
    <t>dk_folding_dimensions</t>
  </si>
  <si>
    <t>MAKRO-PARAMETER</t>
  </si>
  <si>
    <t>Bandgegenseite</t>
  </si>
  <si>
    <t>waagrecht</t>
  </si>
  <si>
    <t>Blindschild</t>
  </si>
  <si>
    <t>Drücker</t>
  </si>
  <si>
    <t>Bandseite</t>
  </si>
  <si>
    <t>So</t>
  </si>
  <si>
    <t>senkrecht aufwärts</t>
  </si>
  <si>
    <t>ST</t>
  </si>
  <si>
    <t>unbehandelt</t>
  </si>
  <si>
    <t>KF</t>
  </si>
  <si>
    <t>Knopf</t>
  </si>
  <si>
    <t>Su</t>
  </si>
  <si>
    <t>senkrecht abwärts</t>
  </si>
  <si>
    <t>Edelstahl</t>
  </si>
  <si>
    <t>Geschliffen</t>
  </si>
  <si>
    <t>RZ</t>
  </si>
  <si>
    <t>KD</t>
  </si>
  <si>
    <t>Knopf drehbar</t>
  </si>
  <si>
    <t>AL</t>
  </si>
  <si>
    <t>Aluminium</t>
  </si>
  <si>
    <t>T</t>
  </si>
  <si>
    <t>Getrommelt</t>
  </si>
  <si>
    <t>Breitschild</t>
  </si>
  <si>
    <t>BB</t>
  </si>
  <si>
    <t>Messing</t>
  </si>
  <si>
    <t>Poliert</t>
  </si>
  <si>
    <t>WCS</t>
  </si>
  <si>
    <t>WC-Schaubild</t>
  </si>
  <si>
    <t>NY</t>
  </si>
  <si>
    <t>Nylon</t>
  </si>
  <si>
    <t>Lackiert</t>
  </si>
  <si>
    <t>WCK</t>
  </si>
  <si>
    <t>WC-Knebel</t>
  </si>
  <si>
    <t>KO</t>
  </si>
  <si>
    <t>Kompositmaterial</t>
  </si>
  <si>
    <t>Pulverbeschichtet</t>
  </si>
  <si>
    <t>Z</t>
  </si>
  <si>
    <t>Verzinkt</t>
  </si>
  <si>
    <t>Vergoldet</t>
  </si>
  <si>
    <t>Eloxiert</t>
  </si>
  <si>
    <t>Titanisiert</t>
  </si>
  <si>
    <t>DIN EN 1906</t>
  </si>
  <si>
    <t>Ausführg.</t>
  </si>
  <si>
    <t>Vollblatt</t>
  </si>
  <si>
    <t>Profiltür</t>
  </si>
  <si>
    <t>U-Wert</t>
  </si>
  <si>
    <t>Elektrom. Abschirmung</t>
  </si>
  <si>
    <t>Gebrauchskategorie</t>
  </si>
  <si>
    <t>Dauerhaftigkeit</t>
  </si>
  <si>
    <t>max. Gewicht</t>
  </si>
  <si>
    <t>Feuerbeständigkeit</t>
  </si>
  <si>
    <t>Sicherheitsklasse</t>
  </si>
  <si>
    <t>Korrosionsbeständigkeit</t>
  </si>
  <si>
    <t>Federunterstützt</t>
  </si>
  <si>
    <t>Federvorspannung</t>
  </si>
  <si>
    <t>ohne Feder</t>
  </si>
  <si>
    <t>Edelstahl Rostfrei ER</t>
  </si>
  <si>
    <t>ER Oberfläche gebürstet (default)</t>
  </si>
  <si>
    <t>ER Oberfläche poliert</t>
  </si>
  <si>
    <t>Aluminium gebürstet ALU</t>
  </si>
  <si>
    <t>Drücker/Drücker</t>
  </si>
  <si>
    <t>Drücker/Knopf</t>
  </si>
  <si>
    <t>Drücker/Blind</t>
  </si>
  <si>
    <t>Drücker/Halbgarnitur</t>
  </si>
  <si>
    <t>Drücker Brailleschrift</t>
  </si>
  <si>
    <t>Drücker Standflügelverriegelung</t>
  </si>
  <si>
    <t>Rosetten rund</t>
  </si>
  <si>
    <t>Langschild rund</t>
  </si>
  <si>
    <t>Langschild käntig</t>
  </si>
  <si>
    <t>Kurzsschild rund</t>
  </si>
  <si>
    <t>Kurzschild käntig</t>
  </si>
  <si>
    <t>Drücker verkröpft / abgewinkelt</t>
  </si>
  <si>
    <t>Profilrosetten rund</t>
  </si>
  <si>
    <t>Profilrosetten Käntig</t>
  </si>
  <si>
    <t>Profil-Langschild</t>
  </si>
  <si>
    <t>Buntbart</t>
  </si>
  <si>
    <t>Profilzylinder</t>
  </si>
  <si>
    <t>Rundzylinder (nicht bei Profiltür)</t>
  </si>
  <si>
    <t>Ovalzylinder (nicht bei Profiltür)</t>
  </si>
  <si>
    <t>Blind ohne Lochung</t>
  </si>
  <si>
    <t>WC Knebel Schaubild</t>
  </si>
  <si>
    <t>Bezeichnung</t>
  </si>
  <si>
    <t>U</t>
  </si>
  <si>
    <t>D1</t>
  </si>
  <si>
    <t>8100A</t>
  </si>
  <si>
    <t>8100V</t>
  </si>
  <si>
    <t>8101A</t>
  </si>
  <si>
    <t>C1</t>
  </si>
  <si>
    <t>8115V</t>
  </si>
  <si>
    <t>8140A</t>
  </si>
  <si>
    <t>8141A</t>
  </si>
  <si>
    <t>8155V</t>
  </si>
  <si>
    <t>8350A</t>
  </si>
  <si>
    <t>8350V</t>
  </si>
  <si>
    <t>8527A</t>
  </si>
  <si>
    <t>8830 Sieger</t>
  </si>
  <si>
    <t>8830A Sieger</t>
  </si>
  <si>
    <t>8871V</t>
  </si>
  <si>
    <t>8880 Kister</t>
  </si>
  <si>
    <t>8890 Welter</t>
  </si>
  <si>
    <t>8906A</t>
  </si>
  <si>
    <t>8906V</t>
  </si>
  <si>
    <t>8907A</t>
  </si>
  <si>
    <t>8907V</t>
  </si>
  <si>
    <t>8915 Kleihues</t>
  </si>
  <si>
    <t>8916 Kleihues</t>
  </si>
  <si>
    <t>8916A Kleihues</t>
  </si>
  <si>
    <t>8920 Tchoban</t>
  </si>
  <si>
    <t>8928 Wagenfeld</t>
  </si>
  <si>
    <t>8928A Wagenfeld</t>
  </si>
  <si>
    <t>8960 Forstner</t>
  </si>
  <si>
    <t>8962 Braun Feldweg</t>
  </si>
  <si>
    <t>8972 Wagenfeld</t>
  </si>
  <si>
    <t>8974 Wagenfeld</t>
  </si>
  <si>
    <t>8990 Botti</t>
  </si>
  <si>
    <t>8991 Botti</t>
  </si>
  <si>
    <t>8991A Botti</t>
  </si>
  <si>
    <t>8998A</t>
  </si>
  <si>
    <t>8999A</t>
  </si>
  <si>
    <t>8020A</t>
  </si>
  <si>
    <t>8025V</t>
  </si>
  <si>
    <t>8030V</t>
  </si>
  <si>
    <t>8548V</t>
  </si>
  <si>
    <t>3020A</t>
  </si>
  <si>
    <t>3025V</t>
  </si>
  <si>
    <t>3030V</t>
  </si>
  <si>
    <t>3548V</t>
  </si>
  <si>
    <t>ARRAYs</t>
  </si>
  <si>
    <t>FluchtRettung</t>
  </si>
  <si>
    <t>Beanspruchung</t>
  </si>
  <si>
    <t>Feuer</t>
  </si>
  <si>
    <t>Korrosion</t>
  </si>
  <si>
    <t>Einbruch</t>
  </si>
  <si>
    <t>Feder</t>
  </si>
  <si>
    <t>ER</t>
  </si>
  <si>
    <t>ERgebuerstet</t>
  </si>
  <si>
    <t>ERpoliert</t>
  </si>
  <si>
    <t>ALgebuerstet</t>
  </si>
  <si>
    <t>DD</t>
  </si>
  <si>
    <t>DB</t>
  </si>
  <si>
    <t>DH</t>
  </si>
  <si>
    <t>Brailleschrift</t>
  </si>
  <si>
    <t>Standfluegel</t>
  </si>
  <si>
    <t>RosettenRund</t>
  </si>
  <si>
    <t>LangschildRund</t>
  </si>
  <si>
    <t>LangschildKantig</t>
  </si>
  <si>
    <t>KurzschildRund</t>
  </si>
  <si>
    <t>KurzschildKantig</t>
  </si>
  <si>
    <t>Verkroepft</t>
  </si>
  <si>
    <t>ProfilrosettenRund</t>
  </si>
  <si>
    <t>ProfilrosettenKantig</t>
  </si>
  <si>
    <t>Profillangschild</t>
  </si>
  <si>
    <t>Rundzylinder</t>
  </si>
  <si>
    <t>Ovalzylinder</t>
  </si>
  <si>
    <t>Blind</t>
  </si>
  <si>
    <t>WC</t>
  </si>
  <si>
    <t>Serie</t>
  </si>
  <si>
    <t>produkte</t>
  </si>
  <si>
    <t>kategorien</t>
  </si>
  <si>
    <t>eigenschaften</t>
  </si>
  <si>
    <t>dk_fittings</t>
  </si>
  <si>
    <t>Produktspezifikationen Beschläge</t>
  </si>
  <si>
    <t>Produktbezeichnungen</t>
  </si>
  <si>
    <t>Zuordnung zu Produktanforderungen</t>
  </si>
  <si>
    <t>Produkteigenschaften</t>
  </si>
  <si>
    <t>BitmapVB</t>
  </si>
  <si>
    <t>BitmapPT</t>
  </si>
  <si>
    <t>8972A Wagenfeld</t>
  </si>
  <si>
    <t>8940A</t>
  </si>
  <si>
    <t>8116V</t>
  </si>
  <si>
    <t>8200 Bitch/Neither/Teherani</t>
  </si>
  <si>
    <t>dki_</t>
  </si>
  <si>
    <t>SERIEN</t>
  </si>
  <si>
    <t>bs_handle_braille</t>
  </si>
  <si>
    <t>bs_handle_braille2</t>
  </si>
  <si>
    <t>Braillebeschriftung des Griffes BGS</t>
  </si>
  <si>
    <t>Braillebeschriftung des Griffes BS</t>
  </si>
  <si>
    <t>macro_runtype</t>
  </si>
  <si>
    <t>Parameter to specify the question</t>
  </si>
  <si>
    <t>UIpage_number</t>
  </si>
  <si>
    <t>Page number</t>
  </si>
  <si>
    <t>Uipage</t>
  </si>
  <si>
    <t>Number of pages for output</t>
  </si>
  <si>
    <t>UIpage_parent</t>
  </si>
  <si>
    <t>Parent page number</t>
  </si>
  <si>
    <t>dorma_call</t>
  </si>
  <si>
    <t>Macro Call Settings</t>
  </si>
  <si>
    <t>schildVB</t>
  </si>
  <si>
    <t>schildPT</t>
  </si>
  <si>
    <t>GriffMaterial</t>
  </si>
  <si>
    <t>Materialoptionen</t>
  </si>
  <si>
    <t>Türschildoptionen Vollblattür</t>
  </si>
  <si>
    <t>Türschildoptionen Profiltür</t>
  </si>
  <si>
    <t>lochung</t>
  </si>
  <si>
    <t>Schildlochung</t>
  </si>
  <si>
    <t>OGRO by ARCHITECTS</t>
  </si>
  <si>
    <t>Gebürstet</t>
  </si>
  <si>
    <t>705x K</t>
  </si>
  <si>
    <t>706x K</t>
  </si>
  <si>
    <t>702x L</t>
  </si>
  <si>
    <t>701x L</t>
  </si>
  <si>
    <t>CH - Lochung</t>
  </si>
  <si>
    <t>662x</t>
  </si>
  <si>
    <t>661x</t>
  </si>
  <si>
    <t>ZL 6500</t>
  </si>
  <si>
    <t>ZL 7050 K</t>
  </si>
  <si>
    <t>ZL 7060 K</t>
  </si>
  <si>
    <t>ZL 7020 L</t>
  </si>
  <si>
    <t>ZL 7010 L</t>
  </si>
  <si>
    <t>ZL 6625</t>
  </si>
  <si>
    <t>8937A</t>
  </si>
  <si>
    <t>8937B</t>
  </si>
  <si>
    <t>7691 ER</t>
  </si>
  <si>
    <t>LochungCH</t>
  </si>
  <si>
    <t>zuordnung</t>
  </si>
  <si>
    <t>Produktart + Index Preview Bitmaps</t>
  </si>
  <si>
    <t>Art Drücker=1, Knopf=2, Knopf drehbar=3, 10+ Schilder</t>
  </si>
  <si>
    <t>CH</t>
  </si>
  <si>
    <t>OZ</t>
  </si>
  <si>
    <t>dk_materials</t>
  </si>
  <si>
    <t>Array für Oberflächenmaterialien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</si>
  <si>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</si>
  <si>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</si>
  <si>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</si>
  <si>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</si>
  <si>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</si>
  <si>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</si>
  <si>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</si>
  <si>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</si>
  <si>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</si>
  <si>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</si>
  <si>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</si>
  <si>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</si>
  <si>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</si>
  <si>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</si>
  <si>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</si>
  <si>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</si>
  <si>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</si>
  <si>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650x + 6612</t>
  </si>
  <si>
    <t>650x + 7122</t>
  </si>
  <si>
    <t>650x + 7123</t>
  </si>
  <si>
    <t>650x</t>
  </si>
  <si>
    <t>662x + 6679</t>
  </si>
  <si>
    <t>661x + 6676</t>
  </si>
  <si>
    <t>SOLID</t>
  </si>
  <si>
    <t>CORE</t>
  </si>
  <si>
    <t>PURE</t>
  </si>
  <si>
    <t>2D-Modell</t>
  </si>
  <si>
    <t>3D-Modell</t>
  </si>
  <si>
    <t>STEP</t>
  </si>
  <si>
    <t>DWG</t>
  </si>
  <si>
    <t>LoD</t>
  </si>
  <si>
    <t>GDL</t>
  </si>
  <si>
    <t>SURF</t>
  </si>
  <si>
    <t>SUBS</t>
  </si>
  <si>
    <t>Entfernungsmaß Standflügel</t>
  </si>
  <si>
    <t>Dornmaß Gangflügel</t>
  </si>
  <si>
    <t>Entfernungsmaß Gangflügel</t>
  </si>
  <si>
    <t>Dornmaß Standflügel</t>
  </si>
  <si>
    <t>bs_case_distance</t>
  </si>
  <si>
    <t>bs_case_distance2</t>
  </si>
  <si>
    <t>???</t>
  </si>
  <si>
    <t>leer</t>
  </si>
  <si>
    <t>htspt</t>
  </si>
  <si>
    <t>Fangpunktindex</t>
  </si>
  <si>
    <t>Breite</t>
  </si>
  <si>
    <t>Tiefe</t>
  </si>
  <si>
    <t>abmessung</t>
  </si>
  <si>
    <t>Abmessungen</t>
  </si>
  <si>
    <t>Darstellung</t>
  </si>
  <si>
    <t>PDF</t>
  </si>
  <si>
    <t>VersatzX</t>
  </si>
  <si>
    <t>Dorn/Dicke</t>
  </si>
  <si>
    <t>D</t>
  </si>
  <si>
    <t>ZL 65xx Tchoban</t>
  </si>
  <si>
    <t>ZL 65xx Forstner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</si>
  <si>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</si>
  <si>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</si>
  <si>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</si>
  <si>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</si>
  <si>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</si>
  <si>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</si>
  <si>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</si>
  <si>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</si>
  <si>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ZEILE:
Offset / Beginn</t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</si>
  <si>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</si>
  <si>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</si>
  <si>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</si>
  <si>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</si>
  <si>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</si>
  <si>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</si>
  <si>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</si>
  <si>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</si>
  <si>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</si>
  <si>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</si>
  <si>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</si>
  <si>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</si>
  <si>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</si>
  <si>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</si>
  <si>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</si>
  <si>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</si>
  <si>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</si>
  <si>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</si>
  <si>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</si>
  <si>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</si>
  <si>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</si>
  <si>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</si>
  <si>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</si>
  <si>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</si>
  <si>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</si>
  <si>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</si>
  <si>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</si>
  <si>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52_User-interface-Script.gdl</t>
  </si>
  <si>
    <t>54_User-Interface-Script.txt</t>
  </si>
  <si>
    <t>dk_matSchwarz</t>
  </si>
  <si>
    <t>Material für Schlüssellöcher</t>
  </si>
  <si>
    <t>Sprachversion UI</t>
  </si>
  <si>
    <t>Kegellochung</t>
  </si>
  <si>
    <t>[indexname]</t>
  </si>
  <si>
    <t>dka_handle_penC2</t>
  </si>
  <si>
    <t>dka_handle_penF</t>
  </si>
  <si>
    <t>dka_handle_penB</t>
  </si>
  <si>
    <t>dka_handle_fill</t>
  </si>
  <si>
    <t>dka_handle_mat</t>
  </si>
  <si>
    <t>dka_handle_penC3</t>
  </si>
  <si>
    <t>dka_frame_penF</t>
  </si>
  <si>
    <t>dka_frame_penB</t>
  </si>
  <si>
    <t>dka_frame_fill</t>
  </si>
  <si>
    <t>dka_plate_mat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</si>
  <si>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</si>
  <si>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</si>
  <si>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</si>
  <si>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</si>
  <si>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</si>
  <si>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</si>
  <si>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</si>
  <si>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</si>
  <si>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</si>
  <si>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</si>
  <si>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</si>
  <si>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</si>
  <si>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</si>
  <si>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</si>
  <si>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</si>
  <si>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</si>
  <si>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</si>
  <si>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</si>
  <si>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</si>
  <si>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</si>
  <si>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</si>
  <si>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</si>
  <si>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</si>
  <si>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</si>
  <si>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</si>
  <si>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</si>
  <si>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</si>
  <si>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</si>
  <si>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</si>
  <si>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</si>
  <si>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</si>
  <si>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</si>
  <si>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</si>
  <si>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</si>
  <si>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</si>
  <si>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</si>
  <si>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</si>
  <si>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</si>
  <si>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ifc_parameter_transfer</t>
  </si>
  <si>
    <t>dk_visibleLeaf</t>
  </si>
  <si>
    <t>Türblatt sichtbar?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</si>
  <si>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</si>
  <si>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</si>
  <si>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</si>
  <si>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</si>
  <si>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</si>
  <si>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</si>
  <si>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</si>
  <si>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</si>
  <si>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dka_hinge_mat</t>
  </si>
  <si>
    <t>X</t>
  </si>
  <si>
    <t>Sonderoberfläche</t>
  </si>
  <si>
    <t>XX</t>
  </si>
  <si>
    <t>Sondermaterial</t>
  </si>
  <si>
    <t>N</t>
  </si>
  <si>
    <t>Vernickelt</t>
  </si>
  <si>
    <t>Verchromt</t>
  </si>
  <si>
    <t>bs_pushbar_BS</t>
  </si>
  <si>
    <t>Stoßgriff Typ BS</t>
  </si>
  <si>
    <t>bs_pushbar_posX_BS</t>
  </si>
  <si>
    <t>Stoßgriff horizontale Position BGS</t>
  </si>
  <si>
    <t>bs_pushbar_posY_BS</t>
  </si>
  <si>
    <t>Stoßgriff vertikale Position BGS</t>
  </si>
  <si>
    <t>bs_pushbar_surface_BS</t>
  </si>
  <si>
    <t>Stossgriff Oberfläche BS</t>
  </si>
  <si>
    <t>bs_pushbar_BGS</t>
  </si>
  <si>
    <t>Stoßgriff Typ BGS</t>
  </si>
  <si>
    <t>bs_pushbar_posX_BGS</t>
  </si>
  <si>
    <t>bs_pushbar_posY_BGS</t>
  </si>
  <si>
    <t>bs_pushbar_surface_BGS</t>
  </si>
  <si>
    <t>Stossgriff Oberfläche BGS</t>
  </si>
  <si>
    <t>bs_pushbar_SF</t>
  </si>
  <si>
    <t>Stossgriff auf Standflügel</t>
  </si>
  <si>
    <t>gs_door_panel</t>
  </si>
  <si>
    <t>Türblatt</t>
  </si>
  <si>
    <t>bs_panel_type</t>
  </si>
  <si>
    <t>VB</t>
  </si>
  <si>
    <t>Türblatt Typ</t>
  </si>
  <si>
    <t>Typenbezeichnung des Türblattes</t>
  </si>
  <si>
    <t>dk_panel_segments</t>
  </si>
  <si>
    <t>Ausschnittfelder</t>
  </si>
  <si>
    <t>dk_panel_segments2</t>
  </si>
  <si>
    <t>Ausschnittfelder Standflügel</t>
  </si>
  <si>
    <t>leafFrWidthLeft</t>
  </si>
  <si>
    <t>Rahmenbreite links</t>
  </si>
  <si>
    <t>leafFrWidthRight</t>
  </si>
  <si>
    <t>Rahmenbreite rechts</t>
  </si>
  <si>
    <t>leafFrWidthBottom</t>
  </si>
  <si>
    <t>Rahmenbreite unten</t>
  </si>
  <si>
    <t>leafFrWidthTop</t>
  </si>
  <si>
    <t>Rahmenbreite oben</t>
  </si>
  <si>
    <t>leafFrWidthLeft2</t>
  </si>
  <si>
    <t>Rahmen-Breite links 2</t>
  </si>
  <si>
    <t>leafFrWidthRight2</t>
  </si>
  <si>
    <t>Rahmenbreite rechts 2</t>
  </si>
  <si>
    <t>leafFrWidthBottom2</t>
  </si>
  <si>
    <t>Rahmen-Breite unten 2</t>
  </si>
  <si>
    <t>leafFrWidthTop2</t>
  </si>
  <si>
    <t>Rahmenbreite oben 2</t>
  </si>
  <si>
    <t>Türtyp (veraltet)</t>
  </si>
  <si>
    <t>Konstruktionstyp (veraltet)</t>
  </si>
  <si>
    <t>gs_door_frame</t>
  </si>
  <si>
    <t>Türzarge</t>
  </si>
  <si>
    <t>gs_frame_type</t>
  </si>
  <si>
    <t>Rahmentyp</t>
  </si>
  <si>
    <t>Standard</t>
  </si>
  <si>
    <t>Zargentyp</t>
  </si>
  <si>
    <t>bs_frame_material</t>
  </si>
  <si>
    <t>Zargenmaterial</t>
  </si>
  <si>
    <t>Angabe zum Material der Zarge</t>
  </si>
  <si>
    <t>bs_case_manufacturer</t>
  </si>
  <si>
    <t>Hersteller Türschloss</t>
  </si>
  <si>
    <t>bs_case_model</t>
  </si>
  <si>
    <t>Modell Türschloss</t>
  </si>
  <si>
    <t>bs_lock_type</t>
  </si>
  <si>
    <t>FA</t>
  </si>
  <si>
    <t>bs_latch_plate</t>
  </si>
  <si>
    <t>Stulpblech</t>
  </si>
  <si>
    <t>bs_lock_panic</t>
  </si>
  <si>
    <t>Panikfunktion</t>
  </si>
  <si>
    <t>bs_lock_change</t>
  </si>
  <si>
    <t>bs_lock_system</t>
  </si>
  <si>
    <t>1f</t>
  </si>
  <si>
    <t>bs_selflocking</t>
  </si>
  <si>
    <t>bs_lock_SF</t>
  </si>
  <si>
    <t>bs_lock_master</t>
  </si>
  <si>
    <t>bs_locking_side</t>
  </si>
  <si>
    <t>ZS</t>
  </si>
  <si>
    <t>bs_lock_opener</t>
  </si>
  <si>
    <t>Elektrischer Türöffner</t>
  </si>
  <si>
    <t>bs_lock_electric</t>
  </si>
  <si>
    <t>Elektronisches Schloss</t>
  </si>
  <si>
    <t>Zylinder / Kontrollsystem</t>
  </si>
  <si>
    <t>bs_lock_barrel</t>
  </si>
  <si>
    <t>Zylinder(typ)</t>
  </si>
  <si>
    <t>dka_panel_bandings_mat</t>
  </si>
  <si>
    <t>dka_panel2_bandings_mat</t>
  </si>
  <si>
    <t>dka_closer_mat</t>
  </si>
  <si>
    <t>dka_automation_mat</t>
  </si>
  <si>
    <t>dka_grip_mat_BS1</t>
  </si>
  <si>
    <t>dka_grip_mat_BS2</t>
  </si>
  <si>
    <t>dka_grip_mat_BGS1</t>
  </si>
  <si>
    <t>dka_grip_mat_BGS2</t>
  </si>
  <si>
    <t>dka_opline2D</t>
  </si>
  <si>
    <t>dka_oplineSA</t>
  </si>
  <si>
    <t>dka_opline3D</t>
  </si>
  <si>
    <t>dka_panel2fill1_penF</t>
  </si>
  <si>
    <t>dka_panel2fill1_penB</t>
  </si>
  <si>
    <t>dka_panel2fill1_fill</t>
  </si>
  <si>
    <t>dka_topview_penC2</t>
  </si>
  <si>
    <t>dka_panel2fill2_penF</t>
  </si>
  <si>
    <t>dka_panel2fill2_penB</t>
  </si>
  <si>
    <t>dka_panel2fill2_fill</t>
  </si>
  <si>
    <t>dka_penInvisible</t>
  </si>
  <si>
    <t>dka_panel2fill3_penF</t>
  </si>
  <si>
    <t>dka_panel2fill3_penB</t>
  </si>
  <si>
    <t>dka_panel2fill3_fill</t>
  </si>
  <si>
    <t>dka_closer_penSA</t>
  </si>
  <si>
    <t>dka_topview_penF</t>
  </si>
  <si>
    <t>dka_topview_penB</t>
  </si>
  <si>
    <t>dka_topview_fill</t>
  </si>
  <si>
    <t>dka_closer_pen3D</t>
  </si>
  <si>
    <t>dka_fan_penF</t>
  </si>
  <si>
    <t>dka_fan_penB</t>
  </si>
  <si>
    <t>dka_fan_fill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</si>
  <si>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</si>
  <si>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</si>
  <si>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</si>
  <si>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</si>
  <si>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</si>
  <si>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</si>
  <si>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</si>
  <si>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</si>
  <si>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</si>
  <si>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</si>
  <si>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</si>
  <si>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</si>
  <si>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</si>
  <si>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</si>
  <si>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</si>
  <si>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</si>
  <si>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</si>
  <si>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</si>
  <si>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</si>
  <si>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</si>
  <si>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</si>
  <si>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Holz</t>
  </si>
  <si>
    <t>Wood</t>
  </si>
  <si>
    <t>Kunststoff</t>
  </si>
  <si>
    <t>Plastic</t>
  </si>
  <si>
    <t>uiTXT</t>
  </si>
  <si>
    <t>Englisch</t>
  </si>
  <si>
    <t>BESCHLÄGE - Griffgarnitur Gangflügel</t>
  </si>
  <si>
    <t xml:space="preserve"> ... Griffgarnitur Standflügel</t>
  </si>
  <si>
    <t>BESCHLÄGE - Griffgarnitur Bandseite</t>
  </si>
  <si>
    <t xml:space="preserve"> ... Griffgarnitur Bandgegenseite</t>
  </si>
  <si>
    <t>FIXTURES - handles + plates</t>
  </si>
  <si>
    <t>BESCHLÄGE - Türgriffe + Türschilder</t>
  </si>
  <si>
    <t>FIXTURES - handles + plates on swing side</t>
  </si>
  <si>
    <t xml:space="preserve"> ... handles + plates on opposite swing side</t>
  </si>
  <si>
    <t>FIXTURES - handles + plates of active door leaf</t>
  </si>
  <si>
    <t xml:space="preserve"> ... handles + plates of inactive door leaf</t>
  </si>
  <si>
    <t>babel</t>
  </si>
  <si>
    <t>Produktserie:</t>
  </si>
  <si>
    <t>Typ:</t>
  </si>
  <si>
    <t>Modell:</t>
  </si>
  <si>
    <t>Braille:</t>
  </si>
  <si>
    <t>Ausrichtung:</t>
  </si>
  <si>
    <t>Abdeckung</t>
  </si>
  <si>
    <t>Standflügel</t>
  </si>
  <si>
    <t>Griff / Knauf</t>
  </si>
  <si>
    <t>Griff / Knauf:</t>
  </si>
  <si>
    <t>Ausführung:</t>
  </si>
  <si>
    <t>Dornmaß:</t>
  </si>
  <si>
    <t>Höhe Griffachse:</t>
  </si>
  <si>
    <t>Lochung:</t>
  </si>
  <si>
    <t>Montageseite:</t>
  </si>
  <si>
    <t>Türschild:</t>
  </si>
  <si>
    <t>Füllung 2D:</t>
  </si>
  <si>
    <t>Kontur 2D/3D:</t>
  </si>
  <si>
    <t>Stift Füllung 2D:</t>
  </si>
  <si>
    <t>Stift Kontur 2D/3D:</t>
  </si>
  <si>
    <t>Textur Abdeckung:</t>
  </si>
  <si>
    <t>Textur Griff:</t>
  </si>
  <si>
    <t>... Ausführung:</t>
  </si>
  <si>
    <t>... Dornmaß:</t>
  </si>
  <si>
    <t>... Höhe Griffachse:</t>
  </si>
  <si>
    <t>bubble</t>
  </si>
  <si>
    <t>DORMAKABA Beschläge</t>
  </si>
  <si>
    <t>optionale Braille-Beschriftung</t>
  </si>
  <si>
    <t>Braillebeschriftung des Griffes (Bandseite)</t>
  </si>
  <si>
    <t>Griff am Standflügel auf Band(gegen)seite</t>
  </si>
  <si>
    <t>Brandschutzeignung</t>
  </si>
  <si>
    <t>Form Fluchtweg-geignet</t>
  </si>
  <si>
    <t>Eignung für hygienische Anforderungen</t>
  </si>
  <si>
    <t>Lochabstand Gangflügel</t>
  </si>
  <si>
    <t>Lochabstand Standflügel</t>
  </si>
  <si>
    <t>3D-Material Griff</t>
  </si>
  <si>
    <t>3D-Material Schild+Zubehör</t>
  </si>
  <si>
    <t>Product serie:</t>
  </si>
  <si>
    <t>Type:</t>
  </si>
  <si>
    <t>bs_access_control_system</t>
  </si>
  <si>
    <t>c-lever compact</t>
  </si>
  <si>
    <t>bs_acs_manufacturer</t>
  </si>
  <si>
    <t>Hersteller Zugangskontrollsystem</t>
  </si>
  <si>
    <t>dormakaba</t>
  </si>
  <si>
    <t>bs_acs_model</t>
  </si>
  <si>
    <t>Modell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</si>
  <si>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</si>
  <si>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</si>
  <si>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</si>
  <si>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</si>
  <si>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</si>
  <si>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</si>
  <si>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</si>
  <si>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</si>
  <si>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</si>
  <si>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</si>
  <si>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</si>
  <si>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</si>
  <si>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</si>
  <si>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</si>
  <si>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bs_acs_material</t>
  </si>
  <si>
    <t>Material Zugangskontrollsystem</t>
  </si>
  <si>
    <t>bs_acs_surface</t>
  </si>
  <si>
    <t>Oberfläche Zugangskontrollsystem</t>
  </si>
  <si>
    <t>Zugangskontrollsystem</t>
  </si>
  <si>
    <t>Zugangsidentifikationssystem</t>
  </si>
  <si>
    <t>bs_acs_handles</t>
  </si>
  <si>
    <t>Beschläge vom ACS Modul erstellt</t>
  </si>
  <si>
    <t>bs_handle_manufacturer</t>
  </si>
  <si>
    <t>bs_acs_handle_model</t>
  </si>
  <si>
    <t>Türgriffmodell an ACS</t>
  </si>
  <si>
    <t>bs_acs_case_a</t>
  </si>
  <si>
    <t>Ausführung Schloss Seite A</t>
  </si>
  <si>
    <t>0000</t>
  </si>
  <si>
    <t>bs_acs_case_b</t>
  </si>
  <si>
    <t>Ausführung Schloss Seite B</t>
  </si>
  <si>
    <t>bs_acs_case_la</t>
  </si>
  <si>
    <t>bs_acs_case_lb</t>
  </si>
  <si>
    <t>Länge PZ ungeschützter Bereich</t>
  </si>
  <si>
    <t>Länge PZ geschützter Bereich</t>
  </si>
  <si>
    <t>bs_acs_cam</t>
  </si>
  <si>
    <t>Mitnehmer</t>
  </si>
  <si>
    <t>D:\Daten (sync)\github\bim-all-doors\Source\Module\08 BAD handle dormakaba_ogro\source.DORMAKABA_OGRO_handle_macro\</t>
  </si>
  <si>
    <t>D:\Daten (sync)\github\bim-all-doors\Source\Module\08 BAD handle dormakaba_ogro\source.DORMAKABA_OGRO_handle_macro\list of multilingual text.xlsx_x000D_
D:\Daten (sync)\github\bim-all-doors\Source\Module\08 BAD handle dormakaba_ogro\source.DORMAKABA_OGRO_handle_macro\list of multilingual tooltip.xlsx</t>
  </si>
  <si>
    <t>prepare for open source</t>
  </si>
  <si>
    <t>1.90</t>
  </si>
  <si>
    <t>OGRO+DENI GmbH</t>
  </si>
  <si>
    <t>bim-all-doors.OGRO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</si>
</sst>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7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4"/>
      <name val="Arial"/>
      <family val="2"/>
    </font>
    <font>
      <b/>
      <sz val="11"/>
      <color theme="4"/>
      <name val="Arial"/>
      <family val="2"/>
    </font>
    <font>
      <strike/>
      <sz val="11"/>
      <color theme="4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strike/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z val="11"/>
      <color theme="0" tint="-0.34998626667073579"/>
      <name val="Arial"/>
      <family val="2"/>
    </font>
    <font>
      <sz val="11"/>
      <color rgb="FFFF0000"/>
      <name val="Courier New"/>
      <family val="3"/>
    </font>
    <font>
      <sz val="11"/>
      <color theme="0" tint="-0.499984740745262"/>
      <name val="Arial"/>
      <family val="2"/>
    </font>
    <font>
      <b/>
      <sz val="11"/>
      <color rgb="FFFF0000"/>
      <name val="Courier New"/>
      <family val="3"/>
    </font>
    <font>
      <sz val="11"/>
      <color rgb="FF7030A0"/>
      <name val="Arial"/>
      <family val="2"/>
    </font>
    <font>
      <b/>
      <sz val="11"/>
      <color rgb="FF7030A0"/>
      <name val="Arial"/>
      <family val="2"/>
    </font>
    <font>
      <b/>
      <strike/>
      <sz val="11"/>
      <color rgb="FF7030A0"/>
      <name val="Arial"/>
      <family val="2"/>
    </font>
    <font>
      <b/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theme="1"/>
      <name val="Courier New"/>
      <family val="3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Arial"/>
      <family val="2"/>
    </font>
    <font>
      <sz val="8"/>
      <color theme="0" tint="-0.34998626667073579"/>
      <name val="Arial"/>
      <family val="2"/>
    </font>
    <font>
      <b/>
      <sz val="8"/>
      <color rgb="FFC00000"/>
      <name val="Arial"/>
      <family val="2"/>
    </font>
    <font>
      <b/>
      <sz val="11"/>
      <color theme="3" tint="0.39997558519241921"/>
      <name val="Arial"/>
      <family val="2"/>
    </font>
    <font>
      <sz val="11"/>
      <color theme="4" tint="0.79998168889431442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Courier New"/>
      <family val="3"/>
    </font>
    <font>
      <b/>
      <sz val="11"/>
      <color theme="4" tint="-0.24997711111789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2" fillId="2" borderId="0" xfId="0" applyFont="1" applyFill="1" applyBorder="1" applyAlignment="1">
      <alignment horizontal="left" vertical="center"/>
    </xf>
    <xf numFmtId="0" fontId="17" fillId="4" borderId="6" xfId="0" applyFont="1" applyFill="1" applyBorder="1" applyAlignment="1">
      <alignment horizontal="left" vertical="center"/>
    </xf>
    <xf numFmtId="0" fontId="19" fillId="0" borderId="0" xfId="0" applyFont="1" applyFill="1"/>
    <xf numFmtId="0" fontId="20" fillId="0" borderId="0" xfId="0" applyFont="1" applyFill="1"/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19" fillId="0" borderId="0" xfId="0" applyFont="1" applyAlignment="1">
      <alignment vertical="center"/>
    </xf>
    <xf numFmtId="0" fontId="16" fillId="0" borderId="0" xfId="0" applyFont="1" applyFill="1"/>
    <xf numFmtId="0" fontId="21" fillId="0" borderId="0" xfId="0" applyFont="1" applyFill="1"/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Fill="1" applyAlignment="1">
      <alignment horizontal="center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20" fillId="0" borderId="0" xfId="0" applyFont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0" fontId="25" fillId="0" borderId="0" xfId="0" applyFont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164" fontId="25" fillId="0" borderId="0" xfId="0" applyNumberFormat="1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Fill="1"/>
    <xf numFmtId="0" fontId="27" fillId="0" borderId="0" xfId="0" applyFont="1" applyFill="1"/>
    <xf numFmtId="0" fontId="29" fillId="0" borderId="0" xfId="0" applyFont="1" applyAlignment="1">
      <alignment vertical="center"/>
    </xf>
    <xf numFmtId="0" fontId="29" fillId="0" borderId="0" xfId="0" applyFont="1" applyFill="1"/>
    <xf numFmtId="0" fontId="30" fillId="0" borderId="0" xfId="0" applyFont="1" applyAlignment="1">
      <alignment horizontal="center" vertical="center"/>
    </xf>
    <xf numFmtId="0" fontId="22" fillId="0" borderId="0" xfId="0" applyFont="1" applyFill="1"/>
    <xf numFmtId="0" fontId="24" fillId="0" borderId="0" xfId="0" applyFont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29" fillId="6" borderId="0" xfId="0" applyFont="1" applyFill="1" applyAlignment="1">
      <alignment vertical="center"/>
    </xf>
    <xf numFmtId="0" fontId="32" fillId="0" borderId="0" xfId="0" applyFont="1" applyFill="1"/>
    <xf numFmtId="0" fontId="16" fillId="7" borderId="0" xfId="0" applyFont="1" applyFill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0" fontId="33" fillId="0" borderId="0" xfId="0" applyFont="1" applyFill="1"/>
    <xf numFmtId="0" fontId="32" fillId="0" borderId="0" xfId="0" applyFont="1" applyAlignment="1">
      <alignment horizontal="center" vertical="center"/>
    </xf>
    <xf numFmtId="0" fontId="32" fillId="0" borderId="0" xfId="0" applyFont="1" applyFill="1" applyAlignment="1">
      <alignment horizontal="center"/>
    </xf>
    <xf numFmtId="0" fontId="35" fillId="0" borderId="0" xfId="0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0" fontId="29" fillId="0" borderId="0" xfId="0" applyFont="1" applyFill="1" applyAlignment="1">
      <alignment vertical="center"/>
    </xf>
    <xf numFmtId="0" fontId="28" fillId="0" borderId="0" xfId="0" applyFont="1" applyFill="1"/>
    <xf numFmtId="0" fontId="28" fillId="0" borderId="0" xfId="0" applyFont="1" applyFill="1" applyAlignment="1">
      <alignment horizontal="center"/>
    </xf>
    <xf numFmtId="0" fontId="36" fillId="0" borderId="0" xfId="0" applyFont="1" applyFill="1"/>
    <xf numFmtId="0" fontId="35" fillId="0" borderId="0" xfId="0" applyFont="1" applyFill="1"/>
    <xf numFmtId="0" fontId="22" fillId="0" borderId="0" xfId="0" applyFont="1" applyAlignment="1">
      <alignment horizontal="center" vertical="center"/>
    </xf>
    <xf numFmtId="0" fontId="29" fillId="6" borderId="0" xfId="0" applyFont="1" applyFill="1"/>
    <xf numFmtId="0" fontId="22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16" fillId="0" borderId="0" xfId="0" applyFont="1" applyAlignment="1"/>
    <xf numFmtId="0" fontId="32" fillId="0" borderId="0" xfId="0" applyFont="1" applyFill="1" applyAlignment="1"/>
    <xf numFmtId="0" fontId="20" fillId="0" borderId="0" xfId="0" applyFont="1" applyFill="1" applyAlignment="1"/>
    <xf numFmtId="0" fontId="4" fillId="6" borderId="0" xfId="0" applyFont="1" applyFill="1" applyAlignment="1">
      <alignment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5" fillId="0" borderId="0" xfId="0" applyFont="1" applyBorder="1"/>
    <xf numFmtId="0" fontId="15" fillId="0" borderId="0" xfId="0" applyFont="1" applyBorder="1" applyAlignment="1">
      <alignment horizontal="center"/>
    </xf>
    <xf numFmtId="0" fontId="38" fillId="0" borderId="0" xfId="0" applyFont="1" applyBorder="1"/>
    <xf numFmtId="0" fontId="15" fillId="0" borderId="7" xfId="0" applyFont="1" applyBorder="1"/>
    <xf numFmtId="0" fontId="38" fillId="0" borderId="7" xfId="0" applyFont="1" applyBorder="1"/>
    <xf numFmtId="0" fontId="38" fillId="0" borderId="8" xfId="0" applyFont="1" applyBorder="1"/>
    <xf numFmtId="0" fontId="39" fillId="0" borderId="8" xfId="0" applyFont="1" applyBorder="1" applyAlignment="1">
      <alignment horizontal="center" textRotation="90"/>
    </xf>
    <xf numFmtId="0" fontId="39" fillId="0" borderId="11" xfId="0" applyFont="1" applyBorder="1" applyAlignment="1">
      <alignment horizontal="center" textRotation="90"/>
    </xf>
    <xf numFmtId="0" fontId="15" fillId="0" borderId="11" xfId="0" applyFont="1" applyBorder="1" applyAlignment="1">
      <alignment horizontal="center" textRotation="90"/>
    </xf>
    <xf numFmtId="0" fontId="15" fillId="0" borderId="12" xfId="0" applyFont="1" applyBorder="1" applyAlignment="1">
      <alignment horizontal="center" textRotation="90"/>
    </xf>
    <xf numFmtId="0" fontId="15" fillId="0" borderId="8" xfId="0" applyFont="1" applyBorder="1" applyAlignment="1">
      <alignment horizontal="center" textRotation="90"/>
    </xf>
    <xf numFmtId="0" fontId="38" fillId="0" borderId="8" xfId="0" applyFont="1" applyBorder="1" applyAlignment="1">
      <alignment horizontal="center" textRotation="90"/>
    </xf>
    <xf numFmtId="0" fontId="38" fillId="0" borderId="11" xfId="0" applyFont="1" applyBorder="1" applyAlignment="1">
      <alignment horizontal="center" textRotation="90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38" fillId="0" borderId="18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19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38" fillId="0" borderId="21" xfId="0" applyFont="1" applyBorder="1"/>
    <xf numFmtId="0" fontId="15" fillId="0" borderId="21" xfId="0" applyFont="1" applyBorder="1"/>
    <xf numFmtId="0" fontId="15" fillId="0" borderId="19" xfId="0" applyFont="1" applyBorder="1"/>
    <xf numFmtId="0" fontId="38" fillId="0" borderId="20" xfId="0" applyFont="1" applyBorder="1"/>
    <xf numFmtId="0" fontId="41" fillId="0" borderId="8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2" fillId="0" borderId="0" xfId="0" applyFont="1"/>
    <xf numFmtId="0" fontId="39" fillId="0" borderId="14" xfId="0" applyFont="1" applyBorder="1"/>
    <xf numFmtId="0" fontId="39" fillId="0" borderId="15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43" fillId="0" borderId="14" xfId="0" applyFont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39" fillId="0" borderId="0" xfId="0" applyFont="1" applyFill="1" applyAlignment="1">
      <alignment vertical="center"/>
    </xf>
    <xf numFmtId="0" fontId="39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44" fillId="0" borderId="0" xfId="0" applyFont="1" applyFill="1" applyAlignment="1">
      <alignment vertical="center"/>
    </xf>
    <xf numFmtId="164" fontId="15" fillId="0" borderId="0" xfId="0" applyNumberFormat="1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38" fillId="0" borderId="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8" fillId="0" borderId="24" xfId="0" applyFont="1" applyBorder="1" applyAlignment="1">
      <alignment horizontal="center"/>
    </xf>
    <xf numFmtId="0" fontId="15" fillId="0" borderId="0" xfId="0" applyFont="1" applyAlignment="1">
      <alignment textRotation="90"/>
    </xf>
    <xf numFmtId="0" fontId="50" fillId="0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6" fillId="0" borderId="0" xfId="0" applyFont="1" applyBorder="1"/>
    <xf numFmtId="0" fontId="46" fillId="0" borderId="11" xfId="0" applyFont="1" applyBorder="1" applyAlignment="1">
      <alignment horizontal="center" textRotation="90"/>
    </xf>
    <xf numFmtId="0" fontId="51" fillId="0" borderId="14" xfId="0" applyFont="1" applyBorder="1" applyAlignment="1">
      <alignment horizontal="center"/>
    </xf>
    <xf numFmtId="0" fontId="46" fillId="0" borderId="16" xfId="0" applyFont="1" applyBorder="1" applyAlignment="1">
      <alignment horizontal="center"/>
    </xf>
    <xf numFmtId="0" fontId="46" fillId="0" borderId="21" xfId="0" applyFont="1" applyBorder="1"/>
    <xf numFmtId="0" fontId="46" fillId="0" borderId="19" xfId="0" applyFont="1" applyBorder="1" applyAlignment="1">
      <alignment horizontal="center"/>
    </xf>
    <xf numFmtId="0" fontId="46" fillId="0" borderId="20" xfId="0" applyFont="1" applyBorder="1" applyAlignment="1">
      <alignment horizontal="center"/>
    </xf>
    <xf numFmtId="0" fontId="46" fillId="0" borderId="21" xfId="0" applyFont="1" applyBorder="1" applyAlignment="1">
      <alignment horizontal="center"/>
    </xf>
    <xf numFmtId="0" fontId="46" fillId="0" borderId="19" xfId="0" applyFont="1" applyBorder="1"/>
    <xf numFmtId="0" fontId="46" fillId="0" borderId="20" xfId="0" applyFont="1" applyBorder="1"/>
    <xf numFmtId="0" fontId="46" fillId="0" borderId="0" xfId="0" applyFont="1"/>
    <xf numFmtId="0" fontId="19" fillId="0" borderId="19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46" fillId="0" borderId="21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/>
    </xf>
    <xf numFmtId="0" fontId="16" fillId="0" borderId="21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/>
    </xf>
    <xf numFmtId="0" fontId="41" fillId="0" borderId="7" xfId="0" applyFont="1" applyBorder="1" applyAlignment="1">
      <alignment horizontal="center" vertical="center"/>
    </xf>
    <xf numFmtId="0" fontId="38" fillId="0" borderId="25" xfId="0" applyFont="1" applyBorder="1"/>
    <xf numFmtId="0" fontId="43" fillId="0" borderId="26" xfId="0" applyFont="1" applyBorder="1" applyAlignment="1">
      <alignment horizontal="center"/>
    </xf>
    <xf numFmtId="0" fontId="15" fillId="0" borderId="20" xfId="0" applyFont="1" applyBorder="1"/>
    <xf numFmtId="0" fontId="41" fillId="0" borderId="22" xfId="0" applyFont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17" xfId="0" applyFont="1" applyBorder="1" applyAlignment="1">
      <alignment horizontal="center"/>
    </xf>
    <xf numFmtId="0" fontId="38" fillId="0" borderId="24" xfId="0" applyFont="1" applyBorder="1"/>
    <xf numFmtId="0" fontId="38" fillId="0" borderId="19" xfId="0" applyFont="1" applyBorder="1"/>
    <xf numFmtId="0" fontId="46" fillId="0" borderId="7" xfId="0" applyFont="1" applyBorder="1"/>
    <xf numFmtId="0" fontId="46" fillId="0" borderId="8" xfId="0" applyFont="1" applyBorder="1"/>
    <xf numFmtId="0" fontId="15" fillId="0" borderId="0" xfId="0" applyFont="1" applyAlignment="1">
      <alignment horizontal="center" textRotation="90"/>
    </xf>
    <xf numFmtId="0" fontId="15" fillId="0" borderId="0" xfId="0" applyFont="1" applyAlignment="1">
      <alignment horizontal="left" vertical="top" wrapText="1"/>
    </xf>
    <xf numFmtId="0" fontId="52" fillId="0" borderId="16" xfId="0" applyFont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53" fillId="7" borderId="16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40" fillId="0" borderId="28" xfId="0" applyFont="1" applyBorder="1" applyAlignment="1">
      <alignment horizontal="center" textRotation="90"/>
    </xf>
    <xf numFmtId="0" fontId="40" fillId="0" borderId="29" xfId="0" applyFont="1" applyBorder="1" applyAlignment="1">
      <alignment horizontal="center" textRotation="90"/>
    </xf>
    <xf numFmtId="0" fontId="40" fillId="0" borderId="1" xfId="0" applyFont="1" applyBorder="1" applyAlignment="1">
      <alignment horizontal="center" textRotation="90"/>
    </xf>
    <xf numFmtId="0" fontId="40" fillId="0" borderId="30" xfId="0" applyFont="1" applyBorder="1" applyAlignment="1">
      <alignment horizontal="center" textRotation="90"/>
    </xf>
    <xf numFmtId="0" fontId="40" fillId="0" borderId="5" xfId="0" applyFont="1" applyBorder="1" applyAlignment="1">
      <alignment horizontal="center" textRotation="90"/>
    </xf>
    <xf numFmtId="0" fontId="41" fillId="0" borderId="13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45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38" fillId="0" borderId="11" xfId="0" applyFont="1" applyBorder="1" applyAlignment="1">
      <alignment horizontal="center"/>
    </xf>
    <xf numFmtId="0" fontId="38" fillId="0" borderId="32" xfId="0" applyFont="1" applyBorder="1" applyAlignment="1">
      <alignment horizontal="center"/>
    </xf>
    <xf numFmtId="0" fontId="38" fillId="0" borderId="22" xfId="0" applyFont="1" applyBorder="1" applyAlignment="1">
      <alignment horizontal="center"/>
    </xf>
    <xf numFmtId="0" fontId="38" fillId="0" borderId="12" xfId="0" applyFont="1" applyBorder="1" applyAlignment="1">
      <alignment horizontal="center"/>
    </xf>
    <xf numFmtId="0" fontId="15" fillId="0" borderId="16" xfId="0" applyFont="1" applyBorder="1"/>
    <xf numFmtId="0" fontId="15" fillId="0" borderId="17" xfId="0" applyFont="1" applyBorder="1"/>
    <xf numFmtId="0" fontId="38" fillId="0" borderId="18" xfId="0" applyFont="1" applyBorder="1"/>
    <xf numFmtId="0" fontId="38" fillId="0" borderId="16" xfId="0" applyFont="1" applyBorder="1"/>
    <xf numFmtId="0" fontId="38" fillId="0" borderId="9" xfId="0" applyFont="1" applyBorder="1"/>
    <xf numFmtId="0" fontId="38" fillId="0" borderId="27" xfId="0" applyFont="1" applyBorder="1"/>
    <xf numFmtId="0" fontId="38" fillId="0" borderId="17" xfId="0" applyFont="1" applyBorder="1"/>
    <xf numFmtId="0" fontId="15" fillId="0" borderId="18" xfId="0" applyFont="1" applyBorder="1"/>
    <xf numFmtId="0" fontId="15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0" xfId="0" applyFont="1" applyBorder="1" applyAlignment="1">
      <alignment horizontal="center" textRotation="90"/>
    </xf>
    <xf numFmtId="0" fontId="49" fillId="0" borderId="6" xfId="0" applyFont="1" applyBorder="1" applyAlignment="1">
      <alignment horizontal="center" textRotation="90"/>
    </xf>
    <xf numFmtId="0" fontId="19" fillId="0" borderId="6" xfId="0" applyFont="1" applyBorder="1" applyAlignment="1">
      <alignment horizontal="center" textRotation="90"/>
    </xf>
    <xf numFmtId="0" fontId="19" fillId="4" borderId="6" xfId="0" applyFont="1" applyFill="1" applyBorder="1" applyAlignment="1">
      <alignment horizontal="center" textRotation="90"/>
    </xf>
    <xf numFmtId="0" fontId="19" fillId="6" borderId="6" xfId="0" applyFont="1" applyFill="1" applyBorder="1" applyAlignment="1">
      <alignment horizontal="center" textRotation="90"/>
    </xf>
    <xf numFmtId="0" fontId="46" fillId="0" borderId="5" xfId="0" applyFont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15" fillId="8" borderId="0" xfId="0" applyFont="1" applyFill="1"/>
    <xf numFmtId="0" fontId="18" fillId="0" borderId="3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0" fillId="9" borderId="0" xfId="0" applyFont="1" applyFill="1" applyAlignment="1">
      <alignment horizontal="center" vertical="center"/>
    </xf>
    <xf numFmtId="0" fontId="45" fillId="9" borderId="0" xfId="0" applyFont="1" applyFill="1" applyAlignment="1">
      <alignment horizontal="center" vertical="center"/>
    </xf>
    <xf numFmtId="0" fontId="46" fillId="9" borderId="0" xfId="0" applyFont="1" applyFill="1" applyAlignment="1">
      <alignment vertical="center"/>
    </xf>
    <xf numFmtId="0" fontId="47" fillId="9" borderId="0" xfId="0" applyFont="1" applyFill="1" applyAlignment="1">
      <alignment vertical="center"/>
    </xf>
    <xf numFmtId="0" fontId="45" fillId="9" borderId="0" xfId="0" applyFont="1" applyFill="1" applyAlignment="1">
      <alignment vertical="center"/>
    </xf>
    <xf numFmtId="164" fontId="46" fillId="9" borderId="0" xfId="0" applyNumberFormat="1" applyFont="1" applyFill="1" applyAlignment="1">
      <alignment vertical="center"/>
    </xf>
    <xf numFmtId="0" fontId="46" fillId="9" borderId="0" xfId="0" applyFont="1" applyFill="1" applyAlignment="1">
      <alignment horizontal="center" vertical="center"/>
    </xf>
    <xf numFmtId="0" fontId="48" fillId="9" borderId="0" xfId="0" applyFont="1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vertical="center"/>
    </xf>
    <xf numFmtId="0" fontId="6" fillId="0" borderId="0" xfId="0" applyFont="1" applyAlignment="1"/>
    <xf numFmtId="0" fontId="45" fillId="0" borderId="0" xfId="0" applyFont="1" applyAlignment="1"/>
    <xf numFmtId="0" fontId="54" fillId="9" borderId="0" xfId="0" applyFont="1" applyFill="1"/>
    <xf numFmtId="0" fontId="55" fillId="9" borderId="0" xfId="0" applyFont="1" applyFill="1"/>
    <xf numFmtId="0" fontId="45" fillId="0" borderId="0" xfId="0" applyFont="1" applyAlignment="1">
      <alignment horizontal="left"/>
    </xf>
    <xf numFmtId="0" fontId="54" fillId="9" borderId="0" xfId="0" applyFont="1" applyFill="1" applyAlignment="1">
      <alignment horizontal="center"/>
    </xf>
    <xf numFmtId="0" fontId="18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56" fillId="0" borderId="0" xfId="0" applyFont="1" applyFill="1"/>
    <xf numFmtId="0" fontId="56" fillId="0" borderId="0" xfId="0" applyFont="1"/>
    <xf numFmtId="0" fontId="57" fillId="0" borderId="0" xfId="0" applyFont="1"/>
    <xf numFmtId="0" fontId="58" fillId="0" borderId="0" xfId="0" applyFont="1" applyAlignment="1">
      <alignment horizontal="center"/>
    </xf>
    <xf numFmtId="0" fontId="58" fillId="0" borderId="0" xfId="0" applyFont="1"/>
    <xf numFmtId="0" fontId="45" fillId="0" borderId="0" xfId="0" applyFont="1" applyAlignment="1">
      <alignment vertical="center"/>
    </xf>
    <xf numFmtId="0" fontId="54" fillId="0" borderId="0" xfId="0" applyFont="1"/>
    <xf numFmtId="0" fontId="54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9" fillId="9" borderId="0" xfId="0" applyFont="1" applyFill="1"/>
    <xf numFmtId="0" fontId="10" fillId="0" borderId="31" xfId="0" applyFont="1" applyBorder="1" applyAlignment="1">
      <alignment horizontal="right" vertical="center"/>
    </xf>
    <xf numFmtId="0" fontId="45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46" fillId="0" borderId="0" xfId="0" applyFont="1" applyFill="1" applyAlignment="1">
      <alignment horizontal="left" vertical="center"/>
    </xf>
    <xf numFmtId="164" fontId="20" fillId="0" borderId="0" xfId="0" applyNumberFormat="1" applyFont="1" applyFill="1"/>
    <xf numFmtId="0" fontId="2" fillId="0" borderId="0" xfId="0" applyFont="1" applyAlignment="1">
      <alignment horizontal="left"/>
    </xf>
    <xf numFmtId="0" fontId="45" fillId="0" borderId="0" xfId="0" applyFont="1" applyAlignment="1">
      <alignment horizontal="right" vertical="top" wrapText="1"/>
    </xf>
    <xf numFmtId="0" fontId="45" fillId="0" borderId="0" xfId="0" applyFont="1" applyAlignment="1">
      <alignment horizontal="left" vertical="center" wrapText="1"/>
    </xf>
    <xf numFmtId="0" fontId="60" fillId="0" borderId="0" xfId="0" applyFont="1" applyAlignment="1">
      <alignment horizontal="center"/>
    </xf>
    <xf numFmtId="0" fontId="61" fillId="0" borderId="0" xfId="0" applyFont="1"/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10" borderId="0" xfId="0" applyFont="1" applyFill="1" applyAlignment="1">
      <alignment vertical="center"/>
    </xf>
    <xf numFmtId="0" fontId="65" fillId="10" borderId="0" xfId="0" applyFont="1" applyFill="1" applyAlignment="1">
      <alignment vertical="center"/>
    </xf>
    <xf numFmtId="0" fontId="66" fillId="10" borderId="0" xfId="0" applyFont="1" applyFill="1" applyAlignment="1">
      <alignment vertical="center"/>
    </xf>
    <xf numFmtId="49" fontId="16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38" fillId="0" borderId="0" xfId="0" applyFont="1" applyBorder="1" applyAlignment="1">
      <alignment horizontal="center"/>
    </xf>
    <xf numFmtId="0" fontId="39" fillId="0" borderId="6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39" fillId="0" borderId="9" xfId="0" applyFont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77" name="ExportParameterListButton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78" name="ExportValuesCommandsButton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79" name="ExportValueListsForUserInterface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0" name="ExportArchicadPropertiesButton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1" name="ExportArrayIndicesButton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2" name="ExportMultilingualTextButton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83" name="ImportVariableTextButton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84" name="ParseUserInterface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85" name="IntegrateBitmap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6" name="CheckButton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9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4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97" t="s">
        <v>1241</v>
      </c>
      <c r="C1" s="297"/>
      <c r="D1" s="4"/>
    </row>
    <row r="2" spans="1:8" ht="36.75" customHeight="1" x14ac:dyDescent="0.3">
      <c r="A2" s="1"/>
      <c r="B2" s="123"/>
      <c r="C2" s="124"/>
      <c r="D2" s="4"/>
      <c r="E2" s="4"/>
      <c r="F2" s="4"/>
      <c r="G2" s="4"/>
      <c r="H2" s="4"/>
    </row>
    <row r="3" spans="1:8" ht="24.75" customHeight="1" x14ac:dyDescent="0.3">
      <c r="A3" s="1" t="s">
        <v>915</v>
      </c>
      <c r="B3" s="263" t="s">
        <v>1236</v>
      </c>
      <c r="C3" s="262"/>
      <c r="D3" s="6"/>
      <c r="E3" s="6"/>
      <c r="F3" s="6"/>
      <c r="G3" s="6"/>
      <c r="H3" s="6"/>
    </row>
    <row r="4" spans="1:8" ht="24.75" customHeight="1" x14ac:dyDescent="0.3">
      <c r="A4" s="1" t="s">
        <v>1</v>
      </c>
      <c r="B4" s="298" t="s">
        <v>1238</v>
      </c>
      <c r="C4" s="298"/>
      <c r="D4" s="4"/>
    </row>
    <row r="5" spans="1:8" ht="24.75" customHeight="1" x14ac:dyDescent="0.3">
      <c r="A5" s="1" t="s">
        <v>161</v>
      </c>
      <c r="B5" s="299" t="s">
        <v>1239</v>
      </c>
      <c r="C5" s="299"/>
      <c r="D5" s="4"/>
    </row>
    <row r="6" spans="1:8" ht="24.75" customHeight="1" x14ac:dyDescent="0.3">
      <c r="A6" s="1" t="s">
        <v>2</v>
      </c>
      <c r="B6" s="300">
        <v>45924</v>
      </c>
      <c r="C6" s="300"/>
      <c r="D6" s="4"/>
    </row>
    <row r="7" spans="1:8" ht="24.75" customHeight="1" x14ac:dyDescent="0.3">
      <c r="A7" s="1" t="s">
        <v>3</v>
      </c>
      <c r="B7" s="298">
        <v>28</v>
      </c>
      <c r="C7" s="298"/>
      <c r="D7" s="77"/>
    </row>
    <row r="8" spans="1:8" ht="24.75" customHeight="1" x14ac:dyDescent="0.3">
      <c r="A8" s="1" t="s">
        <v>4</v>
      </c>
      <c r="B8" s="298" t="str">
        <f>"max. "&amp;TEXT(ROWS(PARAMETERS!$A$2:$A$298),"0")&amp;" / "&amp;TEXT(ROWS(PARAMETERLISTE),"0")&amp;" (input/output GDL)"</f>
        <v>max. 297 / 297 (input/output GDL)</v>
      </c>
      <c r="C8" s="298"/>
      <c r="D8" s="4" t="s">
        <v>5</v>
      </c>
    </row>
    <row r="9" spans="1:8" ht="24.75" customHeight="1" x14ac:dyDescent="0.3">
      <c r="A9" s="1"/>
      <c r="B9" s="298" t="str">
        <f>TEXT(COUNTIF(PARAMETERS!$A$2:$A$298,"G"),"0")&amp;" (GDL) /  "&amp;TEXT(COUNTIF(PARAMETERS!$A$2:$A$298,"P"),"0")&amp;" (Properties)"</f>
        <v>221 (GDL) /  0 (Properties)</v>
      </c>
      <c r="C9" s="298"/>
      <c r="D9" s="4"/>
    </row>
    <row r="10" spans="1:8" ht="24.75" customHeight="1" x14ac:dyDescent="0.3">
      <c r="A10" s="1" t="s">
        <v>7</v>
      </c>
      <c r="B10" s="298" t="str">
        <f>"for max. "&amp;TEXT(ROWS(VALUESLIST),"0")&amp;" parameters"</f>
        <v>for max. 92 parameters</v>
      </c>
      <c r="C10" s="298"/>
      <c r="D10" s="4" t="s">
        <v>6</v>
      </c>
    </row>
    <row r="11" spans="1:8" ht="24.75" customHeight="1" x14ac:dyDescent="0.3">
      <c r="A11" s="1" t="s">
        <v>8</v>
      </c>
      <c r="B11" s="298" t="str">
        <f>"max. "&amp;TEXT(ROWS(VALUESval),"0")&amp;" items for value list (per parameter)"</f>
        <v>max. 91 items for value list (per parameter)</v>
      </c>
      <c r="C11" s="298"/>
      <c r="D11" s="4" t="s">
        <v>5</v>
      </c>
    </row>
    <row r="12" spans="1:8" ht="21" customHeight="1" x14ac:dyDescent="0.3">
      <c r="A12" s="1"/>
    </row>
    <row r="13" spans="1:8" ht="24" customHeight="1" x14ac:dyDescent="0.3">
      <c r="A13" s="1"/>
      <c r="B13" s="286"/>
      <c r="C13" s="124" t="s">
        <v>910</v>
      </c>
      <c r="D13" s="124" t="s">
        <v>914</v>
      </c>
      <c r="F13" s="124" t="s">
        <v>909</v>
      </c>
      <c r="G13" s="124"/>
    </row>
    <row r="14" spans="1:8" ht="24" customHeight="1" x14ac:dyDescent="0.25">
      <c r="A14" s="7" t="s">
        <v>1125</v>
      </c>
      <c r="B14" s="14" t="s">
        <v>1126</v>
      </c>
      <c r="C14" s="14"/>
      <c r="D14" s="14"/>
      <c r="F14" s="222" t="s">
        <v>908</v>
      </c>
      <c r="G14" s="266"/>
    </row>
    <row r="15" spans="1:8" ht="24" customHeight="1" x14ac:dyDescent="0.25">
      <c r="A15" s="7"/>
      <c r="B15" s="14" t="s">
        <v>1127</v>
      </c>
      <c r="C15" s="14"/>
      <c r="D15" s="14"/>
      <c r="F15" s="222" t="s">
        <v>620</v>
      </c>
      <c r="G15" s="3" t="s">
        <v>921</v>
      </c>
    </row>
    <row r="16" spans="1:8" ht="24" customHeight="1" x14ac:dyDescent="0.25">
      <c r="A16" s="7"/>
      <c r="B16" s="17" t="s">
        <v>1128</v>
      </c>
      <c r="C16" s="14"/>
      <c r="F16" s="287"/>
      <c r="G16" s="286"/>
    </row>
    <row r="17" spans="1:7" ht="24" customHeight="1" x14ac:dyDescent="0.25">
      <c r="A17" s="7"/>
      <c r="B17" s="14"/>
      <c r="C17" s="14"/>
      <c r="D17" s="14"/>
      <c r="F17" s="222"/>
      <c r="G17" s="266"/>
    </row>
    <row r="18" spans="1:7" ht="24" customHeight="1" x14ac:dyDescent="0.25">
      <c r="A18" s="7" t="s">
        <v>1129</v>
      </c>
      <c r="B18" s="14" t="s">
        <v>913</v>
      </c>
      <c r="C18" s="14"/>
      <c r="F18" s="222" t="s">
        <v>922</v>
      </c>
      <c r="G18" s="266"/>
    </row>
    <row r="19" spans="1:7" ht="24" customHeight="1" x14ac:dyDescent="0.25">
      <c r="A19" s="7"/>
      <c r="B19" s="14" t="s">
        <v>912</v>
      </c>
      <c r="C19" s="14"/>
      <c r="F19" s="222" t="s">
        <v>935</v>
      </c>
      <c r="G19" s="266"/>
    </row>
    <row r="20" spans="1:7" ht="24" customHeight="1" x14ac:dyDescent="0.25">
      <c r="A20" s="7"/>
      <c r="B20" s="14" t="s">
        <v>911</v>
      </c>
      <c r="C20" s="14"/>
      <c r="F20" s="222" t="s">
        <v>923</v>
      </c>
      <c r="G20" s="266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1130</v>
      </c>
      <c r="B22" s="14" t="s">
        <v>1131</v>
      </c>
      <c r="C22" s="14"/>
      <c r="F22" s="222" t="s">
        <v>924</v>
      </c>
      <c r="G22" s="286"/>
    </row>
    <row r="23" spans="1:7" ht="24" customHeight="1" x14ac:dyDescent="0.25">
      <c r="A23" s="7"/>
      <c r="B23" s="14" t="s">
        <v>1132</v>
      </c>
      <c r="C23" s="14"/>
      <c r="D23" s="5" t="s">
        <v>249</v>
      </c>
      <c r="F23" s="288" t="s">
        <v>1237</v>
      </c>
      <c r="G23" s="3" t="s">
        <v>921</v>
      </c>
    </row>
    <row r="24" spans="1:7" ht="24" customHeight="1" x14ac:dyDescent="0.25">
      <c r="A24" s="7"/>
      <c r="B24" s="17"/>
      <c r="C24" s="14"/>
      <c r="D24" s="5" t="s">
        <v>249</v>
      </c>
      <c r="F24" s="222"/>
      <c r="G24" s="266"/>
    </row>
    <row r="25" spans="1:7" ht="24" customHeight="1" x14ac:dyDescent="0.25">
      <c r="A25" s="7" t="s">
        <v>1133</v>
      </c>
      <c r="B25" s="17" t="s">
        <v>918</v>
      </c>
      <c r="C25" s="14"/>
      <c r="D25" s="5"/>
      <c r="F25" s="222" t="s">
        <v>919</v>
      </c>
      <c r="G25" s="266"/>
    </row>
    <row r="26" spans="1:7" ht="24" customHeight="1" x14ac:dyDescent="0.25">
      <c r="A26" s="7"/>
      <c r="B26" s="17"/>
      <c r="C26" s="14"/>
      <c r="D26" s="5"/>
      <c r="F26" s="222" t="s">
        <v>920</v>
      </c>
      <c r="G26" s="266"/>
    </row>
    <row r="27" spans="1:7" ht="24" customHeight="1" x14ac:dyDescent="0.25">
      <c r="A27" s="7"/>
      <c r="B27" s="17"/>
      <c r="C27" s="14"/>
      <c r="D27" s="5"/>
      <c r="F27" s="222"/>
      <c r="G27" s="266"/>
    </row>
    <row r="28" spans="1:7" ht="24" customHeight="1" x14ac:dyDescent="0.25">
      <c r="A28" s="7" t="s">
        <v>1134</v>
      </c>
      <c r="B28" s="17" t="s">
        <v>1135</v>
      </c>
      <c r="C28" s="14"/>
      <c r="D28" s="5" t="s">
        <v>249</v>
      </c>
      <c r="F28" s="222" t="s">
        <v>936</v>
      </c>
      <c r="G28" s="266"/>
    </row>
    <row r="29" spans="1:7" ht="24.75" customHeight="1" x14ac:dyDescent="0.25">
      <c r="B29" s="286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7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77" r:id="rId4" name="ExportParameterListButton"/>
      </mc:Fallback>
    </mc:AlternateContent>
    <mc:AlternateContent xmlns:mc="http://schemas.openxmlformats.org/markup-compatibility/2006">
      <mc:Choice Requires="x14">
        <control shapeId="11278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78" r:id="rId6" name="ExportValuesCommandsButton"/>
      </mc:Fallback>
    </mc:AlternateContent>
    <mc:AlternateContent xmlns:mc="http://schemas.openxmlformats.org/markup-compatibility/2006">
      <mc:Choice Requires="x14">
        <control shapeId="11279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79" r:id="rId8" name="ExportValueListsForUserInterface"/>
      </mc:Fallback>
    </mc:AlternateContent>
    <mc:AlternateContent xmlns:mc="http://schemas.openxmlformats.org/markup-compatibility/2006">
      <mc:Choice Requires="x14">
        <control shapeId="11280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0" r:id="rId10" name="ExportArchicadPropertiesButton"/>
      </mc:Fallback>
    </mc:AlternateContent>
    <mc:AlternateContent xmlns:mc="http://schemas.openxmlformats.org/markup-compatibility/2006">
      <mc:Choice Requires="x14">
        <control shapeId="11281" r:id="rId12" name="ExportArrayIndicesButton">
          <controlPr defaultSize="0" autoLine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1" r:id="rId12" name="ExportArrayIndicesButton"/>
      </mc:Fallback>
    </mc:AlternateContent>
    <mc:AlternateContent xmlns:mc="http://schemas.openxmlformats.org/markup-compatibility/2006">
      <mc:Choice Requires="x14">
        <control shapeId="11282" r:id="rId14" name="ExportMultilingualTextButton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2" r:id="rId14" name="ExportMultilingualTextButton"/>
      </mc:Fallback>
    </mc:AlternateContent>
    <mc:AlternateContent xmlns:mc="http://schemas.openxmlformats.org/markup-compatibility/2006">
      <mc:Choice Requires="x14">
        <control shapeId="11283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83" r:id="rId16" name="ImportVariableTextButton"/>
      </mc:Fallback>
    </mc:AlternateContent>
    <mc:AlternateContent xmlns:mc="http://schemas.openxmlformats.org/markup-compatibility/2006">
      <mc:Choice Requires="x14">
        <control shapeId="11284" r:id="rId18" name="ParseUserInterfaceButton">
          <controlPr print="0" autoLine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84" r:id="rId18" name="ParseUserInterfaceButton"/>
      </mc:Fallback>
    </mc:AlternateContent>
    <mc:AlternateContent xmlns:mc="http://schemas.openxmlformats.org/markup-compatibility/2006">
      <mc:Choice Requires="x14">
        <control shapeId="11285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85" r:id="rId20" name="IntegrateBitmapsButton"/>
      </mc:Fallback>
    </mc:AlternateContent>
    <mc:AlternateContent xmlns:mc="http://schemas.openxmlformats.org/markup-compatibility/2006">
      <mc:Choice Requires="x14">
        <control shapeId="11286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6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299"/>
  <sheetViews>
    <sheetView zoomScaleNormal="100" workbookViewId="0">
      <pane ySplit="2148" topLeftCell="A92" activePane="bottomLeft"/>
      <selection activeCell="J1" sqref="J1"/>
      <selection pane="bottomLeft" activeCell="O120" sqref="O120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2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4"/>
    <col min="16" max="16" width="4.88671875" style="14" customWidth="1"/>
    <col min="17" max="17" width="2.88671875" style="39" customWidth="1"/>
    <col min="18" max="18" width="5.44140625" style="42" customWidth="1"/>
    <col min="19" max="20" width="8.88671875" style="42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91" customWidth="1"/>
    <col min="27" max="27" width="9.109375" style="86" customWidth="1"/>
    <col min="28" max="28" width="13.44140625" style="117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8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40" t="s">
        <v>82</v>
      </c>
      <c r="L1" s="40" t="s">
        <v>12</v>
      </c>
      <c r="M1" s="40" t="s">
        <v>73</v>
      </c>
      <c r="N1" s="40" t="s">
        <v>334</v>
      </c>
      <c r="O1" s="41" t="s">
        <v>74</v>
      </c>
      <c r="P1" s="30" t="s">
        <v>75</v>
      </c>
      <c r="Q1" s="38" t="s">
        <v>76</v>
      </c>
      <c r="R1" s="30" t="s">
        <v>193</v>
      </c>
      <c r="S1" s="38" t="s">
        <v>196</v>
      </c>
      <c r="T1" s="38" t="s">
        <v>197</v>
      </c>
      <c r="U1" s="38" t="s">
        <v>77</v>
      </c>
      <c r="V1" s="32" t="s">
        <v>348</v>
      </c>
      <c r="W1" s="31" t="s">
        <v>402</v>
      </c>
      <c r="X1" s="31" t="s">
        <v>403</v>
      </c>
      <c r="Y1" s="32" t="s">
        <v>78</v>
      </c>
      <c r="Z1" s="89" t="s">
        <v>79</v>
      </c>
      <c r="AA1" s="90" t="s">
        <v>80</v>
      </c>
      <c r="AB1" s="90" t="s">
        <v>610</v>
      </c>
      <c r="AC1" s="21" t="s">
        <v>461</v>
      </c>
    </row>
    <row r="2" spans="1:30" x14ac:dyDescent="0.3">
      <c r="A2" s="22" t="s">
        <v>194</v>
      </c>
      <c r="B2" s="42"/>
      <c r="C2" s="43"/>
      <c r="D2" s="39"/>
      <c r="E2" s="39"/>
      <c r="F2" s="39"/>
      <c r="G2" s="39"/>
      <c r="H2" s="39"/>
      <c r="I2" s="39"/>
      <c r="J2" s="39"/>
      <c r="R2" s="39"/>
      <c r="S2" s="39"/>
      <c r="T2" s="39"/>
      <c r="Z2" s="91" t="str">
        <f>IF(OR($M2="",NOT($O2="{array}")),"",IFERROR(MATCH(PARAMETERS!$M2,DEFAULT!$B$5:$CC$5,0),""))</f>
        <v/>
      </c>
      <c r="AA2" s="86" t="str">
        <f>IF($M2="","",IFERROR(MATCH($M2,VALUESnames,0),""))</f>
        <v/>
      </c>
      <c r="AB2" s="117" t="str">
        <f>IF(AND(OR($A2="G",$A2="P"),NOT($O2="{array}")),IF(VLOOKUP($K2,base!$B$2:$D$18,3,0)="S",IF(OR($O2="",ISTEXT($O2)),"","STRING!"),IF(VLOOKUP($K2,base!$B$2:$D$18,3,0)="","",IF(ISTEXT($O2),"NUMERIC!",""))),"")</f>
        <v/>
      </c>
      <c r="AC2" s="14" t="str">
        <f>IF($AA2="","",IF($B2="I",VLOOKUP($AA2,#REF!,53,0),VLOOKUP($AA2,#REF!,7,0)))</f>
        <v/>
      </c>
    </row>
    <row r="3" spans="1:30" x14ac:dyDescent="0.3">
      <c r="A3" s="22" t="s">
        <v>84</v>
      </c>
      <c r="B3" s="42" t="str">
        <f>IF($A3="P",IF(NOT($Z3=""),"A",IF(NOT($AA3=""),"I","")),IF(NOT($AA3=""),IF($A3="G","V","X"),IF(NOT($Z3=""),"A","")))</f>
        <v/>
      </c>
      <c r="C3" s="43">
        <f>(ROW()-1)</f>
        <v>2</v>
      </c>
      <c r="D3" s="39"/>
      <c r="E3" s="39"/>
      <c r="F3" s="39" t="s">
        <v>9</v>
      </c>
      <c r="G3" s="39"/>
      <c r="H3" s="39"/>
      <c r="I3" s="39"/>
      <c r="J3" s="39"/>
      <c r="K3" s="14" t="s">
        <v>24</v>
      </c>
      <c r="L3" s="14" t="s">
        <v>27</v>
      </c>
      <c r="M3" s="20" t="s">
        <v>86</v>
      </c>
      <c r="N3" s="14" t="s">
        <v>94</v>
      </c>
      <c r="O3" s="44">
        <v>0.88500000000000001</v>
      </c>
      <c r="Q3" s="39" t="s">
        <v>9</v>
      </c>
      <c r="R3" s="39"/>
      <c r="S3" s="39"/>
      <c r="T3" s="39"/>
      <c r="W3" s="15"/>
      <c r="Y3" s="14" t="s">
        <v>359</v>
      </c>
      <c r="Z3" s="91" t="str">
        <f>IF(OR($M3="",NOT($O3="{array}")),"",IFERROR(MATCH(PARAMETERS!$M3,DEFAULT!$B$5:$CC$5,0),""))</f>
        <v/>
      </c>
      <c r="AA3" s="86" t="str">
        <f>IF($M3="","",IFERROR(MATCH($M3,VALUESnames,0),""))</f>
        <v/>
      </c>
      <c r="AB3" s="117" t="str">
        <f>IF(AND(OR($A3="G",$A3="P"),NOT($O3="{array}")),IF(VLOOKUP($K3,base!$B$2:$D$18,3,0)="S",IF(OR($O3="",ISTEXT($O3)),"","STRING!"),IF(VLOOKUP($K3,base!$B$2:$D$18,3,0)="","",IF(ISTEXT($O3),"NUMERIC!",""))),"")</f>
        <v/>
      </c>
      <c r="AC3" s="17" t="str">
        <f>IF($AA3="","",IF($B3="I",VLOOKUP($AA3,#REF!,53,0),INDEX(VALUES!$B$1:$CX$1,1,$AA3)))</f>
        <v/>
      </c>
    </row>
    <row r="4" spans="1:30" x14ac:dyDescent="0.3">
      <c r="A4" s="22" t="s">
        <v>84</v>
      </c>
      <c r="B4" s="42" t="str">
        <f t="shared" ref="B4:B67" si="0">IF($A4="P",IF(NOT($Z4=""),"A",IF(NOT($AA4=""),"I","")),IF(NOT($AA4=""),IF($A4="G","V","X"),IF(NOT($Z4=""),"A","")))</f>
        <v/>
      </c>
      <c r="C4" s="43">
        <f>(ROW()-1)</f>
        <v>3</v>
      </c>
      <c r="D4" s="39"/>
      <c r="E4" s="39"/>
      <c r="F4" s="39" t="s">
        <v>9</v>
      </c>
      <c r="G4" s="39"/>
      <c r="H4" s="39"/>
      <c r="I4" s="39"/>
      <c r="J4" s="39"/>
      <c r="K4" s="14" t="s">
        <v>24</v>
      </c>
      <c r="L4" s="14" t="s">
        <v>27</v>
      </c>
      <c r="M4" s="20" t="s">
        <v>48</v>
      </c>
      <c r="N4" s="14" t="s">
        <v>95</v>
      </c>
      <c r="O4" s="44">
        <v>2.1349999999999998</v>
      </c>
      <c r="Q4" s="39" t="s">
        <v>9</v>
      </c>
      <c r="R4" s="39"/>
      <c r="S4" s="39"/>
      <c r="T4" s="39"/>
      <c r="W4" s="15"/>
      <c r="Y4" s="14" t="s">
        <v>360</v>
      </c>
      <c r="Z4" s="91" t="str">
        <f>IF(OR($M4="",NOT($O4="{array}")),"",IFERROR(MATCH(PARAMETERS!$M4,DEFAULT!$B$5:$CC$5,0),""))</f>
        <v/>
      </c>
      <c r="AA4" s="86" t="str">
        <f>IF($M4="","",IFERROR(MATCH($M4,VALUESnames,0),""))</f>
        <v/>
      </c>
      <c r="AB4" s="117" t="str">
        <f>IF(AND(OR($A4="G",$A4="P"),NOT($O4="{array}")),IF(VLOOKUP($K4,base!$B$2:$D$18,3,0)="S",IF(OR($O4="",ISTEXT($O4)),"","STRING!"),IF(VLOOKUP($K4,base!$B$2:$D$18,3,0)="","",IF(ISTEXT($O4),"NUMERIC!",""))),"")</f>
        <v/>
      </c>
      <c r="AC4" s="17" t="str">
        <f>IF($AA4="","",IF($B4="I",VLOOKUP($AA4,#REF!,53,0),INDEX(VALUES!$B$1:$CX$1,1,$AA4)))</f>
        <v/>
      </c>
      <c r="AD4" s="117"/>
    </row>
    <row r="5" spans="1:30" x14ac:dyDescent="0.3">
      <c r="A5" s="22" t="s">
        <v>84</v>
      </c>
      <c r="B5" s="42" t="str">
        <f t="shared" si="0"/>
        <v/>
      </c>
      <c r="C5" s="43">
        <f>(ROW()-1)</f>
        <v>4</v>
      </c>
      <c r="D5" s="39"/>
      <c r="E5" s="39"/>
      <c r="F5" s="39" t="s">
        <v>9</v>
      </c>
      <c r="G5" s="39" t="s">
        <v>9</v>
      </c>
      <c r="H5" s="39"/>
      <c r="I5" s="39"/>
      <c r="J5" s="39"/>
      <c r="K5" s="14" t="s">
        <v>24</v>
      </c>
      <c r="L5" s="14" t="s">
        <v>27</v>
      </c>
      <c r="M5" s="20" t="s">
        <v>91</v>
      </c>
      <c r="N5" s="14" t="s">
        <v>96</v>
      </c>
      <c r="O5" s="44">
        <v>1</v>
      </c>
      <c r="Q5" s="39" t="s">
        <v>9</v>
      </c>
      <c r="R5" s="39" t="s">
        <v>190</v>
      </c>
      <c r="S5" s="39"/>
      <c r="T5" s="39"/>
      <c r="W5" s="15"/>
      <c r="Y5" s="14" t="s">
        <v>361</v>
      </c>
      <c r="Z5" s="91" t="str">
        <f>IF(OR($M5="",NOT($O5="{array}")),"",IFERROR(MATCH(PARAMETERS!$M5,DEFAULT!$B$5:$CC$5,0),""))</f>
        <v/>
      </c>
      <c r="AA5" s="86" t="str">
        <f>IF($M5="","",IFERROR(MATCH($M5,VALUESnames,0),""))</f>
        <v/>
      </c>
      <c r="AB5" s="117" t="str">
        <f>IF(AND(OR($A5="G",$A5="P"),NOT($O5="{array}")),IF(VLOOKUP($K5,base!$B$2:$D$18,3,0)="S",IF(OR($O5="",ISTEXT($O5)),"","STRING!"),IF(VLOOKUP($K5,base!$B$2:$D$18,3,0)="","",IF(ISTEXT($O5),"NUMERIC!",""))),"")</f>
        <v/>
      </c>
      <c r="AC5" s="17" t="str">
        <f>IF($AA5="","",IF($B5="I",VLOOKUP($AA5,#REF!,53,0),INDEX(VALUES!$B$1:$CX$1,1,$AA5)))</f>
        <v/>
      </c>
    </row>
    <row r="6" spans="1:30" x14ac:dyDescent="0.3">
      <c r="A6" s="22" t="s">
        <v>336</v>
      </c>
      <c r="B6" s="42"/>
      <c r="C6" s="43"/>
      <c r="D6" s="39"/>
      <c r="E6" s="39"/>
      <c r="F6" s="39"/>
      <c r="G6" s="39"/>
      <c r="H6" s="39"/>
      <c r="I6" s="39"/>
      <c r="J6" s="39"/>
      <c r="R6" s="39"/>
      <c r="S6" s="39"/>
      <c r="T6" s="39"/>
      <c r="W6" s="15"/>
      <c r="Z6" s="91" t="str">
        <f>IF(OR($M6="",NOT($O6="{array}")),"",IFERROR(MATCH(PARAMETERS!$M6,DEFAULT!$B$5:$CC$5,0),""))</f>
        <v/>
      </c>
      <c r="AA6" s="86" t="str">
        <f t="shared" ref="AA6:AA35" si="1">IF($M6="","",IFERROR(MATCH($M6,VALUESnames,0),""))</f>
        <v/>
      </c>
      <c r="AB6" s="117" t="str">
        <f>IF(AND(OR($A6="G",$A6="P"),NOT($O6="{array}")),IF(VLOOKUP($K6,base!$B$2:$D$18,3,0)="S",IF(OR($O6="",ISTEXT($O6)),"","STRING!"),IF(VLOOKUP($K6,base!$B$2:$D$18,3,0)="","",IF(ISTEXT($O6),"NUMERIC!",""))),"")</f>
        <v/>
      </c>
      <c r="AC6" s="17" t="str">
        <f>IF($AA6="","",IF($B6="I",VLOOKUP($AA6,#REF!,53,0),INDEX(VALUES!$B$1:$CX$1,1,$AA6)))</f>
        <v/>
      </c>
    </row>
    <row r="7" spans="1:30" x14ac:dyDescent="0.3">
      <c r="A7" s="22"/>
      <c r="B7" s="42" t="str">
        <f t="shared" si="0"/>
        <v/>
      </c>
      <c r="C7" s="43">
        <f t="shared" ref="C7:C38" si="2">(ROW()-1)</f>
        <v>6</v>
      </c>
      <c r="D7" s="39"/>
      <c r="E7" s="39"/>
      <c r="F7" s="39"/>
      <c r="G7" s="39"/>
      <c r="H7" s="39"/>
      <c r="I7" s="39"/>
      <c r="J7" s="39"/>
      <c r="K7" s="14" t="s">
        <v>57</v>
      </c>
      <c r="L7" s="14" t="s">
        <v>38</v>
      </c>
      <c r="M7" s="49" t="s">
        <v>499</v>
      </c>
      <c r="N7" s="42" t="s">
        <v>344</v>
      </c>
      <c r="R7" s="39" t="s">
        <v>343</v>
      </c>
      <c r="S7" s="39"/>
      <c r="T7" s="39"/>
      <c r="W7" s="15"/>
      <c r="Y7" s="67"/>
      <c r="Z7" s="91" t="str">
        <f>IF(OR($M7="",NOT($O7="{array}")),"",IFERROR(MATCH(PARAMETERS!$M7,DEFAULT!$B$5:$CC$5,0),""))</f>
        <v/>
      </c>
      <c r="AA7" s="86" t="str">
        <f t="shared" si="1"/>
        <v/>
      </c>
      <c r="AB7" s="117" t="str">
        <f>IF(AND(OR($A7="G",$A7="P"),NOT($O7="{array}")),IF(VLOOKUP($K7,base!$B$2:$D$18,3,0)="S",IF(OR($O7="",ISTEXT($O7)),"","STRING!"),IF(VLOOKUP($K7,base!$B$2:$D$18,3,0)="","",IF(ISTEXT($O7),"NUMERIC!",""))),"")</f>
        <v/>
      </c>
      <c r="AC7" s="17" t="str">
        <f>IF($AA7="","",IF($B7="I",VLOOKUP($AA7,#REF!,53,0),INDEX(VALUES!$B$1:$CX$1,1,$AA7)))</f>
        <v/>
      </c>
    </row>
    <row r="8" spans="1:30" hidden="1" outlineLevel="1" x14ac:dyDescent="0.3">
      <c r="A8" s="22" t="s">
        <v>84</v>
      </c>
      <c r="B8" s="42" t="str">
        <f t="shared" si="0"/>
        <v/>
      </c>
      <c r="C8" s="43">
        <f t="shared" si="2"/>
        <v>7</v>
      </c>
      <c r="D8" s="39"/>
      <c r="E8" s="39"/>
      <c r="F8" s="39"/>
      <c r="G8" s="39"/>
      <c r="H8" s="39"/>
      <c r="I8" s="39" t="s">
        <v>9</v>
      </c>
      <c r="J8" s="39"/>
      <c r="K8" s="14" t="s">
        <v>44</v>
      </c>
      <c r="L8" s="14" t="s">
        <v>32</v>
      </c>
      <c r="M8" s="98" t="s">
        <v>418</v>
      </c>
      <c r="N8" s="14" t="s">
        <v>337</v>
      </c>
      <c r="O8" s="44">
        <v>0</v>
      </c>
      <c r="R8" s="39" t="s">
        <v>343</v>
      </c>
      <c r="S8" s="39" t="s">
        <v>199</v>
      </c>
      <c r="T8" s="39"/>
      <c r="V8" s="14" t="s">
        <v>337</v>
      </c>
      <c r="W8" s="15"/>
      <c r="Y8" s="67" t="s">
        <v>362</v>
      </c>
      <c r="Z8" s="91" t="str">
        <f>IF(OR($M8="",NOT($O8="{array}")),"",IFERROR(MATCH(PARAMETERS!$M8,DEFAULT!$B$5:$CC$5,0),""))</f>
        <v/>
      </c>
      <c r="AA8" s="86" t="str">
        <f t="shared" si="1"/>
        <v/>
      </c>
      <c r="AB8" s="117" t="str">
        <f>IF(AND(OR($A8="G",$A8="P"),NOT($O8="{array}")),IF(VLOOKUP($K8,base!$B$2:$D$18,3,0)="S",IF(OR($O8="",ISTEXT($O8)),"","STRING!"),IF(VLOOKUP($K8,base!$B$2:$D$18,3,0)="","",IF(ISTEXT($O8),"NUMERIC!",""))),"")</f>
        <v/>
      </c>
      <c r="AC8" s="17" t="str">
        <f>IF($AA8="","",IF($B8="I",VLOOKUP($AA8,#REF!,53,0),INDEX(VALUES!$B$1:$CX$1,1,$AA8)))</f>
        <v/>
      </c>
    </row>
    <row r="9" spans="1:30" hidden="1" outlineLevel="1" x14ac:dyDescent="0.3">
      <c r="A9" s="22" t="s">
        <v>84</v>
      </c>
      <c r="B9" s="42" t="str">
        <f t="shared" si="0"/>
        <v/>
      </c>
      <c r="C9" s="43">
        <f t="shared" si="2"/>
        <v>8</v>
      </c>
      <c r="D9" s="39"/>
      <c r="E9" s="39"/>
      <c r="F9" s="39"/>
      <c r="G9" s="39"/>
      <c r="H9" s="39"/>
      <c r="I9" s="39" t="s">
        <v>9</v>
      </c>
      <c r="J9" s="39"/>
      <c r="K9" s="14" t="s">
        <v>44</v>
      </c>
      <c r="L9" s="14" t="s">
        <v>32</v>
      </c>
      <c r="M9" s="98" t="s">
        <v>515</v>
      </c>
      <c r="N9" s="14" t="s">
        <v>504</v>
      </c>
      <c r="O9" s="44">
        <v>0</v>
      </c>
      <c r="R9" s="39" t="s">
        <v>343</v>
      </c>
      <c r="S9" s="39" t="s">
        <v>199</v>
      </c>
      <c r="T9" s="39"/>
      <c r="V9" s="14" t="s">
        <v>504</v>
      </c>
      <c r="W9" s="15"/>
      <c r="Y9" s="67" t="s">
        <v>362</v>
      </c>
      <c r="Z9" s="91" t="str">
        <f>IF(OR($M9="",NOT($O9="{array}")),"",IFERROR(MATCH(PARAMETERS!$M9,DEFAULT!$B$5:$CC$5,0),""))</f>
        <v/>
      </c>
      <c r="AA9" s="86" t="str">
        <f t="shared" si="1"/>
        <v/>
      </c>
      <c r="AB9" s="117" t="str">
        <f>IF(AND(OR($A9="G",$A9="P"),NOT($O9="{array}")),IF(VLOOKUP($K9,base!$B$2:$D$18,3,0)="S",IF(OR($O9="",ISTEXT($O9)),"","STRING!"),IF(VLOOKUP($K9,base!$B$2:$D$18,3,0)="","",IF(ISTEXT($O9),"NUMERIC!",""))),"")</f>
        <v/>
      </c>
      <c r="AC9" s="17" t="str">
        <f>IF($AA9="","",IF($B9="I",VLOOKUP($AA9,#REF!,53,0),INDEX(VALUES!$B$1:$CX$1,1,$AA9)))</f>
        <v/>
      </c>
    </row>
    <row r="10" spans="1:30" hidden="1" outlineLevel="1" x14ac:dyDescent="0.3">
      <c r="A10" s="22" t="s">
        <v>84</v>
      </c>
      <c r="B10" s="42" t="str">
        <f t="shared" si="0"/>
        <v/>
      </c>
      <c r="C10" s="43">
        <f t="shared" si="2"/>
        <v>9</v>
      </c>
      <c r="D10" s="39"/>
      <c r="E10" s="39"/>
      <c r="F10" s="39"/>
      <c r="G10" s="39"/>
      <c r="H10" s="39"/>
      <c r="I10" s="39" t="s">
        <v>9</v>
      </c>
      <c r="J10" s="39"/>
      <c r="K10" s="14" t="s">
        <v>44</v>
      </c>
      <c r="L10" s="14" t="s">
        <v>32</v>
      </c>
      <c r="M10" s="98" t="s">
        <v>419</v>
      </c>
      <c r="N10" s="14" t="s">
        <v>338</v>
      </c>
      <c r="O10" s="44">
        <v>0</v>
      </c>
      <c r="R10" s="39" t="s">
        <v>343</v>
      </c>
      <c r="S10" s="39" t="s">
        <v>199</v>
      </c>
      <c r="T10" s="39"/>
      <c r="V10" s="14" t="s">
        <v>338</v>
      </c>
      <c r="W10" s="15"/>
      <c r="Y10" s="67" t="s">
        <v>362</v>
      </c>
      <c r="Z10" s="91" t="str">
        <f>IF(OR($M10="",NOT($O10="{array}")),"",IFERROR(MATCH(PARAMETERS!$M10,DEFAULT!$B$5:$CC$5,0),""))</f>
        <v/>
      </c>
      <c r="AA10" s="86" t="str">
        <f t="shared" si="1"/>
        <v/>
      </c>
      <c r="AB10" s="117" t="str">
        <f>IF(AND(OR($A10="G",$A10="P"),NOT($O10="{array}")),IF(VLOOKUP($K10,base!$B$2:$D$18,3,0)="S",IF(OR($O10="",ISTEXT($O10)),"","STRING!"),IF(VLOOKUP($K10,base!$B$2:$D$18,3,0)="","",IF(ISTEXT($O10),"NUMERIC!",""))),"")</f>
        <v/>
      </c>
      <c r="AC10" s="17" t="str">
        <f>IF($AA10="","",IF($B10="I",VLOOKUP($AA10,#REF!,53,0),INDEX(VALUES!$B$1:$CX$1,1,$AA10)))</f>
        <v/>
      </c>
    </row>
    <row r="11" spans="1:30" hidden="1" outlineLevel="1" x14ac:dyDescent="0.3">
      <c r="A11" s="22" t="s">
        <v>84</v>
      </c>
      <c r="B11" s="42" t="str">
        <f t="shared" si="0"/>
        <v/>
      </c>
      <c r="C11" s="43">
        <f t="shared" si="2"/>
        <v>10</v>
      </c>
      <c r="D11" s="39"/>
      <c r="E11" s="39"/>
      <c r="F11" s="39"/>
      <c r="G11" s="39"/>
      <c r="H11" s="39"/>
      <c r="I11" s="39" t="s">
        <v>9</v>
      </c>
      <c r="J11" s="39"/>
      <c r="K11" s="14" t="s">
        <v>44</v>
      </c>
      <c r="L11" s="14" t="s">
        <v>32</v>
      </c>
      <c r="M11" s="98" t="s">
        <v>420</v>
      </c>
      <c r="N11" s="14" t="s">
        <v>613</v>
      </c>
      <c r="O11" s="44">
        <v>0</v>
      </c>
      <c r="R11" s="39" t="s">
        <v>343</v>
      </c>
      <c r="S11" s="39" t="s">
        <v>199</v>
      </c>
      <c r="T11" s="39"/>
      <c r="V11" s="14" t="s">
        <v>339</v>
      </c>
      <c r="W11" s="15"/>
      <c r="Y11" s="67" t="s">
        <v>362</v>
      </c>
      <c r="Z11" s="91" t="str">
        <f>IF(OR($M11="",NOT($O11="{array}")),"",IFERROR(MATCH(PARAMETERS!$M11,DEFAULT!$B$5:$CC$5,0),""))</f>
        <v/>
      </c>
      <c r="AA11" s="86" t="str">
        <f t="shared" si="1"/>
        <v/>
      </c>
      <c r="AB11" s="117" t="str">
        <f>IF(AND(OR($A11="G",$A11="P"),NOT($O11="{array}")),IF(VLOOKUP($K11,base!$B$2:$D$18,3,0)="S",IF(OR($O11="",ISTEXT($O11)),"","STRING!"),IF(VLOOKUP($K11,base!$B$2:$D$18,3,0)="","",IF(ISTEXT($O11),"NUMERIC!",""))),"")</f>
        <v/>
      </c>
      <c r="AC11" s="17" t="str">
        <f>IF($AA11="","",IF($B11="I",VLOOKUP($AA11,#REF!,53,0),INDEX(VALUES!$B$1:$CX$1,1,$AA11)))</f>
        <v/>
      </c>
    </row>
    <row r="12" spans="1:30" hidden="1" outlineLevel="1" x14ac:dyDescent="0.3">
      <c r="A12" s="22" t="s">
        <v>84</v>
      </c>
      <c r="B12" s="42" t="str">
        <f t="shared" si="0"/>
        <v/>
      </c>
      <c r="C12" s="43">
        <f t="shared" si="2"/>
        <v>11</v>
      </c>
      <c r="D12" s="39"/>
      <c r="E12" s="39"/>
      <c r="F12" s="39"/>
      <c r="G12" s="39"/>
      <c r="H12" s="39"/>
      <c r="I12" s="39" t="s">
        <v>9</v>
      </c>
      <c r="J12" s="39"/>
      <c r="K12" s="14" t="s">
        <v>44</v>
      </c>
      <c r="L12" s="14" t="s">
        <v>32</v>
      </c>
      <c r="M12" s="98" t="s">
        <v>421</v>
      </c>
      <c r="N12" s="14" t="s">
        <v>340</v>
      </c>
      <c r="O12" s="44">
        <v>0</v>
      </c>
      <c r="R12" s="39" t="s">
        <v>343</v>
      </c>
      <c r="S12" s="39" t="s">
        <v>199</v>
      </c>
      <c r="T12" s="39"/>
      <c r="V12" s="14" t="s">
        <v>340</v>
      </c>
      <c r="W12" s="15"/>
      <c r="Y12" s="67" t="s">
        <v>362</v>
      </c>
      <c r="Z12" s="91" t="str">
        <f>IF(OR($M12="",NOT($O12="{array}")),"",IFERROR(MATCH(PARAMETERS!$M12,DEFAULT!$B$5:$CC$5,0),""))</f>
        <v/>
      </c>
      <c r="AA12" s="86" t="str">
        <f t="shared" si="1"/>
        <v/>
      </c>
      <c r="AB12" s="117" t="str">
        <f>IF(AND(OR($A12="G",$A12="P"),NOT($O12="{array}")),IF(VLOOKUP($K12,base!$B$2:$D$18,3,0)="S",IF(OR($O12="",ISTEXT($O12)),"","STRING!"),IF(VLOOKUP($K12,base!$B$2:$D$18,3,0)="","",IF(ISTEXT($O12),"NUMERIC!",""))),"")</f>
        <v/>
      </c>
      <c r="AC12" s="17" t="str">
        <f>IF($AA12="","",IF($B12="I",VLOOKUP($AA12,#REF!,53,0),INDEX(VALUES!$B$1:$CX$1,1,$AA12)))</f>
        <v/>
      </c>
    </row>
    <row r="13" spans="1:30" hidden="1" outlineLevel="1" x14ac:dyDescent="0.3">
      <c r="A13" s="22" t="s">
        <v>84</v>
      </c>
      <c r="B13" s="42" t="str">
        <f t="shared" si="0"/>
        <v/>
      </c>
      <c r="C13" s="43">
        <f t="shared" si="2"/>
        <v>12</v>
      </c>
      <c r="D13" s="39"/>
      <c r="E13" s="39"/>
      <c r="F13" s="39"/>
      <c r="G13" s="39"/>
      <c r="H13" s="39"/>
      <c r="I13" s="39" t="s">
        <v>9</v>
      </c>
      <c r="J13" s="39"/>
      <c r="K13" s="14" t="s">
        <v>44</v>
      </c>
      <c r="L13" s="14" t="s">
        <v>32</v>
      </c>
      <c r="M13" s="98" t="s">
        <v>422</v>
      </c>
      <c r="N13" s="14" t="s">
        <v>612</v>
      </c>
      <c r="O13" s="44">
        <v>0</v>
      </c>
      <c r="R13" s="39" t="s">
        <v>343</v>
      </c>
      <c r="S13" s="39" t="s">
        <v>199</v>
      </c>
      <c r="T13" s="39"/>
      <c r="V13" s="14" t="s">
        <v>341</v>
      </c>
      <c r="W13" s="15"/>
      <c r="Y13" s="67" t="s">
        <v>362</v>
      </c>
      <c r="Z13" s="91" t="str">
        <f>IF(OR($M13="",NOT($O13="{array}")),"",IFERROR(MATCH(PARAMETERS!$M13,DEFAULT!$B$5:$CC$5,0),""))</f>
        <v/>
      </c>
      <c r="AA13" s="86" t="str">
        <f t="shared" si="1"/>
        <v/>
      </c>
      <c r="AB13" s="117" t="str">
        <f>IF(AND(OR($A13="G",$A13="P"),NOT($O13="{array}")),IF(VLOOKUP($K13,base!$B$2:$D$18,3,0)="S",IF(OR($O13="",ISTEXT($O13)),"","STRING!"),IF(VLOOKUP($K13,base!$B$2:$D$18,3,0)="","",IF(ISTEXT($O13),"NUMERIC!",""))),"")</f>
        <v/>
      </c>
      <c r="AC13" s="17" t="str">
        <f>IF($AA13="","",IF($B13="I",VLOOKUP($AA13,#REF!,53,0),INDEX(VALUES!$B$1:$CX$1,1,$AA13)))</f>
        <v/>
      </c>
    </row>
    <row r="14" spans="1:30" hidden="1" outlineLevel="1" x14ac:dyDescent="0.3">
      <c r="A14" s="22" t="s">
        <v>84</v>
      </c>
      <c r="B14" s="42" t="str">
        <f t="shared" si="0"/>
        <v/>
      </c>
      <c r="C14" s="43">
        <f t="shared" si="2"/>
        <v>13</v>
      </c>
      <c r="D14" s="39"/>
      <c r="E14" s="39"/>
      <c r="F14" s="39"/>
      <c r="G14" s="39"/>
      <c r="H14" s="39"/>
      <c r="I14" s="39" t="s">
        <v>9</v>
      </c>
      <c r="J14" s="39"/>
      <c r="K14" s="14" t="s">
        <v>44</v>
      </c>
      <c r="L14" s="14" t="s">
        <v>32</v>
      </c>
      <c r="M14" s="98" t="s">
        <v>423</v>
      </c>
      <c r="N14" s="14" t="s">
        <v>611</v>
      </c>
      <c r="O14" s="44">
        <v>0</v>
      </c>
      <c r="R14" s="39" t="s">
        <v>343</v>
      </c>
      <c r="S14" s="39" t="s">
        <v>199</v>
      </c>
      <c r="T14" s="39"/>
      <c r="V14" s="14" t="s">
        <v>342</v>
      </c>
      <c r="W14" s="15"/>
      <c r="Y14" s="67" t="s">
        <v>362</v>
      </c>
      <c r="Z14" s="91" t="str">
        <f>IF(OR($M14="",NOT($O14="{array}")),"",IFERROR(MATCH(PARAMETERS!$M14,DEFAULT!$B$5:$CC$5,0),""))</f>
        <v/>
      </c>
      <c r="AA14" s="86" t="str">
        <f t="shared" si="1"/>
        <v/>
      </c>
      <c r="AB14" s="117" t="str">
        <f>IF(AND(OR($A14="G",$A14="P"),NOT($O14="{array}")),IF(VLOOKUP($K14,base!$B$2:$D$18,3,0)="S",IF(OR($O14="",ISTEXT($O14)),"","STRING!"),IF(VLOOKUP($K14,base!$B$2:$D$18,3,0)="","",IF(ISTEXT($O14),"NUMERIC!",""))),"")</f>
        <v/>
      </c>
      <c r="AC14" s="17" t="str">
        <f>IF($AA14="","",IF($B14="I",VLOOKUP($AA14,#REF!,53,0),INDEX(VALUES!$B$1:$CX$1,1,$AA14)))</f>
        <v/>
      </c>
    </row>
    <row r="15" spans="1:30" collapsed="1" x14ac:dyDescent="0.3">
      <c r="A15" s="22"/>
      <c r="B15" s="42" t="str">
        <f t="shared" si="0"/>
        <v/>
      </c>
      <c r="C15" s="43">
        <f t="shared" si="2"/>
        <v>14</v>
      </c>
      <c r="D15" s="39"/>
      <c r="E15" s="39"/>
      <c r="F15" s="39"/>
      <c r="G15" s="39"/>
      <c r="H15" s="39"/>
      <c r="I15" s="39"/>
      <c r="J15" s="39"/>
      <c r="K15" s="14" t="s">
        <v>57</v>
      </c>
      <c r="L15" s="14" t="s">
        <v>38</v>
      </c>
      <c r="M15" s="49" t="s">
        <v>498</v>
      </c>
      <c r="N15" s="42" t="s">
        <v>358</v>
      </c>
      <c r="R15" s="39" t="s">
        <v>343</v>
      </c>
      <c r="S15" s="39"/>
      <c r="T15" s="15"/>
      <c r="W15" s="15"/>
      <c r="Z15" s="91" t="str">
        <f>IF(OR($M15="",NOT($O15="{array}")),"",IFERROR(MATCH(PARAMETERS!$M15,DEFAULT!$B$5:$CC$5,0),""))</f>
        <v/>
      </c>
      <c r="AA15" s="86" t="str">
        <f t="shared" si="1"/>
        <v/>
      </c>
      <c r="AB15" s="117" t="str">
        <f>IF(AND(OR($A15="G",$A15="P"),NOT($O15="{array}")),IF(VLOOKUP($K15,base!$B$2:$D$18,3,0)="S",IF(OR($O15="",ISTEXT($O15)),"","STRING!"),IF(VLOOKUP($K15,base!$B$2:$D$18,3,0)="","",IF(ISTEXT($O15),"NUMERIC!",""))),"")</f>
        <v/>
      </c>
      <c r="AC15" s="17" t="str">
        <f>IF($AA15="","",IF($B15="I",VLOOKUP($AA15,#REF!,53,0),INDEX(VALUES!$B$1:$CX$1,1,$AA15)))</f>
        <v/>
      </c>
    </row>
    <row r="16" spans="1:30" hidden="1" outlineLevel="1" x14ac:dyDescent="0.25">
      <c r="A16" s="22" t="s">
        <v>84</v>
      </c>
      <c r="B16" s="42" t="str">
        <f t="shared" si="0"/>
        <v/>
      </c>
      <c r="C16" s="43">
        <f t="shared" si="2"/>
        <v>15</v>
      </c>
      <c r="D16" s="39"/>
      <c r="E16" s="39"/>
      <c r="F16" s="39" t="s">
        <v>9</v>
      </c>
      <c r="G16" s="39"/>
      <c r="H16" s="39"/>
      <c r="I16" s="39" t="s">
        <v>9</v>
      </c>
      <c r="J16" s="39"/>
      <c r="K16" s="14" t="s">
        <v>18</v>
      </c>
      <c r="L16" s="14" t="s">
        <v>21</v>
      </c>
      <c r="M16" s="98" t="s">
        <v>424</v>
      </c>
      <c r="N16" s="119" t="s">
        <v>148</v>
      </c>
      <c r="O16" s="61" t="s">
        <v>390</v>
      </c>
      <c r="P16" s="63" t="s">
        <v>335</v>
      </c>
      <c r="Q16" s="104" t="s">
        <v>9</v>
      </c>
      <c r="R16" s="102" t="s">
        <v>189</v>
      </c>
      <c r="S16" s="102" t="s">
        <v>199</v>
      </c>
      <c r="T16" s="99" t="s">
        <v>228</v>
      </c>
      <c r="U16" s="99"/>
      <c r="V16" s="99" t="s">
        <v>200</v>
      </c>
      <c r="W16" s="105"/>
      <c r="X16" s="106"/>
      <c r="Y16" s="99" t="s">
        <v>227</v>
      </c>
      <c r="Z16" s="91" t="str">
        <f>IF(OR($M16="",NOT($O16="{array}")),"",IFERROR(MATCH(PARAMETERS!$M16,DEFAULT!$B$5:$CC$5,0),""))</f>
        <v/>
      </c>
      <c r="AA16" s="86" t="str">
        <f t="shared" si="1"/>
        <v/>
      </c>
      <c r="AB16" s="117" t="str">
        <f>IF(AND(OR($A16="G",$A16="P"),NOT($O16="{array}")),IF(VLOOKUP($K16,base!$B$2:$D$18,3,0)="S",IF(OR($O16="",ISTEXT($O16)),"","STRING!"),IF(VLOOKUP($K16,base!$B$2:$D$18,3,0)="","",IF(ISTEXT($O16),"NUMERIC!",""))),"")</f>
        <v/>
      </c>
      <c r="AC16" s="17" t="str">
        <f>IF($AA16="","",IF($B16="I",VLOOKUP($AA16,#REF!,53,0),INDEX(VALUES!$B$1:$CX$1,1,$AA16)))</f>
        <v/>
      </c>
    </row>
    <row r="17" spans="1:29" hidden="1" outlineLevel="1" x14ac:dyDescent="0.25">
      <c r="A17" s="22" t="s">
        <v>84</v>
      </c>
      <c r="B17" s="42" t="str">
        <f t="shared" si="0"/>
        <v/>
      </c>
      <c r="C17" s="43">
        <f t="shared" si="2"/>
        <v>16</v>
      </c>
      <c r="D17" s="39"/>
      <c r="E17" s="39"/>
      <c r="F17" s="39"/>
      <c r="G17" s="39"/>
      <c r="H17" s="39"/>
      <c r="I17" s="39" t="s">
        <v>9</v>
      </c>
      <c r="J17" s="39"/>
      <c r="K17" s="55" t="s">
        <v>18</v>
      </c>
      <c r="L17" s="54" t="s">
        <v>32</v>
      </c>
      <c r="M17" s="98" t="s">
        <v>467</v>
      </c>
      <c r="N17" s="120" t="s">
        <v>229</v>
      </c>
      <c r="O17" s="61" t="s">
        <v>390</v>
      </c>
      <c r="P17" s="63" t="s">
        <v>335</v>
      </c>
      <c r="Q17" s="104" t="s">
        <v>9</v>
      </c>
      <c r="R17" s="102" t="s">
        <v>189</v>
      </c>
      <c r="S17" s="102" t="s">
        <v>199</v>
      </c>
      <c r="T17" s="99" t="s">
        <v>228</v>
      </c>
      <c r="U17" s="99"/>
      <c r="V17" s="99" t="s">
        <v>229</v>
      </c>
      <c r="W17" s="105"/>
      <c r="X17" s="106"/>
      <c r="Y17" s="99" t="s">
        <v>230</v>
      </c>
      <c r="Z17" s="91" t="str">
        <f>IF(OR($M17="",NOT($O17="{array}")),"",IFERROR(MATCH(PARAMETERS!$M17,DEFAULT!$B$5:$CC$5,0),""))</f>
        <v/>
      </c>
      <c r="AA17" s="86" t="str">
        <f t="shared" si="1"/>
        <v/>
      </c>
      <c r="AB17" s="117" t="str">
        <f>IF(AND(OR($A17="G",$A17="P"),NOT($O17="{array}")),IF(VLOOKUP($K17,base!$B$2:$D$18,3,0)="S",IF(OR($O17="",ISTEXT($O17)),"","STRING!"),IF(VLOOKUP($K17,base!$B$2:$D$18,3,0)="","",IF(ISTEXT($O17),"NUMERIC!",""))),"")</f>
        <v/>
      </c>
      <c r="AC17" s="17" t="str">
        <f>IF($AA17="","",IF($B17="I",VLOOKUP($AA17,#REF!,53,0),INDEX(VALUES!$B$1:$CX$1,1,$AA17)))</f>
        <v/>
      </c>
    </row>
    <row r="18" spans="1:29" hidden="1" outlineLevel="1" x14ac:dyDescent="0.25">
      <c r="A18" s="22" t="s">
        <v>84</v>
      </c>
      <c r="B18" s="42" t="str">
        <f t="shared" si="0"/>
        <v/>
      </c>
      <c r="C18" s="43">
        <f t="shared" si="2"/>
        <v>17</v>
      </c>
      <c r="D18" s="39"/>
      <c r="E18" s="39"/>
      <c r="F18" s="39" t="s">
        <v>9</v>
      </c>
      <c r="G18" s="39"/>
      <c r="H18" s="39"/>
      <c r="I18" s="39" t="s">
        <v>9</v>
      </c>
      <c r="J18" s="39"/>
      <c r="K18" s="14" t="s">
        <v>18</v>
      </c>
      <c r="L18" s="14" t="s">
        <v>21</v>
      </c>
      <c r="M18" s="98" t="s">
        <v>425</v>
      </c>
      <c r="N18" s="119" t="s">
        <v>150</v>
      </c>
      <c r="O18" s="61" t="s">
        <v>390</v>
      </c>
      <c r="P18" s="63" t="s">
        <v>335</v>
      </c>
      <c r="Q18" s="104" t="s">
        <v>9</v>
      </c>
      <c r="R18" s="102" t="s">
        <v>189</v>
      </c>
      <c r="S18" s="102" t="s">
        <v>199</v>
      </c>
      <c r="T18" s="99" t="s">
        <v>188</v>
      </c>
      <c r="U18" s="99"/>
      <c r="V18" s="99" t="s">
        <v>150</v>
      </c>
      <c r="W18" s="105"/>
      <c r="X18" s="106"/>
      <c r="Y18" s="99" t="s">
        <v>231</v>
      </c>
      <c r="Z18" s="91" t="str">
        <f>IF(OR($M18="",NOT($O18="{array}")),"",IFERROR(MATCH(PARAMETERS!$M18,DEFAULT!$B$5:$CC$5,0),""))</f>
        <v/>
      </c>
      <c r="AA18" s="86" t="str">
        <f t="shared" si="1"/>
        <v/>
      </c>
      <c r="AB18" s="117" t="str">
        <f>IF(AND(OR($A18="G",$A18="P"),NOT($O18="{array}")),IF(VLOOKUP($K18,base!$B$2:$D$18,3,0)="S",IF(OR($O18="",ISTEXT($O18)),"","STRING!"),IF(VLOOKUP($K18,base!$B$2:$D$18,3,0)="","",IF(ISTEXT($O18),"NUMERIC!",""))),"")</f>
        <v/>
      </c>
      <c r="AC18" s="17" t="str">
        <f>IF($AA18="","",IF($B18="I",VLOOKUP($AA18,#REF!,53,0),INDEX(VALUES!$B$1:$CX$1,1,$AA18)))</f>
        <v/>
      </c>
    </row>
    <row r="19" spans="1:29" hidden="1" outlineLevel="1" x14ac:dyDescent="0.25">
      <c r="A19" s="22" t="s">
        <v>84</v>
      </c>
      <c r="B19" s="42" t="str">
        <f t="shared" si="0"/>
        <v/>
      </c>
      <c r="C19" s="43">
        <f t="shared" si="2"/>
        <v>18</v>
      </c>
      <c r="D19" s="39"/>
      <c r="E19" s="39"/>
      <c r="F19" s="39" t="s">
        <v>9</v>
      </c>
      <c r="G19" s="39"/>
      <c r="H19" s="39"/>
      <c r="I19" s="39" t="s">
        <v>9</v>
      </c>
      <c r="J19" s="39"/>
      <c r="K19" s="14" t="s">
        <v>18</v>
      </c>
      <c r="L19" s="14" t="s">
        <v>21</v>
      </c>
      <c r="M19" s="98" t="s">
        <v>426</v>
      </c>
      <c r="N19" s="119" t="s">
        <v>406</v>
      </c>
      <c r="O19" s="61" t="s">
        <v>390</v>
      </c>
      <c r="P19" s="63" t="s">
        <v>335</v>
      </c>
      <c r="Q19" s="104" t="s">
        <v>9</v>
      </c>
      <c r="R19" s="102" t="s">
        <v>189</v>
      </c>
      <c r="S19" s="102" t="s">
        <v>199</v>
      </c>
      <c r="T19" s="99" t="s">
        <v>335</v>
      </c>
      <c r="U19" s="99"/>
      <c r="V19" s="99" t="s">
        <v>232</v>
      </c>
      <c r="W19" s="105"/>
      <c r="X19" s="106"/>
      <c r="Y19" s="99" t="s">
        <v>233</v>
      </c>
      <c r="Z19" s="91" t="str">
        <f>IF(OR($M19="",NOT($O19="{array}")),"",IFERROR(MATCH(PARAMETERS!$M19,DEFAULT!$B$5:$CC$5,0),""))</f>
        <v/>
      </c>
      <c r="AA19" s="86" t="str">
        <f t="shared" si="1"/>
        <v/>
      </c>
      <c r="AB19" s="117" t="str">
        <f>IF(AND(OR($A19="G",$A19="P"),NOT($O19="{array}")),IF(VLOOKUP($K19,base!$B$2:$D$18,3,0)="S",IF(OR($O19="",ISTEXT($O19)),"","STRING!"),IF(VLOOKUP($K19,base!$B$2:$D$18,3,0)="","",IF(ISTEXT($O19),"NUMERIC!",""))),"")</f>
        <v/>
      </c>
      <c r="AC19" s="17" t="str">
        <f>IF($AA19="","",IF($B19="I",VLOOKUP($AA19,#REF!,53,0),INDEX(VALUES!$B$1:$CX$1,1,$AA19)))</f>
        <v/>
      </c>
    </row>
    <row r="20" spans="1:29" hidden="1" outlineLevel="1" x14ac:dyDescent="0.25">
      <c r="A20" s="22" t="s">
        <v>84</v>
      </c>
      <c r="B20" s="42" t="str">
        <f t="shared" si="0"/>
        <v/>
      </c>
      <c r="C20" s="43">
        <f t="shared" si="2"/>
        <v>19</v>
      </c>
      <c r="D20" s="39"/>
      <c r="E20" s="39"/>
      <c r="F20" s="39"/>
      <c r="G20" s="39"/>
      <c r="H20" s="39"/>
      <c r="I20" s="39" t="s">
        <v>9</v>
      </c>
      <c r="J20" s="39"/>
      <c r="K20" s="55" t="s">
        <v>18</v>
      </c>
      <c r="L20" s="54" t="s">
        <v>32</v>
      </c>
      <c r="M20" s="98" t="s">
        <v>428</v>
      </c>
      <c r="N20" s="120" t="s">
        <v>236</v>
      </c>
      <c r="O20" s="61" t="s">
        <v>390</v>
      </c>
      <c r="P20" s="63" t="s">
        <v>335</v>
      </c>
      <c r="Q20" s="104" t="s">
        <v>9</v>
      </c>
      <c r="R20" s="102" t="s">
        <v>189</v>
      </c>
      <c r="S20" s="102" t="s">
        <v>199</v>
      </c>
      <c r="T20" s="99" t="s">
        <v>335</v>
      </c>
      <c r="U20" s="99"/>
      <c r="V20" s="99" t="s">
        <v>236</v>
      </c>
      <c r="W20" s="105"/>
      <c r="X20" s="106"/>
      <c r="Y20" s="99" t="s">
        <v>237</v>
      </c>
      <c r="Z20" s="91" t="str">
        <f>IF(OR($M20="",NOT($O20="{array}")),"",IFERROR(MATCH(PARAMETERS!$M20,DEFAULT!$B$5:$CC$5,0),""))</f>
        <v/>
      </c>
      <c r="AA20" s="86" t="str">
        <f t="shared" si="1"/>
        <v/>
      </c>
      <c r="AB20" s="117" t="str">
        <f>IF(AND(OR($A20="G",$A20="P"),NOT($O20="{array}")),IF(VLOOKUP($K20,base!$B$2:$D$18,3,0)="S",IF(OR($O20="",ISTEXT($O20)),"","STRING!"),IF(VLOOKUP($K20,base!$B$2:$D$18,3,0)="","",IF(ISTEXT($O20),"NUMERIC!",""))),"")</f>
        <v/>
      </c>
      <c r="AC20" s="17" t="str">
        <f>IF($AA20="","",IF($B20="I",VLOOKUP($AA20,#REF!,53,0),INDEX(VALUES!$B$1:$CX$1,1,$AA20)))</f>
        <v/>
      </c>
    </row>
    <row r="21" spans="1:29" hidden="1" outlineLevel="1" x14ac:dyDescent="0.25">
      <c r="A21" s="22" t="s">
        <v>84</v>
      </c>
      <c r="B21" s="42" t="str">
        <f t="shared" si="0"/>
        <v/>
      </c>
      <c r="C21" s="43">
        <f t="shared" si="2"/>
        <v>20</v>
      </c>
      <c r="D21" s="39"/>
      <c r="E21" s="39"/>
      <c r="F21" s="39"/>
      <c r="G21" s="39"/>
      <c r="H21" s="39"/>
      <c r="I21" s="39" t="s">
        <v>9</v>
      </c>
      <c r="J21" s="39"/>
      <c r="K21" s="55" t="s">
        <v>18</v>
      </c>
      <c r="L21" s="54" t="s">
        <v>32</v>
      </c>
      <c r="M21" s="98" t="s">
        <v>429</v>
      </c>
      <c r="N21" s="120" t="s">
        <v>238</v>
      </c>
      <c r="O21" s="61" t="s">
        <v>390</v>
      </c>
      <c r="P21" s="63" t="s">
        <v>335</v>
      </c>
      <c r="Q21" s="104" t="s">
        <v>9</v>
      </c>
      <c r="R21" s="102" t="s">
        <v>189</v>
      </c>
      <c r="S21" s="102" t="s">
        <v>199</v>
      </c>
      <c r="T21" s="99" t="s">
        <v>335</v>
      </c>
      <c r="U21" s="99"/>
      <c r="V21" s="99" t="s">
        <v>238</v>
      </c>
      <c r="W21" s="105"/>
      <c r="X21" s="106"/>
      <c r="Y21" s="99" t="s">
        <v>239</v>
      </c>
      <c r="Z21" s="91" t="str">
        <f>IF(OR($M21="",NOT($O21="{array}")),"",IFERROR(MATCH(PARAMETERS!$M21,DEFAULT!$B$5:$CC$5,0),""))</f>
        <v/>
      </c>
      <c r="AA21" s="86" t="str">
        <f t="shared" si="1"/>
        <v/>
      </c>
      <c r="AB21" s="117" t="str">
        <f>IF(AND(OR($A21="G",$A21="P"),NOT($O21="{array}")),IF(VLOOKUP($K21,base!$B$2:$D$18,3,0)="S",IF(OR($O21="",ISTEXT($O21)),"","STRING!"),IF(VLOOKUP($K21,base!$B$2:$D$18,3,0)="","",IF(ISTEXT($O21),"NUMERIC!",""))),"")</f>
        <v/>
      </c>
      <c r="AC21" s="17" t="str">
        <f>IF($AA21="","",IF($B21="I",VLOOKUP($AA21,#REF!,53,0),INDEX(VALUES!$B$1:$CX$1,1,$AA21)))</f>
        <v/>
      </c>
    </row>
    <row r="22" spans="1:29" hidden="1" outlineLevel="1" x14ac:dyDescent="0.25">
      <c r="A22" s="22" t="s">
        <v>84</v>
      </c>
      <c r="B22" s="42" t="str">
        <f t="shared" si="0"/>
        <v/>
      </c>
      <c r="C22" s="43">
        <f t="shared" si="2"/>
        <v>21</v>
      </c>
      <c r="D22" s="39"/>
      <c r="E22" s="39"/>
      <c r="F22" s="39"/>
      <c r="G22" s="39"/>
      <c r="H22" s="39"/>
      <c r="I22" s="39" t="s">
        <v>9</v>
      </c>
      <c r="J22" s="39"/>
      <c r="K22" s="55" t="s">
        <v>18</v>
      </c>
      <c r="L22" s="54" t="s">
        <v>32</v>
      </c>
      <c r="M22" s="98" t="s">
        <v>430</v>
      </c>
      <c r="N22" s="120" t="s">
        <v>240</v>
      </c>
      <c r="O22" s="61" t="s">
        <v>390</v>
      </c>
      <c r="P22" s="63" t="s">
        <v>335</v>
      </c>
      <c r="Q22" s="104" t="s">
        <v>9</v>
      </c>
      <c r="R22" s="102" t="s">
        <v>189</v>
      </c>
      <c r="S22" s="102" t="s">
        <v>199</v>
      </c>
      <c r="T22" s="99" t="s">
        <v>335</v>
      </c>
      <c r="U22" s="99"/>
      <c r="V22" s="99" t="s">
        <v>240</v>
      </c>
      <c r="W22" s="105"/>
      <c r="X22" s="106"/>
      <c r="Y22" s="99" t="s">
        <v>241</v>
      </c>
      <c r="Z22" s="91" t="str">
        <f>IF(OR($M22="",NOT($O22="{array}")),"",IFERROR(MATCH(PARAMETERS!$M22,DEFAULT!$B$5:$CC$5,0),""))</f>
        <v/>
      </c>
      <c r="AA22" s="86" t="str">
        <f t="shared" si="1"/>
        <v/>
      </c>
      <c r="AB22" s="117" t="str">
        <f>IF(AND(OR($A22="G",$A22="P"),NOT($O22="{array}")),IF(VLOOKUP($K22,base!$B$2:$D$18,3,0)="S",IF(OR($O22="",ISTEXT($O22)),"","STRING!"),IF(VLOOKUP($K22,base!$B$2:$D$18,3,0)="","",IF(ISTEXT($O22),"NUMERIC!",""))),"")</f>
        <v/>
      </c>
      <c r="AC22" s="17" t="str">
        <f>IF($AA22="","",IF($B22="I",VLOOKUP($AA22,#REF!,53,0),INDEX(VALUES!$B$1:$CX$1,1,$AA22)))</f>
        <v/>
      </c>
    </row>
    <row r="23" spans="1:29" hidden="1" outlineLevel="1" x14ac:dyDescent="0.25">
      <c r="A23" s="22" t="s">
        <v>84</v>
      </c>
      <c r="B23" s="42" t="str">
        <f t="shared" si="0"/>
        <v/>
      </c>
      <c r="C23" s="43">
        <f t="shared" si="2"/>
        <v>22</v>
      </c>
      <c r="D23" s="39"/>
      <c r="E23" s="39"/>
      <c r="F23" s="39"/>
      <c r="G23" s="39"/>
      <c r="H23" s="39"/>
      <c r="I23" s="39" t="s">
        <v>9</v>
      </c>
      <c r="J23" s="39"/>
      <c r="K23" s="55" t="s">
        <v>18</v>
      </c>
      <c r="L23" s="54" t="s">
        <v>32</v>
      </c>
      <c r="M23" s="98" t="s">
        <v>427</v>
      </c>
      <c r="N23" s="120" t="s">
        <v>234</v>
      </c>
      <c r="O23" s="61" t="s">
        <v>390</v>
      </c>
      <c r="P23" s="63" t="s">
        <v>335</v>
      </c>
      <c r="Q23" s="104" t="s">
        <v>9</v>
      </c>
      <c r="R23" s="102" t="s">
        <v>189</v>
      </c>
      <c r="S23" s="102" t="s">
        <v>199</v>
      </c>
      <c r="T23" s="99" t="s">
        <v>335</v>
      </c>
      <c r="U23" s="99"/>
      <c r="V23" s="99" t="s">
        <v>234</v>
      </c>
      <c r="W23" s="105"/>
      <c r="X23" s="106"/>
      <c r="Y23" s="99" t="s">
        <v>235</v>
      </c>
      <c r="Z23" s="91" t="str">
        <f>IF(OR($M23="",NOT($O23="{array}")),"",IFERROR(MATCH(PARAMETERS!$M23,DEFAULT!$B$5:$CC$5,0),""))</f>
        <v/>
      </c>
      <c r="AA23" s="86" t="str">
        <f>IF($M23="","",IFERROR(MATCH($M23,VALUESnames,0),""))</f>
        <v/>
      </c>
      <c r="AB23" s="117" t="str">
        <f>IF(AND(OR($A23="G",$A23="P"),NOT($O23="{array}")),IF(VLOOKUP($K23,base!$B$2:$D$18,3,0)="S",IF(OR($O23="",ISTEXT($O23)),"","STRING!"),IF(VLOOKUP($K23,base!$B$2:$D$18,3,0)="","",IF(ISTEXT($O23),"NUMERIC!",""))),"")</f>
        <v/>
      </c>
      <c r="AC23" s="17" t="str">
        <f>IF($AA23="","",IF($B23="I",VLOOKUP($AA23,#REF!,53,0),INDEX(VALUES!$B$1:$CX$1,1,$AA23)))</f>
        <v/>
      </c>
    </row>
    <row r="24" spans="1:29" hidden="1" outlineLevel="1" x14ac:dyDescent="0.25">
      <c r="A24" s="22" t="s">
        <v>84</v>
      </c>
      <c r="B24" s="42" t="str">
        <f t="shared" si="0"/>
        <v/>
      </c>
      <c r="C24" s="43">
        <f t="shared" si="2"/>
        <v>23</v>
      </c>
      <c r="D24" s="39"/>
      <c r="E24" s="39"/>
      <c r="F24" s="39"/>
      <c r="G24" s="39"/>
      <c r="H24" s="39"/>
      <c r="I24" s="39" t="s">
        <v>9</v>
      </c>
      <c r="J24" s="39"/>
      <c r="K24" s="55" t="s">
        <v>18</v>
      </c>
      <c r="L24" s="54" t="s">
        <v>32</v>
      </c>
      <c r="M24" s="98" t="s">
        <v>431</v>
      </c>
      <c r="N24" s="120" t="s">
        <v>242</v>
      </c>
      <c r="O24" s="61" t="s">
        <v>390</v>
      </c>
      <c r="P24" s="63" t="s">
        <v>335</v>
      </c>
      <c r="Q24" s="104" t="s">
        <v>9</v>
      </c>
      <c r="R24" s="102" t="s">
        <v>189</v>
      </c>
      <c r="S24" s="102" t="s">
        <v>199</v>
      </c>
      <c r="T24" s="99" t="s">
        <v>335</v>
      </c>
      <c r="U24" s="99"/>
      <c r="V24" s="99" t="s">
        <v>242</v>
      </c>
      <c r="W24" s="105"/>
      <c r="X24" s="106"/>
      <c r="Y24" s="99" t="s">
        <v>243</v>
      </c>
      <c r="Z24" s="91" t="str">
        <f>IF(OR($M24="",NOT($O24="{array}")),"",IFERROR(MATCH(PARAMETERS!$M24,DEFAULT!$B$5:$CC$5,0),""))</f>
        <v/>
      </c>
      <c r="AA24" s="86" t="str">
        <f t="shared" si="1"/>
        <v/>
      </c>
      <c r="AB24" s="117" t="str">
        <f>IF(AND(OR($A24="G",$A24="P"),NOT($O24="{array}")),IF(VLOOKUP($K24,base!$B$2:$D$18,3,0)="S",IF(OR($O24="",ISTEXT($O24)),"","STRING!"),IF(VLOOKUP($K24,base!$B$2:$D$18,3,0)="","",IF(ISTEXT($O24),"NUMERIC!",""))),"")</f>
        <v/>
      </c>
      <c r="AC24" s="17" t="str">
        <f>IF($AA24="","",IF($B24="I",VLOOKUP($AA24,#REF!,53,0),INDEX(VALUES!$B$1:$CX$1,1,$AA24)))</f>
        <v/>
      </c>
    </row>
    <row r="25" spans="1:29" hidden="1" outlineLevel="1" x14ac:dyDescent="0.25">
      <c r="A25" s="22" t="s">
        <v>84</v>
      </c>
      <c r="B25" s="42" t="str">
        <f t="shared" si="0"/>
        <v/>
      </c>
      <c r="C25" s="43">
        <f t="shared" si="2"/>
        <v>24</v>
      </c>
      <c r="D25" s="39"/>
      <c r="E25" s="39"/>
      <c r="F25" s="39"/>
      <c r="G25" s="39"/>
      <c r="H25" s="39"/>
      <c r="I25" s="39" t="s">
        <v>9</v>
      </c>
      <c r="J25" s="39"/>
      <c r="K25" s="55" t="s">
        <v>18</v>
      </c>
      <c r="L25" s="54" t="s">
        <v>32</v>
      </c>
      <c r="M25" s="98" t="s">
        <v>432</v>
      </c>
      <c r="N25" s="120" t="s">
        <v>244</v>
      </c>
      <c r="O25" s="61" t="s">
        <v>390</v>
      </c>
      <c r="P25" s="63" t="s">
        <v>335</v>
      </c>
      <c r="Q25" s="104" t="s">
        <v>9</v>
      </c>
      <c r="R25" s="102" t="s">
        <v>189</v>
      </c>
      <c r="S25" s="102" t="s">
        <v>199</v>
      </c>
      <c r="T25" s="99" t="s">
        <v>335</v>
      </c>
      <c r="U25" s="99"/>
      <c r="V25" s="99" t="s">
        <v>244</v>
      </c>
      <c r="W25" s="105"/>
      <c r="X25" s="106"/>
      <c r="Y25" s="99" t="s">
        <v>245</v>
      </c>
      <c r="Z25" s="91" t="str">
        <f>IF(OR($M25="",NOT($O25="{array}")),"",IFERROR(MATCH(PARAMETERS!$M25,DEFAULT!$B$5:$CC$5,0),""))</f>
        <v/>
      </c>
      <c r="AA25" s="86" t="str">
        <f t="shared" si="1"/>
        <v/>
      </c>
      <c r="AB25" s="117" t="str">
        <f>IF(AND(OR($A25="G",$A25="P"),NOT($O25="{array}")),IF(VLOOKUP($K25,base!$B$2:$D$18,3,0)="S",IF(OR($O25="",ISTEXT($O25)),"","STRING!"),IF(VLOOKUP($K25,base!$B$2:$D$18,3,0)="","",IF(ISTEXT($O25),"NUMERIC!",""))),"")</f>
        <v/>
      </c>
      <c r="AC25" s="17" t="str">
        <f>IF($AA25="","",IF($B25="I",VLOOKUP($AA25,#REF!,53,0),INDEX(VALUES!$B$1:$CX$1,1,$AA25)))</f>
        <v/>
      </c>
    </row>
    <row r="26" spans="1:29" hidden="1" outlineLevel="1" x14ac:dyDescent="0.25">
      <c r="A26" s="22" t="s">
        <v>84</v>
      </c>
      <c r="B26" s="42" t="str">
        <f t="shared" si="0"/>
        <v/>
      </c>
      <c r="C26" s="43">
        <f t="shared" si="2"/>
        <v>25</v>
      </c>
      <c r="D26" s="39"/>
      <c r="E26" s="39"/>
      <c r="F26" s="39"/>
      <c r="G26" s="39"/>
      <c r="H26" s="39"/>
      <c r="I26" s="39" t="s">
        <v>9</v>
      </c>
      <c r="J26" s="39"/>
      <c r="K26" s="55" t="s">
        <v>18</v>
      </c>
      <c r="L26" s="54" t="s">
        <v>32</v>
      </c>
      <c r="M26" s="98" t="s">
        <v>435</v>
      </c>
      <c r="N26" s="121" t="s">
        <v>253</v>
      </c>
      <c r="O26" s="61" t="s">
        <v>390</v>
      </c>
      <c r="P26" s="63" t="s">
        <v>335</v>
      </c>
      <c r="Q26" s="62" t="s">
        <v>9</v>
      </c>
      <c r="R26" s="59" t="s">
        <v>189</v>
      </c>
      <c r="S26" s="59" t="s">
        <v>199</v>
      </c>
      <c r="T26" s="55" t="s">
        <v>335</v>
      </c>
      <c r="U26" s="55"/>
      <c r="V26" s="55" t="s">
        <v>253</v>
      </c>
      <c r="W26" s="71"/>
      <c r="X26" s="63"/>
      <c r="Y26" s="55" t="s">
        <v>254</v>
      </c>
      <c r="Z26" s="91" t="str">
        <f>IF(OR($M26="",NOT($O26="{array}")),"",IFERROR(MATCH(PARAMETERS!$M26,DEFAULT!$B$5:$CC$5,0),""))</f>
        <v/>
      </c>
      <c r="AA26" s="86" t="str">
        <f t="shared" si="1"/>
        <v/>
      </c>
      <c r="AB26" s="117" t="str">
        <f>IF(AND(OR($A26="G",$A26="P"),NOT($O26="{array}")),IF(VLOOKUP($K26,base!$B$2:$D$18,3,0)="S",IF(OR($O26="",ISTEXT($O26)),"","STRING!"),IF(VLOOKUP($K26,base!$B$2:$D$18,3,0)="","",IF(ISTEXT($O26),"NUMERIC!",""))),"")</f>
        <v/>
      </c>
      <c r="AC26" s="17" t="str">
        <f>IF($AA26="","",IF($B26="I",VLOOKUP($AA26,#REF!,53,0),INDEX(VALUES!$B$1:$CX$1,1,$AA26)))</f>
        <v/>
      </c>
    </row>
    <row r="27" spans="1:29" hidden="1" outlineLevel="1" x14ac:dyDescent="0.25">
      <c r="A27" s="22" t="s">
        <v>84</v>
      </c>
      <c r="B27" s="42" t="str">
        <f t="shared" si="0"/>
        <v/>
      </c>
      <c r="C27" s="43">
        <f t="shared" si="2"/>
        <v>26</v>
      </c>
      <c r="D27" s="39"/>
      <c r="E27" s="39"/>
      <c r="F27" s="39"/>
      <c r="G27" s="39"/>
      <c r="H27" s="39"/>
      <c r="I27" s="39" t="s">
        <v>9</v>
      </c>
      <c r="J27" s="39"/>
      <c r="K27" s="99" t="s">
        <v>18</v>
      </c>
      <c r="L27" s="99" t="s">
        <v>32</v>
      </c>
      <c r="M27" s="98" t="s">
        <v>518</v>
      </c>
      <c r="N27" s="120" t="s">
        <v>519</v>
      </c>
      <c r="O27" s="110" t="s">
        <v>335</v>
      </c>
      <c r="P27" s="111" t="s">
        <v>335</v>
      </c>
      <c r="Q27" s="104" t="s">
        <v>9</v>
      </c>
      <c r="R27" s="102" t="s">
        <v>189</v>
      </c>
      <c r="S27" s="102" t="s">
        <v>199</v>
      </c>
      <c r="T27" s="99" t="s">
        <v>335</v>
      </c>
      <c r="U27" s="99"/>
      <c r="V27" s="99" t="s">
        <v>261</v>
      </c>
      <c r="W27" s="105"/>
      <c r="X27" s="106"/>
      <c r="Y27" s="99" t="s">
        <v>262</v>
      </c>
      <c r="Z27" s="91" t="str">
        <f>IF(OR($M27="",NOT($O27="{array}")),"",IFERROR(MATCH(PARAMETERS!$M27,DEFAULT!$B$5:$CC$5,0),""))</f>
        <v/>
      </c>
      <c r="AA27" s="86" t="str">
        <f t="shared" si="1"/>
        <v/>
      </c>
      <c r="AB27" s="117" t="str">
        <f>IF(AND(OR($A27="G",$A27="P"),NOT($O27="{array}")),IF(VLOOKUP($K27,base!$B$2:$D$18,3,0)="S",IF(OR($O27="",ISTEXT($O27)),"","STRING!"),IF(VLOOKUP($K27,base!$B$2:$D$18,3,0)="","",IF(ISTEXT($O27),"NUMERIC!",""))),"")</f>
        <v/>
      </c>
      <c r="AC27" s="17" t="str">
        <f>IF($AA27="","",IF($B27="I",VLOOKUP($AA27,#REF!,53,0),INDEX(VALUES!$B$1:$CX$1,1,$AA27)))</f>
        <v/>
      </c>
    </row>
    <row r="28" spans="1:29" collapsed="1" x14ac:dyDescent="0.3">
      <c r="A28" s="22"/>
      <c r="B28" s="42" t="str">
        <f t="shared" si="0"/>
        <v/>
      </c>
      <c r="C28" s="43">
        <f t="shared" si="2"/>
        <v>27</v>
      </c>
      <c r="D28" s="39"/>
      <c r="E28" s="39"/>
      <c r="F28" s="39"/>
      <c r="G28" s="39"/>
      <c r="H28" s="39"/>
      <c r="I28" s="39"/>
      <c r="J28" s="39"/>
      <c r="K28" s="14" t="s">
        <v>57</v>
      </c>
      <c r="L28" s="14" t="s">
        <v>38</v>
      </c>
      <c r="M28" s="49" t="s">
        <v>497</v>
      </c>
      <c r="N28" s="42" t="s">
        <v>264</v>
      </c>
      <c r="R28" s="39" t="s">
        <v>343</v>
      </c>
      <c r="S28" s="39"/>
      <c r="T28" s="15"/>
      <c r="W28" s="15"/>
      <c r="Z28" s="91" t="str">
        <f>IF(OR($M28="",NOT($O28="{array}")),"",IFERROR(MATCH(PARAMETERS!$M28,DEFAULT!$B$5:$CC$5,0),""))</f>
        <v/>
      </c>
      <c r="AA28" s="86" t="str">
        <f t="shared" si="1"/>
        <v/>
      </c>
      <c r="AB28" s="117" t="str">
        <f>IF(AND(OR($A28="G",$A28="P"),NOT($O28="{array}")),IF(VLOOKUP($K28,base!$B$2:$D$18,3,0)="S",IF(OR($O28="",ISTEXT($O28)),"","STRING!"),IF(VLOOKUP($K28,base!$B$2:$D$18,3,0)="","",IF(ISTEXT($O28),"NUMERIC!",""))),"")</f>
        <v/>
      </c>
      <c r="AC28" s="17" t="str">
        <f>IF($AA28="","",IF($B28="I",VLOOKUP($AA28,#REF!,53,0),INDEX(VALUES!$B$1:$CX$1,1,$AA28)))</f>
        <v/>
      </c>
    </row>
    <row r="29" spans="1:29" hidden="1" outlineLevel="1" x14ac:dyDescent="0.25">
      <c r="A29" s="22" t="s">
        <v>84</v>
      </c>
      <c r="B29" s="42" t="str">
        <f t="shared" si="0"/>
        <v/>
      </c>
      <c r="C29" s="43">
        <f t="shared" si="2"/>
        <v>28</v>
      </c>
      <c r="D29" s="39"/>
      <c r="E29" s="39"/>
      <c r="F29" s="39" t="s">
        <v>9</v>
      </c>
      <c r="G29" s="39"/>
      <c r="H29" s="39"/>
      <c r="I29" s="39" t="s">
        <v>9</v>
      </c>
      <c r="J29" s="39"/>
      <c r="K29" s="14" t="s">
        <v>18</v>
      </c>
      <c r="L29" s="14" t="s">
        <v>21</v>
      </c>
      <c r="M29" s="98" t="s">
        <v>440</v>
      </c>
      <c r="N29" s="67" t="s">
        <v>354</v>
      </c>
      <c r="O29" s="61" t="s">
        <v>390</v>
      </c>
      <c r="P29" s="63" t="s">
        <v>335</v>
      </c>
      <c r="Q29" s="62" t="s">
        <v>9</v>
      </c>
      <c r="R29" s="59" t="s">
        <v>189</v>
      </c>
      <c r="S29" s="59" t="s">
        <v>199</v>
      </c>
      <c r="T29" s="55" t="s">
        <v>188</v>
      </c>
      <c r="U29" s="55"/>
      <c r="V29" s="55" t="s">
        <v>267</v>
      </c>
      <c r="W29" s="15"/>
      <c r="X29" s="63"/>
      <c r="Y29" s="55" t="s">
        <v>268</v>
      </c>
      <c r="Z29" s="91" t="str">
        <f>IF(OR($M29="",NOT($O29="{array}")),"",IFERROR(MATCH(PARAMETERS!$M29,DEFAULT!$B$5:$CC$5,0),""))</f>
        <v/>
      </c>
      <c r="AA29" s="86" t="str">
        <f t="shared" si="1"/>
        <v/>
      </c>
      <c r="AB29" s="117" t="str">
        <f>IF(AND(OR($A29="G",$A29="P"),NOT($O29="{array}")),IF(VLOOKUP($K29,base!$B$2:$D$18,3,0)="S",IF(OR($O29="",ISTEXT($O29)),"","STRING!"),IF(VLOOKUP($K29,base!$B$2:$D$18,3,0)="","",IF(ISTEXT($O29),"NUMERIC!",""))),"")</f>
        <v/>
      </c>
      <c r="AC29" s="17" t="str">
        <f>IF($AA29="","",IF($B29="I",VLOOKUP($AA29,#REF!,53,0),INDEX(VALUES!$B$1:$CX$1,1,$AA29)))</f>
        <v/>
      </c>
    </row>
    <row r="30" spans="1:29" hidden="1" outlineLevel="1" x14ac:dyDescent="0.3">
      <c r="A30" s="22" t="s">
        <v>84</v>
      </c>
      <c r="B30" s="42" t="str">
        <f t="shared" si="0"/>
        <v/>
      </c>
      <c r="C30" s="43">
        <f t="shared" si="2"/>
        <v>29</v>
      </c>
      <c r="D30" s="39"/>
      <c r="E30" s="39"/>
      <c r="F30" s="39"/>
      <c r="G30" s="39"/>
      <c r="H30" s="39"/>
      <c r="I30" s="39" t="s">
        <v>9</v>
      </c>
      <c r="J30" s="39"/>
      <c r="K30" s="61" t="s">
        <v>24</v>
      </c>
      <c r="L30" s="61" t="s">
        <v>27</v>
      </c>
      <c r="M30" s="115" t="s">
        <v>441</v>
      </c>
      <c r="N30" s="61" t="s">
        <v>363</v>
      </c>
      <c r="O30" s="61">
        <v>0.8</v>
      </c>
      <c r="P30" s="68" t="s">
        <v>335</v>
      </c>
      <c r="Q30" s="69" t="s">
        <v>9</v>
      </c>
      <c r="R30" s="70" t="s">
        <v>189</v>
      </c>
      <c r="S30" s="70" t="s">
        <v>199</v>
      </c>
      <c r="T30" s="61" t="s">
        <v>335</v>
      </c>
      <c r="U30" s="61"/>
      <c r="V30" s="56"/>
      <c r="W30" s="15"/>
      <c r="X30" s="63"/>
      <c r="Y30" s="61" t="s">
        <v>363</v>
      </c>
      <c r="Z30" s="91" t="str">
        <f>IF(OR($M30="",NOT($O30="{array}")),"",IFERROR(MATCH(PARAMETERS!$M30,DEFAULT!$B$5:$CC$5,0),""))</f>
        <v/>
      </c>
      <c r="AA30" s="86" t="str">
        <f t="shared" si="1"/>
        <v/>
      </c>
      <c r="AB30" s="117" t="str">
        <f>IF(AND(OR($A30="G",$A30="P"),NOT($O30="{array}")),IF(VLOOKUP($K30,base!$B$2:$D$18,3,0)="S",IF(OR($O30="",ISTEXT($O30)),"","STRING!"),IF(VLOOKUP($K30,base!$B$2:$D$18,3,0)="","",IF(ISTEXT($O30),"NUMERIC!",""))),"")</f>
        <v/>
      </c>
      <c r="AC30" s="17" t="str">
        <f>IF($AA30="","",IF($B30="I",VLOOKUP($AA30,#REF!,53,0),INDEX(VALUES!$B$1:$CX$1,1,$AA30)))</f>
        <v/>
      </c>
    </row>
    <row r="31" spans="1:29" hidden="1" outlineLevel="1" x14ac:dyDescent="0.3">
      <c r="A31" s="22" t="s">
        <v>84</v>
      </c>
      <c r="B31" s="42" t="str">
        <f t="shared" si="0"/>
        <v/>
      </c>
      <c r="C31" s="43">
        <f t="shared" si="2"/>
        <v>30</v>
      </c>
      <c r="D31" s="39"/>
      <c r="E31" s="39"/>
      <c r="F31" s="39"/>
      <c r="G31" s="39"/>
      <c r="H31" s="39"/>
      <c r="I31" s="39" t="s">
        <v>9</v>
      </c>
      <c r="J31" s="39"/>
      <c r="K31" s="61" t="s">
        <v>24</v>
      </c>
      <c r="L31" s="61" t="s">
        <v>27</v>
      </c>
      <c r="M31" s="115" t="s">
        <v>442</v>
      </c>
      <c r="N31" s="61" t="s">
        <v>413</v>
      </c>
      <c r="O31" s="61">
        <v>2</v>
      </c>
      <c r="P31" s="68" t="s">
        <v>335</v>
      </c>
      <c r="Q31" s="69" t="s">
        <v>9</v>
      </c>
      <c r="R31" s="70" t="s">
        <v>189</v>
      </c>
      <c r="S31" s="70" t="s">
        <v>199</v>
      </c>
      <c r="T31" s="61" t="s">
        <v>335</v>
      </c>
      <c r="U31" s="61"/>
      <c r="V31" s="56"/>
      <c r="W31" s="15"/>
      <c r="X31" s="63"/>
      <c r="Y31" s="61" t="s">
        <v>413</v>
      </c>
      <c r="Z31" s="91" t="str">
        <f>IF(OR($M31="",NOT($O31="{array}")),"",IFERROR(MATCH(PARAMETERS!$M31,DEFAULT!$B$5:$CC$5,0),""))</f>
        <v/>
      </c>
      <c r="AA31" s="86" t="str">
        <f t="shared" si="1"/>
        <v/>
      </c>
      <c r="AB31" s="117" t="str">
        <f>IF(AND(OR($A31="G",$A31="P"),NOT($O31="{array}")),IF(VLOOKUP($K31,base!$B$2:$D$18,3,0)="S",IF(OR($O31="",ISTEXT($O31)),"","STRING!"),IF(VLOOKUP($K31,base!$B$2:$D$18,3,0)="","",IF(ISTEXT($O31),"NUMERIC!",""))),"")</f>
        <v/>
      </c>
      <c r="AC31" s="17" t="str">
        <f>IF($AA31="","",IF($B31="I",VLOOKUP($AA31,#REF!,53,0),INDEX(VALUES!$B$1:$CX$1,1,$AA31)))</f>
        <v/>
      </c>
    </row>
    <row r="32" spans="1:29" hidden="1" outlineLevel="1" x14ac:dyDescent="0.3">
      <c r="A32" s="22" t="s">
        <v>84</v>
      </c>
      <c r="B32" s="42" t="str">
        <f t="shared" si="0"/>
        <v/>
      </c>
      <c r="C32" s="43">
        <f t="shared" si="2"/>
        <v>31</v>
      </c>
      <c r="D32" s="39"/>
      <c r="E32" s="39"/>
      <c r="F32" s="39"/>
      <c r="G32" s="39"/>
      <c r="H32" s="39"/>
      <c r="I32" s="39" t="s">
        <v>9</v>
      </c>
      <c r="J32" s="39"/>
      <c r="K32" s="61" t="s">
        <v>31</v>
      </c>
      <c r="L32" s="61" t="s">
        <v>27</v>
      </c>
      <c r="M32" s="115" t="s">
        <v>443</v>
      </c>
      <c r="N32" s="61" t="s">
        <v>364</v>
      </c>
      <c r="O32" s="61">
        <v>90</v>
      </c>
      <c r="P32" s="68" t="s">
        <v>335</v>
      </c>
      <c r="Q32" s="69" t="s">
        <v>9</v>
      </c>
      <c r="R32" s="70" t="s">
        <v>189</v>
      </c>
      <c r="S32" s="70" t="s">
        <v>199</v>
      </c>
      <c r="T32" s="61" t="s">
        <v>335</v>
      </c>
      <c r="U32" s="61"/>
      <c r="V32" s="61" t="s">
        <v>364</v>
      </c>
      <c r="W32" s="15"/>
      <c r="X32" s="68"/>
      <c r="Y32" s="61" t="s">
        <v>364</v>
      </c>
      <c r="Z32" s="91" t="str">
        <f>IF(OR($M32="",NOT($O32="{array}")),"",IFERROR(MATCH(PARAMETERS!$M32,DEFAULT!$B$5:$CC$5,0),""))</f>
        <v/>
      </c>
      <c r="AA32" s="86" t="str">
        <f t="shared" si="1"/>
        <v/>
      </c>
      <c r="AB32" s="117" t="str">
        <f>IF(AND(OR($A32="G",$A32="P"),NOT($O32="{array}")),IF(VLOOKUP($K32,base!$B$2:$D$18,3,0)="S",IF(OR($O32="",ISTEXT($O32)),"","STRING!"),IF(VLOOKUP($K32,base!$B$2:$D$18,3,0)="","",IF(ISTEXT($O32),"NUMERIC!",""))),"")</f>
        <v/>
      </c>
      <c r="AC32" s="17" t="str">
        <f>IF($AA32="","",IF($B32="I",VLOOKUP($AA32,#REF!,53,0),INDEX(VALUES!$B$1:$CX$1,1,$AA32)))</f>
        <v/>
      </c>
    </row>
    <row r="33" spans="1:29" hidden="1" outlineLevel="1" x14ac:dyDescent="0.3">
      <c r="A33" s="22" t="s">
        <v>84</v>
      </c>
      <c r="B33" s="42" t="str">
        <f t="shared" si="0"/>
        <v/>
      </c>
      <c r="C33" s="43">
        <f t="shared" si="2"/>
        <v>32</v>
      </c>
      <c r="D33" s="39"/>
      <c r="E33" s="39"/>
      <c r="F33" s="39"/>
      <c r="G33" s="39"/>
      <c r="H33" s="39"/>
      <c r="I33" s="39" t="s">
        <v>9</v>
      </c>
      <c r="J33" s="39"/>
      <c r="K33" s="61" t="s">
        <v>24</v>
      </c>
      <c r="L33" s="54" t="s">
        <v>27</v>
      </c>
      <c r="M33" s="115" t="s">
        <v>444</v>
      </c>
      <c r="N33" s="55" t="s">
        <v>269</v>
      </c>
      <c r="O33" s="61">
        <v>0</v>
      </c>
      <c r="P33" s="63" t="s">
        <v>335</v>
      </c>
      <c r="Q33" s="62" t="s">
        <v>9</v>
      </c>
      <c r="R33" s="59" t="s">
        <v>189</v>
      </c>
      <c r="S33" s="59" t="s">
        <v>199</v>
      </c>
      <c r="T33" s="55" t="s">
        <v>335</v>
      </c>
      <c r="U33" s="55"/>
      <c r="V33" s="55" t="s">
        <v>269</v>
      </c>
      <c r="W33" s="15"/>
      <c r="X33" s="63"/>
      <c r="Y33" s="55" t="s">
        <v>270</v>
      </c>
      <c r="Z33" s="91" t="str">
        <f>IF(OR($M33="",NOT($O33="{array}")),"",IFERROR(MATCH(PARAMETERS!$M33,DEFAULT!$B$5:$CC$5,0),""))</f>
        <v/>
      </c>
      <c r="AA33" s="86" t="str">
        <f t="shared" si="1"/>
        <v/>
      </c>
      <c r="AB33" s="117" t="str">
        <f>IF(AND(OR($A33="G",$A33="P"),NOT($O33="{array}")),IF(VLOOKUP($K33,base!$B$2:$D$18,3,0)="S",IF(OR($O33="",ISTEXT($O33)),"","STRING!"),IF(VLOOKUP($K33,base!$B$2:$D$18,3,0)="","",IF(ISTEXT($O33),"NUMERIC!",""))),"")</f>
        <v/>
      </c>
      <c r="AC33" s="17" t="str">
        <f>IF($AA33="","",IF($B33="I",VLOOKUP($AA33,#REF!,53,0),INDEX(VALUES!$B$1:$CX$1,1,$AA33)))</f>
        <v/>
      </c>
    </row>
    <row r="34" spans="1:29" hidden="1" outlineLevel="1" x14ac:dyDescent="0.3">
      <c r="A34" s="22" t="s">
        <v>84</v>
      </c>
      <c r="B34" s="42" t="str">
        <f t="shared" si="0"/>
        <v/>
      </c>
      <c r="C34" s="43">
        <f t="shared" si="2"/>
        <v>33</v>
      </c>
      <c r="D34" s="39"/>
      <c r="E34" s="39"/>
      <c r="F34" s="39"/>
      <c r="G34" s="39"/>
      <c r="H34" s="39"/>
      <c r="I34" s="39" t="s">
        <v>9</v>
      </c>
      <c r="J34" s="39"/>
      <c r="K34" s="61" t="s">
        <v>18</v>
      </c>
      <c r="L34" s="54" t="s">
        <v>32</v>
      </c>
      <c r="M34" s="115" t="s">
        <v>445</v>
      </c>
      <c r="N34" s="55" t="s">
        <v>271</v>
      </c>
      <c r="O34" s="61" t="s">
        <v>390</v>
      </c>
      <c r="P34" s="63" t="s">
        <v>335</v>
      </c>
      <c r="Q34" s="62" t="s">
        <v>9</v>
      </c>
      <c r="R34" s="59" t="s">
        <v>189</v>
      </c>
      <c r="S34" s="59" t="s">
        <v>199</v>
      </c>
      <c r="T34" s="55" t="s">
        <v>188</v>
      </c>
      <c r="U34" s="55"/>
      <c r="V34" s="55" t="s">
        <v>271</v>
      </c>
      <c r="W34" s="15"/>
      <c r="X34" s="63"/>
      <c r="Y34" s="55" t="s">
        <v>272</v>
      </c>
      <c r="Z34" s="91" t="str">
        <f>IF(OR($M34="",NOT($O34="{array}")),"",IFERROR(MATCH(PARAMETERS!$M34,DEFAULT!$B$5:$CC$5,0),""))</f>
        <v/>
      </c>
      <c r="AA34" s="86" t="str">
        <f t="shared" si="1"/>
        <v/>
      </c>
      <c r="AB34" s="117" t="str">
        <f>IF(AND(OR($A34="G",$A34="P"),NOT($O34="{array}")),IF(VLOOKUP($K34,base!$B$2:$D$18,3,0)="S",IF(OR($O34="",ISTEXT($O34)),"","STRING!"),IF(VLOOKUP($K34,base!$B$2:$D$18,3,0)="","",IF(ISTEXT($O34),"NUMERIC!",""))),"")</f>
        <v/>
      </c>
      <c r="AC34" s="17" t="str">
        <f>IF($AA34="","",IF($B34="I",VLOOKUP($AA34,#REF!,53,0),INDEX(VALUES!$B$1:$CX$1,1,$AA34)))</f>
        <v/>
      </c>
    </row>
    <row r="35" spans="1:29" hidden="1" outlineLevel="1" x14ac:dyDescent="0.3">
      <c r="A35" s="22" t="s">
        <v>84</v>
      </c>
      <c r="B35" s="42" t="str">
        <f t="shared" si="0"/>
        <v/>
      </c>
      <c r="C35" s="43">
        <f t="shared" si="2"/>
        <v>34</v>
      </c>
      <c r="D35" s="39"/>
      <c r="E35" s="39"/>
      <c r="F35" s="39"/>
      <c r="G35" s="39"/>
      <c r="H35" s="39"/>
      <c r="I35" s="39" t="s">
        <v>9</v>
      </c>
      <c r="J35" s="39"/>
      <c r="K35" s="55" t="s">
        <v>18</v>
      </c>
      <c r="L35" s="54" t="s">
        <v>27</v>
      </c>
      <c r="M35" s="115" t="s">
        <v>446</v>
      </c>
      <c r="N35" s="55" t="s">
        <v>149</v>
      </c>
      <c r="O35" s="61" t="s">
        <v>390</v>
      </c>
      <c r="P35" s="63" t="s">
        <v>335</v>
      </c>
      <c r="Q35" s="62" t="s">
        <v>9</v>
      </c>
      <c r="R35" s="59" t="s">
        <v>189</v>
      </c>
      <c r="S35" s="59" t="s">
        <v>199</v>
      </c>
      <c r="T35" s="55" t="s">
        <v>188</v>
      </c>
      <c r="U35" s="55"/>
      <c r="V35" s="55" t="s">
        <v>149</v>
      </c>
      <c r="W35" s="15"/>
      <c r="X35" s="63"/>
      <c r="Y35" s="55" t="s">
        <v>273</v>
      </c>
      <c r="Z35" s="91" t="str">
        <f>IF(OR($M35="",NOT($O35="{array}")),"",IFERROR(MATCH(PARAMETERS!$M35,DEFAULT!$B$5:$CC$5,0),""))</f>
        <v/>
      </c>
      <c r="AA35" s="86" t="str">
        <f t="shared" si="1"/>
        <v/>
      </c>
      <c r="AB35" s="117" t="str">
        <f>IF(AND(OR($A35="G",$A35="P"),NOT($O35="{array}")),IF(VLOOKUP($K35,base!$B$2:$D$18,3,0)="S",IF(OR($O35="",ISTEXT($O35)),"","STRING!"),IF(VLOOKUP($K35,base!$B$2:$D$18,3,0)="","",IF(ISTEXT($O35),"NUMERIC!",""))),"")</f>
        <v/>
      </c>
      <c r="AC35" s="17" t="str">
        <f>IF($AA35="","",IF($B35="I",VLOOKUP($AA35,#REF!,53,0),INDEX(VALUES!$B$1:$CX$1,1,$AA35)))</f>
        <v/>
      </c>
    </row>
    <row r="36" spans="1:29" hidden="1" outlineLevel="1" x14ac:dyDescent="0.3">
      <c r="A36" s="22" t="s">
        <v>84</v>
      </c>
      <c r="B36" s="42" t="str">
        <f t="shared" si="0"/>
        <v/>
      </c>
      <c r="C36" s="43">
        <f t="shared" si="2"/>
        <v>35</v>
      </c>
      <c r="D36" s="39"/>
      <c r="E36" s="39"/>
      <c r="F36" s="39"/>
      <c r="G36" s="39"/>
      <c r="H36" s="39"/>
      <c r="I36" s="39" t="s">
        <v>9</v>
      </c>
      <c r="J36" s="39"/>
      <c r="K36" s="55" t="s">
        <v>18</v>
      </c>
      <c r="L36" s="54" t="s">
        <v>27</v>
      </c>
      <c r="M36" s="115" t="s">
        <v>447</v>
      </c>
      <c r="N36" s="55" t="s">
        <v>274</v>
      </c>
      <c r="O36" s="61" t="s">
        <v>390</v>
      </c>
      <c r="P36" s="63" t="s">
        <v>335</v>
      </c>
      <c r="Q36" s="62" t="s">
        <v>9</v>
      </c>
      <c r="R36" s="59" t="s">
        <v>189</v>
      </c>
      <c r="S36" s="59" t="s">
        <v>199</v>
      </c>
      <c r="T36" s="55" t="s">
        <v>188</v>
      </c>
      <c r="U36" s="55"/>
      <c r="V36" s="55" t="s">
        <v>274</v>
      </c>
      <c r="W36" s="15"/>
      <c r="X36" s="63"/>
      <c r="Y36" s="55" t="s">
        <v>275</v>
      </c>
      <c r="Z36" s="91" t="str">
        <f>IF(OR($M36="",NOT($O36="{array}")),"",IFERROR(MATCH(PARAMETERS!$M36,DEFAULT!$B$5:$CC$5,0),""))</f>
        <v/>
      </c>
      <c r="AA36" s="86" t="str">
        <f t="shared" ref="AA36:AA46" si="3">IF($M36="","",IFERROR(MATCH($M36,VALUESnames,0),""))</f>
        <v/>
      </c>
      <c r="AB36" s="117" t="str">
        <f>IF(AND(OR($A36="G",$A36="P"),NOT($O36="{array}")),IF(VLOOKUP($K36,base!$B$2:$D$18,3,0)="S",IF(OR($O36="",ISTEXT($O36)),"","STRING!"),IF(VLOOKUP($K36,base!$B$2:$D$18,3,0)="","",IF(ISTEXT($O36),"NUMERIC!",""))),"")</f>
        <v/>
      </c>
      <c r="AC36" s="17" t="str">
        <f>IF($AA36="","",IF($B36="I",VLOOKUP($AA36,#REF!,53,0),INDEX(VALUES!$B$1:$CX$1,1,$AA36)))</f>
        <v/>
      </c>
    </row>
    <row r="37" spans="1:29" hidden="1" outlineLevel="1" x14ac:dyDescent="0.3">
      <c r="A37" s="22" t="s">
        <v>84</v>
      </c>
      <c r="B37" s="42" t="str">
        <f t="shared" si="0"/>
        <v/>
      </c>
      <c r="C37" s="43">
        <f t="shared" si="2"/>
        <v>36</v>
      </c>
      <c r="D37" s="39"/>
      <c r="E37" s="39"/>
      <c r="F37" s="39"/>
      <c r="G37" s="39"/>
      <c r="H37" s="39"/>
      <c r="I37" s="39" t="s">
        <v>9</v>
      </c>
      <c r="J37" s="39"/>
      <c r="K37" s="55" t="s">
        <v>18</v>
      </c>
      <c r="L37" s="54" t="s">
        <v>32</v>
      </c>
      <c r="M37" s="115" t="s">
        <v>448</v>
      </c>
      <c r="N37" s="55" t="s">
        <v>276</v>
      </c>
      <c r="O37" s="61" t="s">
        <v>390</v>
      </c>
      <c r="P37" s="63" t="s">
        <v>335</v>
      </c>
      <c r="Q37" s="62" t="s">
        <v>9</v>
      </c>
      <c r="R37" s="59" t="s">
        <v>189</v>
      </c>
      <c r="S37" s="59" t="s">
        <v>199</v>
      </c>
      <c r="T37" s="55" t="s">
        <v>188</v>
      </c>
      <c r="U37" s="55"/>
      <c r="V37" s="55" t="s">
        <v>276</v>
      </c>
      <c r="W37" s="15"/>
      <c r="X37" s="63"/>
      <c r="Y37" s="55" t="s">
        <v>277</v>
      </c>
      <c r="Z37" s="91" t="str">
        <f>IF(OR($M37="",NOT($O37="{array}")),"",IFERROR(MATCH(PARAMETERS!$M37,DEFAULT!$B$5:$CC$5,0),""))</f>
        <v/>
      </c>
      <c r="AA37" s="86" t="str">
        <f t="shared" si="3"/>
        <v/>
      </c>
      <c r="AB37" s="117" t="str">
        <f>IF(AND(OR($A37="G",$A37="P"),NOT($O37="{array}")),IF(VLOOKUP($K37,base!$B$2:$D$18,3,0)="S",IF(OR($O37="",ISTEXT($O37)),"","STRING!"),IF(VLOOKUP($K37,base!$B$2:$D$18,3,0)="","",IF(ISTEXT($O37),"NUMERIC!",""))),"")</f>
        <v/>
      </c>
      <c r="AC37" s="17" t="str">
        <f>IF($AA37="","",IF($B37="I",VLOOKUP($AA37,#REF!,53,0),INDEX(VALUES!$B$1:$CX$1,1,$AA37)))</f>
        <v/>
      </c>
    </row>
    <row r="38" spans="1:29" hidden="1" outlineLevel="1" x14ac:dyDescent="0.25">
      <c r="A38" s="22" t="s">
        <v>84</v>
      </c>
      <c r="B38" s="42" t="str">
        <f t="shared" si="0"/>
        <v/>
      </c>
      <c r="C38" s="43">
        <f t="shared" si="2"/>
        <v>37</v>
      </c>
      <c r="D38" s="39"/>
      <c r="E38" s="39"/>
      <c r="F38" s="39"/>
      <c r="G38" s="39"/>
      <c r="H38" s="39"/>
      <c r="I38" s="39" t="s">
        <v>9</v>
      </c>
      <c r="J38" s="39"/>
      <c r="K38" s="55" t="s">
        <v>18</v>
      </c>
      <c r="L38" s="54" t="s">
        <v>32</v>
      </c>
      <c r="M38" s="98" t="s">
        <v>433</v>
      </c>
      <c r="N38" s="99" t="s">
        <v>246</v>
      </c>
      <c r="O38" s="61" t="s">
        <v>390</v>
      </c>
      <c r="P38" s="63" t="s">
        <v>335</v>
      </c>
      <c r="Q38" s="104" t="s">
        <v>9</v>
      </c>
      <c r="R38" s="102" t="s">
        <v>189</v>
      </c>
      <c r="S38" s="102" t="s">
        <v>199</v>
      </c>
      <c r="T38" s="99" t="s">
        <v>335</v>
      </c>
      <c r="U38" s="99"/>
      <c r="V38" s="99" t="s">
        <v>246</v>
      </c>
      <c r="W38" s="105"/>
      <c r="X38" s="106"/>
      <c r="Y38" s="99" t="s">
        <v>247</v>
      </c>
      <c r="Z38" s="91" t="str">
        <f>IF(OR($M38="",NOT($O38="{array}")),"",IFERROR(MATCH(PARAMETERS!$M38,DEFAULT!$B$5:$CC$5,0),""))</f>
        <v/>
      </c>
      <c r="AA38" s="86" t="str">
        <f t="shared" si="3"/>
        <v/>
      </c>
      <c r="AB38" s="117" t="str">
        <f>IF(AND(OR($A38="G",$A38="P"),NOT($O38="{array}")),IF(VLOOKUP($K38,base!$B$2:$D$18,3,0)="S",IF(OR($O38="",ISTEXT($O38)),"","STRING!"),IF(VLOOKUP($K38,base!$B$2:$D$18,3,0)="","",IF(ISTEXT($O38),"NUMERIC!",""))),"")</f>
        <v/>
      </c>
      <c r="AC38" s="17" t="str">
        <f>IF($AA38="","",IF($B38="I",VLOOKUP($AA38,#REF!,53,0),INDEX(VALUES!$B$1:$CX$1,1,$AA38)))</f>
        <v/>
      </c>
    </row>
    <row r="39" spans="1:29" hidden="1" outlineLevel="1" x14ac:dyDescent="0.25">
      <c r="A39" s="22" t="s">
        <v>84</v>
      </c>
      <c r="B39" s="42" t="str">
        <f t="shared" si="0"/>
        <v/>
      </c>
      <c r="C39" s="43">
        <f t="shared" ref="C39:C62" si="4">(ROW()-1)</f>
        <v>38</v>
      </c>
      <c r="D39" s="39"/>
      <c r="E39" s="39"/>
      <c r="F39" s="39"/>
      <c r="G39" s="39"/>
      <c r="H39" s="39"/>
      <c r="I39" s="39" t="s">
        <v>9</v>
      </c>
      <c r="J39" s="39"/>
      <c r="K39" s="55" t="s">
        <v>18</v>
      </c>
      <c r="L39" s="54" t="s">
        <v>32</v>
      </c>
      <c r="M39" s="98" t="s">
        <v>437</v>
      </c>
      <c r="N39" s="99" t="s">
        <v>257</v>
      </c>
      <c r="O39" s="61" t="s">
        <v>390</v>
      </c>
      <c r="P39" s="63" t="s">
        <v>335</v>
      </c>
      <c r="Q39" s="104" t="s">
        <v>9</v>
      </c>
      <c r="R39" s="102" t="s">
        <v>189</v>
      </c>
      <c r="S39" s="102" t="s">
        <v>199</v>
      </c>
      <c r="T39" s="99" t="s">
        <v>335</v>
      </c>
      <c r="U39" s="99"/>
      <c r="V39" s="99" t="s">
        <v>257</v>
      </c>
      <c r="W39" s="105"/>
      <c r="X39" s="106"/>
      <c r="Y39" s="99" t="s">
        <v>258</v>
      </c>
      <c r="Z39" s="91" t="str">
        <f>IF(OR($M39="",NOT($O39="{array}")),"",IFERROR(MATCH(PARAMETERS!$M39,DEFAULT!$B$5:$CC$5,0),""))</f>
        <v/>
      </c>
      <c r="AA39" s="86" t="str">
        <f t="shared" si="3"/>
        <v/>
      </c>
      <c r="AB39" s="117" t="str">
        <f>IF(AND(OR($A39="G",$A39="P"),NOT($O39="{array}")),IF(VLOOKUP($K39,base!$B$2:$D$18,3,0)="S",IF(OR($O39="",ISTEXT($O39)),"","STRING!"),IF(VLOOKUP($K39,base!$B$2:$D$18,3,0)="","",IF(ISTEXT($O39),"NUMERIC!",""))),"")</f>
        <v/>
      </c>
      <c r="AC39" s="17" t="str">
        <f>IF($AA39="","",IF($B39="I",VLOOKUP($AA39,#REF!,53,0),INDEX(VALUES!$B$1:$CX$1,1,$AA39)))</f>
        <v/>
      </c>
    </row>
    <row r="40" spans="1:29" hidden="1" outlineLevel="1" x14ac:dyDescent="0.25">
      <c r="A40" s="22" t="s">
        <v>84</v>
      </c>
      <c r="B40" s="42" t="str">
        <f t="shared" si="0"/>
        <v/>
      </c>
      <c r="C40" s="43">
        <f t="shared" si="4"/>
        <v>39</v>
      </c>
      <c r="D40" s="39"/>
      <c r="E40" s="39"/>
      <c r="F40" s="39" t="s">
        <v>9</v>
      </c>
      <c r="G40" s="39"/>
      <c r="H40" s="39"/>
      <c r="I40" s="39" t="s">
        <v>9</v>
      </c>
      <c r="J40" s="39"/>
      <c r="K40" s="14" t="s">
        <v>18</v>
      </c>
      <c r="L40" s="14" t="s">
        <v>21</v>
      </c>
      <c r="M40" s="98" t="s">
        <v>438</v>
      </c>
      <c r="N40" s="99" t="s">
        <v>259</v>
      </c>
      <c r="O40" s="61" t="s">
        <v>390</v>
      </c>
      <c r="P40" s="63" t="s">
        <v>335</v>
      </c>
      <c r="Q40" s="104" t="s">
        <v>9</v>
      </c>
      <c r="R40" s="102" t="s">
        <v>189</v>
      </c>
      <c r="S40" s="102" t="s">
        <v>199</v>
      </c>
      <c r="T40" s="99" t="s">
        <v>335</v>
      </c>
      <c r="U40" s="99"/>
      <c r="V40" s="99" t="s">
        <v>259</v>
      </c>
      <c r="W40" s="105"/>
      <c r="X40" s="106"/>
      <c r="Y40" s="99" t="s">
        <v>260</v>
      </c>
      <c r="Z40" s="91" t="str">
        <f>IF(OR($M40="",NOT($O40="{array}")),"",IFERROR(MATCH(PARAMETERS!$M40,DEFAULT!$B$5:$CC$5,0),""))</f>
        <v/>
      </c>
      <c r="AA40" s="86" t="str">
        <f t="shared" si="3"/>
        <v/>
      </c>
      <c r="AB40" s="117" t="str">
        <f>IF(AND(OR($A40="G",$A40="P"),NOT($O40="{array}")),IF(VLOOKUP($K40,base!$B$2:$D$18,3,0)="S",IF(OR($O40="",ISTEXT($O40)),"","STRING!"),IF(VLOOKUP($K40,base!$B$2:$D$18,3,0)="","",IF(ISTEXT($O40),"NUMERIC!",""))),"")</f>
        <v/>
      </c>
      <c r="AC40" s="17" t="str">
        <f>IF($AA40="","",IF($B40="I",VLOOKUP($AA40,#REF!,53,0),INDEX(VALUES!$B$1:$CX$1,1,$AA40)))</f>
        <v/>
      </c>
    </row>
    <row r="41" spans="1:29" hidden="1" outlineLevel="1" x14ac:dyDescent="0.25">
      <c r="A41" s="22" t="s">
        <v>84</v>
      </c>
      <c r="B41" s="42" t="str">
        <f t="shared" si="0"/>
        <v/>
      </c>
      <c r="C41" s="43">
        <f t="shared" si="4"/>
        <v>40</v>
      </c>
      <c r="D41" s="39"/>
      <c r="E41" s="39"/>
      <c r="F41" s="39"/>
      <c r="G41" s="39"/>
      <c r="H41" s="39"/>
      <c r="I41" s="39" t="s">
        <v>9</v>
      </c>
      <c r="J41" s="39"/>
      <c r="K41" s="99" t="s">
        <v>18</v>
      </c>
      <c r="L41" s="99" t="s">
        <v>32</v>
      </c>
      <c r="M41" s="98" t="s">
        <v>517</v>
      </c>
      <c r="N41" s="99" t="s">
        <v>261</v>
      </c>
      <c r="O41" s="61" t="s">
        <v>390</v>
      </c>
      <c r="P41" s="111" t="s">
        <v>335</v>
      </c>
      <c r="Q41" s="104" t="s">
        <v>9</v>
      </c>
      <c r="R41" s="102" t="s">
        <v>189</v>
      </c>
      <c r="S41" s="102" t="s">
        <v>199</v>
      </c>
      <c r="T41" s="99" t="s">
        <v>335</v>
      </c>
      <c r="U41" s="99"/>
      <c r="V41" s="99" t="s">
        <v>261</v>
      </c>
      <c r="W41" s="105"/>
      <c r="X41" s="106"/>
      <c r="Y41" s="99" t="s">
        <v>262</v>
      </c>
      <c r="Z41" s="91" t="str">
        <f>IF(OR($M41="",NOT($O41="{array}")),"",IFERROR(MATCH(PARAMETERS!$M41,DEFAULT!$B$5:$CC$5,0),""))</f>
        <v/>
      </c>
      <c r="AA41" s="86" t="str">
        <f t="shared" si="3"/>
        <v/>
      </c>
      <c r="AB41" s="117" t="str">
        <f>IF(AND(OR($A41="G",$A41="P"),NOT($O41="{array}")),IF(VLOOKUP($K41,base!$B$2:$D$18,3,0)="S",IF(OR($O41="",ISTEXT($O41)),"","STRING!"),IF(VLOOKUP($K41,base!$B$2:$D$18,3,0)="","",IF(ISTEXT($O41),"NUMERIC!",""))),"")</f>
        <v/>
      </c>
      <c r="AC41" s="17" t="str">
        <f>IF($AA41="","",IF($B41="I",VLOOKUP($AA41,#REF!,53,0),INDEX(VALUES!$B$1:$CX$1,1,$AA41)))</f>
        <v/>
      </c>
    </row>
    <row r="42" spans="1:29" hidden="1" outlineLevel="1" x14ac:dyDescent="0.3">
      <c r="A42" s="22" t="s">
        <v>84</v>
      </c>
      <c r="B42" s="42" t="str">
        <f t="shared" si="0"/>
        <v/>
      </c>
      <c r="C42" s="43">
        <f t="shared" si="4"/>
        <v>41</v>
      </c>
      <c r="D42" s="39"/>
      <c r="E42" s="39"/>
      <c r="F42" s="39"/>
      <c r="G42" s="39"/>
      <c r="H42" s="39"/>
      <c r="I42" s="39" t="s">
        <v>9</v>
      </c>
      <c r="J42" s="39"/>
      <c r="K42" s="99" t="s">
        <v>18</v>
      </c>
      <c r="L42" s="54" t="s">
        <v>32</v>
      </c>
      <c r="M42" s="115" t="s">
        <v>449</v>
      </c>
      <c r="N42" s="99" t="s">
        <v>278</v>
      </c>
      <c r="O42" s="61" t="s">
        <v>390</v>
      </c>
      <c r="P42" s="106" t="s">
        <v>335</v>
      </c>
      <c r="Q42" s="104" t="s">
        <v>9</v>
      </c>
      <c r="R42" s="102" t="s">
        <v>189</v>
      </c>
      <c r="S42" s="102" t="s">
        <v>199</v>
      </c>
      <c r="T42" s="99" t="s">
        <v>335</v>
      </c>
      <c r="U42" s="99"/>
      <c r="V42" s="99" t="s">
        <v>278</v>
      </c>
      <c r="W42" s="105"/>
      <c r="X42" s="106"/>
      <c r="Y42" s="99" t="s">
        <v>279</v>
      </c>
      <c r="Z42" s="91" t="str">
        <f>IF(OR($M42="",NOT($O42="{array}")),"",IFERROR(MATCH(PARAMETERS!$M42,DEFAULT!$B$5:$CC$5,0),""))</f>
        <v/>
      </c>
      <c r="AA42" s="86" t="str">
        <f t="shared" si="3"/>
        <v/>
      </c>
      <c r="AB42" s="117" t="str">
        <f>IF(AND(OR($A42="G",$A42="P"),NOT($O42="{array}")),IF(VLOOKUP($K42,base!$B$2:$D$18,3,0)="S",IF(OR($O42="",ISTEXT($O42)),"","STRING!"),IF(VLOOKUP($K42,base!$B$2:$D$18,3,0)="","",IF(ISTEXT($O42),"NUMERIC!",""))),"")</f>
        <v/>
      </c>
      <c r="AC42" s="17" t="str">
        <f>IF($AA42="","",IF($B42="I",VLOOKUP($AA42,#REF!,53,0),INDEX(VALUES!$B$1:$CX$1,1,$AA42)))</f>
        <v/>
      </c>
    </row>
    <row r="43" spans="1:29" hidden="1" outlineLevel="1" x14ac:dyDescent="0.3">
      <c r="A43" s="22" t="s">
        <v>84</v>
      </c>
      <c r="B43" s="42" t="str">
        <f t="shared" si="0"/>
        <v/>
      </c>
      <c r="C43" s="43">
        <f t="shared" si="4"/>
        <v>42</v>
      </c>
      <c r="D43" s="39"/>
      <c r="E43" s="39"/>
      <c r="F43" s="39"/>
      <c r="G43" s="39"/>
      <c r="H43" s="39"/>
      <c r="I43" s="39" t="s">
        <v>9</v>
      </c>
      <c r="J43" s="39"/>
      <c r="K43" s="55" t="s">
        <v>18</v>
      </c>
      <c r="L43" s="54" t="s">
        <v>32</v>
      </c>
      <c r="M43" s="115" t="s">
        <v>450</v>
      </c>
      <c r="N43" s="55" t="s">
        <v>280</v>
      </c>
      <c r="O43" s="61" t="s">
        <v>390</v>
      </c>
      <c r="P43" s="63" t="s">
        <v>335</v>
      </c>
      <c r="Q43" s="62" t="s">
        <v>9</v>
      </c>
      <c r="R43" s="59" t="s">
        <v>189</v>
      </c>
      <c r="S43" s="59" t="s">
        <v>199</v>
      </c>
      <c r="T43" s="55" t="s">
        <v>335</v>
      </c>
      <c r="U43" s="55"/>
      <c r="V43" s="55" t="s">
        <v>280</v>
      </c>
      <c r="W43" s="15"/>
      <c r="X43" s="63"/>
      <c r="Y43" s="55" t="s">
        <v>281</v>
      </c>
      <c r="Z43" s="91" t="str">
        <f>IF(OR($M43="",NOT($O43="{array}")),"",IFERROR(MATCH(PARAMETERS!$M43,DEFAULT!$B$5:$CC$5,0),""))</f>
        <v/>
      </c>
      <c r="AA43" s="86" t="str">
        <f t="shared" si="3"/>
        <v/>
      </c>
      <c r="AB43" s="117" t="str">
        <f>IF(AND(OR($A43="G",$A43="P"),NOT($O43="{array}")),IF(VLOOKUP($K43,base!$B$2:$D$18,3,0)="S",IF(OR($O43="",ISTEXT($O43)),"","STRING!"),IF(VLOOKUP($K43,base!$B$2:$D$18,3,0)="","",IF(ISTEXT($O43),"NUMERIC!",""))),"")</f>
        <v/>
      </c>
      <c r="AC43" s="17" t="str">
        <f>IF($AA43="","",IF($B43="I",VLOOKUP($AA43,#REF!,53,0),INDEX(VALUES!$B$1:$CX$1,1,$AA43)))</f>
        <v/>
      </c>
    </row>
    <row r="44" spans="1:29" hidden="1" outlineLevel="1" x14ac:dyDescent="0.25">
      <c r="A44" s="22" t="s">
        <v>84</v>
      </c>
      <c r="B44" s="42" t="str">
        <f t="shared" si="0"/>
        <v/>
      </c>
      <c r="C44" s="43">
        <f t="shared" si="4"/>
        <v>43</v>
      </c>
      <c r="D44" s="78"/>
      <c r="E44" s="78"/>
      <c r="F44" s="78"/>
      <c r="G44" s="78"/>
      <c r="H44" s="78"/>
      <c r="I44" s="39" t="s">
        <v>9</v>
      </c>
      <c r="J44" s="103"/>
      <c r="K44" s="99" t="s">
        <v>18</v>
      </c>
      <c r="L44" s="99" t="s">
        <v>32</v>
      </c>
      <c r="M44" s="109" t="s">
        <v>516</v>
      </c>
      <c r="N44" s="99" t="s">
        <v>251</v>
      </c>
      <c r="O44" s="61" t="s">
        <v>390</v>
      </c>
      <c r="P44" s="111" t="s">
        <v>335</v>
      </c>
      <c r="Q44" s="104" t="s">
        <v>9</v>
      </c>
      <c r="R44" s="102" t="s">
        <v>189</v>
      </c>
      <c r="S44" s="102" t="s">
        <v>199</v>
      </c>
      <c r="T44" s="99" t="s">
        <v>335</v>
      </c>
      <c r="U44" s="99"/>
      <c r="V44" s="99" t="s">
        <v>251</v>
      </c>
      <c r="W44" s="105"/>
      <c r="X44" s="106"/>
      <c r="Y44" s="99" t="s">
        <v>252</v>
      </c>
      <c r="Z44" s="91" t="str">
        <f>IF(OR($M44="",NOT($O44="{array}")),"",IFERROR(MATCH(PARAMETERS!$M44,DEFAULT!$B$5:$CC$5,0),""))</f>
        <v/>
      </c>
      <c r="AA44" s="86" t="str">
        <f t="shared" si="3"/>
        <v/>
      </c>
      <c r="AB44" s="117" t="str">
        <f>IF(AND(OR($A44="G",$A44="P"),NOT($O44="{array}")),IF(VLOOKUP($K44,base!$B$2:$D$18,3,0)="S",IF(OR($O44="",ISTEXT($O44)),"","STRING!"),IF(VLOOKUP($K44,base!$B$2:$D$18,3,0)="","",IF(ISTEXT($O44),"NUMERIC!",""))),"")</f>
        <v/>
      </c>
      <c r="AC44" s="17" t="str">
        <f>IF($AA44="","",IF($B44="I",VLOOKUP($AA44,#REF!,53,0),INDEX(VALUES!$B$1:$CX$1,1,$AA44)))</f>
        <v/>
      </c>
    </row>
    <row r="45" spans="1:29" hidden="1" outlineLevel="1" x14ac:dyDescent="0.25">
      <c r="A45" s="22" t="s">
        <v>84</v>
      </c>
      <c r="B45" s="42" t="str">
        <f t="shared" si="0"/>
        <v/>
      </c>
      <c r="C45" s="43">
        <f t="shared" si="4"/>
        <v>44</v>
      </c>
      <c r="D45" s="39"/>
      <c r="E45" s="39"/>
      <c r="F45" s="39"/>
      <c r="G45" s="39"/>
      <c r="H45" s="39"/>
      <c r="I45" s="39" t="s">
        <v>9</v>
      </c>
      <c r="J45" s="39"/>
      <c r="K45" s="99" t="s">
        <v>18</v>
      </c>
      <c r="L45" s="54" t="s">
        <v>32</v>
      </c>
      <c r="M45" s="98" t="s">
        <v>434</v>
      </c>
      <c r="N45" s="99" t="s">
        <v>248</v>
      </c>
      <c r="O45" s="61" t="s">
        <v>390</v>
      </c>
      <c r="P45" s="63" t="s">
        <v>335</v>
      </c>
      <c r="Q45" s="104" t="s">
        <v>9</v>
      </c>
      <c r="R45" s="102" t="s">
        <v>189</v>
      </c>
      <c r="S45" s="102" t="s">
        <v>199</v>
      </c>
      <c r="T45" s="99" t="s">
        <v>335</v>
      </c>
      <c r="U45" s="99"/>
      <c r="V45" s="99" t="s">
        <v>248</v>
      </c>
      <c r="W45" s="105"/>
      <c r="X45" s="106"/>
      <c r="Y45" s="99" t="s">
        <v>250</v>
      </c>
      <c r="Z45" s="91" t="str">
        <f>IF(OR($M45="",NOT($O45="{array}")),"",IFERROR(MATCH(PARAMETERS!$M45,DEFAULT!$B$5:$CC$5,0),""))</f>
        <v/>
      </c>
      <c r="AA45" s="86" t="str">
        <f t="shared" si="3"/>
        <v/>
      </c>
      <c r="AB45" s="117" t="str">
        <f>IF(AND(OR($A45="G",$A45="P"),NOT($O45="{array}")),IF(VLOOKUP($K45,base!$B$2:$D$18,3,0)="S",IF(OR($O45="",ISTEXT($O45)),"","STRING!"),IF(VLOOKUP($K45,base!$B$2:$D$18,3,0)="","",IF(ISTEXT($O45),"NUMERIC!",""))),"")</f>
        <v/>
      </c>
      <c r="AC45" s="17" t="str">
        <f>IF($AA45="","",IF($B45="I",VLOOKUP($AA45,#REF!,53,0),INDEX(VALUES!$B$1:$CX$1,1,$AA45)))</f>
        <v/>
      </c>
    </row>
    <row r="46" spans="1:29" hidden="1" outlineLevel="1" x14ac:dyDescent="0.3">
      <c r="A46" s="22" t="s">
        <v>84</v>
      </c>
      <c r="B46" s="42" t="str">
        <f t="shared" si="0"/>
        <v/>
      </c>
      <c r="C46" s="43">
        <f t="shared" si="4"/>
        <v>45</v>
      </c>
      <c r="D46" s="39"/>
      <c r="E46" s="39"/>
      <c r="F46" s="39"/>
      <c r="G46" s="39"/>
      <c r="H46" s="39"/>
      <c r="I46" s="39" t="s">
        <v>9</v>
      </c>
      <c r="J46" s="39"/>
      <c r="K46" s="99" t="s">
        <v>18</v>
      </c>
      <c r="L46" s="54" t="s">
        <v>32</v>
      </c>
      <c r="M46" s="115" t="s">
        <v>451</v>
      </c>
      <c r="N46" s="99" t="s">
        <v>283</v>
      </c>
      <c r="O46" s="61" t="s">
        <v>390</v>
      </c>
      <c r="P46" s="106" t="s">
        <v>335</v>
      </c>
      <c r="Q46" s="104" t="s">
        <v>9</v>
      </c>
      <c r="R46" s="102" t="s">
        <v>189</v>
      </c>
      <c r="S46" s="102" t="s">
        <v>199</v>
      </c>
      <c r="T46" s="99" t="s">
        <v>335</v>
      </c>
      <c r="U46" s="99"/>
      <c r="V46" s="99" t="s">
        <v>283</v>
      </c>
      <c r="W46" s="105"/>
      <c r="X46" s="106"/>
      <c r="Y46" s="99" t="s">
        <v>284</v>
      </c>
      <c r="Z46" s="91" t="str">
        <f>IF(OR($M46="",NOT($O46="{array}")),"",IFERROR(MATCH(PARAMETERS!$M46,DEFAULT!$B$5:$CC$5,0),""))</f>
        <v/>
      </c>
      <c r="AA46" s="86" t="str">
        <f t="shared" si="3"/>
        <v/>
      </c>
      <c r="AB46" s="117" t="str">
        <f>IF(AND(OR($A46="G",$A46="P"),NOT($O46="{array}")),IF(VLOOKUP($K46,base!$B$2:$D$18,3,0)="S",IF(OR($O46="",ISTEXT($O46)),"","STRING!"),IF(VLOOKUP($K46,base!$B$2:$D$18,3,0)="","",IF(ISTEXT($O46),"NUMERIC!",""))),"")</f>
        <v/>
      </c>
      <c r="AC46" s="17" t="str">
        <f>IF($AA46="","",IF($B46="I",VLOOKUP($AA46,#REF!,53,0),INDEX(VALUES!$B$1:$CX$1,1,$AA46)))</f>
        <v/>
      </c>
    </row>
    <row r="47" spans="1:29" hidden="1" outlineLevel="1" x14ac:dyDescent="0.3">
      <c r="A47" s="22" t="s">
        <v>84</v>
      </c>
      <c r="B47" s="42" t="str">
        <f t="shared" si="0"/>
        <v/>
      </c>
      <c r="C47" s="43">
        <f t="shared" si="4"/>
        <v>46</v>
      </c>
      <c r="D47" s="39"/>
      <c r="E47" s="39"/>
      <c r="F47" s="39"/>
      <c r="G47" s="39"/>
      <c r="H47" s="39"/>
      <c r="I47" s="39" t="s">
        <v>9</v>
      </c>
      <c r="J47" s="39"/>
      <c r="K47" s="99" t="s">
        <v>18</v>
      </c>
      <c r="L47" s="54" t="s">
        <v>32</v>
      </c>
      <c r="M47" s="115" t="s">
        <v>520</v>
      </c>
      <c r="N47" s="99" t="s">
        <v>521</v>
      </c>
      <c r="O47" s="61" t="s">
        <v>390</v>
      </c>
      <c r="P47" s="106" t="s">
        <v>335</v>
      </c>
      <c r="Q47" s="104" t="s">
        <v>9</v>
      </c>
      <c r="R47" s="102" t="s">
        <v>189</v>
      </c>
      <c r="S47" s="102" t="s">
        <v>199</v>
      </c>
      <c r="T47" s="99" t="s">
        <v>335</v>
      </c>
      <c r="U47" s="99"/>
      <c r="V47" s="99" t="s">
        <v>521</v>
      </c>
      <c r="W47" s="105"/>
      <c r="X47" s="106"/>
      <c r="Y47" s="99" t="s">
        <v>282</v>
      </c>
      <c r="Z47" s="91" t="str">
        <f>IF(OR($M47="",NOT($O47="{array}")),"",IFERROR(MATCH(PARAMETERS!$M47,DEFAULT!$B$5:$CC$5,0),""))</f>
        <v/>
      </c>
      <c r="AA47" s="86" t="str">
        <f t="shared" ref="AA47:AA53" si="5">IF($M47="","",IFERROR(MATCH($M47,VALUESnames,0),""))</f>
        <v/>
      </c>
      <c r="AB47" s="117" t="str">
        <f>IF(AND(OR($A47="G",$A47="P"),NOT($O47="{array}")),IF(VLOOKUP($K47,base!$B$2:$D$18,3,0)="S",IF(OR($O47="",ISTEXT($O47)),"","STRING!"),IF(VLOOKUP($K47,base!$B$2:$D$18,3,0)="","",IF(ISTEXT($O47),"NUMERIC!",""))),"")</f>
        <v/>
      </c>
      <c r="AC47" s="17" t="str">
        <f>IF($AA47="","",IF($B47="I",VLOOKUP($AA47,#REF!,53,0),INDEX(VALUES!$B$1:$CX$1,1,$AA47)))</f>
        <v/>
      </c>
    </row>
    <row r="48" spans="1:29" hidden="1" outlineLevel="1" x14ac:dyDescent="0.3">
      <c r="A48" s="22" t="s">
        <v>84</v>
      </c>
      <c r="B48" s="42" t="str">
        <f t="shared" si="0"/>
        <v/>
      </c>
      <c r="C48" s="43">
        <f t="shared" si="4"/>
        <v>47</v>
      </c>
      <c r="D48" s="39"/>
      <c r="E48" s="39"/>
      <c r="F48" s="39"/>
      <c r="G48" s="39"/>
      <c r="H48" s="39"/>
      <c r="I48" s="39" t="s">
        <v>9</v>
      </c>
      <c r="J48" s="39"/>
      <c r="K48" s="99" t="s">
        <v>18</v>
      </c>
      <c r="L48" s="54" t="s">
        <v>32</v>
      </c>
      <c r="M48" s="115" t="s">
        <v>522</v>
      </c>
      <c r="N48" s="99" t="s">
        <v>523</v>
      </c>
      <c r="O48" s="61" t="s">
        <v>390</v>
      </c>
      <c r="P48" s="106" t="s">
        <v>335</v>
      </c>
      <c r="Q48" s="104" t="s">
        <v>9</v>
      </c>
      <c r="R48" s="102" t="s">
        <v>189</v>
      </c>
      <c r="S48" s="102" t="s">
        <v>199</v>
      </c>
      <c r="T48" s="99" t="s">
        <v>335</v>
      </c>
      <c r="U48" s="99"/>
      <c r="V48" s="99" t="s">
        <v>523</v>
      </c>
      <c r="W48" s="105"/>
      <c r="X48" s="106"/>
      <c r="Y48" s="99" t="s">
        <v>282</v>
      </c>
      <c r="Z48" s="91" t="str">
        <f>IF(OR($M48="",NOT($O48="{array}")),"",IFERROR(MATCH(PARAMETERS!$M48,DEFAULT!$B$5:$CC$5,0),""))</f>
        <v/>
      </c>
      <c r="AA48" s="86" t="str">
        <f t="shared" si="5"/>
        <v/>
      </c>
      <c r="AB48" s="117" t="str">
        <f>IF(AND(OR($A48="G",$A48="P"),NOT($O48="{array}")),IF(VLOOKUP($K48,base!$B$2:$D$18,3,0)="S",IF(OR($O48="",ISTEXT($O48)),"","STRING!"),IF(VLOOKUP($K48,base!$B$2:$D$18,3,0)="","",IF(ISTEXT($O48),"NUMERIC!",""))),"")</f>
        <v/>
      </c>
      <c r="AC48" s="17" t="str">
        <f>IF($AA48="","",IF($B48="I",VLOOKUP($AA48,#REF!,53,0),INDEX(VALUES!$B$1:$CX$1,1,$AA48)))</f>
        <v/>
      </c>
    </row>
    <row r="49" spans="1:29" hidden="1" outlineLevel="1" x14ac:dyDescent="0.3">
      <c r="A49" s="22" t="s">
        <v>84</v>
      </c>
      <c r="B49" s="42" t="str">
        <f t="shared" si="0"/>
        <v/>
      </c>
      <c r="C49" s="43">
        <f t="shared" si="4"/>
        <v>48</v>
      </c>
      <c r="D49" s="39"/>
      <c r="E49" s="39"/>
      <c r="F49" s="39"/>
      <c r="G49" s="39"/>
      <c r="H49" s="39"/>
      <c r="I49" s="39" t="s">
        <v>9</v>
      </c>
      <c r="J49" s="39"/>
      <c r="K49" s="99" t="s">
        <v>18</v>
      </c>
      <c r="L49" s="54" t="s">
        <v>32</v>
      </c>
      <c r="M49" s="115" t="s">
        <v>468</v>
      </c>
      <c r="N49" s="99" t="s">
        <v>285</v>
      </c>
      <c r="O49" s="61" t="s">
        <v>390</v>
      </c>
      <c r="P49" s="106" t="s">
        <v>335</v>
      </c>
      <c r="Q49" s="104" t="s">
        <v>9</v>
      </c>
      <c r="R49" s="102" t="s">
        <v>189</v>
      </c>
      <c r="S49" s="102" t="s">
        <v>199</v>
      </c>
      <c r="T49" s="99" t="s">
        <v>335</v>
      </c>
      <c r="U49" s="99"/>
      <c r="V49" s="99" t="s">
        <v>285</v>
      </c>
      <c r="W49" s="105"/>
      <c r="X49" s="106"/>
      <c r="Y49" s="99" t="s">
        <v>286</v>
      </c>
      <c r="Z49" s="91" t="str">
        <f>IF(OR($M49="",NOT($O49="{array}")),"",IFERROR(MATCH(PARAMETERS!$M49,DEFAULT!$B$5:$CC$5,0),""))</f>
        <v/>
      </c>
      <c r="AA49" s="86" t="str">
        <f t="shared" si="5"/>
        <v/>
      </c>
      <c r="AB49" s="117" t="str">
        <f>IF(AND(OR($A49="G",$A49="P"),NOT($O49="{array}")),IF(VLOOKUP($K49,base!$B$2:$D$18,3,0)="S",IF(OR($O49="",ISTEXT($O49)),"","STRING!"),IF(VLOOKUP($K49,base!$B$2:$D$18,3,0)="","",IF(ISTEXT($O49),"NUMERIC!",""))),"")</f>
        <v/>
      </c>
      <c r="AC49" s="17" t="str">
        <f>IF($AA49="","",IF($B49="I",VLOOKUP($AA49,#REF!,53,0),INDEX(VALUES!$B$1:$CX$1,1,$AA49)))</f>
        <v/>
      </c>
    </row>
    <row r="50" spans="1:29" hidden="1" outlineLevel="1" x14ac:dyDescent="0.3">
      <c r="A50" s="22"/>
      <c r="B50" s="42" t="str">
        <f t="shared" si="0"/>
        <v/>
      </c>
      <c r="C50" s="43">
        <f t="shared" si="4"/>
        <v>49</v>
      </c>
      <c r="D50" s="39"/>
      <c r="E50" s="39"/>
      <c r="F50" s="39"/>
      <c r="G50" s="39"/>
      <c r="H50" s="39"/>
      <c r="I50" s="39" t="s">
        <v>9</v>
      </c>
      <c r="J50" s="39"/>
      <c r="K50" s="87" t="s">
        <v>18</v>
      </c>
      <c r="L50" s="87" t="s">
        <v>32</v>
      </c>
      <c r="M50" s="112" t="s">
        <v>452</v>
      </c>
      <c r="N50" s="87" t="s">
        <v>287</v>
      </c>
      <c r="O50" s="55" t="s">
        <v>390</v>
      </c>
      <c r="P50" s="64" t="s">
        <v>335</v>
      </c>
      <c r="Q50" s="113" t="s">
        <v>9</v>
      </c>
      <c r="R50" s="107" t="s">
        <v>189</v>
      </c>
      <c r="S50" s="107" t="s">
        <v>199</v>
      </c>
      <c r="T50" s="87" t="s">
        <v>335</v>
      </c>
      <c r="U50" s="87"/>
      <c r="V50" s="87" t="s">
        <v>287</v>
      </c>
      <c r="W50" s="114"/>
      <c r="X50" s="64"/>
      <c r="Y50" s="87" t="s">
        <v>288</v>
      </c>
      <c r="Z50" s="91" t="str">
        <f>IF(OR($M50="",NOT($O50="{array}")),"",IFERROR(MATCH(PARAMETERS!$M50,DEFAULT!$B$5:$CC$5,0),""))</f>
        <v/>
      </c>
      <c r="AA50" s="86" t="str">
        <f t="shared" si="5"/>
        <v/>
      </c>
      <c r="AB50" s="117" t="str">
        <f>IF(AND(OR($A50="G",$A50="P"),NOT($O50="{array}")),IF(VLOOKUP($K50,base!$B$2:$D$18,3,0)="S",IF(OR($O50="",ISTEXT($O50)),"","STRING!"),IF(VLOOKUP($K50,base!$B$2:$D$18,3,0)="","",IF(ISTEXT($O50),"NUMERIC!",""))),"")</f>
        <v/>
      </c>
      <c r="AC50" s="17" t="str">
        <f>IF($AA50="","",IF($B50="I",VLOOKUP($AA50,#REF!,53,0),INDEX(VALUES!$B$1:$CX$1,1,$AA50)))</f>
        <v/>
      </c>
    </row>
    <row r="51" spans="1:29" hidden="1" outlineLevel="1" x14ac:dyDescent="0.25">
      <c r="A51" s="22" t="s">
        <v>84</v>
      </c>
      <c r="B51" s="42" t="str">
        <f t="shared" si="0"/>
        <v/>
      </c>
      <c r="C51" s="43">
        <f t="shared" si="4"/>
        <v>50</v>
      </c>
      <c r="D51" s="39"/>
      <c r="E51" s="39"/>
      <c r="F51" s="39"/>
      <c r="G51" s="39"/>
      <c r="H51" s="39"/>
      <c r="I51" s="39" t="s">
        <v>9</v>
      </c>
      <c r="J51" s="39"/>
      <c r="K51" s="99" t="s">
        <v>18</v>
      </c>
      <c r="L51" s="54" t="s">
        <v>32</v>
      </c>
      <c r="M51" s="98" t="s">
        <v>439</v>
      </c>
      <c r="N51" s="61" t="s">
        <v>405</v>
      </c>
      <c r="O51" s="61" t="s">
        <v>390</v>
      </c>
      <c r="P51" s="59" t="s">
        <v>335</v>
      </c>
      <c r="Q51" s="104"/>
      <c r="R51" s="102" t="s">
        <v>189</v>
      </c>
      <c r="S51" s="102" t="s">
        <v>199</v>
      </c>
      <c r="T51" s="99" t="s">
        <v>335</v>
      </c>
      <c r="U51" s="99"/>
      <c r="V51" s="99" t="s">
        <v>263</v>
      </c>
      <c r="W51" s="105"/>
      <c r="X51" s="106"/>
      <c r="Y51" s="99" t="s">
        <v>404</v>
      </c>
      <c r="Z51" s="91" t="str">
        <f>IF(OR($M51="",NOT($O51="{array}")),"",IFERROR(MATCH(PARAMETERS!$M51,DEFAULT!$B$5:$CC$5,0),""))</f>
        <v/>
      </c>
      <c r="AA51" s="86" t="str">
        <f t="shared" si="5"/>
        <v/>
      </c>
      <c r="AB51" s="117" t="str">
        <f>IF(AND(OR($A51="G",$A51="P"),NOT($O51="{array}")),IF(VLOOKUP($K51,base!$B$2:$D$18,3,0)="S",IF(OR($O51="",ISTEXT($O51)),"","STRING!"),IF(VLOOKUP($K51,base!$B$2:$D$18,3,0)="","",IF(ISTEXT($O51),"NUMERIC!",""))),"")</f>
        <v/>
      </c>
      <c r="AC51" s="17" t="str">
        <f>IF($AA51="","",IF($B51="I",VLOOKUP($AA51,#REF!,53,0),INDEX(VALUES!$B$1:$CX$1,1,$AA51)))</f>
        <v/>
      </c>
    </row>
    <row r="52" spans="1:29" hidden="1" outlineLevel="1" x14ac:dyDescent="0.25">
      <c r="A52" s="22" t="s">
        <v>84</v>
      </c>
      <c r="B52" s="42" t="str">
        <f t="shared" si="0"/>
        <v/>
      </c>
      <c r="C52" s="43">
        <f t="shared" si="4"/>
        <v>51</v>
      </c>
      <c r="D52" s="39"/>
      <c r="E52" s="39"/>
      <c r="F52" s="39"/>
      <c r="G52" s="39"/>
      <c r="H52" s="39"/>
      <c r="I52" s="39" t="s">
        <v>9</v>
      </c>
      <c r="J52" s="39"/>
      <c r="K52" s="55" t="s">
        <v>18</v>
      </c>
      <c r="L52" s="54" t="s">
        <v>32</v>
      </c>
      <c r="M52" s="98" t="s">
        <v>436</v>
      </c>
      <c r="N52" s="99" t="s">
        <v>255</v>
      </c>
      <c r="O52" s="61" t="s">
        <v>390</v>
      </c>
      <c r="P52" s="63" t="s">
        <v>335</v>
      </c>
      <c r="Q52" s="104" t="s">
        <v>9</v>
      </c>
      <c r="R52" s="102" t="s">
        <v>189</v>
      </c>
      <c r="S52" s="102" t="s">
        <v>199</v>
      </c>
      <c r="T52" s="99" t="s">
        <v>335</v>
      </c>
      <c r="U52" s="99"/>
      <c r="V52" s="99" t="s">
        <v>255</v>
      </c>
      <c r="W52" s="105"/>
      <c r="X52" s="106"/>
      <c r="Y52" s="99" t="s">
        <v>256</v>
      </c>
      <c r="Z52" s="91" t="str">
        <f>IF(OR($M52="",NOT($O52="{array}")),"",IFERROR(MATCH(PARAMETERS!$M52,DEFAULT!$B$5:$CC$5,0),""))</f>
        <v/>
      </c>
      <c r="AA52" s="86" t="str">
        <f t="shared" si="5"/>
        <v/>
      </c>
      <c r="AB52" s="117" t="str">
        <f>IF(AND(OR($A52="G",$A52="P"),NOT($O52="{array}")),IF(VLOOKUP($K52,base!$B$2:$D$18,3,0)="S",IF(OR($O52="",ISTEXT($O52)),"","STRING!"),IF(VLOOKUP($K52,base!$B$2:$D$18,3,0)="","",IF(ISTEXT($O52),"NUMERIC!",""))),"")</f>
        <v/>
      </c>
      <c r="AC52" s="17" t="str">
        <f>IF($AA52="","",IF($B52="I",VLOOKUP($AA52,#REF!,53,0),INDEX(VALUES!$B$1:$CX$1,1,$AA52)))</f>
        <v/>
      </c>
    </row>
    <row r="53" spans="1:29" hidden="1" outlineLevel="1" x14ac:dyDescent="0.25">
      <c r="A53" s="22" t="s">
        <v>84</v>
      </c>
      <c r="B53" s="42" t="str">
        <f t="shared" si="0"/>
        <v/>
      </c>
      <c r="C53" s="43">
        <f t="shared" si="4"/>
        <v>52</v>
      </c>
      <c r="D53" s="39"/>
      <c r="E53" s="39"/>
      <c r="F53" s="39"/>
      <c r="G53" s="39"/>
      <c r="H53" s="39"/>
      <c r="I53" s="39" t="s">
        <v>9</v>
      </c>
      <c r="J53" s="39"/>
      <c r="K53" s="55" t="s">
        <v>18</v>
      </c>
      <c r="L53" s="54" t="s">
        <v>32</v>
      </c>
      <c r="M53" s="98" t="s">
        <v>453</v>
      </c>
      <c r="N53" s="55" t="s">
        <v>265</v>
      </c>
      <c r="O53" s="61" t="s">
        <v>390</v>
      </c>
      <c r="P53" s="63" t="s">
        <v>335</v>
      </c>
      <c r="Q53" s="62" t="s">
        <v>9</v>
      </c>
      <c r="R53" s="59" t="s">
        <v>189</v>
      </c>
      <c r="S53" s="59" t="s">
        <v>199</v>
      </c>
      <c r="T53" s="55" t="s">
        <v>188</v>
      </c>
      <c r="U53" s="55"/>
      <c r="V53" s="55" t="s">
        <v>265</v>
      </c>
      <c r="W53" s="15"/>
      <c r="X53" s="63"/>
      <c r="Y53" s="55" t="s">
        <v>266</v>
      </c>
      <c r="Z53" s="91" t="str">
        <f>IF(OR($M53="",NOT($O53="{array}")),"",IFERROR(MATCH(PARAMETERS!$M53,DEFAULT!$B$5:$CC$5,0),""))</f>
        <v/>
      </c>
      <c r="AA53" s="86" t="str">
        <f t="shared" si="5"/>
        <v/>
      </c>
      <c r="AB53" s="117" t="str">
        <f>IF(AND(OR($A53="G",$A53="P"),NOT($O53="{array}")),IF(VLOOKUP($K53,base!$B$2:$D$18,3,0)="S",IF(OR($O53="",ISTEXT($O53)),"","STRING!"),IF(VLOOKUP($K53,base!$B$2:$D$18,3,0)="","",IF(ISTEXT($O53),"NUMERIC!",""))),"")</f>
        <v/>
      </c>
      <c r="AC53" s="17" t="str">
        <f>IF($AA53="","",IF($B53="I",VLOOKUP($AA53,#REF!,53,0),INDEX(VALUES!$B$1:$CX$1,1,$AA53)))</f>
        <v/>
      </c>
    </row>
    <row r="54" spans="1:29" hidden="1" outlineLevel="1" x14ac:dyDescent="0.3">
      <c r="A54" s="22" t="s">
        <v>84</v>
      </c>
      <c r="B54" s="42" t="str">
        <f t="shared" si="0"/>
        <v/>
      </c>
      <c r="C54" s="43">
        <f t="shared" si="4"/>
        <v>53</v>
      </c>
      <c r="D54" s="39"/>
      <c r="E54" s="39"/>
      <c r="F54" s="39"/>
      <c r="G54" s="39"/>
      <c r="H54" s="39"/>
      <c r="I54" s="39" t="s">
        <v>9</v>
      </c>
      <c r="J54" s="39"/>
      <c r="K54" s="99" t="s">
        <v>18</v>
      </c>
      <c r="L54" s="54" t="s">
        <v>32</v>
      </c>
      <c r="M54" s="115" t="s">
        <v>454</v>
      </c>
      <c r="N54" s="99" t="s">
        <v>289</v>
      </c>
      <c r="O54" s="61" t="s">
        <v>390</v>
      </c>
      <c r="P54" s="106" t="s">
        <v>335</v>
      </c>
      <c r="Q54" s="104" t="s">
        <v>9</v>
      </c>
      <c r="R54" s="102" t="s">
        <v>189</v>
      </c>
      <c r="S54" s="102" t="s">
        <v>199</v>
      </c>
      <c r="T54" s="99" t="s">
        <v>335</v>
      </c>
      <c r="U54" s="99"/>
      <c r="V54" s="99" t="s">
        <v>289</v>
      </c>
      <c r="W54" s="105"/>
      <c r="X54" s="106"/>
      <c r="Y54" s="99" t="s">
        <v>290</v>
      </c>
      <c r="Z54" s="91" t="str">
        <f>IF(OR($M54="",NOT($O54="{array}")),"",IFERROR(MATCH(PARAMETERS!$M54,DEFAULT!$B$5:$CC$5,0),""))</f>
        <v/>
      </c>
      <c r="AA54" s="86" t="str">
        <f>IF($M54="","",IFERROR(MATCH($M54,VALUESnames,0),""))</f>
        <v/>
      </c>
      <c r="AB54" s="117" t="str">
        <f>IF(AND(OR($A54="G",$A54="P"),NOT($O54="{array}")),IF(VLOOKUP($K54,base!$B$2:$D$18,3,0)="S",IF(OR($O54="",ISTEXT($O54)),"","STRING!"),IF(VLOOKUP($K54,base!$B$2:$D$18,3,0)="","",IF(ISTEXT($O54),"NUMERIC!",""))),"")</f>
        <v/>
      </c>
      <c r="AC54" s="17" t="str">
        <f>IF($AA54="","",IF($B54="I",VLOOKUP($AA54,#REF!,53,0),INDEX(VALUES!$B$1:$CX$1,1,$AA54)))</f>
        <v/>
      </c>
    </row>
    <row r="55" spans="1:29" collapsed="1" x14ac:dyDescent="0.3">
      <c r="A55" s="22"/>
      <c r="B55" s="42" t="str">
        <f t="shared" si="0"/>
        <v/>
      </c>
      <c r="C55" s="43">
        <f t="shared" si="4"/>
        <v>54</v>
      </c>
      <c r="D55" s="39"/>
      <c r="E55" s="39"/>
      <c r="F55" s="39"/>
      <c r="G55" s="39"/>
      <c r="H55" s="39"/>
      <c r="I55" s="39"/>
      <c r="J55" s="39"/>
      <c r="K55" s="14" t="s">
        <v>57</v>
      </c>
      <c r="L55" s="14" t="s">
        <v>38</v>
      </c>
      <c r="M55" s="49" t="s">
        <v>350</v>
      </c>
      <c r="N55" s="42" t="s">
        <v>380</v>
      </c>
      <c r="R55" s="39" t="s">
        <v>189</v>
      </c>
      <c r="S55" s="39"/>
      <c r="T55" s="39"/>
      <c r="W55" s="15"/>
      <c r="Y55" s="67"/>
      <c r="Z55" s="91" t="str">
        <f>IF(OR($M55="",NOT($O55="{array}")),"",IFERROR(MATCH(PARAMETERS!$M55,DEFAULT!$B$5:$CC$5,0),""))</f>
        <v/>
      </c>
      <c r="AA55" s="86" t="str">
        <f t="shared" ref="AA55:AA118" si="6">IF($M55="","",IFERROR(MATCH($M55,VALUESnames,0),""))</f>
        <v/>
      </c>
      <c r="AB55" s="117" t="str">
        <f>IF(AND(OR($A55="G",$A55="P"),NOT($O55="{array}")),IF(VLOOKUP($K55,base!$B$2:$D$18,3,0)="S",IF(OR($O55="",ISTEXT($O55)),"","STRING!"),IF(VLOOKUP($K55,base!$B$2:$D$18,3,0)="","",IF(ISTEXT($O55),"NUMERIC!",""))),"")</f>
        <v/>
      </c>
      <c r="AC55" s="17" t="str">
        <f>IF($AA55="","",IF($B55="I",VLOOKUP($AA55,#REF!,53,0),INDEX(VALUES!$B$1:$CX$1,1,$AA55)))</f>
        <v/>
      </c>
    </row>
    <row r="56" spans="1:29" hidden="1" outlineLevel="1" x14ac:dyDescent="0.3">
      <c r="A56" s="22" t="s">
        <v>84</v>
      </c>
      <c r="B56" s="42" t="str">
        <f t="shared" si="0"/>
        <v/>
      </c>
      <c r="C56" s="43">
        <f t="shared" si="4"/>
        <v>55</v>
      </c>
      <c r="D56" s="39"/>
      <c r="E56" s="39"/>
      <c r="F56" s="39"/>
      <c r="G56" s="39"/>
      <c r="H56" s="39"/>
      <c r="I56" s="39" t="s">
        <v>9</v>
      </c>
      <c r="J56" s="39"/>
      <c r="K56" s="56" t="s">
        <v>18</v>
      </c>
      <c r="L56" s="60" t="s">
        <v>21</v>
      </c>
      <c r="M56" s="115" t="s">
        <v>381</v>
      </c>
      <c r="N56" s="57" t="s">
        <v>368</v>
      </c>
      <c r="O56" s="61" t="s">
        <v>390</v>
      </c>
      <c r="Q56" s="58"/>
      <c r="R56" s="58" t="s">
        <v>189</v>
      </c>
      <c r="S56" s="58" t="s">
        <v>199</v>
      </c>
      <c r="T56" s="39"/>
      <c r="U56" s="57"/>
      <c r="V56" s="57"/>
      <c r="W56" s="15"/>
      <c r="X56" s="71"/>
      <c r="Y56" s="57" t="s">
        <v>375</v>
      </c>
      <c r="Z56" s="91" t="str">
        <f>IF(OR($M56="",NOT($O56="{array}")),"",IFERROR(MATCH(PARAMETERS!$M56,DEFAULT!$B$5:$CC$5,0),""))</f>
        <v/>
      </c>
      <c r="AA56" s="86" t="str">
        <f t="shared" si="6"/>
        <v/>
      </c>
      <c r="AB56" s="117" t="str">
        <f>IF(AND(OR($A56="G",$A56="P"),NOT($O56="{array}")),IF(VLOOKUP($K56,base!$B$2:$D$18,3,0)="S",IF(OR($O56="",ISTEXT($O56)),"","STRING!"),IF(VLOOKUP($K56,base!$B$2:$D$18,3,0)="","",IF(ISTEXT($O56),"NUMERIC!",""))),"")</f>
        <v/>
      </c>
      <c r="AC56" s="17" t="str">
        <f>IF($AA56="","",IF($B56="I",VLOOKUP($AA56,#REF!,53,0),INDEX(VALUES!$B$1:$CX$1,1,$AA56)))</f>
        <v/>
      </c>
    </row>
    <row r="57" spans="1:29" hidden="1" outlineLevel="1" x14ac:dyDescent="0.3">
      <c r="A57" s="22" t="s">
        <v>84</v>
      </c>
      <c r="B57" s="42" t="str">
        <f t="shared" si="0"/>
        <v/>
      </c>
      <c r="C57" s="43">
        <f t="shared" si="4"/>
        <v>56</v>
      </c>
      <c r="D57" s="39"/>
      <c r="E57" s="39"/>
      <c r="F57" s="39"/>
      <c r="G57" s="39"/>
      <c r="H57" s="39"/>
      <c r="I57" s="39" t="s">
        <v>9</v>
      </c>
      <c r="J57" s="39"/>
      <c r="K57" s="56" t="s">
        <v>18</v>
      </c>
      <c r="L57" s="60" t="s">
        <v>21</v>
      </c>
      <c r="M57" s="115" t="s">
        <v>382</v>
      </c>
      <c r="N57" s="57" t="s">
        <v>369</v>
      </c>
      <c r="O57" s="61" t="s">
        <v>390</v>
      </c>
      <c r="Q57" s="58"/>
      <c r="R57" s="58" t="s">
        <v>189</v>
      </c>
      <c r="S57" s="58" t="s">
        <v>199</v>
      </c>
      <c r="T57" s="39"/>
      <c r="U57" s="57"/>
      <c r="V57" s="57"/>
      <c r="W57" s="15"/>
      <c r="X57" s="71"/>
      <c r="Y57" s="57" t="s">
        <v>375</v>
      </c>
      <c r="Z57" s="91" t="str">
        <f>IF(OR($M57="",NOT($O57="{array}")),"",IFERROR(MATCH(PARAMETERS!$M57,DEFAULT!$B$5:$CC$5,0),""))</f>
        <v/>
      </c>
      <c r="AA57" s="86" t="str">
        <f t="shared" si="6"/>
        <v/>
      </c>
      <c r="AB57" s="117" t="str">
        <f>IF(AND(OR($A57="G",$A57="P"),NOT($O57="{array}")),IF(VLOOKUP($K57,base!$B$2:$D$18,3,0)="S",IF(OR($O57="",ISTEXT($O57)),"","STRING!"),IF(VLOOKUP($K57,base!$B$2:$D$18,3,0)="","",IF(ISTEXT($O57),"NUMERIC!",""))),"")</f>
        <v/>
      </c>
      <c r="AC57" s="17" t="str">
        <f>IF($AA57="","",IF($B57="I",VLOOKUP($AA57,#REF!,53,0),INDEX(VALUES!$B$1:$CX$1,1,$AA57)))</f>
        <v/>
      </c>
    </row>
    <row r="58" spans="1:29" hidden="1" outlineLevel="1" x14ac:dyDescent="0.3">
      <c r="A58" s="22" t="s">
        <v>84</v>
      </c>
      <c r="B58" s="42" t="str">
        <f t="shared" si="0"/>
        <v/>
      </c>
      <c r="C58" s="43">
        <f t="shared" si="4"/>
        <v>57</v>
      </c>
      <c r="D58" s="39"/>
      <c r="E58" s="39"/>
      <c r="F58" s="39"/>
      <c r="G58" s="39"/>
      <c r="H58" s="39"/>
      <c r="I58" s="39" t="s">
        <v>9</v>
      </c>
      <c r="J58" s="39"/>
      <c r="K58" s="56" t="s">
        <v>18</v>
      </c>
      <c r="L58" s="60" t="s">
        <v>21</v>
      </c>
      <c r="M58" s="115" t="s">
        <v>383</v>
      </c>
      <c r="N58" s="57" t="s">
        <v>370</v>
      </c>
      <c r="O58" s="61" t="s">
        <v>390</v>
      </c>
      <c r="Q58" s="58"/>
      <c r="R58" s="58" t="s">
        <v>189</v>
      </c>
      <c r="S58" s="58" t="s">
        <v>199</v>
      </c>
      <c r="T58" s="39"/>
      <c r="U58" s="57"/>
      <c r="V58" s="57"/>
      <c r="W58" s="15"/>
      <c r="X58" s="71"/>
      <c r="Y58" s="57" t="s">
        <v>376</v>
      </c>
      <c r="Z58" s="91" t="str">
        <f>IF(OR($M58="",NOT($O58="{array}")),"",IFERROR(MATCH(PARAMETERS!$M58,DEFAULT!$B$5:$CC$5,0),""))</f>
        <v/>
      </c>
      <c r="AA58" s="86" t="str">
        <f t="shared" si="6"/>
        <v/>
      </c>
      <c r="AB58" s="117" t="str">
        <f>IF(AND(OR($A58="G",$A58="P"),NOT($O58="{array}")),IF(VLOOKUP($K58,base!$B$2:$D$18,3,0)="S",IF(OR($O58="",ISTEXT($O58)),"","STRING!"),IF(VLOOKUP($K58,base!$B$2:$D$18,3,0)="","",IF(ISTEXT($O58),"NUMERIC!",""))),"")</f>
        <v/>
      </c>
      <c r="AC58" s="17" t="str">
        <f>IF($AA58="","",IF($B58="I",VLOOKUP($AA58,#REF!,53,0),INDEX(VALUES!$B$1:$CX$1,1,$AA58)))</f>
        <v/>
      </c>
    </row>
    <row r="59" spans="1:29" hidden="1" outlineLevel="1" x14ac:dyDescent="0.3">
      <c r="A59" s="22" t="s">
        <v>84</v>
      </c>
      <c r="B59" s="42" t="str">
        <f t="shared" si="0"/>
        <v/>
      </c>
      <c r="C59" s="43">
        <f t="shared" si="4"/>
        <v>58</v>
      </c>
      <c r="D59" s="39"/>
      <c r="E59" s="39"/>
      <c r="F59" s="39"/>
      <c r="G59" s="39"/>
      <c r="H59" s="39"/>
      <c r="I59" s="39" t="s">
        <v>9</v>
      </c>
      <c r="J59" s="39"/>
      <c r="K59" s="56" t="s">
        <v>18</v>
      </c>
      <c r="L59" s="60" t="s">
        <v>21</v>
      </c>
      <c r="M59" s="115" t="s">
        <v>384</v>
      </c>
      <c r="N59" s="57" t="s">
        <v>371</v>
      </c>
      <c r="O59" s="61" t="s">
        <v>390</v>
      </c>
      <c r="Q59" s="58"/>
      <c r="R59" s="58" t="s">
        <v>189</v>
      </c>
      <c r="S59" s="58" t="s">
        <v>199</v>
      </c>
      <c r="T59" s="39"/>
      <c r="U59" s="57"/>
      <c r="V59" s="57"/>
      <c r="W59" s="15"/>
      <c r="X59" s="71"/>
      <c r="Y59" s="57" t="s">
        <v>376</v>
      </c>
      <c r="Z59" s="91" t="str">
        <f>IF(OR($M59="",NOT($O59="{array}")),"",IFERROR(MATCH(PARAMETERS!$M59,DEFAULT!$B$5:$CC$5,0),""))</f>
        <v/>
      </c>
      <c r="AA59" s="86" t="str">
        <f t="shared" si="6"/>
        <v/>
      </c>
      <c r="AB59" s="117" t="str">
        <f>IF(AND(OR($A59="G",$A59="P"),NOT($O59="{array}")),IF(VLOOKUP($K59,base!$B$2:$D$18,3,0)="S",IF(OR($O59="",ISTEXT($O59)),"","STRING!"),IF(VLOOKUP($K59,base!$B$2:$D$18,3,0)="","",IF(ISTEXT($O59),"NUMERIC!",""))),"")</f>
        <v/>
      </c>
      <c r="AC59" s="17" t="str">
        <f>IF($AA59="","",IF($B59="I",VLOOKUP($AA59,#REF!,53,0),INDEX(VALUES!$B$1:$CX$1,1,$AA59)))</f>
        <v/>
      </c>
    </row>
    <row r="60" spans="1:29" hidden="1" outlineLevel="1" x14ac:dyDescent="0.3">
      <c r="A60" s="22" t="s">
        <v>84</v>
      </c>
      <c r="B60" s="42" t="str">
        <f t="shared" si="0"/>
        <v/>
      </c>
      <c r="C60" s="43">
        <f t="shared" si="4"/>
        <v>59</v>
      </c>
      <c r="D60" s="39"/>
      <c r="E60" s="39"/>
      <c r="F60" s="39"/>
      <c r="G60" s="39"/>
      <c r="H60" s="39"/>
      <c r="I60" s="39" t="s">
        <v>9</v>
      </c>
      <c r="J60" s="39"/>
      <c r="K60" s="56" t="s">
        <v>18</v>
      </c>
      <c r="L60" s="60" t="s">
        <v>21</v>
      </c>
      <c r="M60" s="115" t="s">
        <v>385</v>
      </c>
      <c r="N60" s="57" t="s">
        <v>372</v>
      </c>
      <c r="O60" s="61" t="s">
        <v>390</v>
      </c>
      <c r="Q60" s="58"/>
      <c r="R60" s="58" t="s">
        <v>189</v>
      </c>
      <c r="S60" s="58" t="s">
        <v>199</v>
      </c>
      <c r="T60" s="39"/>
      <c r="U60" s="57"/>
      <c r="V60" s="57"/>
      <c r="W60" s="15"/>
      <c r="X60" s="71"/>
      <c r="Y60" s="57" t="s">
        <v>377</v>
      </c>
      <c r="Z60" s="91" t="str">
        <f>IF(OR($M60="",NOT($O60="{array}")),"",IFERROR(MATCH(PARAMETERS!$M60,DEFAULT!$B$5:$CC$5,0),""))</f>
        <v/>
      </c>
      <c r="AA60" s="86" t="str">
        <f t="shared" si="6"/>
        <v/>
      </c>
      <c r="AB60" s="117" t="str">
        <f>IF(AND(OR($A60="G",$A60="P"),NOT($O60="{array}")),IF(VLOOKUP($K60,base!$B$2:$D$18,3,0)="S",IF(OR($O60="",ISTEXT($O60)),"","STRING!"),IF(VLOOKUP($K60,base!$B$2:$D$18,3,0)="","",IF(ISTEXT($O60),"NUMERIC!",""))),"")</f>
        <v/>
      </c>
      <c r="AC60" s="17" t="str">
        <f>IF($AA60="","",IF($B60="I",VLOOKUP($AA60,#REF!,53,0),INDEX(VALUES!$B$1:$CX$1,1,$AA60)))</f>
        <v/>
      </c>
    </row>
    <row r="61" spans="1:29" hidden="1" outlineLevel="1" x14ac:dyDescent="0.3">
      <c r="A61" s="22" t="s">
        <v>84</v>
      </c>
      <c r="B61" s="42" t="str">
        <f t="shared" si="0"/>
        <v/>
      </c>
      <c r="C61" s="43">
        <f t="shared" si="4"/>
        <v>60</v>
      </c>
      <c r="D61" s="39"/>
      <c r="E61" s="39"/>
      <c r="F61" s="39"/>
      <c r="G61" s="39"/>
      <c r="H61" s="39"/>
      <c r="I61" s="39" t="s">
        <v>9</v>
      </c>
      <c r="J61" s="39"/>
      <c r="K61" s="56" t="s">
        <v>18</v>
      </c>
      <c r="L61" s="60" t="s">
        <v>21</v>
      </c>
      <c r="M61" s="115" t="s">
        <v>386</v>
      </c>
      <c r="N61" s="57" t="s">
        <v>373</v>
      </c>
      <c r="O61" s="61" t="s">
        <v>390</v>
      </c>
      <c r="Q61" s="58"/>
      <c r="R61" s="58" t="s">
        <v>189</v>
      </c>
      <c r="S61" s="58" t="s">
        <v>199</v>
      </c>
      <c r="T61" s="39"/>
      <c r="U61" s="57"/>
      <c r="V61" s="57"/>
      <c r="W61" s="15"/>
      <c r="X61" s="71"/>
      <c r="Y61" s="57" t="s">
        <v>378</v>
      </c>
      <c r="Z61" s="91" t="str">
        <f>IF(OR($M61="",NOT($O61="{array}")),"",IFERROR(MATCH(PARAMETERS!$M61,DEFAULT!$B$5:$CC$5,0),""))</f>
        <v/>
      </c>
      <c r="AA61" s="86" t="str">
        <f t="shared" si="6"/>
        <v/>
      </c>
      <c r="AB61" s="117" t="str">
        <f>IF(AND(OR($A61="G",$A61="P"),NOT($O61="{array}")),IF(VLOOKUP($K61,base!$B$2:$D$18,3,0)="S",IF(OR($O61="",ISTEXT($O61)),"","STRING!"),IF(VLOOKUP($K61,base!$B$2:$D$18,3,0)="","",IF(ISTEXT($O61),"NUMERIC!",""))),"")</f>
        <v/>
      </c>
      <c r="AC61" s="17" t="str">
        <f>IF($AA61="","",IF($B61="I",VLOOKUP($AA61,#REF!,53,0),INDEX(VALUES!$B$1:$CX$1,1,$AA61)))</f>
        <v/>
      </c>
    </row>
    <row r="62" spans="1:29" hidden="1" outlineLevel="1" x14ac:dyDescent="0.3">
      <c r="A62" s="22" t="s">
        <v>84</v>
      </c>
      <c r="B62" s="42" t="str">
        <f t="shared" si="0"/>
        <v/>
      </c>
      <c r="C62" s="43">
        <f t="shared" si="4"/>
        <v>61</v>
      </c>
      <c r="D62" s="39"/>
      <c r="E62" s="39"/>
      <c r="F62" s="39"/>
      <c r="G62" s="39"/>
      <c r="H62" s="39"/>
      <c r="I62" s="39" t="s">
        <v>9</v>
      </c>
      <c r="J62" s="39"/>
      <c r="K62" s="56" t="s">
        <v>18</v>
      </c>
      <c r="L62" s="60" t="s">
        <v>21</v>
      </c>
      <c r="M62" s="115" t="s">
        <v>409</v>
      </c>
      <c r="N62" s="57" t="s">
        <v>374</v>
      </c>
      <c r="O62" s="61" t="s">
        <v>390</v>
      </c>
      <c r="Q62" s="58"/>
      <c r="R62" s="58" t="s">
        <v>189</v>
      </c>
      <c r="S62" s="58" t="s">
        <v>199</v>
      </c>
      <c r="T62" s="39"/>
      <c r="U62" s="57"/>
      <c r="V62" s="57"/>
      <c r="W62" s="15"/>
      <c r="X62" s="71"/>
      <c r="Y62" s="57" t="s">
        <v>379</v>
      </c>
      <c r="Z62" s="91" t="str">
        <f>IF(OR($M62="",NOT($O62="{array}")),"",IFERROR(MATCH(PARAMETERS!$M62,DEFAULT!$B$5:$CC$5,0),""))</f>
        <v/>
      </c>
      <c r="AA62" s="86" t="str">
        <f t="shared" si="6"/>
        <v/>
      </c>
      <c r="AB62" s="117" t="str">
        <f>IF(AND(OR($A62="G",$A62="P"),NOT($O62="{array}")),IF(VLOOKUP($K62,base!$B$2:$D$18,3,0)="S",IF(OR($O62="",ISTEXT($O62)),"","STRING!"),IF(VLOOKUP($K62,base!$B$2:$D$18,3,0)="","",IF(ISTEXT($O62),"NUMERIC!",""))),"")</f>
        <v/>
      </c>
      <c r="AC62" s="17" t="str">
        <f>IF($AA62="","",IF($B62="I",VLOOKUP($AA62,#REF!,53,0),INDEX(VALUES!$B$1:$CX$1,1,$AA62)))</f>
        <v/>
      </c>
    </row>
    <row r="63" spans="1:29" collapsed="1" x14ac:dyDescent="0.3">
      <c r="A63" s="22" t="s">
        <v>345</v>
      </c>
      <c r="B63" s="42"/>
      <c r="C63" s="43"/>
      <c r="D63" s="39"/>
      <c r="E63" s="39"/>
      <c r="F63" s="39"/>
      <c r="G63" s="39"/>
      <c r="H63" s="39"/>
      <c r="I63" s="39"/>
      <c r="J63" s="39"/>
      <c r="R63" s="39"/>
      <c r="S63" s="39"/>
      <c r="T63" s="39"/>
      <c r="W63" s="15"/>
      <c r="Z63" s="91" t="str">
        <f>IF(OR($M63="",NOT($O63="{array}")),"",IFERROR(MATCH(PARAMETERS!$M63,DEFAULT!$B$5:$CC$5,0),""))</f>
        <v/>
      </c>
      <c r="AA63" s="86" t="str">
        <f t="shared" si="6"/>
        <v/>
      </c>
      <c r="AB63" s="117" t="str">
        <f>IF(AND(OR($A63="G",$A63="P"),NOT($O63="{array}")),IF(VLOOKUP($K63,base!$B$2:$D$18,3,0)="S",IF(OR($O63="",ISTEXT($O63)),"","STRING!"),IF(VLOOKUP($K63,base!$B$2:$D$18,3,0)="","",IF(ISTEXT($O63),"NUMERIC!",""))),"")</f>
        <v/>
      </c>
      <c r="AC63" s="17" t="str">
        <f>IF($AA63="","",IF($B63="I",VLOOKUP($AA63,#REF!,53,0),INDEX(VALUES!$B$1:$CX$1,1,$AA63)))</f>
        <v/>
      </c>
    </row>
    <row r="64" spans="1:29" x14ac:dyDescent="0.3">
      <c r="A64" s="22" t="s">
        <v>84</v>
      </c>
      <c r="B64" s="42" t="str">
        <f t="shared" si="0"/>
        <v/>
      </c>
      <c r="C64" s="43">
        <f t="shared" ref="C64:C84" si="7">(ROW()-1)</f>
        <v>63</v>
      </c>
      <c r="D64" s="39" t="s">
        <v>9</v>
      </c>
      <c r="E64" s="39"/>
      <c r="F64" s="39"/>
      <c r="G64" s="39"/>
      <c r="H64" s="39"/>
      <c r="I64" s="39"/>
      <c r="J64" s="39"/>
      <c r="K64" s="14" t="s">
        <v>57</v>
      </c>
      <c r="L64" s="14" t="s">
        <v>38</v>
      </c>
      <c r="M64" s="49" t="s">
        <v>366</v>
      </c>
      <c r="N64" s="42" t="s">
        <v>365</v>
      </c>
      <c r="R64" s="39" t="s">
        <v>343</v>
      </c>
      <c r="S64" s="39"/>
      <c r="T64" s="15"/>
      <c r="W64" s="15"/>
      <c r="Z64" s="91" t="str">
        <f>IF(OR($M64="",NOT($O64="{array}")),"",IFERROR(MATCH(PARAMETERS!$M64,DEFAULT!$B$5:$CC$5,0),""))</f>
        <v/>
      </c>
      <c r="AA64" s="86" t="str">
        <f t="shared" si="6"/>
        <v/>
      </c>
      <c r="AB64" s="117" t="str">
        <f>IF(AND(OR($A64="G",$A64="P"),NOT($O64="{array}")),IF(VLOOKUP($K64,base!$B$2:$D$18,3,0)="S",IF(OR($O64="",ISTEXT($O64)),"","STRING!"),IF(VLOOKUP($K64,base!$B$2:$D$18,3,0)="","",IF(ISTEXT($O64),"NUMERIC!",""))),"")</f>
        <v/>
      </c>
      <c r="AC64" s="17" t="str">
        <f>IF($AA64="","",IF($B64="I",VLOOKUP($AA64,#REF!,53,0),INDEX(VALUES!$B$1:$CX$1,1,$AA64)))</f>
        <v/>
      </c>
    </row>
    <row r="65" spans="1:29" hidden="1" outlineLevel="1" x14ac:dyDescent="0.3">
      <c r="A65" s="22" t="s">
        <v>84</v>
      </c>
      <c r="B65" s="42" t="str">
        <f t="shared" si="0"/>
        <v/>
      </c>
      <c r="C65" s="43">
        <f t="shared" si="7"/>
        <v>64</v>
      </c>
      <c r="D65" s="39"/>
      <c r="E65" s="39"/>
      <c r="F65" s="39"/>
      <c r="G65" s="39" t="s">
        <v>9</v>
      </c>
      <c r="H65" s="39"/>
      <c r="I65" s="39" t="s">
        <v>9</v>
      </c>
      <c r="J65" s="39"/>
      <c r="K65" s="61" t="s">
        <v>18</v>
      </c>
      <c r="L65" s="54" t="s">
        <v>21</v>
      </c>
      <c r="M65" s="115" t="s">
        <v>410</v>
      </c>
      <c r="N65" s="61" t="s">
        <v>526</v>
      </c>
      <c r="O65" s="99" t="s">
        <v>367</v>
      </c>
      <c r="P65" s="106" t="s">
        <v>335</v>
      </c>
      <c r="Q65" s="102"/>
      <c r="R65" s="102" t="s">
        <v>189</v>
      </c>
      <c r="S65" s="102" t="s">
        <v>199</v>
      </c>
      <c r="T65" s="104" t="s">
        <v>188</v>
      </c>
      <c r="U65" s="99"/>
      <c r="V65" s="99" t="s">
        <v>211</v>
      </c>
      <c r="W65" s="105"/>
      <c r="X65" s="106"/>
      <c r="Y65" s="99" t="s">
        <v>212</v>
      </c>
      <c r="Z65" s="91" t="str">
        <f>IF(OR($M65="",NOT($O65="{array}")),"",IFERROR(MATCH(PARAMETERS!$M65,DEFAULT!$B$5:$CC$5,0),""))</f>
        <v/>
      </c>
      <c r="AA65" s="86" t="str">
        <f t="shared" si="6"/>
        <v/>
      </c>
      <c r="AB65" s="117" t="str">
        <f>IF(AND(OR($A65="G",$A65="P"),NOT($O65="{array}")),IF(VLOOKUP($K65,base!$B$2:$D$18,3,0)="S",IF(OR($O65="",ISTEXT($O65)),"","STRING!"),IF(VLOOKUP($K65,base!$B$2:$D$18,3,0)="","",IF(ISTEXT($O65),"NUMERIC!",""))),"")</f>
        <v/>
      </c>
      <c r="AC65" s="17" t="str">
        <f>IF($AA65="","",IF($B65="I",VLOOKUP($AA65,#REF!,53,0),INDEX(VALUES!$B$1:$CX$1,1,$AA65)))</f>
        <v/>
      </c>
    </row>
    <row r="66" spans="1:29" hidden="1" outlineLevel="1" x14ac:dyDescent="0.3">
      <c r="A66" s="22"/>
      <c r="B66" s="42" t="str">
        <f t="shared" si="0"/>
        <v/>
      </c>
      <c r="C66" s="43">
        <f t="shared" si="7"/>
        <v>65</v>
      </c>
      <c r="D66" s="39"/>
      <c r="E66" s="39"/>
      <c r="F66" s="39"/>
      <c r="G66" s="39"/>
      <c r="H66" s="39"/>
      <c r="I66" s="39" t="s">
        <v>9</v>
      </c>
      <c r="J66" s="39"/>
      <c r="K66" s="61" t="s">
        <v>18</v>
      </c>
      <c r="L66" s="54" t="s">
        <v>21</v>
      </c>
      <c r="M66" s="85" t="s">
        <v>411</v>
      </c>
      <c r="N66" s="99" t="s">
        <v>1052</v>
      </c>
      <c r="O66" s="99" t="s">
        <v>415</v>
      </c>
      <c r="P66" s="63" t="s">
        <v>335</v>
      </c>
      <c r="Q66" s="59"/>
      <c r="R66" s="102" t="s">
        <v>189</v>
      </c>
      <c r="S66" s="102" t="s">
        <v>199</v>
      </c>
      <c r="T66" s="104" t="s">
        <v>335</v>
      </c>
      <c r="U66" s="99"/>
      <c r="V66" s="99" t="s">
        <v>1051</v>
      </c>
      <c r="W66" s="105"/>
      <c r="X66" s="106"/>
      <c r="Y66" s="99" t="s">
        <v>416</v>
      </c>
      <c r="Z66" s="91" t="str">
        <f>IF(OR($M66="",NOT($O66="{array}")),"",IFERROR(MATCH(PARAMETERS!$M66,DEFAULT!$B$5:$CC$5,0),""))</f>
        <v/>
      </c>
      <c r="AA66" s="86" t="str">
        <f t="shared" si="6"/>
        <v/>
      </c>
      <c r="AB66" s="117" t="str">
        <f>IF(AND(OR($A66="G",$A66="P"),NOT($O66="{array}")),IF(VLOOKUP($K66,base!$B$2:$D$18,3,0)="S",IF(OR($O66="",ISTEXT($O66)),"","STRING!"),IF(VLOOKUP($K66,base!$B$2:$D$18,3,0)="","",IF(ISTEXT($O66),"NUMERIC!",""))),"")</f>
        <v/>
      </c>
      <c r="AC66" s="17" t="str">
        <f>IF($AA66="","",IF($B66="I",VLOOKUP($AA66,#REF!,53,0),INDEX(VALUES!$B$1:$CX$1,1,$AA66)))</f>
        <v/>
      </c>
    </row>
    <row r="67" spans="1:29" hidden="1" outlineLevel="1" x14ac:dyDescent="0.3">
      <c r="A67" s="22"/>
      <c r="B67" s="42" t="str">
        <f t="shared" si="0"/>
        <v/>
      </c>
      <c r="C67" s="43">
        <f t="shared" si="7"/>
        <v>66</v>
      </c>
      <c r="D67" s="39"/>
      <c r="E67" s="39"/>
      <c r="F67" s="39" t="s">
        <v>9</v>
      </c>
      <c r="G67" s="39"/>
      <c r="H67" s="39"/>
      <c r="I67" s="39" t="s">
        <v>9</v>
      </c>
      <c r="J67" s="39"/>
      <c r="K67" s="76" t="s">
        <v>18</v>
      </c>
      <c r="L67" s="76" t="s">
        <v>21</v>
      </c>
      <c r="M67" s="79" t="s">
        <v>158</v>
      </c>
      <c r="N67" s="76" t="s">
        <v>159</v>
      </c>
      <c r="O67" s="80"/>
      <c r="P67" s="76"/>
      <c r="Q67" s="78" t="s">
        <v>9</v>
      </c>
      <c r="R67" s="78" t="s">
        <v>190</v>
      </c>
      <c r="S67" s="78"/>
      <c r="T67" s="78"/>
      <c r="U67" s="76"/>
      <c r="V67" s="76"/>
      <c r="W67" s="81"/>
      <c r="X67" s="81"/>
      <c r="Y67" s="76"/>
      <c r="Z67" s="91" t="str">
        <f>IF(OR($M67="",NOT($O67="{array}")),"",IFERROR(MATCH(PARAMETERS!$M67,DEFAULT!$B$5:$CC$5,0),""))</f>
        <v/>
      </c>
      <c r="AA67" s="86" t="str">
        <f t="shared" si="6"/>
        <v/>
      </c>
      <c r="AB67" s="117" t="str">
        <f>IF(AND(OR($A67="G",$A67="P"),NOT($O67="{array}")),IF(VLOOKUP($K67,base!$B$2:$D$18,3,0)="S",IF(OR($O67="",ISTEXT($O67)),"","STRING!"),IF(VLOOKUP($K67,base!$B$2:$D$18,3,0)="","",IF(ISTEXT($O67),"NUMERIC!",""))),"")</f>
        <v/>
      </c>
      <c r="AC67" s="17" t="str">
        <f>IF($AA67="","",IF($B67="I",VLOOKUP($AA67,#REF!,53,0),INDEX(VALUES!$B$1:$CX$1,1,$AA67)))</f>
        <v/>
      </c>
    </row>
    <row r="68" spans="1:29" hidden="1" outlineLevel="1" x14ac:dyDescent="0.3">
      <c r="A68" s="22" t="s">
        <v>84</v>
      </c>
      <c r="B68" s="42" t="str">
        <f t="shared" ref="B68:B132" si="8">IF($A68="P",IF(NOT($Z68=""),"A",IF(NOT($AA68=""),"I","")),IF(NOT($AA68=""),IF($A68="G","V","X"),IF(NOT($Z68=""),"A","")))</f>
        <v/>
      </c>
      <c r="C68" s="43">
        <f t="shared" si="7"/>
        <v>67</v>
      </c>
      <c r="D68" s="39"/>
      <c r="E68" s="39"/>
      <c r="F68" s="39"/>
      <c r="G68" s="39"/>
      <c r="H68" s="39"/>
      <c r="I68" s="39" t="s">
        <v>9</v>
      </c>
      <c r="J68" s="39"/>
      <c r="K68" s="14" t="s">
        <v>47</v>
      </c>
      <c r="L68" s="14" t="s">
        <v>27</v>
      </c>
      <c r="M68" s="20" t="s">
        <v>395</v>
      </c>
      <c r="N68" s="14" t="s">
        <v>400</v>
      </c>
      <c r="O68" s="44">
        <v>0</v>
      </c>
      <c r="R68" s="39" t="s">
        <v>190</v>
      </c>
      <c r="S68" s="39"/>
      <c r="T68" s="39"/>
      <c r="W68" s="15"/>
      <c r="Z68" s="91" t="str">
        <f>IF(OR($M68="",NOT($O68="{array}")),"",IFERROR(MATCH(PARAMETERS!$M68,DEFAULT!$B$5:$CC$5,0),""))</f>
        <v/>
      </c>
      <c r="AA68" s="86" t="str">
        <f t="shared" si="6"/>
        <v/>
      </c>
      <c r="AB68" s="117" t="str">
        <f>IF(AND(OR($A68="G",$A68="P"),NOT($O68="{array}")),IF(VLOOKUP($K68,base!$B$2:$D$18,3,0)="S",IF(OR($O68="",ISTEXT($O68)),"","STRING!"),IF(VLOOKUP($K68,base!$B$2:$D$18,3,0)="","",IF(ISTEXT($O68),"NUMERIC!",""))),"")</f>
        <v/>
      </c>
      <c r="AC68" s="17" t="str">
        <f>IF($AA68="","",IF($B68="I",VLOOKUP($AA68,#REF!,53,0),INDEX(VALUES!$B$1:$CX$1,1,$AA68)))</f>
        <v/>
      </c>
    </row>
    <row r="69" spans="1:29" hidden="1" outlineLevel="1" x14ac:dyDescent="0.3">
      <c r="A69" s="22" t="s">
        <v>84</v>
      </c>
      <c r="B69" s="42" t="str">
        <f t="shared" si="8"/>
        <v/>
      </c>
      <c r="C69" s="43">
        <f t="shared" si="7"/>
        <v>68</v>
      </c>
      <c r="D69" s="39"/>
      <c r="E69" s="39"/>
      <c r="F69" s="39"/>
      <c r="G69" s="39"/>
      <c r="H69" s="39"/>
      <c r="I69" s="39" t="s">
        <v>9</v>
      </c>
      <c r="J69" s="39"/>
      <c r="K69" s="55" t="s">
        <v>44</v>
      </c>
      <c r="L69" s="54" t="s">
        <v>21</v>
      </c>
      <c r="M69" s="115" t="s">
        <v>412</v>
      </c>
      <c r="N69" s="61" t="s">
        <v>417</v>
      </c>
      <c r="O69" s="55">
        <v>1</v>
      </c>
      <c r="P69" s="63" t="s">
        <v>335</v>
      </c>
      <c r="Q69" s="65"/>
      <c r="R69" s="59" t="s">
        <v>189</v>
      </c>
      <c r="S69" s="59" t="s">
        <v>199</v>
      </c>
      <c r="T69" s="62" t="s">
        <v>335</v>
      </c>
      <c r="U69" s="55"/>
      <c r="V69" s="55" t="s">
        <v>213</v>
      </c>
      <c r="W69" s="15"/>
      <c r="X69" s="63"/>
      <c r="Y69" s="55" t="s">
        <v>214</v>
      </c>
      <c r="Z69" s="91" t="str">
        <f>IF(OR($M69="",NOT($O69="{array}")),"",IFERROR(MATCH(PARAMETERS!$M69,DEFAULT!$B$5:$CC$5,0),""))</f>
        <v/>
      </c>
      <c r="AA69" s="86" t="str">
        <f t="shared" si="6"/>
        <v/>
      </c>
      <c r="AB69" s="117" t="str">
        <f>IF(AND(OR($A69="G",$A69="P"),NOT($O69="{array}")),IF(VLOOKUP($K69,base!$B$2:$D$18,3,0)="S",IF(OR($O69="",ISTEXT($O69)),"","STRING!"),IF(VLOOKUP($K69,base!$B$2:$D$18,3,0)="","",IF(ISTEXT($O69),"NUMERIC!",""))),"")</f>
        <v/>
      </c>
      <c r="AC69" s="17" t="str">
        <f>IF($AA69="","",IF($B69="I",VLOOKUP($AA69,#REF!,53,0),INDEX(VALUES!$B$1:$CX$1,1,$AA69)))</f>
        <v/>
      </c>
    </row>
    <row r="70" spans="1:29" hidden="1" outlineLevel="1" x14ac:dyDescent="0.3">
      <c r="A70" s="22"/>
      <c r="B70" s="42" t="str">
        <f t="shared" si="8"/>
        <v/>
      </c>
      <c r="C70" s="43">
        <f t="shared" si="7"/>
        <v>69</v>
      </c>
      <c r="D70" s="39"/>
      <c r="E70" s="39"/>
      <c r="F70" s="39"/>
      <c r="G70" s="39"/>
      <c r="H70" s="39"/>
      <c r="I70" s="39" t="s">
        <v>9</v>
      </c>
      <c r="J70" s="39"/>
      <c r="K70" s="87" t="s">
        <v>36</v>
      </c>
      <c r="L70" s="87" t="s">
        <v>21</v>
      </c>
      <c r="M70" s="112" t="s">
        <v>215</v>
      </c>
      <c r="N70" s="87" t="s">
        <v>335</v>
      </c>
      <c r="O70" s="87" t="s">
        <v>335</v>
      </c>
      <c r="P70" s="64" t="s">
        <v>335</v>
      </c>
      <c r="Q70" s="107" t="s">
        <v>9</v>
      </c>
      <c r="R70" s="107" t="s">
        <v>189</v>
      </c>
      <c r="S70" s="107" t="s">
        <v>199</v>
      </c>
      <c r="T70" s="113" t="s">
        <v>188</v>
      </c>
      <c r="U70" s="87"/>
      <c r="V70" s="87" t="s">
        <v>215</v>
      </c>
      <c r="W70" s="114"/>
      <c r="X70" s="64"/>
      <c r="Y70" s="87" t="s">
        <v>216</v>
      </c>
      <c r="Z70" s="91" t="str">
        <f>IF(OR($M70="",NOT($O70="{array}")),"",IFERROR(MATCH(PARAMETERS!$M70,DEFAULT!$B$5:$CC$5,0),""))</f>
        <v/>
      </c>
      <c r="AA70" s="86" t="str">
        <f t="shared" si="6"/>
        <v/>
      </c>
      <c r="AB70" s="117" t="str">
        <f>IF(AND(OR($A70="G",$A70="P"),NOT($O70="{array}")),IF(VLOOKUP($K70,base!$B$2:$D$18,3,0)="S",IF(OR($O70="",ISTEXT($O70)),"","STRING!"),IF(VLOOKUP($K70,base!$B$2:$D$18,3,0)="","",IF(ISTEXT($O70),"NUMERIC!",""))),"")</f>
        <v/>
      </c>
      <c r="AC70" s="17" t="str">
        <f>IF($AA70="","",IF($B70="I",VLOOKUP($AA70,#REF!,53,0),INDEX(VALUES!$B$1:$CX$1,1,$AA70)))</f>
        <v/>
      </c>
    </row>
    <row r="71" spans="1:29" hidden="1" outlineLevel="1" x14ac:dyDescent="0.3">
      <c r="A71" s="22"/>
      <c r="B71" s="42" t="str">
        <f t="shared" si="8"/>
        <v/>
      </c>
      <c r="C71" s="43">
        <f t="shared" si="7"/>
        <v>70</v>
      </c>
      <c r="D71" s="39"/>
      <c r="E71" s="39"/>
      <c r="F71" s="39"/>
      <c r="G71" s="39"/>
      <c r="H71" s="39"/>
      <c r="I71" s="39" t="s">
        <v>9</v>
      </c>
      <c r="J71" s="39"/>
      <c r="K71" s="87" t="s">
        <v>36</v>
      </c>
      <c r="L71" s="87" t="s">
        <v>21</v>
      </c>
      <c r="M71" s="112" t="s">
        <v>217</v>
      </c>
      <c r="N71" s="87" t="s">
        <v>335</v>
      </c>
      <c r="O71" s="87" t="s">
        <v>335</v>
      </c>
      <c r="P71" s="64" t="s">
        <v>335</v>
      </c>
      <c r="Q71" s="107" t="s">
        <v>9</v>
      </c>
      <c r="R71" s="107" t="s">
        <v>189</v>
      </c>
      <c r="S71" s="107" t="s">
        <v>199</v>
      </c>
      <c r="T71" s="113" t="s">
        <v>188</v>
      </c>
      <c r="U71" s="87"/>
      <c r="V71" s="87" t="s">
        <v>217</v>
      </c>
      <c r="W71" s="114"/>
      <c r="X71" s="64"/>
      <c r="Y71" s="87" t="s">
        <v>218</v>
      </c>
      <c r="Z71" s="91" t="str">
        <f>IF(OR($M71="",NOT($O71="{array}")),"",IFERROR(MATCH(PARAMETERS!$M71,DEFAULT!$B$5:$CC$5,0),""))</f>
        <v/>
      </c>
      <c r="AA71" s="86" t="str">
        <f t="shared" si="6"/>
        <v/>
      </c>
      <c r="AB71" s="117" t="str">
        <f>IF(AND(OR($A71="G",$A71="P"),NOT($O71="{array}")),IF(VLOOKUP($K71,base!$B$2:$D$18,3,0)="S",IF(OR($O71="",ISTEXT($O71)),"","STRING!"),IF(VLOOKUP($K71,base!$B$2:$D$18,3,0)="","",IF(ISTEXT($O71),"NUMERIC!",""))),"")</f>
        <v/>
      </c>
      <c r="AC71" s="17" t="str">
        <f>IF($AA71="","",IF($B71="I",VLOOKUP($AA71,#REF!,53,0),INDEX(VALUES!$B$1:$CX$1,1,$AA71)))</f>
        <v/>
      </c>
    </row>
    <row r="72" spans="1:29" hidden="1" outlineLevel="1" x14ac:dyDescent="0.3">
      <c r="A72" s="22" t="s">
        <v>84</v>
      </c>
      <c r="B72" s="42" t="str">
        <f t="shared" si="8"/>
        <v/>
      </c>
      <c r="C72" s="43">
        <f t="shared" si="7"/>
        <v>71</v>
      </c>
      <c r="D72" s="39"/>
      <c r="E72" s="39"/>
      <c r="F72" s="39" t="s">
        <v>9</v>
      </c>
      <c r="G72" s="39"/>
      <c r="H72" s="39"/>
      <c r="I72" s="39" t="s">
        <v>9</v>
      </c>
      <c r="J72" s="39"/>
      <c r="K72" s="14" t="s">
        <v>47</v>
      </c>
      <c r="L72" s="14" t="s">
        <v>27</v>
      </c>
      <c r="M72" s="122" t="s">
        <v>107</v>
      </c>
      <c r="N72" s="14" t="s">
        <v>458</v>
      </c>
      <c r="O72" s="44">
        <v>0</v>
      </c>
      <c r="R72" s="39" t="s">
        <v>190</v>
      </c>
      <c r="S72" s="39"/>
      <c r="T72" s="39"/>
      <c r="W72" s="15"/>
      <c r="Y72" s="14" t="s">
        <v>106</v>
      </c>
      <c r="Z72" s="91" t="str">
        <f>IF(OR($M72="",NOT($O72="{array}")),"",IFERROR(MATCH(PARAMETERS!$M72,DEFAULT!$B$5:$CC$5,0),""))</f>
        <v/>
      </c>
      <c r="AA72" s="86" t="str">
        <f t="shared" si="6"/>
        <v/>
      </c>
      <c r="AB72" s="117" t="str">
        <f>IF(AND(OR($A72="G",$A72="P"),NOT($O72="{array}")),IF(VLOOKUP($K72,base!$B$2:$D$18,3,0)="S",IF(OR($O72="",ISTEXT($O72)),"","STRING!"),IF(VLOOKUP($K72,base!$B$2:$D$18,3,0)="","",IF(ISTEXT($O72),"NUMERIC!",""))),"")</f>
        <v/>
      </c>
      <c r="AC72" s="17" t="str">
        <f>IF($AA72="","",IF($B72="I",VLOOKUP($AA72,#REF!,53,0),INDEX(VALUES!$B$1:$CX$1,1,$AA72)))</f>
        <v/>
      </c>
    </row>
    <row r="73" spans="1:29" hidden="1" outlineLevel="1" x14ac:dyDescent="0.3">
      <c r="A73" s="22"/>
      <c r="B73" s="42" t="str">
        <f t="shared" si="8"/>
        <v/>
      </c>
      <c r="C73" s="43">
        <f t="shared" si="7"/>
        <v>72</v>
      </c>
      <c r="D73" s="39"/>
      <c r="E73" s="39"/>
      <c r="F73" s="39"/>
      <c r="G73" s="39"/>
      <c r="H73" s="39"/>
      <c r="I73" s="39" t="s">
        <v>9</v>
      </c>
      <c r="J73" s="39"/>
      <c r="K73" s="73" t="s">
        <v>44</v>
      </c>
      <c r="L73" s="73" t="s">
        <v>21</v>
      </c>
      <c r="M73" s="83" t="s">
        <v>219</v>
      </c>
      <c r="N73" s="73" t="s">
        <v>335</v>
      </c>
      <c r="O73" s="73" t="s">
        <v>335</v>
      </c>
      <c r="P73" s="74" t="s">
        <v>335</v>
      </c>
      <c r="Q73" s="75" t="s">
        <v>9</v>
      </c>
      <c r="R73" s="75" t="s">
        <v>189</v>
      </c>
      <c r="S73" s="75" t="s">
        <v>199</v>
      </c>
      <c r="T73" s="82" t="s">
        <v>335</v>
      </c>
      <c r="U73" s="73"/>
      <c r="V73" s="73" t="s">
        <v>219</v>
      </c>
      <c r="W73" s="88"/>
      <c r="X73" s="64"/>
      <c r="Y73" s="87" t="s">
        <v>414</v>
      </c>
      <c r="Z73" s="91" t="str">
        <f>IF(OR($M73="",NOT($O73="{array}")),"",IFERROR(MATCH(PARAMETERS!$M73,DEFAULT!$B$5:$CC$5,0),""))</f>
        <v/>
      </c>
      <c r="AA73" s="86" t="str">
        <f t="shared" si="6"/>
        <v/>
      </c>
      <c r="AB73" s="117" t="str">
        <f>IF(AND(OR($A73="G",$A73="P"),NOT($O73="{array}")),IF(VLOOKUP($K73,base!$B$2:$D$18,3,0)="S",IF(OR($O73="",ISTEXT($O73)),"","STRING!"),IF(VLOOKUP($K73,base!$B$2:$D$18,3,0)="","",IF(ISTEXT($O73),"NUMERIC!",""))),"")</f>
        <v/>
      </c>
      <c r="AC73" s="17" t="str">
        <f>IF($AA73="","",IF($B73="I",VLOOKUP($AA73,#REF!,53,0),INDEX(VALUES!$B$1:$CX$1,1,$AA73)))</f>
        <v/>
      </c>
    </row>
    <row r="74" spans="1:29" hidden="1" outlineLevel="1" x14ac:dyDescent="0.3">
      <c r="A74" s="22" t="s">
        <v>84</v>
      </c>
      <c r="B74" s="42" t="str">
        <f t="shared" si="8"/>
        <v/>
      </c>
      <c r="C74" s="43">
        <f t="shared" si="7"/>
        <v>73</v>
      </c>
      <c r="D74" s="39"/>
      <c r="E74" s="39"/>
      <c r="F74" s="39" t="s">
        <v>9</v>
      </c>
      <c r="G74" s="39"/>
      <c r="H74" s="39"/>
      <c r="I74" s="39" t="s">
        <v>9</v>
      </c>
      <c r="J74" s="39"/>
      <c r="K74" s="67" t="s">
        <v>18</v>
      </c>
      <c r="L74" s="14" t="s">
        <v>27</v>
      </c>
      <c r="M74" s="98" t="s">
        <v>464</v>
      </c>
      <c r="N74" s="14" t="s">
        <v>457</v>
      </c>
      <c r="O74" s="44" t="s">
        <v>389</v>
      </c>
      <c r="R74" s="39" t="s">
        <v>190</v>
      </c>
      <c r="S74" s="39"/>
      <c r="T74" s="39"/>
      <c r="W74" s="15"/>
      <c r="Z74" s="91" t="str">
        <f>IF(OR($M74="",NOT($O74="{array}")),"",IFERROR(MATCH(PARAMETERS!$M74,DEFAULT!$B$5:$CC$5,0),""))</f>
        <v/>
      </c>
      <c r="AA74" s="86" t="str">
        <f t="shared" si="6"/>
        <v/>
      </c>
      <c r="AB74" s="117" t="str">
        <f>IF(AND(OR($A74="G",$A74="P"),NOT($O74="{array}")),IF(VLOOKUP($K74,base!$B$2:$D$18,3,0)="S",IF(OR($O74="",ISTEXT($O74)),"","STRING!"),IF(VLOOKUP($K74,base!$B$2:$D$18,3,0)="","",IF(ISTEXT($O74),"NUMERIC!",""))),"")</f>
        <v/>
      </c>
      <c r="AC74" s="17" t="str">
        <f>IF($AA74="","",IF($B74="I",VLOOKUP($AA74,#REF!,53,0),INDEX(VALUES!$B$1:$CX$1,1,$AA74)))</f>
        <v/>
      </c>
    </row>
    <row r="75" spans="1:29" hidden="1" outlineLevel="1" x14ac:dyDescent="0.3">
      <c r="A75" s="22"/>
      <c r="B75" s="42" t="str">
        <f t="shared" si="8"/>
        <v/>
      </c>
      <c r="C75" s="43">
        <f t="shared" si="7"/>
        <v>74</v>
      </c>
      <c r="D75" s="39"/>
      <c r="E75" s="39"/>
      <c r="F75" s="39" t="s">
        <v>9</v>
      </c>
      <c r="G75" s="39"/>
      <c r="H75" s="39"/>
      <c r="I75" s="39" t="s">
        <v>9</v>
      </c>
      <c r="J75" s="39"/>
      <c r="K75" s="76" t="s">
        <v>47</v>
      </c>
      <c r="L75" s="76" t="s">
        <v>27</v>
      </c>
      <c r="M75" s="79" t="s">
        <v>138</v>
      </c>
      <c r="N75" s="76" t="s">
        <v>139</v>
      </c>
      <c r="O75" s="80">
        <v>0</v>
      </c>
      <c r="P75" s="76"/>
      <c r="Q75" s="78"/>
      <c r="R75" s="78" t="s">
        <v>190</v>
      </c>
      <c r="S75" s="78"/>
      <c r="T75" s="78"/>
      <c r="U75" s="76"/>
      <c r="V75" s="76"/>
      <c r="W75" s="81"/>
      <c r="X75" s="81"/>
      <c r="Y75" s="76" t="s">
        <v>346</v>
      </c>
      <c r="Z75" s="91" t="str">
        <f>IF(OR($M75="",NOT($O75="{array}")),"",IFERROR(MATCH(PARAMETERS!$M75,DEFAULT!$B$5:$CC$5,0),""))</f>
        <v/>
      </c>
      <c r="AA75" s="86" t="str">
        <f t="shared" si="6"/>
        <v/>
      </c>
      <c r="AB75" s="117" t="str">
        <f>IF(AND(OR($A75="G",$A75="P"),NOT($O75="{array}")),IF(VLOOKUP($K75,base!$B$2:$D$18,3,0)="S",IF(OR($O75="",ISTEXT($O75)),"","STRING!"),IF(VLOOKUP($K75,base!$B$2:$D$18,3,0)="","",IF(ISTEXT($O75),"NUMERIC!",""))),"")</f>
        <v/>
      </c>
      <c r="AC75" s="17" t="str">
        <f>IF($AA75="","",IF($B75="I",VLOOKUP($AA75,#REF!,53,0),INDEX(VALUES!$B$1:$CX$1,1,$AA75)))</f>
        <v/>
      </c>
    </row>
    <row r="76" spans="1:29" hidden="1" outlineLevel="1" x14ac:dyDescent="0.3">
      <c r="A76" s="22"/>
      <c r="B76" s="42" t="str">
        <f t="shared" si="8"/>
        <v/>
      </c>
      <c r="C76" s="43">
        <f t="shared" si="7"/>
        <v>75</v>
      </c>
      <c r="D76" s="39"/>
      <c r="E76" s="39"/>
      <c r="F76" s="39" t="s">
        <v>9</v>
      </c>
      <c r="G76" s="39"/>
      <c r="H76" s="39"/>
      <c r="I76" s="39" t="s">
        <v>9</v>
      </c>
      <c r="J76" s="39"/>
      <c r="K76" s="76" t="s">
        <v>47</v>
      </c>
      <c r="L76" s="76" t="s">
        <v>27</v>
      </c>
      <c r="M76" s="79" t="s">
        <v>140</v>
      </c>
      <c r="N76" s="76" t="s">
        <v>141</v>
      </c>
      <c r="O76" s="80">
        <v>0</v>
      </c>
      <c r="P76" s="76"/>
      <c r="Q76" s="78"/>
      <c r="R76" s="78" t="s">
        <v>190</v>
      </c>
      <c r="S76" s="78"/>
      <c r="T76" s="78"/>
      <c r="U76" s="76"/>
      <c r="V76" s="76"/>
      <c r="W76" s="81"/>
      <c r="X76" s="81"/>
      <c r="Y76" s="76" t="s">
        <v>347</v>
      </c>
      <c r="Z76" s="91" t="str">
        <f>IF(OR($M76="",NOT($O76="{array}")),"",IFERROR(MATCH(PARAMETERS!$M76,DEFAULT!$B$5:$CC$5,0),""))</f>
        <v/>
      </c>
      <c r="AA76" s="86" t="str">
        <f t="shared" si="6"/>
        <v/>
      </c>
      <c r="AB76" s="117" t="str">
        <f>IF(AND(OR($A76="G",$A76="P"),NOT($O76="{array}")),IF(VLOOKUP($K76,base!$B$2:$D$18,3,0)="S",IF(OR($O76="",ISTEXT($O76)),"","STRING!"),IF(VLOOKUP($K76,base!$B$2:$D$18,3,0)="","",IF(ISTEXT($O76),"NUMERIC!",""))),"")</f>
        <v/>
      </c>
      <c r="AC76" s="17" t="str">
        <f>IF($AA76="","",IF($B76="I",VLOOKUP($AA76,#REF!,53,0),INDEX(VALUES!$B$1:$CX$1,1,$AA76)))</f>
        <v/>
      </c>
    </row>
    <row r="77" spans="1:29" hidden="1" outlineLevel="1" x14ac:dyDescent="0.25">
      <c r="A77" s="22"/>
      <c r="B77" s="42" t="str">
        <f t="shared" si="8"/>
        <v/>
      </c>
      <c r="C77" s="43">
        <f t="shared" si="7"/>
        <v>76</v>
      </c>
      <c r="D77" s="39"/>
      <c r="E77" s="39"/>
      <c r="F77" s="39"/>
      <c r="G77" s="39"/>
      <c r="H77" s="39"/>
      <c r="I77" s="39" t="s">
        <v>9</v>
      </c>
      <c r="J77" s="39"/>
      <c r="K77" s="87" t="s">
        <v>44</v>
      </c>
      <c r="L77" s="87" t="s">
        <v>21</v>
      </c>
      <c r="M77" s="87" t="s">
        <v>220</v>
      </c>
      <c r="N77" s="87" t="s">
        <v>335</v>
      </c>
      <c r="O77" s="87" t="s">
        <v>335</v>
      </c>
      <c r="P77" s="64" t="s">
        <v>335</v>
      </c>
      <c r="Q77" s="107" t="s">
        <v>9</v>
      </c>
      <c r="R77" s="107" t="s">
        <v>189</v>
      </c>
      <c r="S77" s="107" t="s">
        <v>199</v>
      </c>
      <c r="T77" s="113" t="s">
        <v>335</v>
      </c>
      <c r="U77" s="87"/>
      <c r="V77" s="87" t="s">
        <v>220</v>
      </c>
      <c r="W77" s="114"/>
      <c r="X77" s="64"/>
      <c r="Y77" s="87" t="s">
        <v>455</v>
      </c>
      <c r="Z77" s="91" t="str">
        <f>IF(OR($M77="",NOT($O77="{array}")),"",IFERROR(MATCH(PARAMETERS!$M77,DEFAULT!$B$5:$CC$5,0),""))</f>
        <v/>
      </c>
      <c r="AA77" s="86" t="str">
        <f t="shared" si="6"/>
        <v/>
      </c>
      <c r="AB77" s="117" t="str">
        <f>IF(AND(OR($A77="G",$A77="P"),NOT($O77="{array}")),IF(VLOOKUP($K77,base!$B$2:$D$18,3,0)="S",IF(OR($O77="",ISTEXT($O77)),"","STRING!"),IF(VLOOKUP($K77,base!$B$2:$D$18,3,0)="","",IF(ISTEXT($O77),"NUMERIC!",""))),"")</f>
        <v/>
      </c>
      <c r="AC77" s="17" t="str">
        <f>IF($AA77="","",IF($B77="I",VLOOKUP($AA77,#REF!,53,0),INDEX(VALUES!$B$1:$CX$1,1,$AA77)))</f>
        <v/>
      </c>
    </row>
    <row r="78" spans="1:29" hidden="1" outlineLevel="1" x14ac:dyDescent="0.25">
      <c r="A78" s="22"/>
      <c r="B78" s="42" t="str">
        <f t="shared" si="8"/>
        <v/>
      </c>
      <c r="C78" s="43">
        <f t="shared" si="7"/>
        <v>77</v>
      </c>
      <c r="D78" s="39"/>
      <c r="E78" s="39"/>
      <c r="F78" s="39"/>
      <c r="G78" s="39"/>
      <c r="H78" s="39"/>
      <c r="I78" s="39" t="s">
        <v>9</v>
      </c>
      <c r="J78" s="39"/>
      <c r="K78" s="116" t="s">
        <v>31</v>
      </c>
      <c r="L78" s="87" t="s">
        <v>21</v>
      </c>
      <c r="M78" s="87" t="s">
        <v>221</v>
      </c>
      <c r="N78" s="87" t="s">
        <v>335</v>
      </c>
      <c r="O78" s="87" t="s">
        <v>335</v>
      </c>
      <c r="P78" s="64" t="s">
        <v>328</v>
      </c>
      <c r="Q78" s="107" t="s">
        <v>9</v>
      </c>
      <c r="R78" s="107" t="s">
        <v>189</v>
      </c>
      <c r="S78" s="107" t="s">
        <v>199</v>
      </c>
      <c r="T78" s="113" t="s">
        <v>335</v>
      </c>
      <c r="U78" s="87"/>
      <c r="V78" s="87" t="s">
        <v>221</v>
      </c>
      <c r="W78" s="114"/>
      <c r="X78" s="64"/>
      <c r="Y78" s="87" t="s">
        <v>456</v>
      </c>
      <c r="Z78" s="91" t="str">
        <f>IF(OR($M78="",NOT($O78="{array}")),"",IFERROR(MATCH(PARAMETERS!$M78,DEFAULT!$B$5:$CC$5,0),""))</f>
        <v/>
      </c>
      <c r="AA78" s="86" t="str">
        <f t="shared" si="6"/>
        <v/>
      </c>
      <c r="AB78" s="117" t="str">
        <f>IF(AND(OR($A78="G",$A78="P"),NOT($O78="{array}")),IF(VLOOKUP($K78,base!$B$2:$D$18,3,0)="S",IF(OR($O78="",ISTEXT($O78)),"","STRING!"),IF(VLOOKUP($K78,base!$B$2:$D$18,3,0)="","",IF(ISTEXT($O78),"NUMERIC!",""))),"")</f>
        <v/>
      </c>
      <c r="AC78" s="17" t="str">
        <f>IF($AA78="","",IF($B78="I",VLOOKUP($AA78,#REF!,53,0),INDEX(VALUES!$B$1:$CX$1,1,$AA78)))</f>
        <v/>
      </c>
    </row>
    <row r="79" spans="1:29" hidden="1" outlineLevel="1" x14ac:dyDescent="0.25">
      <c r="A79" s="22"/>
      <c r="B79" s="42" t="str">
        <f t="shared" si="8"/>
        <v/>
      </c>
      <c r="C79" s="43">
        <f t="shared" si="7"/>
        <v>78</v>
      </c>
      <c r="D79" s="39"/>
      <c r="E79" s="39"/>
      <c r="F79" s="39"/>
      <c r="G79" s="39"/>
      <c r="H79" s="39"/>
      <c r="I79" s="39" t="s">
        <v>9</v>
      </c>
      <c r="J79" s="39"/>
      <c r="K79" s="87" t="s">
        <v>18</v>
      </c>
      <c r="L79" s="87" t="s">
        <v>21</v>
      </c>
      <c r="M79" s="87" t="s">
        <v>223</v>
      </c>
      <c r="N79" s="87" t="s">
        <v>335</v>
      </c>
      <c r="O79" s="87" t="s">
        <v>335</v>
      </c>
      <c r="P79" s="64" t="s">
        <v>335</v>
      </c>
      <c r="Q79" s="107" t="s">
        <v>9</v>
      </c>
      <c r="R79" s="107" t="s">
        <v>189</v>
      </c>
      <c r="S79" s="107" t="s">
        <v>199</v>
      </c>
      <c r="T79" s="113" t="s">
        <v>188</v>
      </c>
      <c r="U79" s="87"/>
      <c r="V79" s="87" t="s">
        <v>223</v>
      </c>
      <c r="W79" s="114"/>
      <c r="X79" s="64"/>
      <c r="Y79" s="87" t="s">
        <v>459</v>
      </c>
      <c r="Z79" s="91" t="str">
        <f>IF(OR($M79="",NOT($O79="{array}")),"",IFERROR(MATCH(PARAMETERS!$M79,DEFAULT!$B$5:$CC$5,0),""))</f>
        <v/>
      </c>
      <c r="AA79" s="86" t="str">
        <f t="shared" si="6"/>
        <v/>
      </c>
      <c r="AB79" s="117" t="str">
        <f>IF(AND(OR($A79="G",$A79="P"),NOT($O79="{array}")),IF(VLOOKUP($K79,base!$B$2:$D$18,3,0)="S",IF(OR($O79="",ISTEXT($O79)),"","STRING!"),IF(VLOOKUP($K79,base!$B$2:$D$18,3,0)="","",IF(ISTEXT($O79),"NUMERIC!",""))),"")</f>
        <v/>
      </c>
      <c r="AC79" s="17" t="str">
        <f>IF($AA79="","",IF($B79="I",VLOOKUP($AA79,#REF!,53,0),INDEX(VALUES!$B$1:$CX$1,1,$AA79)))</f>
        <v/>
      </c>
    </row>
    <row r="80" spans="1:29" hidden="1" outlineLevel="1" x14ac:dyDescent="0.3">
      <c r="A80" s="22" t="s">
        <v>84</v>
      </c>
      <c r="B80" s="42" t="str">
        <f t="shared" si="8"/>
        <v/>
      </c>
      <c r="C80" s="43">
        <f t="shared" si="7"/>
        <v>79</v>
      </c>
      <c r="D80" s="39"/>
      <c r="E80" s="39"/>
      <c r="F80" s="39"/>
      <c r="G80" s="39"/>
      <c r="H80" s="39"/>
      <c r="I80" s="39" t="s">
        <v>9</v>
      </c>
      <c r="J80" s="39"/>
      <c r="K80" s="14" t="s">
        <v>44</v>
      </c>
      <c r="L80" s="14" t="s">
        <v>21</v>
      </c>
      <c r="M80" s="20" t="s">
        <v>152</v>
      </c>
      <c r="N80" s="14" t="s">
        <v>153</v>
      </c>
      <c r="O80" s="44">
        <v>0</v>
      </c>
      <c r="R80" s="39" t="s">
        <v>190</v>
      </c>
      <c r="S80" s="39"/>
      <c r="T80" s="39"/>
      <c r="W80" s="15"/>
      <c r="Z80" s="91" t="str">
        <f>IF(OR($M80="",NOT($O80="{array}")),"",IFERROR(MATCH(PARAMETERS!$M80,DEFAULT!$B$5:$CC$5,0),""))</f>
        <v/>
      </c>
      <c r="AA80" s="86" t="str">
        <f t="shared" si="6"/>
        <v/>
      </c>
      <c r="AB80" s="117" t="str">
        <f>IF(AND(OR($A80="G",$A80="P"),NOT($O80="{array}")),IF(VLOOKUP($K80,base!$B$2:$D$18,3,0)="S",IF(OR($O80="",ISTEXT($O80)),"","STRING!"),IF(VLOOKUP($K80,base!$B$2:$D$18,3,0)="","",IF(ISTEXT($O80),"NUMERIC!",""))),"")</f>
        <v/>
      </c>
      <c r="AC80" s="17" t="str">
        <f>IF($AA80="","",IF($B80="I",VLOOKUP($AA80,#REF!,53,0),INDEX(VALUES!$B$1:$CX$1,1,$AA80)))</f>
        <v/>
      </c>
    </row>
    <row r="81" spans="1:29" hidden="1" outlineLevel="1" x14ac:dyDescent="0.25">
      <c r="A81" s="22" t="s">
        <v>84</v>
      </c>
      <c r="B81" s="42" t="str">
        <f t="shared" si="8"/>
        <v/>
      </c>
      <c r="C81" s="43">
        <f t="shared" si="7"/>
        <v>80</v>
      </c>
      <c r="D81" s="39"/>
      <c r="E81" s="39"/>
      <c r="F81" s="39" t="s">
        <v>9</v>
      </c>
      <c r="G81" s="39"/>
      <c r="H81" s="39"/>
      <c r="I81" s="39" t="s">
        <v>9</v>
      </c>
      <c r="J81" s="39" t="s">
        <v>9</v>
      </c>
      <c r="K81" s="14" t="s">
        <v>18</v>
      </c>
      <c r="L81" s="14" t="s">
        <v>21</v>
      </c>
      <c r="M81" s="122" t="s">
        <v>154</v>
      </c>
      <c r="N81" s="14" t="s">
        <v>462</v>
      </c>
      <c r="O81" s="44" t="s">
        <v>155</v>
      </c>
      <c r="P81" s="63" t="s">
        <v>335</v>
      </c>
      <c r="Q81" s="59"/>
      <c r="R81" s="59" t="s">
        <v>189</v>
      </c>
      <c r="S81" s="59" t="s">
        <v>199</v>
      </c>
      <c r="T81" s="62" t="s">
        <v>335</v>
      </c>
      <c r="U81" s="55"/>
      <c r="V81" s="55" t="s">
        <v>224</v>
      </c>
      <c r="W81" s="15"/>
      <c r="X81" s="63"/>
      <c r="Y81" s="55" t="s">
        <v>225</v>
      </c>
      <c r="Z81" s="91" t="str">
        <f>IF(OR($M81="",NOT($O81="{array}")),"",IFERROR(MATCH(PARAMETERS!$M81,DEFAULT!$B$5:$CC$5,0),""))</f>
        <v/>
      </c>
      <c r="AA81" s="86" t="str">
        <f t="shared" si="6"/>
        <v/>
      </c>
      <c r="AB81" s="117" t="str">
        <f>IF(AND(OR($A81="G",$A81="P"),NOT($O81="{array}")),IF(VLOOKUP($K81,base!$B$2:$D$18,3,0)="S",IF(OR($O81="",ISTEXT($O81)),"","STRING!"),IF(VLOOKUP($K81,base!$B$2:$D$18,3,0)="","",IF(ISTEXT($O81),"NUMERIC!",""))),"")</f>
        <v/>
      </c>
      <c r="AC81" s="17" t="str">
        <f>IF($AA81="","",IF($B81="I",VLOOKUP($AA81,#REF!,53,0),INDEX(VALUES!$B$1:$CX$1,1,$AA81)))</f>
        <v/>
      </c>
    </row>
    <row r="82" spans="1:29" hidden="1" outlineLevel="1" x14ac:dyDescent="0.25">
      <c r="A82" s="22" t="s">
        <v>84</v>
      </c>
      <c r="B82" s="42" t="str">
        <f t="shared" si="8"/>
        <v/>
      </c>
      <c r="C82" s="43">
        <f t="shared" si="7"/>
        <v>81</v>
      </c>
      <c r="D82" s="39"/>
      <c r="E82" s="39"/>
      <c r="F82" s="39"/>
      <c r="G82" s="39"/>
      <c r="H82" s="39"/>
      <c r="I82" s="39" t="s">
        <v>9</v>
      </c>
      <c r="J82" s="39"/>
      <c r="K82" s="55" t="s">
        <v>44</v>
      </c>
      <c r="L82" s="54" t="s">
        <v>21</v>
      </c>
      <c r="M82" s="84" t="s">
        <v>465</v>
      </c>
      <c r="N82" s="55" t="s">
        <v>463</v>
      </c>
      <c r="O82" s="55">
        <v>0</v>
      </c>
      <c r="P82" s="63" t="s">
        <v>335</v>
      </c>
      <c r="Q82" s="59"/>
      <c r="R82" s="59" t="s">
        <v>189</v>
      </c>
      <c r="S82" s="59" t="s">
        <v>199</v>
      </c>
      <c r="T82" s="62" t="s">
        <v>335</v>
      </c>
      <c r="U82" s="55"/>
      <c r="V82" s="55" t="s">
        <v>226</v>
      </c>
      <c r="W82" s="15"/>
      <c r="X82" s="63"/>
      <c r="Y82" s="55" t="s">
        <v>388</v>
      </c>
      <c r="Z82" s="91" t="str">
        <f>IF(OR($M82="",NOT($O82="{array}")),"",IFERROR(MATCH(PARAMETERS!$M82,DEFAULT!$B$5:$CC$5,0),""))</f>
        <v/>
      </c>
      <c r="AA82" s="86" t="str">
        <f t="shared" si="6"/>
        <v/>
      </c>
      <c r="AB82" s="117" t="str">
        <f>IF(AND(OR($A82="G",$A82="P"),NOT($O82="{array}")),IF(VLOOKUP($K82,base!$B$2:$D$18,3,0)="S",IF(OR($O82="",ISTEXT($O82)),"","STRING!"),IF(VLOOKUP($K82,base!$B$2:$D$18,3,0)="","",IF(ISTEXT($O82),"NUMERIC!",""))),"")</f>
        <v/>
      </c>
      <c r="AC82" s="17" t="str">
        <f>IF($AA82="","",IF($B82="I",VLOOKUP($AA82,#REF!,53,0),INDEX(VALUES!$B$1:$CX$1,1,$AA82)))</f>
        <v/>
      </c>
    </row>
    <row r="83" spans="1:29" hidden="1" outlineLevel="1" x14ac:dyDescent="0.3">
      <c r="A83" s="22" t="s">
        <v>84</v>
      </c>
      <c r="B83" s="42" t="str">
        <f t="shared" si="8"/>
        <v/>
      </c>
      <c r="C83" s="43">
        <f t="shared" si="7"/>
        <v>82</v>
      </c>
      <c r="D83" s="39"/>
      <c r="E83" s="39"/>
      <c r="F83" s="39" t="s">
        <v>9</v>
      </c>
      <c r="G83" s="39"/>
      <c r="H83" s="39" t="s">
        <v>9</v>
      </c>
      <c r="I83" s="39"/>
      <c r="J83" s="39"/>
      <c r="K83" s="14" t="s">
        <v>47</v>
      </c>
      <c r="L83" s="14" t="s">
        <v>27</v>
      </c>
      <c r="M83" s="20" t="s">
        <v>113</v>
      </c>
      <c r="N83" s="14" t="s">
        <v>114</v>
      </c>
      <c r="O83" s="44">
        <v>0</v>
      </c>
      <c r="R83" s="39" t="s">
        <v>190</v>
      </c>
      <c r="S83" s="39"/>
      <c r="T83" s="39"/>
      <c r="W83" s="15"/>
      <c r="Z83" s="91" t="str">
        <f>IF(OR($M83="",NOT($O83="{array}")),"",IFERROR(MATCH(PARAMETERS!$M83,DEFAULT!$B$5:$CC$5,0),""))</f>
        <v/>
      </c>
      <c r="AA83" s="86" t="str">
        <f t="shared" si="6"/>
        <v/>
      </c>
      <c r="AB83" s="117" t="str">
        <f>IF(AND(OR($A83="G",$A83="P"),NOT($O83="{array}")),IF(VLOOKUP($K83,base!$B$2:$D$18,3,0)="S",IF(OR($O83="",ISTEXT($O83)),"","STRING!"),IF(VLOOKUP($K83,base!$B$2:$D$18,3,0)="","",IF(ISTEXT($O83),"NUMERIC!",""))),"")</f>
        <v/>
      </c>
      <c r="AC83" s="17" t="str">
        <f>IF($AA83="","",IF($B83="I",VLOOKUP($AA83,#REF!,53,0),INDEX(VALUES!$B$1:$CX$1,1,$AA83)))</f>
        <v/>
      </c>
    </row>
    <row r="84" spans="1:29" hidden="1" outlineLevel="1" x14ac:dyDescent="0.3">
      <c r="A84" s="22" t="s">
        <v>84</v>
      </c>
      <c r="B84" s="42" t="str">
        <f t="shared" si="8"/>
        <v/>
      </c>
      <c r="C84" s="43">
        <f t="shared" si="7"/>
        <v>83</v>
      </c>
      <c r="D84" s="39"/>
      <c r="E84" s="39"/>
      <c r="F84" s="39" t="s">
        <v>9</v>
      </c>
      <c r="G84" s="39"/>
      <c r="H84" s="39" t="s">
        <v>9</v>
      </c>
      <c r="I84" s="39"/>
      <c r="J84" s="39"/>
      <c r="K84" s="14" t="s">
        <v>47</v>
      </c>
      <c r="L84" s="14" t="s">
        <v>27</v>
      </c>
      <c r="M84" s="20" t="s">
        <v>115</v>
      </c>
      <c r="N84" s="14" t="s">
        <v>466</v>
      </c>
      <c r="O84" s="44">
        <v>0</v>
      </c>
      <c r="R84" s="39" t="s">
        <v>190</v>
      </c>
      <c r="S84" s="39"/>
      <c r="T84" s="39"/>
      <c r="W84" s="15"/>
      <c r="Z84" s="91" t="str">
        <f>IF(OR($M84="",NOT($O84="{array}")),"",IFERROR(MATCH(PARAMETERS!$M84,DEFAULT!$B$5:$CC$5,0),""))</f>
        <v/>
      </c>
      <c r="AA84" s="86" t="str">
        <f t="shared" si="6"/>
        <v/>
      </c>
      <c r="AB84" s="117" t="str">
        <f>IF(AND(OR($A84="G",$A84="P"),NOT($O84="{array}")),IF(VLOOKUP($K84,base!$B$2:$D$18,3,0)="S",IF(OR($O84="",ISTEXT($O84)),"","STRING!"),IF(VLOOKUP($K84,base!$B$2:$D$18,3,0)="","",IF(ISTEXT($O84),"NUMERIC!",""))),"")</f>
        <v/>
      </c>
      <c r="AC84" s="17" t="str">
        <f>IF($AA84="","",IF($B84="I",VLOOKUP($AA84,#REF!,53,0),INDEX(VALUES!$B$1:$CX$1,1,$AA84)))</f>
        <v/>
      </c>
    </row>
    <row r="85" spans="1:29" hidden="1" outlineLevel="1" x14ac:dyDescent="0.25">
      <c r="A85" s="22"/>
      <c r="B85" s="42" t="str">
        <f t="shared" si="8"/>
        <v/>
      </c>
      <c r="C85" s="43">
        <f t="shared" ref="C85:C109" si="9">(ROW()-1)</f>
        <v>84</v>
      </c>
      <c r="D85" s="39"/>
      <c r="E85" s="39"/>
      <c r="F85" s="39"/>
      <c r="G85" s="39"/>
      <c r="H85" s="39"/>
      <c r="I85" s="39"/>
      <c r="J85" s="39"/>
      <c r="K85" s="55" t="s">
        <v>18</v>
      </c>
      <c r="L85" s="54" t="s">
        <v>21</v>
      </c>
      <c r="M85" s="55" t="s">
        <v>293</v>
      </c>
      <c r="N85" s="55" t="s">
        <v>335</v>
      </c>
      <c r="O85" s="55" t="s">
        <v>335</v>
      </c>
      <c r="P85" s="63" t="s">
        <v>335</v>
      </c>
      <c r="Q85" s="59" t="s">
        <v>9</v>
      </c>
      <c r="R85" s="59" t="s">
        <v>189</v>
      </c>
      <c r="S85" s="59" t="s">
        <v>199</v>
      </c>
      <c r="T85" s="55" t="s">
        <v>335</v>
      </c>
      <c r="U85" s="55"/>
      <c r="V85" s="55" t="s">
        <v>293</v>
      </c>
      <c r="W85" s="15"/>
      <c r="X85" s="63"/>
      <c r="Y85" s="55" t="s">
        <v>335</v>
      </c>
      <c r="Z85" s="91" t="str">
        <f>IF(OR($M85="",NOT($O85="{array}")),"",IFERROR(MATCH(PARAMETERS!$M85,DEFAULT!$B$5:$CC$5,0),""))</f>
        <v/>
      </c>
      <c r="AA85" s="86" t="str">
        <f t="shared" si="6"/>
        <v/>
      </c>
      <c r="AB85" s="117" t="str">
        <f>IF(AND(OR($A85="G",$A85="P"),NOT($O85="{array}")),IF(VLOOKUP($K85,base!$B$2:$D$18,3,0)="S",IF(OR($O85="",ISTEXT($O85)),"","STRING!"),IF(VLOOKUP($K85,base!$B$2:$D$18,3,0)="","",IF(ISTEXT($O85),"NUMERIC!",""))),"")</f>
        <v/>
      </c>
      <c r="AC85" s="17" t="str">
        <f>IF($AA85="","",IF($B85="I",VLOOKUP($AA85,#REF!,53,0),INDEX(VALUES!$B$1:$CX$1,1,$AA85)))</f>
        <v/>
      </c>
    </row>
    <row r="86" spans="1:29" hidden="1" outlineLevel="1" x14ac:dyDescent="0.25">
      <c r="A86" s="22"/>
      <c r="B86" s="42" t="str">
        <f t="shared" si="8"/>
        <v/>
      </c>
      <c r="C86" s="43">
        <f t="shared" si="9"/>
        <v>85</v>
      </c>
      <c r="D86" s="39"/>
      <c r="E86" s="39"/>
      <c r="F86" s="39"/>
      <c r="G86" s="39"/>
      <c r="H86" s="39"/>
      <c r="I86" s="39"/>
      <c r="J86" s="39"/>
      <c r="K86" s="55" t="s">
        <v>18</v>
      </c>
      <c r="L86" s="54" t="s">
        <v>21</v>
      </c>
      <c r="M86" s="55" t="s">
        <v>294</v>
      </c>
      <c r="N86" s="55" t="s">
        <v>335</v>
      </c>
      <c r="O86" s="55" t="s">
        <v>335</v>
      </c>
      <c r="P86" s="63" t="s">
        <v>335</v>
      </c>
      <c r="Q86" s="59" t="s">
        <v>9</v>
      </c>
      <c r="R86" s="59" t="s">
        <v>189</v>
      </c>
      <c r="S86" s="59" t="s">
        <v>199</v>
      </c>
      <c r="T86" s="55" t="s">
        <v>335</v>
      </c>
      <c r="U86" s="55"/>
      <c r="V86" s="55" t="s">
        <v>294</v>
      </c>
      <c r="W86" s="15"/>
      <c r="X86" s="63"/>
      <c r="Y86" s="55" t="s">
        <v>335</v>
      </c>
      <c r="Z86" s="91" t="str">
        <f>IF(OR($M86="",NOT($O86="{array}")),"",IFERROR(MATCH(PARAMETERS!$M86,DEFAULT!$B$5:$CC$5,0),""))</f>
        <v/>
      </c>
      <c r="AA86" s="86" t="str">
        <f t="shared" si="6"/>
        <v/>
      </c>
      <c r="AB86" s="117" t="str">
        <f>IF(AND(OR($A86="G",$A86="P"),NOT($O86="{array}")),IF(VLOOKUP($K86,base!$B$2:$D$18,3,0)="S",IF(OR($O86="",ISTEXT($O86)),"","STRING!"),IF(VLOOKUP($K86,base!$B$2:$D$18,3,0)="","",IF(ISTEXT($O86),"NUMERIC!",""))),"")</f>
        <v/>
      </c>
      <c r="AC86" s="17" t="str">
        <f>IF($AA86="","",IF($B86="I",VLOOKUP($AA86,#REF!,53,0),INDEX(VALUES!$B$1:$CX$1,1,$AA86)))</f>
        <v/>
      </c>
    </row>
    <row r="87" spans="1:29" hidden="1" outlineLevel="1" x14ac:dyDescent="0.25">
      <c r="A87" s="22"/>
      <c r="B87" s="42" t="str">
        <f t="shared" si="8"/>
        <v/>
      </c>
      <c r="C87" s="43">
        <f t="shared" si="9"/>
        <v>86</v>
      </c>
      <c r="D87" s="39"/>
      <c r="E87" s="39"/>
      <c r="F87" s="39"/>
      <c r="G87" s="39"/>
      <c r="H87" s="39"/>
      <c r="I87" s="39"/>
      <c r="J87" s="39"/>
      <c r="K87" s="55" t="s">
        <v>18</v>
      </c>
      <c r="L87" s="54" t="s">
        <v>21</v>
      </c>
      <c r="M87" s="55" t="s">
        <v>295</v>
      </c>
      <c r="N87" s="55" t="s">
        <v>335</v>
      </c>
      <c r="O87" s="55" t="s">
        <v>335</v>
      </c>
      <c r="P87" s="63" t="s">
        <v>335</v>
      </c>
      <c r="Q87" s="59" t="s">
        <v>9</v>
      </c>
      <c r="R87" s="59" t="s">
        <v>189</v>
      </c>
      <c r="S87" s="59" t="s">
        <v>199</v>
      </c>
      <c r="T87" s="55" t="s">
        <v>335</v>
      </c>
      <c r="U87" s="55"/>
      <c r="V87" s="55" t="s">
        <v>295</v>
      </c>
      <c r="W87" s="15"/>
      <c r="X87" s="63"/>
      <c r="Y87" s="55" t="s">
        <v>335</v>
      </c>
      <c r="Z87" s="91" t="str">
        <f>IF(OR($M87="",NOT($O87="{array}")),"",IFERROR(MATCH(PARAMETERS!$M87,DEFAULT!$B$5:$CC$5,0),""))</f>
        <v/>
      </c>
      <c r="AA87" s="86" t="str">
        <f t="shared" si="6"/>
        <v/>
      </c>
      <c r="AB87" s="117" t="str">
        <f>IF(AND(OR($A87="G",$A87="P"),NOT($O87="{array}")),IF(VLOOKUP($K87,base!$B$2:$D$18,3,0)="S",IF(OR($O87="",ISTEXT($O87)),"","STRING!"),IF(VLOOKUP($K87,base!$B$2:$D$18,3,0)="","",IF(ISTEXT($O87),"NUMERIC!",""))),"")</f>
        <v/>
      </c>
      <c r="AC87" s="17" t="str">
        <f>IF($AA87="","",IF($B87="I",VLOOKUP($AA87,#REF!,53,0),INDEX(VALUES!$B$1:$CX$1,1,$AA87)))</f>
        <v/>
      </c>
    </row>
    <row r="88" spans="1:29" hidden="1" outlineLevel="1" x14ac:dyDescent="0.25">
      <c r="A88" s="22"/>
      <c r="B88" s="42" t="str">
        <f t="shared" si="8"/>
        <v/>
      </c>
      <c r="C88" s="43">
        <f t="shared" si="9"/>
        <v>87</v>
      </c>
      <c r="D88" s="39"/>
      <c r="E88" s="39"/>
      <c r="F88" s="39"/>
      <c r="G88" s="39"/>
      <c r="H88" s="39"/>
      <c r="I88" s="39"/>
      <c r="J88" s="39"/>
      <c r="K88" s="55" t="s">
        <v>18</v>
      </c>
      <c r="L88" s="54" t="s">
        <v>21</v>
      </c>
      <c r="M88" s="55" t="s">
        <v>296</v>
      </c>
      <c r="N88" s="55" t="s">
        <v>335</v>
      </c>
      <c r="O88" s="55" t="s">
        <v>335</v>
      </c>
      <c r="P88" s="63" t="s">
        <v>335</v>
      </c>
      <c r="Q88" s="59" t="s">
        <v>9</v>
      </c>
      <c r="R88" s="59" t="s">
        <v>189</v>
      </c>
      <c r="S88" s="59" t="s">
        <v>199</v>
      </c>
      <c r="T88" s="55" t="s">
        <v>335</v>
      </c>
      <c r="U88" s="55"/>
      <c r="V88" s="55" t="s">
        <v>296</v>
      </c>
      <c r="W88" s="15"/>
      <c r="X88" s="63"/>
      <c r="Y88" s="55" t="s">
        <v>335</v>
      </c>
      <c r="Z88" s="91" t="str">
        <f>IF(OR($M88="",NOT($O88="{array}")),"",IFERROR(MATCH(PARAMETERS!$M88,DEFAULT!$B$5:$CC$5,0),""))</f>
        <v/>
      </c>
      <c r="AA88" s="86" t="str">
        <f t="shared" si="6"/>
        <v/>
      </c>
      <c r="AB88" s="117" t="str">
        <f>IF(AND(OR($A88="G",$A88="P"),NOT($O88="{array}")),IF(VLOOKUP($K88,base!$B$2:$D$18,3,0)="S",IF(OR($O88="",ISTEXT($O88)),"","STRING!"),IF(VLOOKUP($K88,base!$B$2:$D$18,3,0)="","",IF(ISTEXT($O88),"NUMERIC!",""))),"")</f>
        <v/>
      </c>
      <c r="AC88" s="17" t="str">
        <f>IF($AA88="","",IF($B88="I",VLOOKUP($AA88,#REF!,53,0),INDEX(VALUES!$B$1:$CX$1,1,$AA88)))</f>
        <v/>
      </c>
    </row>
    <row r="89" spans="1:29" hidden="1" outlineLevel="1" x14ac:dyDescent="0.25">
      <c r="A89" s="22"/>
      <c r="B89" s="42" t="str">
        <f t="shared" si="8"/>
        <v/>
      </c>
      <c r="C89" s="43">
        <f t="shared" si="9"/>
        <v>88</v>
      </c>
      <c r="D89" s="39"/>
      <c r="E89" s="39"/>
      <c r="F89" s="39"/>
      <c r="G89" s="39"/>
      <c r="H89" s="39"/>
      <c r="I89" s="39"/>
      <c r="J89" s="39"/>
      <c r="K89" s="55" t="s">
        <v>18</v>
      </c>
      <c r="L89" s="54" t="s">
        <v>21</v>
      </c>
      <c r="M89" s="55" t="s">
        <v>297</v>
      </c>
      <c r="N89" s="55" t="s">
        <v>335</v>
      </c>
      <c r="O89" s="55" t="s">
        <v>335</v>
      </c>
      <c r="P89" s="63" t="s">
        <v>335</v>
      </c>
      <c r="Q89" s="59" t="s">
        <v>9</v>
      </c>
      <c r="R89" s="59" t="s">
        <v>189</v>
      </c>
      <c r="S89" s="59" t="s">
        <v>199</v>
      </c>
      <c r="T89" s="55" t="s">
        <v>335</v>
      </c>
      <c r="U89" s="55"/>
      <c r="V89" s="55" t="s">
        <v>297</v>
      </c>
      <c r="W89" s="15"/>
      <c r="X89" s="63"/>
      <c r="Y89" s="55" t="s">
        <v>335</v>
      </c>
      <c r="Z89" s="91" t="str">
        <f>IF(OR($M89="",NOT($O89="{array}")),"",IFERROR(MATCH(PARAMETERS!$M89,DEFAULT!$B$5:$CC$5,0),""))</f>
        <v/>
      </c>
      <c r="AA89" s="86" t="str">
        <f t="shared" si="6"/>
        <v/>
      </c>
      <c r="AB89" s="117" t="str">
        <f>IF(AND(OR($A89="G",$A89="P"),NOT($O89="{array}")),IF(VLOOKUP($K89,base!$B$2:$D$18,3,0)="S",IF(OR($O89="",ISTEXT($O89)),"","STRING!"),IF(VLOOKUP($K89,base!$B$2:$D$18,3,0)="","",IF(ISTEXT($O89),"NUMERIC!",""))),"")</f>
        <v/>
      </c>
      <c r="AC89" s="17" t="str">
        <f>IF($AA89="","",IF($B89="I",VLOOKUP($AA89,#REF!,53,0),INDEX(VALUES!$B$1:$CX$1,1,$AA89)))</f>
        <v/>
      </c>
    </row>
    <row r="90" spans="1:29" hidden="1" outlineLevel="1" x14ac:dyDescent="0.25">
      <c r="A90" s="22"/>
      <c r="B90" s="42" t="str">
        <f t="shared" si="8"/>
        <v/>
      </c>
      <c r="C90" s="43">
        <f t="shared" si="9"/>
        <v>89</v>
      </c>
      <c r="D90" s="39"/>
      <c r="E90" s="39"/>
      <c r="F90" s="39"/>
      <c r="G90" s="39"/>
      <c r="H90" s="39"/>
      <c r="I90" s="39"/>
      <c r="J90" s="39"/>
      <c r="K90" s="55" t="s">
        <v>18</v>
      </c>
      <c r="L90" s="54" t="s">
        <v>21</v>
      </c>
      <c r="M90" s="55" t="s">
        <v>298</v>
      </c>
      <c r="N90" s="55" t="s">
        <v>335</v>
      </c>
      <c r="O90" s="55" t="s">
        <v>335</v>
      </c>
      <c r="P90" s="63" t="s">
        <v>335</v>
      </c>
      <c r="Q90" s="59" t="s">
        <v>9</v>
      </c>
      <c r="R90" s="59" t="s">
        <v>189</v>
      </c>
      <c r="S90" s="59" t="s">
        <v>199</v>
      </c>
      <c r="T90" s="55" t="s">
        <v>335</v>
      </c>
      <c r="U90" s="55"/>
      <c r="V90" s="55" t="s">
        <v>298</v>
      </c>
      <c r="W90" s="15"/>
      <c r="X90" s="63"/>
      <c r="Y90" s="55" t="s">
        <v>335</v>
      </c>
      <c r="Z90" s="91" t="str">
        <f>IF(OR($M90="",NOT($O90="{array}")),"",IFERROR(MATCH(PARAMETERS!$M90,DEFAULT!$B$5:$CC$5,0),""))</f>
        <v/>
      </c>
      <c r="AA90" s="86" t="str">
        <f t="shared" si="6"/>
        <v/>
      </c>
      <c r="AB90" s="117" t="str">
        <f>IF(AND(OR($A90="G",$A90="P"),NOT($O90="{array}")),IF(VLOOKUP($K90,base!$B$2:$D$18,3,0)="S",IF(OR($O90="",ISTEXT($O90)),"","STRING!"),IF(VLOOKUP($K90,base!$B$2:$D$18,3,0)="","",IF(ISTEXT($O90),"NUMERIC!",""))),"")</f>
        <v/>
      </c>
      <c r="AC90" s="17" t="str">
        <f>IF($AA90="","",IF($B90="I",VLOOKUP($AA90,#REF!,53,0),INDEX(VALUES!$B$1:$CX$1,1,$AA90)))</f>
        <v/>
      </c>
    </row>
    <row r="91" spans="1:29" hidden="1" outlineLevel="1" x14ac:dyDescent="0.25">
      <c r="A91" s="22"/>
      <c r="B91" s="42" t="str">
        <f t="shared" si="8"/>
        <v/>
      </c>
      <c r="C91" s="43">
        <f t="shared" si="9"/>
        <v>90</v>
      </c>
      <c r="D91" s="39"/>
      <c r="E91" s="39"/>
      <c r="F91" s="39"/>
      <c r="G91" s="39"/>
      <c r="H91" s="39"/>
      <c r="I91" s="39"/>
      <c r="J91" s="39"/>
      <c r="K91" s="55" t="s">
        <v>18</v>
      </c>
      <c r="L91" s="54" t="s">
        <v>21</v>
      </c>
      <c r="M91" s="55" t="s">
        <v>299</v>
      </c>
      <c r="N91" s="55" t="s">
        <v>335</v>
      </c>
      <c r="O91" s="55" t="s">
        <v>335</v>
      </c>
      <c r="P91" s="63" t="s">
        <v>335</v>
      </c>
      <c r="Q91" s="59" t="s">
        <v>9</v>
      </c>
      <c r="R91" s="59" t="s">
        <v>189</v>
      </c>
      <c r="S91" s="59" t="s">
        <v>199</v>
      </c>
      <c r="T91" s="55" t="s">
        <v>335</v>
      </c>
      <c r="U91" s="55"/>
      <c r="V91" s="55" t="s">
        <v>299</v>
      </c>
      <c r="W91" s="15"/>
      <c r="X91" s="63"/>
      <c r="Y91" s="55" t="s">
        <v>335</v>
      </c>
      <c r="Z91" s="91" t="str">
        <f>IF(OR($M91="",NOT($O91="{array}")),"",IFERROR(MATCH(PARAMETERS!$M91,DEFAULT!$B$5:$CC$5,0),""))</f>
        <v/>
      </c>
      <c r="AA91" s="86" t="str">
        <f t="shared" si="6"/>
        <v/>
      </c>
      <c r="AB91" s="117" t="str">
        <f>IF(AND(OR($A91="G",$A91="P"),NOT($O91="{array}")),IF(VLOOKUP($K91,base!$B$2:$D$18,3,0)="S",IF(OR($O91="",ISTEXT($O91)),"","STRING!"),IF(VLOOKUP($K91,base!$B$2:$D$18,3,0)="","",IF(ISTEXT($O91),"NUMERIC!",""))),"")</f>
        <v/>
      </c>
      <c r="AC91" s="17" t="str">
        <f>IF($AA91="","",IF($B91="I",VLOOKUP($AA91,#REF!,53,0),INDEX(VALUES!$B$1:$CX$1,1,$AA91)))</f>
        <v/>
      </c>
    </row>
    <row r="92" spans="1:29" collapsed="1" x14ac:dyDescent="0.3">
      <c r="A92" s="22" t="s">
        <v>84</v>
      </c>
      <c r="B92" s="42" t="str">
        <f t="shared" si="8"/>
        <v/>
      </c>
      <c r="C92" s="43">
        <f t="shared" si="9"/>
        <v>91</v>
      </c>
      <c r="D92" s="39"/>
      <c r="E92" s="39"/>
      <c r="F92" s="39" t="s">
        <v>9</v>
      </c>
      <c r="G92" s="39"/>
      <c r="H92" s="39"/>
      <c r="I92" s="39"/>
      <c r="J92" s="39"/>
      <c r="K92" s="14" t="s">
        <v>57</v>
      </c>
      <c r="L92" s="14" t="s">
        <v>38</v>
      </c>
      <c r="M92" s="49" t="s">
        <v>1053</v>
      </c>
      <c r="N92" s="42" t="s">
        <v>1054</v>
      </c>
      <c r="R92" s="39" t="s">
        <v>190</v>
      </c>
      <c r="S92" s="39"/>
      <c r="T92" s="39"/>
      <c r="W92" s="15" t="s">
        <v>190</v>
      </c>
      <c r="Z92" s="91" t="s">
        <v>335</v>
      </c>
      <c r="AA92" s="86" t="str">
        <f t="shared" si="6"/>
        <v/>
      </c>
      <c r="AB92" s="117" t="str">
        <f>IF(AND(OR($A92="G",$A92="P"),NOT($O92="{array}")),IF(VLOOKUP($K92,base!$B$2:$D$18,3,0)="S",IF(OR($O92="",ISTEXT($O92)),"","STRING!"),IF(VLOOKUP($K92,base!$B$2:$D$18,3,0)="","",IF(ISTEXT($O92),"NUMERIC!",""))),"")</f>
        <v/>
      </c>
      <c r="AC92" s="17" t="str">
        <f>IF($AA92="","",IF($B92="I",VLOOKUP($AA92,#REF!,53,0),INDEX(VALUES!$B$1:$CX$1,1,$AA92)))</f>
        <v/>
      </c>
    </row>
    <row r="93" spans="1:29" hidden="1" outlineLevel="1" x14ac:dyDescent="0.25">
      <c r="A93" s="22" t="s">
        <v>84</v>
      </c>
      <c r="B93" s="42" t="str">
        <f t="shared" si="8"/>
        <v/>
      </c>
      <c r="C93" s="43">
        <f t="shared" si="9"/>
        <v>92</v>
      </c>
      <c r="D93" s="39"/>
      <c r="E93" s="39"/>
      <c r="F93" s="39" t="s">
        <v>9</v>
      </c>
      <c r="G93" s="39"/>
      <c r="H93" s="39"/>
      <c r="I93" s="39" t="s">
        <v>9</v>
      </c>
      <c r="J93" s="39"/>
      <c r="K93" s="14" t="s">
        <v>18</v>
      </c>
      <c r="L93" s="14" t="s">
        <v>27</v>
      </c>
      <c r="M93" s="122" t="s">
        <v>1055</v>
      </c>
      <c r="N93" s="14" t="s">
        <v>1056</v>
      </c>
      <c r="O93" s="44" t="s">
        <v>1057</v>
      </c>
      <c r="Q93" s="59"/>
      <c r="R93" s="59"/>
      <c r="S93" s="59" t="s">
        <v>199</v>
      </c>
      <c r="T93" s="55" t="s">
        <v>335</v>
      </c>
      <c r="U93" s="55" t="s">
        <v>335</v>
      </c>
      <c r="V93" s="55" t="s">
        <v>1058</v>
      </c>
      <c r="W93" s="15"/>
      <c r="Z93" s="91" t="s">
        <v>335</v>
      </c>
      <c r="AA93" s="86" t="str">
        <f t="shared" si="6"/>
        <v/>
      </c>
      <c r="AB93" s="117" t="str">
        <f>IF(AND(OR($A93="G",$A93="P"),NOT($O93="{array}")),IF(VLOOKUP($K93,base!$B$2:$D$18,3,0)="S",IF(OR($O93="",ISTEXT($O93)),"","STRING!"),IF(VLOOKUP($K93,base!$B$2:$D$18,3,0)="","",IF(ISTEXT($O93),"NUMERIC!",""))),"")</f>
        <v/>
      </c>
      <c r="AC93" s="17" t="str">
        <f>IF($AA93="","",IF($B93="I",VLOOKUP($AA93,#REF!,53,0),INDEX(VALUES!$B$1:$CX$1,1,$AA93)))</f>
        <v/>
      </c>
    </row>
    <row r="94" spans="1:29" hidden="1" outlineLevel="1" x14ac:dyDescent="0.25">
      <c r="A94" s="22" t="s">
        <v>84</v>
      </c>
      <c r="B94" s="42" t="str">
        <f t="shared" si="8"/>
        <v/>
      </c>
      <c r="C94" s="43">
        <f t="shared" si="9"/>
        <v>93</v>
      </c>
      <c r="D94" s="39"/>
      <c r="E94" s="39"/>
      <c r="F94" s="39"/>
      <c r="G94" s="39"/>
      <c r="H94" s="39"/>
      <c r="I94" s="39" t="s">
        <v>9</v>
      </c>
      <c r="J94" s="39"/>
      <c r="K94" s="55" t="s">
        <v>18</v>
      </c>
      <c r="L94" s="14" t="s">
        <v>32</v>
      </c>
      <c r="M94" s="98" t="s">
        <v>1059</v>
      </c>
      <c r="N94" s="55" t="s">
        <v>1060</v>
      </c>
      <c r="O94" s="55" t="s">
        <v>391</v>
      </c>
      <c r="P94" s="63" t="s">
        <v>335</v>
      </c>
      <c r="Q94" s="59"/>
      <c r="R94" s="59" t="s">
        <v>189</v>
      </c>
      <c r="S94" s="59" t="s">
        <v>199</v>
      </c>
      <c r="T94" s="55" t="s">
        <v>335</v>
      </c>
      <c r="U94" s="55" t="s">
        <v>335</v>
      </c>
      <c r="V94" s="55" t="s">
        <v>1060</v>
      </c>
      <c r="W94" s="15" t="s">
        <v>335</v>
      </c>
      <c r="Y94" s="55" t="s">
        <v>1061</v>
      </c>
      <c r="Z94" s="91" t="s">
        <v>335</v>
      </c>
      <c r="AA94" s="86" t="str">
        <f t="shared" si="6"/>
        <v/>
      </c>
      <c r="AB94" s="117" t="str">
        <f>IF(AND(OR($A94="G",$A94="P"),NOT($O94="{array}")),IF(VLOOKUP($K94,base!$B$2:$D$18,3,0)="S",IF(OR($O94="",ISTEXT($O94)),"","STRING!"),IF(VLOOKUP($K94,base!$B$2:$D$18,3,0)="","",IF(ISTEXT($O94),"NUMERIC!",""))),"")</f>
        <v/>
      </c>
      <c r="AC94" s="17" t="str">
        <f>IF($AA94="","",IF($B94="I",VLOOKUP($AA94,#REF!,53,0),INDEX(VALUES!$B$1:$CX$1,1,$AA94)))</f>
        <v/>
      </c>
    </row>
    <row r="95" spans="1:29" collapsed="1" x14ac:dyDescent="0.3">
      <c r="A95" s="22" t="s">
        <v>84</v>
      </c>
      <c r="B95" s="42" t="str">
        <f t="shared" si="8"/>
        <v/>
      </c>
      <c r="C95" s="43">
        <f t="shared" si="9"/>
        <v>94</v>
      </c>
      <c r="D95" s="39"/>
      <c r="E95" s="39"/>
      <c r="F95" s="39" t="s">
        <v>9</v>
      </c>
      <c r="G95" s="39"/>
      <c r="H95" s="39"/>
      <c r="I95" s="39"/>
      <c r="J95" s="39"/>
      <c r="K95" s="14" t="s">
        <v>57</v>
      </c>
      <c r="L95" s="14" t="s">
        <v>38</v>
      </c>
      <c r="M95" s="49" t="s">
        <v>1025</v>
      </c>
      <c r="N95" s="42" t="s">
        <v>1026</v>
      </c>
      <c r="R95" s="39" t="s">
        <v>190</v>
      </c>
      <c r="S95" s="39"/>
      <c r="T95" s="39"/>
      <c r="W95" s="15" t="str">
        <f>IF(IFERROR(VLOOKUP($M95,#REF!,1,0),"-")="-","","GS")</f>
        <v/>
      </c>
      <c r="Z95" s="91" t="s">
        <v>335</v>
      </c>
      <c r="AA95" s="86" t="str">
        <f t="shared" si="6"/>
        <v/>
      </c>
      <c r="AB95" s="117" t="str">
        <f>IF(AND(OR($A95="G",$A95="P"),NOT($O95="{array}")),IF(VLOOKUP($K95,base!$B$2:$D$18,3,0)="S",IF(OR($O95="",ISTEXT($O95)),"","STRING!"),IF(VLOOKUP($K95,base!$B$2:$D$18,3,0)="","",IF(ISTEXT($O95),"NUMERIC!",""))),"")</f>
        <v/>
      </c>
      <c r="AC95" s="17" t="str">
        <f>IF($AA95="","",IF($B95="I",VLOOKUP($AA95,#REF!,53,0),INDEX(VALUES!$B$1:$CX$1,1,$AA95)))</f>
        <v/>
      </c>
    </row>
    <row r="96" spans="1:29" hidden="1" outlineLevel="1" x14ac:dyDescent="0.25">
      <c r="A96" s="22" t="s">
        <v>84</v>
      </c>
      <c r="B96" s="42" t="str">
        <f t="shared" si="8"/>
        <v/>
      </c>
      <c r="C96" s="43">
        <f t="shared" si="9"/>
        <v>95</v>
      </c>
      <c r="D96" s="39"/>
      <c r="E96" s="39"/>
      <c r="F96" s="39"/>
      <c r="G96" s="39"/>
      <c r="H96" s="39"/>
      <c r="I96" s="39" t="s">
        <v>9</v>
      </c>
      <c r="J96" s="39"/>
      <c r="K96" s="67" t="s">
        <v>18</v>
      </c>
      <c r="L96" s="67" t="s">
        <v>32</v>
      </c>
      <c r="M96" s="98" t="s">
        <v>1027</v>
      </c>
      <c r="N96" s="67" t="s">
        <v>1026</v>
      </c>
      <c r="O96" s="97" t="s">
        <v>1028</v>
      </c>
      <c r="R96" s="59" t="s">
        <v>189</v>
      </c>
      <c r="S96" s="59" t="s">
        <v>199</v>
      </c>
      <c r="T96" s="55" t="s">
        <v>335</v>
      </c>
      <c r="U96" s="55" t="s">
        <v>335</v>
      </c>
      <c r="V96" s="55" t="s">
        <v>1029</v>
      </c>
      <c r="W96" s="15" t="str">
        <f>IF(IFERROR(VLOOKUP($N109,#REF!,1,0),"-")="-","","GS")</f>
        <v/>
      </c>
      <c r="Y96" s="55" t="s">
        <v>1030</v>
      </c>
      <c r="Z96" s="91" t="s">
        <v>335</v>
      </c>
      <c r="AA96" s="86" t="str">
        <f t="shared" si="6"/>
        <v/>
      </c>
      <c r="AB96" s="117" t="str">
        <f>IF(AND(OR($A96="G",$A96="P"),NOT($O96="{array}")),IF(VLOOKUP($K96,base!$B$2:$D$18,3,0)="S",IF(OR($O96="",ISTEXT($O96)),"","STRING!"),IF(VLOOKUP($K96,base!$B$2:$D$18,3,0)="","",IF(ISTEXT($O96),"NUMERIC!",""))),"")</f>
        <v/>
      </c>
      <c r="AC96" s="17" t="str">
        <f>IF($AA96="","",IF($B96="I",VLOOKUP($AA96,#REF!,53,0),INDEX(VALUES!$B$1:$CX$1,1,$AA96)))</f>
        <v/>
      </c>
    </row>
    <row r="97" spans="1:29" hidden="1" outlineLevel="1" x14ac:dyDescent="0.25">
      <c r="A97" s="22" t="s">
        <v>84</v>
      </c>
      <c r="B97" s="42" t="str">
        <f>IF($A97="P",IF(NOT($Z97=""),"A",IF(NOT($AA97=""),"I","")),IF(NOT($AA97=""),IF($A97="G","V","X"),IF(NOT($Z97=""),"A","")))</f>
        <v/>
      </c>
      <c r="C97" s="43">
        <f t="shared" si="9"/>
        <v>96</v>
      </c>
      <c r="D97" s="39"/>
      <c r="E97" s="39"/>
      <c r="F97" s="39" t="s">
        <v>9</v>
      </c>
      <c r="G97" s="39"/>
      <c r="H97" s="39"/>
      <c r="I97" s="39" t="s">
        <v>9</v>
      </c>
      <c r="J97" s="39"/>
      <c r="K97" s="61" t="s">
        <v>44</v>
      </c>
      <c r="L97" s="67" t="s">
        <v>27</v>
      </c>
      <c r="M97" s="98" t="s">
        <v>1031</v>
      </c>
      <c r="N97" s="67" t="s">
        <v>1032</v>
      </c>
      <c r="O97" s="97">
        <v>3</v>
      </c>
      <c r="P97" s="67"/>
      <c r="Q97" s="50"/>
      <c r="R97" s="70" t="s">
        <v>189</v>
      </c>
      <c r="S97" s="59"/>
      <c r="T97" s="55"/>
      <c r="U97" s="55"/>
      <c r="V97" s="55"/>
      <c r="W97" s="15"/>
      <c r="Y97" s="55"/>
      <c r="Z97" s="91" t="s">
        <v>335</v>
      </c>
      <c r="AA97" s="86" t="str">
        <f t="shared" si="6"/>
        <v/>
      </c>
      <c r="AB97" s="117" t="str">
        <f>IF(AND(OR($A97="G",$A97="P"),NOT($O97="{array}")),IF(VLOOKUP($K97,base!$B$2:$D$18,3,0)="S",IF(OR($O97="",ISTEXT($O97)),"","STRING!"),IF(VLOOKUP($K97,base!$B$2:$D$18,3,0)="","",IF(ISTEXT($O97),"NUMERIC!",""))),"")</f>
        <v/>
      </c>
      <c r="AC97" s="17" t="str">
        <f>IF($AA97="","",IF($B97="I",VLOOKUP($AA97,#REF!,53,0),INDEX(VALUES!$B$1:$CX$1,1,$AA97)))</f>
        <v/>
      </c>
    </row>
    <row r="98" spans="1:29" hidden="1" outlineLevel="1" x14ac:dyDescent="0.25">
      <c r="A98" s="22" t="s">
        <v>84</v>
      </c>
      <c r="B98" s="42" t="str">
        <f>IF($A98="P",IF(NOT($Z98=""),"A",IF(NOT($AA98=""),"I","")),IF(NOT($AA98=""),IF($A98="G","V","X"),IF(NOT($Z98=""),"A","")))</f>
        <v/>
      </c>
      <c r="C98" s="43">
        <f t="shared" si="9"/>
        <v>97</v>
      </c>
      <c r="D98" s="39"/>
      <c r="E98" s="39"/>
      <c r="F98" s="39" t="s">
        <v>9</v>
      </c>
      <c r="G98" s="39"/>
      <c r="H98" s="39"/>
      <c r="I98" s="39" t="s">
        <v>9</v>
      </c>
      <c r="J98" s="39"/>
      <c r="K98" s="61" t="s">
        <v>44</v>
      </c>
      <c r="L98" s="67" t="s">
        <v>27</v>
      </c>
      <c r="M98" s="98" t="s">
        <v>1033</v>
      </c>
      <c r="N98" s="67" t="s">
        <v>1034</v>
      </c>
      <c r="O98" s="97">
        <v>3</v>
      </c>
      <c r="P98" s="67"/>
      <c r="Q98" s="50"/>
      <c r="R98" s="70" t="s">
        <v>189</v>
      </c>
      <c r="S98" s="70" t="s">
        <v>199</v>
      </c>
      <c r="T98" s="55"/>
      <c r="U98" s="55"/>
      <c r="V98" s="55"/>
      <c r="W98" s="15"/>
      <c r="Y98" s="55"/>
      <c r="Z98" s="91" t="s">
        <v>335</v>
      </c>
      <c r="AA98" s="86" t="str">
        <f t="shared" si="6"/>
        <v/>
      </c>
      <c r="AB98" s="117" t="str">
        <f>IF(AND(OR($A98="G",$A98="P"),NOT($O98="{array}")),IF(VLOOKUP($K98,base!$B$2:$D$18,3,0)="S",IF(OR($O98="",ISTEXT($O98)),"","STRING!"),IF(VLOOKUP($K98,base!$B$2:$D$18,3,0)="","",IF(ISTEXT($O98),"NUMERIC!",""))),"")</f>
        <v/>
      </c>
      <c r="AC98" s="17" t="str">
        <f>IF($AA98="","",IF($B98="I",VLOOKUP($AA98,#REF!,53,0),INDEX(VALUES!$B$1:$CX$1,1,$AA98)))</f>
        <v/>
      </c>
    </row>
    <row r="99" spans="1:29" hidden="1" outlineLevel="1" x14ac:dyDescent="0.3">
      <c r="A99" s="22" t="s">
        <v>84</v>
      </c>
      <c r="B99" s="42" t="str">
        <f t="shared" ref="B99:B106" si="10">IF($A99="P",IF(NOT($Z99=""),"A",IF(NOT($AA99=""),"I","")),IF(NOT($AA99=""),IF($A99="G","V","X"),IF(NOT($Z99=""),"A","")))</f>
        <v/>
      </c>
      <c r="C99" s="43">
        <f t="shared" si="9"/>
        <v>98</v>
      </c>
      <c r="D99" s="39"/>
      <c r="E99" s="39"/>
      <c r="F99" s="39" t="s">
        <v>9</v>
      </c>
      <c r="G99" s="39"/>
      <c r="H99" s="39"/>
      <c r="I99" s="39" t="s">
        <v>9</v>
      </c>
      <c r="J99" s="39"/>
      <c r="K99" s="14" t="s">
        <v>24</v>
      </c>
      <c r="L99" s="14" t="s">
        <v>27</v>
      </c>
      <c r="M99" s="122" t="s">
        <v>1035</v>
      </c>
      <c r="N99" s="14" t="s">
        <v>1036</v>
      </c>
      <c r="O99" s="44">
        <v>0.16</v>
      </c>
      <c r="R99" s="39" t="s">
        <v>190</v>
      </c>
      <c r="S99" s="39"/>
      <c r="T99" s="39"/>
      <c r="W99" s="15" t="str">
        <f>IF(IFERROR(VLOOKUP($M99,#REF!,1,0),"-")="-","","GS")</f>
        <v/>
      </c>
      <c r="Z99" s="91" t="s">
        <v>335</v>
      </c>
      <c r="AA99" s="86" t="str">
        <f t="shared" si="6"/>
        <v/>
      </c>
      <c r="AB99" s="117" t="str">
        <f>IF(AND(OR($A99="G",$A99="P"),NOT($O99="{array}")),IF(VLOOKUP($K99,base!$B$2:$D$18,3,0)="S",IF(OR($O99="",ISTEXT($O99)),"","STRING!"),IF(VLOOKUP($K99,base!$B$2:$D$18,3,0)="","",IF(ISTEXT($O99),"NUMERIC!",""))),"")</f>
        <v/>
      </c>
      <c r="AC99" s="17" t="str">
        <f>IF($AA99="","",IF($B99="I",VLOOKUP($AA99,#REF!,53,0),INDEX(VALUES!$B$1:$CX$1,1,$AA99)))</f>
        <v/>
      </c>
    </row>
    <row r="100" spans="1:29" hidden="1" outlineLevel="1" x14ac:dyDescent="0.3">
      <c r="A100" s="22"/>
      <c r="B100" s="42" t="str">
        <f t="shared" si="10"/>
        <v/>
      </c>
      <c r="C100" s="43">
        <f t="shared" si="9"/>
        <v>99</v>
      </c>
      <c r="D100" s="39"/>
      <c r="E100" s="39"/>
      <c r="F100" s="39" t="s">
        <v>9</v>
      </c>
      <c r="G100" s="39"/>
      <c r="H100" s="39"/>
      <c r="I100" s="39" t="s">
        <v>9</v>
      </c>
      <c r="J100" s="39"/>
      <c r="K100" s="14" t="s">
        <v>24</v>
      </c>
      <c r="L100" s="14" t="s">
        <v>27</v>
      </c>
      <c r="M100" s="20" t="s">
        <v>1037</v>
      </c>
      <c r="N100" s="14" t="s">
        <v>1038</v>
      </c>
      <c r="O100" s="44">
        <v>0.16</v>
      </c>
      <c r="R100" s="39" t="s">
        <v>190</v>
      </c>
      <c r="S100" s="39"/>
      <c r="T100" s="39"/>
      <c r="W100" s="15" t="str">
        <f>IF(IFERROR(VLOOKUP($M100,#REF!,1,0),"-")="-","","GS")</f>
        <v/>
      </c>
      <c r="Z100" s="91" t="s">
        <v>335</v>
      </c>
      <c r="AA100" s="86" t="str">
        <f t="shared" si="6"/>
        <v/>
      </c>
      <c r="AB100" s="117" t="str">
        <f>IF(AND(OR($A100="G",$A100="P"),NOT($O100="{array}")),IF(VLOOKUP($K100,base!$B$2:$D$18,3,0)="S",IF(OR($O100="",ISTEXT($O100)),"","STRING!"),IF(VLOOKUP($K100,base!$B$2:$D$18,3,0)="","",IF(ISTEXT($O100),"NUMERIC!",""))),"")</f>
        <v/>
      </c>
      <c r="AC100" s="17" t="str">
        <f>IF($AA100="","",IF($B100="I",VLOOKUP($AA100,#REF!,53,0),INDEX(VALUES!$B$1:$CX$1,1,$AA100)))</f>
        <v/>
      </c>
    </row>
    <row r="101" spans="1:29" hidden="1" outlineLevel="1" x14ac:dyDescent="0.3">
      <c r="A101" s="22"/>
      <c r="B101" s="42" t="str">
        <f t="shared" si="10"/>
        <v/>
      </c>
      <c r="C101" s="43">
        <f t="shared" si="9"/>
        <v>100</v>
      </c>
      <c r="D101" s="39"/>
      <c r="E101" s="39"/>
      <c r="F101" s="39" t="s">
        <v>9</v>
      </c>
      <c r="G101" s="39"/>
      <c r="H101" s="39"/>
      <c r="I101" s="39" t="s">
        <v>9</v>
      </c>
      <c r="J101" s="39"/>
      <c r="K101" s="14" t="s">
        <v>24</v>
      </c>
      <c r="L101" s="14" t="s">
        <v>27</v>
      </c>
      <c r="M101" s="20" t="s">
        <v>1039</v>
      </c>
      <c r="N101" s="14" t="s">
        <v>1040</v>
      </c>
      <c r="O101" s="44">
        <v>0.2</v>
      </c>
      <c r="R101" s="39" t="s">
        <v>190</v>
      </c>
      <c r="S101" s="39"/>
      <c r="T101" s="39"/>
      <c r="W101" s="15" t="str">
        <f>IF(IFERROR(VLOOKUP($M101,#REF!,1,0),"-")="-","","GS")</f>
        <v/>
      </c>
      <c r="Z101" s="91" t="s">
        <v>335</v>
      </c>
      <c r="AA101" s="86" t="str">
        <f t="shared" si="6"/>
        <v/>
      </c>
      <c r="AB101" s="117" t="str">
        <f>IF(AND(OR($A101="G",$A101="P"),NOT($O101="{array}")),IF(VLOOKUP($K101,base!$B$2:$D$18,3,0)="S",IF(OR($O101="",ISTEXT($O101)),"","STRING!"),IF(VLOOKUP($K101,base!$B$2:$D$18,3,0)="","",IF(ISTEXT($O101),"NUMERIC!",""))),"")</f>
        <v/>
      </c>
      <c r="AC101" s="17" t="str">
        <f>IF($AA101="","",IF($B101="I",VLOOKUP($AA101,#REF!,53,0),INDEX(VALUES!$B$1:$CX$1,1,$AA101)))</f>
        <v/>
      </c>
    </row>
    <row r="102" spans="1:29" hidden="1" outlineLevel="1" x14ac:dyDescent="0.3">
      <c r="A102" s="22"/>
      <c r="B102" s="42" t="str">
        <f t="shared" si="10"/>
        <v/>
      </c>
      <c r="C102" s="43">
        <f t="shared" si="9"/>
        <v>101</v>
      </c>
      <c r="D102" s="39"/>
      <c r="E102" s="39"/>
      <c r="F102" s="39" t="s">
        <v>9</v>
      </c>
      <c r="G102" s="39"/>
      <c r="H102" s="39"/>
      <c r="I102" s="39" t="s">
        <v>9</v>
      </c>
      <c r="J102" s="39"/>
      <c r="K102" s="14" t="s">
        <v>24</v>
      </c>
      <c r="L102" s="14" t="s">
        <v>27</v>
      </c>
      <c r="M102" s="20" t="s">
        <v>1041</v>
      </c>
      <c r="N102" s="14" t="s">
        <v>1042</v>
      </c>
      <c r="O102" s="44">
        <v>0.16</v>
      </c>
      <c r="R102" s="39" t="s">
        <v>190</v>
      </c>
      <c r="S102" s="39"/>
      <c r="T102" s="39"/>
      <c r="W102" s="15" t="str">
        <f>IF(IFERROR(VLOOKUP($M102,#REF!,1,0),"-")="-","","GS")</f>
        <v/>
      </c>
      <c r="Z102" s="91" t="s">
        <v>335</v>
      </c>
      <c r="AA102" s="86" t="str">
        <f t="shared" si="6"/>
        <v/>
      </c>
      <c r="AB102" s="117" t="str">
        <f>IF(AND(OR($A102="G",$A102="P"),NOT($O102="{array}")),IF(VLOOKUP($K102,base!$B$2:$D$18,3,0)="S",IF(OR($O102="",ISTEXT($O102)),"","STRING!"),IF(VLOOKUP($K102,base!$B$2:$D$18,3,0)="","",IF(ISTEXT($O102),"NUMERIC!",""))),"")</f>
        <v/>
      </c>
      <c r="AC102" s="17" t="str">
        <f>IF($AA102="","",IF($B102="I",VLOOKUP($AA102,#REF!,53,0),INDEX(VALUES!$B$1:$CX$1,1,$AA102)))</f>
        <v/>
      </c>
    </row>
    <row r="103" spans="1:29" hidden="1" outlineLevel="1" x14ac:dyDescent="0.3">
      <c r="A103" s="22" t="s">
        <v>84</v>
      </c>
      <c r="B103" s="42" t="str">
        <f t="shared" si="10"/>
        <v/>
      </c>
      <c r="C103" s="43">
        <f t="shared" si="9"/>
        <v>102</v>
      </c>
      <c r="D103" s="39"/>
      <c r="E103" s="39"/>
      <c r="F103" s="39"/>
      <c r="G103" s="39"/>
      <c r="H103" s="39"/>
      <c r="I103" s="39" t="s">
        <v>9</v>
      </c>
      <c r="J103" s="39"/>
      <c r="K103" s="14" t="s">
        <v>24</v>
      </c>
      <c r="L103" s="14" t="s">
        <v>27</v>
      </c>
      <c r="M103" s="122" t="s">
        <v>1043</v>
      </c>
      <c r="N103" s="14" t="s">
        <v>1044</v>
      </c>
      <c r="O103" s="44">
        <v>0.16</v>
      </c>
      <c r="R103" s="39" t="s">
        <v>190</v>
      </c>
      <c r="S103" s="39"/>
      <c r="T103" s="39"/>
      <c r="W103" s="15" t="str">
        <f>IF(IFERROR(VLOOKUP($M103,#REF!,1,0),"-")="-","","GS")</f>
        <v/>
      </c>
      <c r="Z103" s="91" t="s">
        <v>335</v>
      </c>
      <c r="AA103" s="86" t="str">
        <f t="shared" si="6"/>
        <v/>
      </c>
      <c r="AB103" s="117" t="str">
        <f>IF(AND(OR($A103="G",$A103="P"),NOT($O103="{array}")),IF(VLOOKUP($K103,base!$B$2:$D$18,3,0)="S",IF(OR($O103="",ISTEXT($O103)),"","STRING!"),IF(VLOOKUP($K103,base!$B$2:$D$18,3,0)="","",IF(ISTEXT($O103),"NUMERIC!",""))),"")</f>
        <v/>
      </c>
      <c r="AC103" s="17" t="str">
        <f>IF($AA103="","",IF($B103="I",VLOOKUP($AA103,#REF!,53,0),INDEX(VALUES!$B$1:$CX$1,1,$AA103)))</f>
        <v/>
      </c>
    </row>
    <row r="104" spans="1:29" hidden="1" outlineLevel="1" x14ac:dyDescent="0.3">
      <c r="A104" s="22"/>
      <c r="B104" s="42" t="str">
        <f t="shared" si="10"/>
        <v/>
      </c>
      <c r="C104" s="43">
        <f t="shared" si="9"/>
        <v>103</v>
      </c>
      <c r="D104" s="39"/>
      <c r="E104" s="39"/>
      <c r="F104" s="39"/>
      <c r="G104" s="39"/>
      <c r="H104" s="39"/>
      <c r="I104" s="39" t="s">
        <v>9</v>
      </c>
      <c r="J104" s="39"/>
      <c r="K104" s="14" t="s">
        <v>24</v>
      </c>
      <c r="L104" s="14" t="s">
        <v>27</v>
      </c>
      <c r="M104" s="20" t="s">
        <v>1045</v>
      </c>
      <c r="N104" s="14" t="s">
        <v>1046</v>
      </c>
      <c r="O104" s="44">
        <v>0.16</v>
      </c>
      <c r="R104" s="39" t="s">
        <v>190</v>
      </c>
      <c r="S104" s="39"/>
      <c r="T104" s="39"/>
      <c r="W104" s="15" t="str">
        <f>IF(IFERROR(VLOOKUP($M104,#REF!,1,0),"-")="-","","GS")</f>
        <v/>
      </c>
      <c r="Z104" s="91" t="s">
        <v>335</v>
      </c>
      <c r="AA104" s="86" t="str">
        <f t="shared" si="6"/>
        <v/>
      </c>
      <c r="AB104" s="117" t="str">
        <f>IF(AND(OR($A104="G",$A104="P"),NOT($O104="{array}")),IF(VLOOKUP($K104,base!$B$2:$D$18,3,0)="S",IF(OR($O104="",ISTEXT($O104)),"","STRING!"),IF(VLOOKUP($K104,base!$B$2:$D$18,3,0)="","",IF(ISTEXT($O104),"NUMERIC!",""))),"")</f>
        <v/>
      </c>
      <c r="AC104" s="17" t="str">
        <f>IF($AA104="","",IF($B104="I",VLOOKUP($AA104,#REF!,53,0),INDEX(VALUES!$B$1:$CX$1,1,$AA104)))</f>
        <v/>
      </c>
    </row>
    <row r="105" spans="1:29" hidden="1" outlineLevel="1" x14ac:dyDescent="0.3">
      <c r="A105" s="22"/>
      <c r="B105" s="42" t="str">
        <f t="shared" si="10"/>
        <v/>
      </c>
      <c r="C105" s="43">
        <f t="shared" si="9"/>
        <v>104</v>
      </c>
      <c r="D105" s="39"/>
      <c r="E105" s="39"/>
      <c r="F105" s="39"/>
      <c r="G105" s="39"/>
      <c r="H105" s="39"/>
      <c r="I105" s="39" t="s">
        <v>9</v>
      </c>
      <c r="J105" s="39"/>
      <c r="K105" s="14" t="s">
        <v>24</v>
      </c>
      <c r="L105" s="14" t="s">
        <v>27</v>
      </c>
      <c r="M105" s="20" t="s">
        <v>1047</v>
      </c>
      <c r="N105" s="14" t="s">
        <v>1048</v>
      </c>
      <c r="O105" s="44">
        <v>0.2</v>
      </c>
      <c r="R105" s="39" t="s">
        <v>190</v>
      </c>
      <c r="S105" s="39"/>
      <c r="T105" s="39"/>
      <c r="W105" s="15" t="str">
        <f>IF(IFERROR(VLOOKUP($M105,#REF!,1,0),"-")="-","","GS")</f>
        <v/>
      </c>
      <c r="Z105" s="91" t="s">
        <v>335</v>
      </c>
      <c r="AA105" s="86" t="str">
        <f t="shared" si="6"/>
        <v/>
      </c>
      <c r="AB105" s="117" t="str">
        <f>IF(AND(OR($A105="G",$A105="P"),NOT($O105="{array}")),IF(VLOOKUP($K105,base!$B$2:$D$18,3,0)="S",IF(OR($O105="",ISTEXT($O105)),"","STRING!"),IF(VLOOKUP($K105,base!$B$2:$D$18,3,0)="","",IF(ISTEXT($O105),"NUMERIC!",""))),"")</f>
        <v/>
      </c>
      <c r="AC105" s="17" t="str">
        <f>IF($AA105="","",IF($B105="I",VLOOKUP($AA105,#REF!,53,0),INDEX(VALUES!$B$1:$CX$1,1,$AA105)))</f>
        <v/>
      </c>
    </row>
    <row r="106" spans="1:29" hidden="1" outlineLevel="1" x14ac:dyDescent="0.3">
      <c r="A106" s="22"/>
      <c r="B106" s="42" t="str">
        <f t="shared" si="10"/>
        <v/>
      </c>
      <c r="C106" s="43">
        <f t="shared" si="9"/>
        <v>105</v>
      </c>
      <c r="D106" s="39"/>
      <c r="E106" s="39"/>
      <c r="F106" s="39"/>
      <c r="G106" s="39"/>
      <c r="H106" s="39"/>
      <c r="I106" s="39" t="s">
        <v>9</v>
      </c>
      <c r="J106" s="39"/>
      <c r="K106" s="14" t="s">
        <v>24</v>
      </c>
      <c r="L106" s="14" t="s">
        <v>27</v>
      </c>
      <c r="M106" s="20" t="s">
        <v>1049</v>
      </c>
      <c r="N106" s="14" t="s">
        <v>1050</v>
      </c>
      <c r="O106" s="44">
        <v>0.16</v>
      </c>
      <c r="R106" s="39" t="s">
        <v>190</v>
      </c>
      <c r="S106" s="39"/>
      <c r="T106" s="39"/>
      <c r="W106" s="15" t="str">
        <f>IF(IFERROR(VLOOKUP($M106,#REF!,1,0),"-")="-","","GS")</f>
        <v/>
      </c>
      <c r="Z106" s="91" t="s">
        <v>335</v>
      </c>
      <c r="AA106" s="86" t="str">
        <f t="shared" si="6"/>
        <v/>
      </c>
      <c r="AB106" s="117" t="str">
        <f>IF(AND(OR($A106="G",$A106="P"),NOT($O106="{array}")),IF(VLOOKUP($K106,base!$B$2:$D$18,3,0)="S",IF(OR($O106="",ISTEXT($O106)),"","STRING!"),IF(VLOOKUP($K106,base!$B$2:$D$18,3,0)="","",IF(ISTEXT($O106),"NUMERIC!",""))),"")</f>
        <v/>
      </c>
      <c r="AC106" s="17" t="str">
        <f>IF($AA106="","",IF($B106="I",VLOOKUP($AA106,#REF!,53,0),INDEX(VALUES!$B$1:$CX$1,1,$AA106)))</f>
        <v/>
      </c>
    </row>
    <row r="107" spans="1:29" collapsed="1" x14ac:dyDescent="0.3">
      <c r="A107" s="22"/>
      <c r="B107" s="42" t="str">
        <f t="shared" si="8"/>
        <v/>
      </c>
      <c r="C107" s="43">
        <f t="shared" si="9"/>
        <v>106</v>
      </c>
      <c r="D107" s="39"/>
      <c r="E107" s="39"/>
      <c r="F107" s="39"/>
      <c r="G107" s="39"/>
      <c r="H107" s="39"/>
      <c r="I107" s="39"/>
      <c r="J107" s="39"/>
      <c r="R107" s="39"/>
      <c r="S107" s="39"/>
      <c r="T107" s="39"/>
      <c r="Z107" s="91" t="s">
        <v>335</v>
      </c>
      <c r="AA107" s="86" t="str">
        <f t="shared" si="6"/>
        <v/>
      </c>
      <c r="AB107" s="117" t="str">
        <f>IF(AND(OR($A107="G",$A107="P"),NOT($O107="{array}")),IF(VLOOKUP($K107,base!$B$2:$D$18,3,0)="S",IF(OR($O107="",ISTEXT($O107)),"","STRING!"),IF(VLOOKUP($K107,base!$B$2:$D$18,3,0)="","",IF(ISTEXT($O107),"NUMERIC!",""))),"")</f>
        <v/>
      </c>
      <c r="AC107" s="17" t="str">
        <f>IF($AA107="","",IF($B107="I",VLOOKUP($AA107,#REF!,53,0),INDEX(VALUES!$B$1:$CX$1,1,$AA107)))</f>
        <v/>
      </c>
    </row>
    <row r="108" spans="1:29" x14ac:dyDescent="0.3">
      <c r="A108" s="22" t="s">
        <v>622</v>
      </c>
      <c r="B108" s="42"/>
      <c r="C108" s="43"/>
      <c r="D108" s="39"/>
      <c r="E108" s="39"/>
      <c r="F108" s="39"/>
      <c r="G108" s="39"/>
      <c r="H108" s="39"/>
      <c r="I108" s="39"/>
      <c r="J108" s="39"/>
      <c r="L108" s="60"/>
      <c r="M108" s="14"/>
      <c r="R108" s="39"/>
      <c r="S108" s="39"/>
      <c r="T108" s="39"/>
      <c r="W108" s="15"/>
      <c r="Z108" s="91" t="s">
        <v>335</v>
      </c>
      <c r="AA108" s="86" t="str">
        <f t="shared" si="6"/>
        <v/>
      </c>
      <c r="AB108" s="117" t="str">
        <f>IF(AND(OR($A108="G",$A108="P"),NOT($O108="{array}")),IF(VLOOKUP($K108,base!$B$2:$D$18,3,0)="S",IF(OR($O108="",ISTEXT($O108)),"","STRING!"),IF(VLOOKUP($K108,base!$B$2:$D$18,3,0)="","",IF(ISTEXT($O108),"NUMERIC!",""))),"")</f>
        <v/>
      </c>
      <c r="AC108" s="17" t="str">
        <f>IF($AA108="","",IF($B108="I",VLOOKUP($AA108,#REF!,53,0),INDEX(VALUES!$B$1:$CX$1,1,$AA108)))</f>
        <v/>
      </c>
    </row>
    <row r="109" spans="1:29" collapsed="1" x14ac:dyDescent="0.3">
      <c r="A109" s="22" t="s">
        <v>84</v>
      </c>
      <c r="B109" s="42" t="str">
        <f t="shared" si="8"/>
        <v/>
      </c>
      <c r="C109" s="252">
        <f t="shared" si="9"/>
        <v>108</v>
      </c>
      <c r="D109" s="253"/>
      <c r="E109" s="253"/>
      <c r="F109" s="253"/>
      <c r="G109" s="253"/>
      <c r="H109" s="253"/>
      <c r="I109" s="253"/>
      <c r="J109" s="253"/>
      <c r="K109" s="254" t="s">
        <v>57</v>
      </c>
      <c r="L109" s="254" t="s">
        <v>38</v>
      </c>
      <c r="M109" s="255" t="s">
        <v>783</v>
      </c>
      <c r="N109" s="256" t="s">
        <v>784</v>
      </c>
      <c r="O109" s="257"/>
      <c r="P109" s="254"/>
      <c r="Q109" s="253"/>
      <c r="R109" s="253" t="s">
        <v>343</v>
      </c>
      <c r="S109" s="253"/>
      <c r="T109" s="253"/>
      <c r="U109" s="254"/>
      <c r="V109" s="254"/>
      <c r="W109" s="258"/>
      <c r="X109" s="258"/>
      <c r="Y109" s="254"/>
      <c r="Z109" s="91" t="str">
        <f>IF(OR($M109="",NOT($O109="{array}")),"",IFERROR(MATCH(PARAMETERS!$M109,DEFAULT!$B$5:$CC$5,0),""))</f>
        <v/>
      </c>
      <c r="AA109" s="86" t="str">
        <f t="shared" si="6"/>
        <v/>
      </c>
      <c r="AB109" s="117" t="str">
        <f>IF(AND(OR($A109="G",$A109="P"),NOT($O109="{array}")),IF(VLOOKUP($K109,base!$B$2:$D$18,3,0)="S",IF(OR($O109="",ISTEXT($O109)),"","STRING!"),IF(VLOOKUP($K109,base!$B$2:$D$18,3,0)="","",IF(ISTEXT($O109),"NUMERIC!",""))),"")</f>
        <v/>
      </c>
      <c r="AC109" s="17" t="str">
        <f>IF($AA109="","",IF($B109="I",VLOOKUP($AA109,#REF!,53,0),INDEX(VALUES!$B$1:$CX$1,1,$AA109)))</f>
        <v/>
      </c>
    </row>
    <row r="110" spans="1:29" hidden="1" outlineLevel="1" x14ac:dyDescent="0.3">
      <c r="A110" s="22" t="s">
        <v>84</v>
      </c>
      <c r="B110" s="42" t="str">
        <f t="shared" si="8"/>
        <v>A</v>
      </c>
      <c r="C110" s="252">
        <f>(ROW()-1)</f>
        <v>109</v>
      </c>
      <c r="D110" s="253"/>
      <c r="E110" s="253"/>
      <c r="F110" s="253"/>
      <c r="G110" s="253"/>
      <c r="H110" s="253"/>
      <c r="I110" s="253" t="s">
        <v>9</v>
      </c>
      <c r="J110" s="253" t="s">
        <v>9</v>
      </c>
      <c r="K110" s="254" t="s">
        <v>18</v>
      </c>
      <c r="L110" s="254" t="s">
        <v>27</v>
      </c>
      <c r="M110" s="259" t="s">
        <v>780</v>
      </c>
      <c r="N110" s="254" t="s">
        <v>785</v>
      </c>
      <c r="O110" s="257" t="s">
        <v>33</v>
      </c>
      <c r="P110" s="254"/>
      <c r="Q110" s="253"/>
      <c r="R110" s="253" t="s">
        <v>343</v>
      </c>
      <c r="S110" s="253"/>
      <c r="T110" s="253"/>
      <c r="U110" s="254"/>
      <c r="V110" s="254"/>
      <c r="W110" s="258"/>
      <c r="X110" s="258"/>
      <c r="Y110" s="254"/>
      <c r="Z110" s="91">
        <f>IF(OR($M110="",NOT($O110="{array}")),"",IFERROR(MATCH(PARAMETERS!$M110,DEFAULT!$B$5:$CC$5,0),""))</f>
        <v>22</v>
      </c>
      <c r="AA110" s="86" t="str">
        <f t="shared" si="6"/>
        <v/>
      </c>
      <c r="AB110" s="117" t="str">
        <f>IF(AND(OR($A110="G",$A110="P"),NOT($O110="{array}")),IF(VLOOKUP($K110,base!$B$2:$D$18,3,0)="S",IF(OR($O110="",ISTEXT($O110)),"","STRING!"),IF(VLOOKUP($K110,base!$B$2:$D$18,3,0)="","",IF(ISTEXT($O110),"NUMERIC!",""))),"")</f>
        <v/>
      </c>
      <c r="AC110" s="17" t="str">
        <f>IF($AA110="","",IF($B110="I",VLOOKUP($AA110,#REF!,53,0),INDEX(VALUES!$B$1:$CX$1,1,$AA110)))</f>
        <v/>
      </c>
    </row>
    <row r="111" spans="1:29" hidden="1" outlineLevel="1" x14ac:dyDescent="0.3">
      <c r="A111" s="22" t="s">
        <v>84</v>
      </c>
      <c r="B111" s="42" t="str">
        <f t="shared" si="8"/>
        <v>A</v>
      </c>
      <c r="C111" s="252">
        <f>(ROW()-1)</f>
        <v>110</v>
      </c>
      <c r="D111" s="253"/>
      <c r="E111" s="253"/>
      <c r="F111" s="253"/>
      <c r="G111" s="253"/>
      <c r="H111" s="253"/>
      <c r="I111" s="253" t="s">
        <v>9</v>
      </c>
      <c r="J111" s="253" t="s">
        <v>9</v>
      </c>
      <c r="K111" s="254" t="s">
        <v>44</v>
      </c>
      <c r="L111" s="254" t="s">
        <v>27</v>
      </c>
      <c r="M111" s="259" t="s">
        <v>781</v>
      </c>
      <c r="N111" s="254" t="s">
        <v>786</v>
      </c>
      <c r="O111" s="257" t="s">
        <v>33</v>
      </c>
      <c r="P111" s="254"/>
      <c r="Q111" s="253"/>
      <c r="R111" s="253" t="s">
        <v>343</v>
      </c>
      <c r="S111" s="253"/>
      <c r="T111" s="253"/>
      <c r="U111" s="254"/>
      <c r="V111" s="254"/>
      <c r="W111" s="258"/>
      <c r="X111" s="258"/>
      <c r="Y111" s="254"/>
      <c r="Z111" s="91">
        <f>IF(OR($M111="",NOT($O111="{array}")),"",IFERROR(MATCH(PARAMETERS!$M111,DEFAULT!$B$5:$CC$5,0),""))</f>
        <v>24</v>
      </c>
      <c r="AA111" s="86" t="str">
        <f t="shared" si="6"/>
        <v/>
      </c>
      <c r="AB111" s="117" t="str">
        <f>IF(AND(OR($A111="G",$A111="P"),NOT($O111="{array}")),IF(VLOOKUP($K111,base!$B$2:$D$18,3,0)="S",IF(OR($O111="",ISTEXT($O111)),"","STRING!"),IF(VLOOKUP($K111,base!$B$2:$D$18,3,0)="","",IF(ISTEXT($O111),"NUMERIC!",""))),"")</f>
        <v/>
      </c>
      <c r="AC111" s="17" t="str">
        <f>IF($AA111="","",IF($B111="I",VLOOKUP($AA111,#REF!,53,0),INDEX(VALUES!$B$1:$CX$1,1,$AA111)))</f>
        <v/>
      </c>
    </row>
    <row r="112" spans="1:29" hidden="1" outlineLevel="1" x14ac:dyDescent="0.3">
      <c r="A112" s="22" t="s">
        <v>84</v>
      </c>
      <c r="B112" s="42" t="str">
        <f t="shared" si="8"/>
        <v>A</v>
      </c>
      <c r="C112" s="252">
        <f>(ROW()-1)</f>
        <v>111</v>
      </c>
      <c r="D112" s="253"/>
      <c r="E112" s="253"/>
      <c r="F112" s="253"/>
      <c r="G112" s="253"/>
      <c r="H112" s="253"/>
      <c r="I112" s="253" t="s">
        <v>9</v>
      </c>
      <c r="J112" s="253" t="s">
        <v>9</v>
      </c>
      <c r="K112" s="254" t="s">
        <v>44</v>
      </c>
      <c r="L112" s="254" t="s">
        <v>27</v>
      </c>
      <c r="M112" s="259" t="s">
        <v>782</v>
      </c>
      <c r="N112" s="254" t="s">
        <v>787</v>
      </c>
      <c r="O112" s="257" t="s">
        <v>33</v>
      </c>
      <c r="P112" s="254"/>
      <c r="Q112" s="253"/>
      <c r="R112" s="253" t="s">
        <v>343</v>
      </c>
      <c r="S112" s="253"/>
      <c r="T112" s="253"/>
      <c r="U112" s="254"/>
      <c r="V112" s="254"/>
      <c r="W112" s="258"/>
      <c r="X112" s="258"/>
      <c r="Y112" s="254"/>
      <c r="Z112" s="91">
        <f>IF(OR($M112="",NOT($O112="{array}")),"",IFERROR(MATCH(PARAMETERS!$M112,DEFAULT!$B$5:$CC$5,0),""))</f>
        <v>33</v>
      </c>
      <c r="AA112" s="86" t="str">
        <f t="shared" si="6"/>
        <v/>
      </c>
      <c r="AB112" s="117" t="str">
        <f>IF(AND(OR($A112="G",$A112="P"),NOT($O112="{array}")),IF(VLOOKUP($K112,base!$B$2:$D$18,3,0)="S",IF(OR($O112="",ISTEXT($O112)),"","STRING!"),IF(VLOOKUP($K112,base!$B$2:$D$18,3,0)="","",IF(ISTEXT($O112),"NUMERIC!",""))),"")</f>
        <v/>
      </c>
      <c r="AC112" s="17" t="str">
        <f>IF($AA112="","",IF($B112="I",VLOOKUP($AA112,#REF!,53,0),INDEX(VALUES!$B$1:$CX$1,1,$AA112)))</f>
        <v/>
      </c>
    </row>
    <row r="113" spans="1:29" hidden="1" outlineLevel="1" x14ac:dyDescent="0.3">
      <c r="A113" s="22" t="s">
        <v>84</v>
      </c>
      <c r="B113" s="42" t="str">
        <f t="shared" si="8"/>
        <v>A</v>
      </c>
      <c r="C113" s="252">
        <f t="shared" ref="C113:C118" si="11">(ROW()-1)</f>
        <v>112</v>
      </c>
      <c r="D113" s="253"/>
      <c r="E113" s="253"/>
      <c r="F113" s="253"/>
      <c r="G113" s="253"/>
      <c r="H113" s="253"/>
      <c r="I113" s="253" t="s">
        <v>9</v>
      </c>
      <c r="J113" s="253" t="s">
        <v>9</v>
      </c>
      <c r="K113" s="254" t="s">
        <v>44</v>
      </c>
      <c r="L113" s="254" t="s">
        <v>27</v>
      </c>
      <c r="M113" s="259" t="s">
        <v>837</v>
      </c>
      <c r="N113" s="254" t="s">
        <v>838</v>
      </c>
      <c r="O113" s="257" t="s">
        <v>33</v>
      </c>
      <c r="P113" s="254"/>
      <c r="Q113" s="253"/>
      <c r="R113" s="253" t="s">
        <v>343</v>
      </c>
      <c r="S113" s="253"/>
      <c r="T113" s="253"/>
      <c r="U113" s="254"/>
      <c r="V113" s="254"/>
      <c r="W113" s="258"/>
      <c r="X113" s="258"/>
      <c r="Y113" s="254"/>
      <c r="Z113" s="91">
        <f>IF(OR($M113="",NOT($O113="{array}")),"",IFERROR(MATCH(PARAMETERS!$M113,DEFAULT!$B$5:$CC$5,0),""))</f>
        <v>30</v>
      </c>
      <c r="AA113" s="86" t="str">
        <f t="shared" si="6"/>
        <v/>
      </c>
      <c r="AB113" s="117" t="str">
        <f>IF(AND(OR($A113="G",$A113="P"),NOT($O113="{array}")),IF(VLOOKUP($K113,base!$B$2:$D$18,3,0)="S",IF(OR($O113="",ISTEXT($O113)),"","STRING!"),IF(VLOOKUP($K113,base!$B$2:$D$18,3,0)="","",IF(ISTEXT($O113),"NUMERIC!",""))),"")</f>
        <v/>
      </c>
      <c r="AC113" s="17" t="str">
        <f>IF($AA113="","",IF($B113="I",VLOOKUP($AA113,#REF!,53,0),INDEX(VALUES!$B$1:$CX$1,1,$AA113)))</f>
        <v/>
      </c>
    </row>
    <row r="114" spans="1:29" hidden="1" outlineLevel="1" x14ac:dyDescent="0.3">
      <c r="A114" s="22" t="s">
        <v>84</v>
      </c>
      <c r="B114" s="42" t="str">
        <f t="shared" si="8"/>
        <v>A</v>
      </c>
      <c r="C114" s="252">
        <f t="shared" si="11"/>
        <v>113</v>
      </c>
      <c r="D114" s="253"/>
      <c r="E114" s="253"/>
      <c r="F114" s="253"/>
      <c r="G114" s="253"/>
      <c r="H114" s="253"/>
      <c r="I114" s="253" t="s">
        <v>9</v>
      </c>
      <c r="J114" s="253" t="s">
        <v>9</v>
      </c>
      <c r="K114" s="254" t="s">
        <v>44</v>
      </c>
      <c r="L114" s="254" t="s">
        <v>27</v>
      </c>
      <c r="M114" s="259" t="s">
        <v>812</v>
      </c>
      <c r="N114" s="254" t="s">
        <v>813</v>
      </c>
      <c r="O114" s="257" t="s">
        <v>33</v>
      </c>
      <c r="P114" s="254"/>
      <c r="Q114" s="253"/>
      <c r="R114" s="253" t="s">
        <v>343</v>
      </c>
      <c r="S114" s="253"/>
      <c r="T114" s="253"/>
      <c r="U114" s="254"/>
      <c r="V114" s="254"/>
      <c r="W114" s="258"/>
      <c r="X114" s="258"/>
      <c r="Y114" s="254"/>
      <c r="Z114" s="91">
        <f>IF(OR($M114="",NOT($O114="{array}")),"",IFERROR(MATCH(PARAMETERS!$M114,DEFAULT!$B$5:$CC$5,0),""))</f>
        <v>39</v>
      </c>
      <c r="AA114" s="86" t="str">
        <f t="shared" si="6"/>
        <v/>
      </c>
      <c r="AB114" s="117" t="str">
        <f>IF(AND(OR($A114="G",$A114="P"),NOT($O114="{array}")),IF(VLOOKUP($K114,base!$B$2:$D$18,3,0)="S",IF(OR($O114="",ISTEXT($O114)),"","STRING!"),IF(VLOOKUP($K114,base!$B$2:$D$18,3,0)="","",IF(ISTEXT($O114),"NUMERIC!",""))),"")</f>
        <v/>
      </c>
      <c r="AC114" s="17" t="str">
        <f>IF($AA114="","",IF($B114="I",VLOOKUP($AA114,#REF!,53,0),INDEX(VALUES!$B$1:$CX$1,1,$AA114)))</f>
        <v/>
      </c>
    </row>
    <row r="115" spans="1:29" hidden="1" outlineLevel="1" x14ac:dyDescent="0.3">
      <c r="A115" s="22" t="s">
        <v>84</v>
      </c>
      <c r="B115" s="42" t="str">
        <f t="shared" si="8"/>
        <v>A</v>
      </c>
      <c r="C115" s="252">
        <f t="shared" si="11"/>
        <v>114</v>
      </c>
      <c r="D115" s="253"/>
      <c r="E115" s="253"/>
      <c r="F115" s="253"/>
      <c r="G115" s="253"/>
      <c r="H115" s="253"/>
      <c r="I115" s="253" t="s">
        <v>9</v>
      </c>
      <c r="J115" s="253" t="s">
        <v>9</v>
      </c>
      <c r="K115" s="254" t="s">
        <v>44</v>
      </c>
      <c r="L115" s="254" t="s">
        <v>27</v>
      </c>
      <c r="M115" s="259" t="s">
        <v>810</v>
      </c>
      <c r="N115" s="254" t="s">
        <v>814</v>
      </c>
      <c r="O115" s="257" t="s">
        <v>33</v>
      </c>
      <c r="P115" s="254"/>
      <c r="Q115" s="253"/>
      <c r="R115" s="253" t="s">
        <v>343</v>
      </c>
      <c r="S115" s="253"/>
      <c r="T115" s="253"/>
      <c r="U115" s="254"/>
      <c r="V115" s="254"/>
      <c r="W115" s="258"/>
      <c r="X115" s="258"/>
      <c r="Y115" s="254"/>
      <c r="Z115" s="91">
        <f>IF(OR($M115="",NOT($O115="{array}")),"",IFERROR(MATCH(PARAMETERS!$M115,DEFAULT!$B$5:$CC$5,0),""))</f>
        <v>43</v>
      </c>
      <c r="AA115" s="86" t="str">
        <f t="shared" si="6"/>
        <v/>
      </c>
      <c r="AB115" s="117" t="str">
        <f>IF(AND(OR($A115="G",$A115="P"),NOT($O115="{array}")),IF(VLOOKUP($K115,base!$B$2:$D$18,3,0)="S",IF(OR($O115="",ISTEXT($O115)),"","STRING!"),IF(VLOOKUP($K115,base!$B$2:$D$18,3,0)="","",IF(ISTEXT($O115),"NUMERIC!",""))),"")</f>
        <v/>
      </c>
      <c r="AC115" s="17" t="str">
        <f>IF($AA115="","",IF($B115="I",VLOOKUP($AA115,#REF!,53,0),INDEX(VALUES!$B$1:$CX$1,1,$AA115)))</f>
        <v/>
      </c>
    </row>
    <row r="116" spans="1:29" hidden="1" outlineLevel="1" x14ac:dyDescent="0.3">
      <c r="A116" s="22" t="s">
        <v>84</v>
      </c>
      <c r="B116" s="42" t="str">
        <f t="shared" si="8"/>
        <v>A</v>
      </c>
      <c r="C116" s="252">
        <f t="shared" si="11"/>
        <v>115</v>
      </c>
      <c r="D116" s="253"/>
      <c r="E116" s="253"/>
      <c r="F116" s="253"/>
      <c r="G116" s="253"/>
      <c r="H116" s="253"/>
      <c r="I116" s="253" t="s">
        <v>9</v>
      </c>
      <c r="J116" s="253" t="s">
        <v>9</v>
      </c>
      <c r="K116" s="254" t="s">
        <v>44</v>
      </c>
      <c r="L116" s="254" t="s">
        <v>27</v>
      </c>
      <c r="M116" s="259" t="s">
        <v>811</v>
      </c>
      <c r="N116" s="254" t="s">
        <v>815</v>
      </c>
      <c r="O116" s="257" t="s">
        <v>33</v>
      </c>
      <c r="P116" s="254"/>
      <c r="Q116" s="253"/>
      <c r="R116" s="253" t="s">
        <v>343</v>
      </c>
      <c r="S116" s="253"/>
      <c r="T116" s="253"/>
      <c r="U116" s="254"/>
      <c r="V116" s="254"/>
      <c r="W116" s="258"/>
      <c r="X116" s="258"/>
      <c r="Y116" s="254"/>
      <c r="Z116" s="91">
        <f>IF(OR($M116="",NOT($O116="{array}")),"",IFERROR(MATCH(PARAMETERS!$M116,DEFAULT!$B$5:$CC$5,0),""))</f>
        <v>50</v>
      </c>
      <c r="AA116" s="86" t="str">
        <f t="shared" si="6"/>
        <v/>
      </c>
      <c r="AB116" s="117" t="str">
        <f>IF(AND(OR($A116="G",$A116="P"),NOT($O116="{array}")),IF(VLOOKUP($K116,base!$B$2:$D$18,3,0)="S",IF(OR($O116="",ISTEXT($O116)),"","STRING!"),IF(VLOOKUP($K116,base!$B$2:$D$18,3,0)="","",IF(ISTEXT($O116),"NUMERIC!",""))),"")</f>
        <v/>
      </c>
      <c r="AC116" s="17" t="str">
        <f>IF($AA116="","",IF($B116="I",VLOOKUP($AA116,#REF!,53,0),INDEX(VALUES!$B$1:$CX$1,1,$AA116)))</f>
        <v/>
      </c>
    </row>
    <row r="117" spans="1:29" hidden="1" outlineLevel="1" x14ac:dyDescent="0.3">
      <c r="A117" s="22" t="s">
        <v>84</v>
      </c>
      <c r="B117" s="42" t="str">
        <f t="shared" si="8"/>
        <v>A</v>
      </c>
      <c r="C117" s="252">
        <f t="shared" si="11"/>
        <v>116</v>
      </c>
      <c r="D117" s="253"/>
      <c r="E117" s="253"/>
      <c r="F117" s="253"/>
      <c r="G117" s="253"/>
      <c r="H117" s="253"/>
      <c r="I117" s="253" t="s">
        <v>9</v>
      </c>
      <c r="J117" s="253" t="s">
        <v>9</v>
      </c>
      <c r="K117" s="254" t="s">
        <v>44</v>
      </c>
      <c r="L117" s="254" t="s">
        <v>27</v>
      </c>
      <c r="M117" s="259" t="s">
        <v>816</v>
      </c>
      <c r="N117" s="254" t="s">
        <v>817</v>
      </c>
      <c r="O117" s="257" t="s">
        <v>33</v>
      </c>
      <c r="P117" s="254"/>
      <c r="Q117" s="253"/>
      <c r="R117" s="253" t="s">
        <v>343</v>
      </c>
      <c r="S117" s="253"/>
      <c r="T117" s="253"/>
      <c r="U117" s="254"/>
      <c r="V117" s="254"/>
      <c r="W117" s="258"/>
      <c r="X117" s="258"/>
      <c r="Y117" s="254"/>
      <c r="Z117" s="91">
        <f>IF(OR($M117="",NOT($O117="{array}")),"",IFERROR(MATCH(PARAMETERS!$M117,DEFAULT!$B$5:$CC$5,0),""))</f>
        <v>53</v>
      </c>
      <c r="AA117" s="86" t="str">
        <f t="shared" si="6"/>
        <v/>
      </c>
      <c r="AB117" s="117" t="str">
        <f>IF(AND(OR($A117="G",$A117="P"),NOT($O117="{array}")),IF(VLOOKUP($K117,base!$B$2:$D$18,3,0)="S",IF(OR($O117="",ISTEXT($O117)),"","STRING!"),IF(VLOOKUP($K117,base!$B$2:$D$18,3,0)="","",IF(ISTEXT($O117),"NUMERIC!",""))),"")</f>
        <v/>
      </c>
      <c r="AC117" s="17" t="str">
        <f>IF($AA117="","",IF($B117="I",VLOOKUP($AA117,#REF!,53,0),INDEX(VALUES!$B$1:$CX$1,1,$AA117)))</f>
        <v/>
      </c>
    </row>
    <row r="118" spans="1:29" hidden="1" outlineLevel="1" x14ac:dyDescent="0.3">
      <c r="A118" s="22" t="s">
        <v>84</v>
      </c>
      <c r="B118" s="42" t="str">
        <f t="shared" si="8"/>
        <v>A</v>
      </c>
      <c r="C118" s="252">
        <f t="shared" si="11"/>
        <v>117</v>
      </c>
      <c r="D118" s="253"/>
      <c r="E118" s="253"/>
      <c r="F118" s="253"/>
      <c r="G118" s="253"/>
      <c r="H118" s="253"/>
      <c r="I118" s="253" t="s">
        <v>9</v>
      </c>
      <c r="J118" s="253" t="s">
        <v>9</v>
      </c>
      <c r="K118" s="254" t="s">
        <v>24</v>
      </c>
      <c r="L118" s="254" t="s">
        <v>27</v>
      </c>
      <c r="M118" s="259" t="s">
        <v>890</v>
      </c>
      <c r="N118" s="254" t="s">
        <v>891</v>
      </c>
      <c r="O118" s="257" t="s">
        <v>33</v>
      </c>
      <c r="P118" s="254"/>
      <c r="Q118" s="253"/>
      <c r="R118" s="253" t="s">
        <v>343</v>
      </c>
      <c r="S118" s="253"/>
      <c r="T118" s="253"/>
      <c r="U118" s="254"/>
      <c r="V118" s="254"/>
      <c r="W118" s="258"/>
      <c r="X118" s="258"/>
      <c r="Y118" s="254"/>
      <c r="Z118" s="91">
        <f>IF(OR($M118="",NOT($O118="{array}")),"",IFERROR(MATCH(PARAMETERS!$M118,DEFAULT!$B$5:$CC$5,0),""))</f>
        <v>60</v>
      </c>
      <c r="AA118" s="86" t="str">
        <f t="shared" si="6"/>
        <v/>
      </c>
      <c r="AB118" s="117" t="str">
        <f>IF(AND(OR($A118="G",$A118="P"),NOT($O118="{array}")),IF(VLOOKUP($K118,base!$B$2:$D$18,3,0)="S",IF(OR($O118="",ISTEXT($O118)),"","STRING!"),IF(VLOOKUP($K118,base!$B$2:$D$18,3,0)="","",IF(ISTEXT($O118),"NUMERIC!",""))),"")</f>
        <v/>
      </c>
      <c r="AC118" s="17" t="str">
        <f>IF($AA118="","",IF($B118="I",VLOOKUP($AA118,#REF!,53,0),INDEX(VALUES!$B$1:$CX$1,1,$AA118)))</f>
        <v/>
      </c>
    </row>
    <row r="119" spans="1:29" collapsed="1" x14ac:dyDescent="0.3">
      <c r="A119" s="22" t="s">
        <v>84</v>
      </c>
      <c r="B119" s="42" t="str">
        <f t="shared" si="8"/>
        <v/>
      </c>
      <c r="C119" s="169">
        <f t="shared" ref="C119:C135" si="12">(ROW()-1)</f>
        <v>118</v>
      </c>
      <c r="D119" s="160"/>
      <c r="E119" s="160"/>
      <c r="F119" s="160" t="s">
        <v>9</v>
      </c>
      <c r="G119" s="160"/>
      <c r="H119" s="160"/>
      <c r="I119" s="160"/>
      <c r="J119" s="160"/>
      <c r="K119" s="161" t="s">
        <v>57</v>
      </c>
      <c r="L119" s="161" t="s">
        <v>38</v>
      </c>
      <c r="M119" s="162" t="s">
        <v>99</v>
      </c>
      <c r="N119" s="159" t="s">
        <v>494</v>
      </c>
      <c r="O119" s="163"/>
      <c r="P119" s="161"/>
      <c r="Q119" s="160"/>
      <c r="R119" s="160" t="s">
        <v>190</v>
      </c>
      <c r="S119" s="160"/>
      <c r="T119" s="160"/>
      <c r="U119" s="161"/>
      <c r="V119" s="161"/>
      <c r="W119" s="164"/>
      <c r="X119" s="164"/>
      <c r="Y119" s="161"/>
      <c r="Z119" s="91" t="str">
        <f>IF(OR($M119="",NOT($O119="{array}")),"",IFERROR(MATCH(PARAMETERS!$M119,DEFAULT!$B$5:$CC$5,0),""))</f>
        <v/>
      </c>
      <c r="AA119" s="86" t="str">
        <f t="shared" ref="AA119:AA163" si="13">IF($M119="","",IFERROR(MATCH($M119,VALUESnames,0),""))</f>
        <v/>
      </c>
      <c r="AB119" s="117" t="str">
        <f>IF(AND(OR($A119="G",$A119="P"),NOT($O119="{array}")),IF(VLOOKUP($K119,base!$B$2:$D$18,3,0)="S",IF(OR($O119="",ISTEXT($O119)),"","STRING!"),IF(VLOOKUP($K119,base!$B$2:$D$18,3,0)="","",IF(ISTEXT($O119),"NUMERIC!",""))),"")</f>
        <v/>
      </c>
      <c r="AC119" s="17" t="str">
        <f>IF($AA119="","",IF($B119="I",VLOOKUP($AA119,#REF!,53,0),INDEX(VALUES!$B$1:$CX$1,1,$AA119)))</f>
        <v/>
      </c>
    </row>
    <row r="120" spans="1:29" hidden="1" outlineLevel="1" x14ac:dyDescent="0.3">
      <c r="A120" s="22" t="s">
        <v>84</v>
      </c>
      <c r="B120" s="42" t="str">
        <f t="shared" si="8"/>
        <v/>
      </c>
      <c r="C120" s="43">
        <f t="shared" si="12"/>
        <v>119</v>
      </c>
      <c r="D120" s="291"/>
      <c r="E120" s="39"/>
      <c r="F120" s="292"/>
      <c r="G120" s="50"/>
      <c r="H120" s="39"/>
      <c r="I120" s="39" t="s">
        <v>9</v>
      </c>
      <c r="J120" s="39"/>
      <c r="K120" s="55" t="s">
        <v>18</v>
      </c>
      <c r="L120" s="54" t="s">
        <v>21</v>
      </c>
      <c r="M120" s="85" t="s">
        <v>1222</v>
      </c>
      <c r="N120" s="99" t="s">
        <v>145</v>
      </c>
      <c r="O120" s="99" t="s">
        <v>1240</v>
      </c>
      <c r="P120" s="63" t="s">
        <v>335</v>
      </c>
      <c r="R120" s="102" t="s">
        <v>189</v>
      </c>
      <c r="S120" s="160"/>
      <c r="T120" s="160"/>
      <c r="U120" s="161"/>
      <c r="V120" s="161"/>
      <c r="W120" s="164"/>
      <c r="X120" s="164"/>
      <c r="Y120" s="161"/>
      <c r="Z120" s="91" t="str">
        <f>IF(OR($M120="",NOT($O120="{array}")),"",IFERROR(MATCH(PARAMETERS!$M120,DEFAULT!$B$5:$CC$5,0),""))</f>
        <v/>
      </c>
      <c r="AA120" s="86" t="str">
        <f t="shared" si="13"/>
        <v/>
      </c>
      <c r="AB120" s="117" t="str">
        <f>IF(AND(OR($A120="G",$A120="P"),NOT($O120="{array}")),IF(VLOOKUP($K120,base!$B$2:$D$18,3,0)="S",IF(OR($O120="",ISTEXT($O120)),"","STRING!"),IF(VLOOKUP($K120,base!$B$2:$D$18,3,0)="","",IF(ISTEXT($O120),"NUMERIC!",""))),"")</f>
        <v/>
      </c>
      <c r="AC120" s="17" t="str">
        <f>IF($AA120="","",IF($B120="I",VLOOKUP($AA120,#REF!,53,0),INDEX(VALUES!$B$1:$CX$1,1,$AA120)))</f>
        <v/>
      </c>
    </row>
    <row r="121" spans="1:29" hidden="1" outlineLevel="1" x14ac:dyDescent="0.3">
      <c r="A121" s="22" t="s">
        <v>84</v>
      </c>
      <c r="B121" s="42" t="str">
        <f t="shared" si="8"/>
        <v>V</v>
      </c>
      <c r="C121" s="43">
        <f t="shared" si="12"/>
        <v>120</v>
      </c>
      <c r="D121" s="39"/>
      <c r="E121" s="39"/>
      <c r="F121" s="39"/>
      <c r="G121" s="39"/>
      <c r="H121" s="39"/>
      <c r="I121" s="39" t="s">
        <v>9</v>
      </c>
      <c r="J121" s="39"/>
      <c r="K121" s="55" t="s">
        <v>18</v>
      </c>
      <c r="L121" s="54" t="s">
        <v>21</v>
      </c>
      <c r="M121" s="85" t="s">
        <v>560</v>
      </c>
      <c r="N121" s="99" t="s">
        <v>559</v>
      </c>
      <c r="O121" s="99" t="s">
        <v>617</v>
      </c>
      <c r="P121" s="63" t="s">
        <v>335</v>
      </c>
      <c r="Q121" s="102"/>
      <c r="R121" s="102" t="s">
        <v>189</v>
      </c>
      <c r="S121" s="102" t="s">
        <v>199</v>
      </c>
      <c r="T121" s="99" t="s">
        <v>335</v>
      </c>
      <c r="U121" s="55"/>
      <c r="V121" s="99" t="s">
        <v>559</v>
      </c>
      <c r="W121" s="15"/>
      <c r="X121" s="63"/>
      <c r="Y121" s="55"/>
      <c r="Z121" s="91" t="str">
        <f>IF(OR($M121="",NOT($O121="{array}")),"",IFERROR(MATCH(PARAMETERS!$M121,DEFAULT!$B$5:$CC$5,0),""))</f>
        <v/>
      </c>
      <c r="AA121" s="86">
        <f t="shared" si="13"/>
        <v>1</v>
      </c>
      <c r="AB121" s="117" t="str">
        <f>IF(AND(OR($A121="G",$A121="P"),NOT($O121="{array}")),IF(VLOOKUP($K121,base!$B$2:$D$18,3,0)="S",IF(OR($O121="",ISTEXT($O121)),"","STRING!"),IF(VLOOKUP($K121,base!$B$2:$D$18,3,0)="","",IF(ISTEXT($O121),"NUMERIC!",""))),"")</f>
        <v/>
      </c>
      <c r="AC121" s="17" t="str">
        <f>IF($AA121="","",IF($B121="I",VLOOKUP($AA121,#REF!,53,0),INDEX(VALUES!$B$1:$CX$1,1,$AA121)))</f>
        <v>OGRO | OGRO by ARCHITECTS</v>
      </c>
    </row>
    <row r="122" spans="1:29" hidden="1" outlineLevel="1" x14ac:dyDescent="0.25">
      <c r="A122" s="22" t="s">
        <v>84</v>
      </c>
      <c r="B122" s="42" t="str">
        <f t="shared" si="8"/>
        <v>V</v>
      </c>
      <c r="C122" s="43">
        <f t="shared" si="12"/>
        <v>121</v>
      </c>
      <c r="D122" s="39"/>
      <c r="E122" s="39"/>
      <c r="F122" s="39" t="s">
        <v>9</v>
      </c>
      <c r="G122" s="39"/>
      <c r="H122" s="39"/>
      <c r="I122" s="39" t="s">
        <v>9</v>
      </c>
      <c r="J122" s="39"/>
      <c r="K122" s="14" t="s">
        <v>18</v>
      </c>
      <c r="L122" s="14" t="s">
        <v>27</v>
      </c>
      <c r="M122" s="20" t="s">
        <v>93</v>
      </c>
      <c r="N122" s="14" t="s">
        <v>529</v>
      </c>
      <c r="O122" s="44" t="s">
        <v>564</v>
      </c>
      <c r="R122" s="39" t="s">
        <v>190</v>
      </c>
      <c r="S122" s="39"/>
      <c r="T122" s="39"/>
      <c r="V122" s="99" t="s">
        <v>162</v>
      </c>
      <c r="W122" s="15"/>
      <c r="X122" s="63"/>
      <c r="Y122" s="99" t="s">
        <v>307</v>
      </c>
      <c r="Z122" s="91" t="str">
        <f>IF(OR($M122="",NOT($O122="{array}")),"",IFERROR(MATCH(PARAMETERS!$M122,DEFAULT!$B$5:$CC$5,0),""))</f>
        <v/>
      </c>
      <c r="AA122" s="86">
        <f t="shared" si="13"/>
        <v>5</v>
      </c>
      <c r="AB122" s="117" t="str">
        <f>IF(AND(OR($A122="G",$A122="P"),NOT($O122="{array}")),IF(VLOOKUP($K122,base!$B$2:$D$18,3,0)="S",IF(OR($O122="",ISTEXT($O122)),"","STRING!"),IF(VLOOKUP($K122,base!$B$2:$D$18,3,0)="","",IF(ISTEXT($O122),"NUMERIC!",""))),"")</f>
        <v/>
      </c>
      <c r="AC122" s="17" t="str">
        <f>IF($AA122="","",IF($B122="I",VLOOKUP($AA122,#REF!,53,0),INDEX(VALUES!$B$1:$CX$1,1,$AA122)))</f>
        <v>- | DR | KF | KD</v>
      </c>
    </row>
    <row r="123" spans="1:29" ht="14.25" hidden="1" customHeight="1" outlineLevel="1" x14ac:dyDescent="0.3">
      <c r="A123" s="22" t="s">
        <v>84</v>
      </c>
      <c r="B123" s="42" t="str">
        <f t="shared" si="8"/>
        <v>V</v>
      </c>
      <c r="C123" s="43">
        <f t="shared" si="12"/>
        <v>122</v>
      </c>
      <c r="D123" s="39"/>
      <c r="E123" s="39"/>
      <c r="F123" s="39"/>
      <c r="G123" s="39"/>
      <c r="H123" s="39"/>
      <c r="I123" s="39" t="s">
        <v>9</v>
      </c>
      <c r="J123" s="39"/>
      <c r="K123" s="55" t="s">
        <v>18</v>
      </c>
      <c r="L123" s="54" t="s">
        <v>21</v>
      </c>
      <c r="M123" s="85" t="s">
        <v>537</v>
      </c>
      <c r="N123" s="61" t="s">
        <v>538</v>
      </c>
      <c r="O123" s="61" t="s">
        <v>527</v>
      </c>
      <c r="P123" s="63" t="s">
        <v>335</v>
      </c>
      <c r="Q123" s="59"/>
      <c r="R123" s="102" t="s">
        <v>189</v>
      </c>
      <c r="S123" s="102" t="s">
        <v>199</v>
      </c>
      <c r="T123" s="99" t="s">
        <v>335</v>
      </c>
      <c r="U123" s="99"/>
      <c r="V123" s="99" t="s">
        <v>163</v>
      </c>
      <c r="W123" s="105"/>
      <c r="X123" s="106"/>
      <c r="Y123" s="99" t="s">
        <v>308</v>
      </c>
      <c r="Z123" s="91" t="str">
        <f>IF(OR($M123="",NOT($O123="{array}")),"",IFERROR(MATCH(PARAMETERS!$M123,DEFAULT!$B$5:$CC$5,0),""))</f>
        <v/>
      </c>
      <c r="AA123" s="86">
        <f t="shared" si="13"/>
        <v>2</v>
      </c>
      <c r="AB123" s="117" t="str">
        <f>IF(AND(OR($A123="G",$A123="P"),NOT($O123="{array}")),IF(VLOOKUP($K123,base!$B$2:$D$18,3,0)="S",IF(OR($O123="",ISTEXT($O123)),"","STRING!"),IF(VLOOKUP($K123,base!$B$2:$D$18,3,0)="","",IF(ISTEXT($O123),"NUMERIC!",""))),"")</f>
        <v/>
      </c>
      <c r="AC123" s="17" t="str">
        <f>IF($AA123="","",IF($B123="I",VLOOKUP($AA123,#REF!,53,0),INDEX(VALUES!$B$1:$CX$1,1,$AA123)))</f>
        <v>- | 8016 | 8056 | 8100 | 8100A | 8100V | 8101 | 8101A | ...</v>
      </c>
    </row>
    <row r="124" spans="1:29" hidden="1" outlineLevel="1" x14ac:dyDescent="0.3">
      <c r="A124" s="22" t="s">
        <v>84</v>
      </c>
      <c r="B124" s="42" t="str">
        <f t="shared" si="8"/>
        <v/>
      </c>
      <c r="C124" s="43">
        <f t="shared" si="12"/>
        <v>123</v>
      </c>
      <c r="D124" s="39"/>
      <c r="E124" s="39"/>
      <c r="F124" s="39"/>
      <c r="G124" s="39"/>
      <c r="H124" s="39"/>
      <c r="I124" s="39" t="s">
        <v>9</v>
      </c>
      <c r="J124" s="39"/>
      <c r="K124" s="14" t="s">
        <v>18</v>
      </c>
      <c r="L124" s="14" t="s">
        <v>27</v>
      </c>
      <c r="M124" s="20" t="s">
        <v>100</v>
      </c>
      <c r="N124" s="14" t="s">
        <v>398</v>
      </c>
      <c r="R124" s="39" t="s">
        <v>190</v>
      </c>
      <c r="S124" s="39"/>
      <c r="T124" s="39"/>
      <c r="W124" s="15"/>
      <c r="Z124" s="91" t="str">
        <f>IF(OR($M124="",NOT($O124="{array}")),"",IFERROR(MATCH(PARAMETERS!$M124,DEFAULT!$B$5:$CC$5,0),""))</f>
        <v/>
      </c>
      <c r="AA124" s="86" t="str">
        <f t="shared" si="13"/>
        <v/>
      </c>
      <c r="AB124" s="117" t="str">
        <f>IF(AND(OR($A124="G",$A124="P"),NOT($O124="{array}")),IF(VLOOKUP($K124,base!$B$2:$D$18,3,0)="S",IF(OR($O124="",ISTEXT($O124)),"","STRING!"),IF(VLOOKUP($K124,base!$B$2:$D$18,3,0)="","",IF(ISTEXT($O124),"NUMERIC!",""))),"")</f>
        <v/>
      </c>
      <c r="AC124" s="17" t="str">
        <f>IF($AA124="","",IF($B124="I",VLOOKUP($AA124,#REF!,53,0),INDEX(VALUES!$B$1:$CX$1,1,$AA124)))</f>
        <v/>
      </c>
    </row>
    <row r="125" spans="1:29" hidden="1" outlineLevel="1" x14ac:dyDescent="0.3">
      <c r="A125" s="22" t="s">
        <v>84</v>
      </c>
      <c r="B125" s="42" t="str">
        <f t="shared" si="8"/>
        <v>V</v>
      </c>
      <c r="C125" s="43">
        <f t="shared" si="12"/>
        <v>124</v>
      </c>
      <c r="D125" s="39"/>
      <c r="E125" s="39"/>
      <c r="F125" s="39"/>
      <c r="G125" s="39"/>
      <c r="H125" s="39"/>
      <c r="I125" s="39" t="s">
        <v>9</v>
      </c>
      <c r="J125" s="39"/>
      <c r="K125" s="61" t="s">
        <v>18</v>
      </c>
      <c r="L125" s="54" t="s">
        <v>21</v>
      </c>
      <c r="M125" s="85" t="s">
        <v>541</v>
      </c>
      <c r="N125" s="61" t="s">
        <v>558</v>
      </c>
      <c r="O125" s="61" t="s">
        <v>514</v>
      </c>
      <c r="P125" s="68" t="s">
        <v>335</v>
      </c>
      <c r="Q125" s="68"/>
      <c r="R125" s="70" t="s">
        <v>343</v>
      </c>
      <c r="S125" s="59"/>
      <c r="T125" s="55"/>
      <c r="U125" s="55"/>
      <c r="V125" s="55"/>
      <c r="W125" s="15"/>
      <c r="X125" s="63"/>
      <c r="Y125" s="55"/>
      <c r="Z125" s="91" t="str">
        <f>IF(OR($M125="",NOT($O125="{array}")),"",IFERROR(MATCH(PARAMETERS!$M125,DEFAULT!$B$5:$CC$5,0),""))</f>
        <v/>
      </c>
      <c r="AA125" s="86">
        <f t="shared" si="13"/>
        <v>13</v>
      </c>
      <c r="AB125" s="117" t="str">
        <f>IF(AND(OR($A125="G",$A125="P"),NOT($O125="{array}")),IF(VLOOKUP($K125,base!$B$2:$D$18,3,0)="S",IF(OR($O125="",ISTEXT($O125)),"","STRING!"),IF(VLOOKUP($K125,base!$B$2:$D$18,3,0)="","",IF(ISTEXT($O125),"NUMERIC!",""))),"")</f>
        <v/>
      </c>
      <c r="AC125" s="17" t="str">
        <f>IF($AA125="","",IF($B125="I",VLOOKUP($AA125,#REF!,53,0),INDEX(VALUES!$B$1:$CX$1,1,$AA125)))</f>
        <v>W | So | Su</v>
      </c>
    </row>
    <row r="126" spans="1:29" hidden="1" outlineLevel="1" x14ac:dyDescent="0.3">
      <c r="A126" s="22" t="s">
        <v>84</v>
      </c>
      <c r="B126" s="42" t="str">
        <f t="shared" si="8"/>
        <v/>
      </c>
      <c r="C126" s="43">
        <f t="shared" si="12"/>
        <v>125</v>
      </c>
      <c r="D126" s="39"/>
      <c r="E126" s="39"/>
      <c r="F126" s="39"/>
      <c r="G126" s="39"/>
      <c r="H126" s="39"/>
      <c r="I126" s="39" t="s">
        <v>9</v>
      </c>
      <c r="J126" s="39"/>
      <c r="K126" s="61" t="s">
        <v>18</v>
      </c>
      <c r="L126" s="54" t="s">
        <v>21</v>
      </c>
      <c r="M126" s="85" t="s">
        <v>796</v>
      </c>
      <c r="N126" s="61" t="s">
        <v>799</v>
      </c>
      <c r="O126" s="61"/>
      <c r="P126" s="68" t="s">
        <v>335</v>
      </c>
      <c r="Q126" s="68"/>
      <c r="R126" s="70" t="s">
        <v>343</v>
      </c>
      <c r="S126" s="59"/>
      <c r="T126" s="55"/>
      <c r="U126" s="55"/>
      <c r="V126" s="55"/>
      <c r="W126" s="15"/>
      <c r="X126" s="63"/>
      <c r="Y126" s="55"/>
      <c r="Z126" s="91" t="str">
        <f>IF(OR($M126="",NOT($O126="{array}")),"",IFERROR(MATCH(PARAMETERS!$M126,DEFAULT!$B$5:$CC$5,0),""))</f>
        <v/>
      </c>
      <c r="AA126" s="86" t="str">
        <f t="shared" si="13"/>
        <v/>
      </c>
      <c r="AB126" s="117" t="str">
        <f>IF(AND(OR($A126="G",$A126="P"),NOT($O126="{array}")),IF(VLOOKUP($K126,base!$B$2:$D$18,3,0)="S",IF(OR($O126="",ISTEXT($O126)),"","STRING!"),IF(VLOOKUP($K126,base!$B$2:$D$18,3,0)="","",IF(ISTEXT($O126),"NUMERIC!",""))),"")</f>
        <v/>
      </c>
      <c r="AC126" s="17" t="str">
        <f>IF($AA126="","",IF($B126="I",VLOOKUP($AA126,#REF!,53,0),INDEX(VALUES!$B$1:$CX$1,1,$AA126)))</f>
        <v/>
      </c>
    </row>
    <row r="127" spans="1:29" hidden="1" outlineLevel="1" x14ac:dyDescent="0.3">
      <c r="A127" s="22" t="s">
        <v>84</v>
      </c>
      <c r="B127" s="42" t="str">
        <f t="shared" si="8"/>
        <v>V</v>
      </c>
      <c r="C127" s="43">
        <f t="shared" si="12"/>
        <v>126</v>
      </c>
      <c r="D127" s="39"/>
      <c r="E127" s="39"/>
      <c r="F127" s="39"/>
      <c r="G127" s="39"/>
      <c r="H127" s="39"/>
      <c r="I127" s="39" t="s">
        <v>9</v>
      </c>
      <c r="J127" s="39"/>
      <c r="K127" s="55" t="s">
        <v>18</v>
      </c>
      <c r="L127" s="54" t="s">
        <v>21</v>
      </c>
      <c r="M127" s="85" t="s">
        <v>542</v>
      </c>
      <c r="N127" s="99" t="s">
        <v>545</v>
      </c>
      <c r="O127" s="55" t="s">
        <v>565</v>
      </c>
      <c r="P127" s="63" t="s">
        <v>335</v>
      </c>
      <c r="Q127" s="102" t="s">
        <v>9</v>
      </c>
      <c r="R127" s="102" t="s">
        <v>189</v>
      </c>
      <c r="S127" s="102" t="s">
        <v>199</v>
      </c>
      <c r="T127" s="99" t="s">
        <v>335</v>
      </c>
      <c r="U127" s="99"/>
      <c r="V127" s="99" t="s">
        <v>166</v>
      </c>
      <c r="W127" s="105"/>
      <c r="X127" s="106"/>
      <c r="Y127" s="99" t="s">
        <v>311</v>
      </c>
      <c r="Z127" s="91" t="str">
        <f>IF(OR($M127="",NOT($O127="{array}")),"",IFERROR(MATCH(PARAMETERS!$M127,DEFAULT!$B$5:$CC$5,0),""))</f>
        <v/>
      </c>
      <c r="AA127" s="86">
        <f t="shared" si="13"/>
        <v>19</v>
      </c>
      <c r="AB127" s="117" t="str">
        <f>IF(AND(OR($A127="G",$A127="P"),NOT($O127="{array}")),IF(VLOOKUP($K127,base!$B$2:$D$18,3,0)="S",IF(OR($O127="",ISTEXT($O127)),"","STRING!"),IF(VLOOKUP($K127,base!$B$2:$D$18,3,0)="","",IF(ISTEXT($O127),"NUMERIC!",""))),"")</f>
        <v/>
      </c>
      <c r="AC127" s="17" t="str">
        <f>IF($AA127="","",IF($B127="I",VLOOKUP($AA127,#REF!,53,0),INDEX(VALUES!$B$1:$CX$1,1,$AA127)))</f>
        <v xml:space="preserve">  | ST | ES | AL | MS | NY | KO | XX</v>
      </c>
    </row>
    <row r="128" spans="1:29" hidden="1" outlineLevel="1" x14ac:dyDescent="0.3">
      <c r="A128" s="22" t="s">
        <v>84</v>
      </c>
      <c r="B128" s="42" t="str">
        <f t="shared" si="8"/>
        <v>V</v>
      </c>
      <c r="C128" s="43">
        <f t="shared" si="12"/>
        <v>127</v>
      </c>
      <c r="D128" s="39"/>
      <c r="E128" s="39"/>
      <c r="F128" s="39"/>
      <c r="G128" s="39"/>
      <c r="H128" s="39"/>
      <c r="I128" s="39" t="s">
        <v>9</v>
      </c>
      <c r="J128" s="39"/>
      <c r="K128" s="55" t="s">
        <v>18</v>
      </c>
      <c r="L128" s="54" t="s">
        <v>21</v>
      </c>
      <c r="M128" s="85" t="s">
        <v>543</v>
      </c>
      <c r="N128" s="99" t="s">
        <v>544</v>
      </c>
      <c r="O128" s="55" t="s">
        <v>19</v>
      </c>
      <c r="P128" s="63" t="s">
        <v>335</v>
      </c>
      <c r="Q128" s="102" t="s">
        <v>9</v>
      </c>
      <c r="R128" s="102" t="s">
        <v>189</v>
      </c>
      <c r="S128" s="102" t="s">
        <v>199</v>
      </c>
      <c r="T128" s="99" t="s">
        <v>335</v>
      </c>
      <c r="U128" s="99"/>
      <c r="V128" s="99" t="s">
        <v>168</v>
      </c>
      <c r="W128" s="105"/>
      <c r="X128" s="106"/>
      <c r="Y128" s="99" t="s">
        <v>312</v>
      </c>
      <c r="Z128" s="91" t="str">
        <f>IF(OR($M128="",NOT($O128="{array}")),"",IFERROR(MATCH(PARAMETERS!$M128,DEFAULT!$B$5:$CC$5,0),""))</f>
        <v/>
      </c>
      <c r="AA128" s="86">
        <f t="shared" si="13"/>
        <v>25</v>
      </c>
      <c r="AB128" s="117" t="str">
        <f>IF(AND(OR($A128="G",$A128="P"),NOT($O128="{array}")),IF(VLOOKUP($K128,base!$B$2:$D$18,3,0)="S",IF(OR($O128="",ISTEXT($O128)),"","STRING!"),IF(VLOOKUP($K128,base!$B$2:$D$18,3,0)="","",IF(ISTEXT($O128),"NUMERIC!",""))),"")</f>
        <v/>
      </c>
      <c r="AC128" s="17" t="str">
        <f>IF($AA128="","",IF($B128="I",VLOOKUP($AA128,#REF!,53,0),INDEX(VALUES!$B$1:$CX$1,1,$AA128)))</f>
        <v xml:space="preserve">  | - | B | S | T | P | L | V | ...</v>
      </c>
    </row>
    <row r="129" spans="1:29" hidden="1" outlineLevel="1" x14ac:dyDescent="0.25">
      <c r="A129" s="22" t="s">
        <v>84</v>
      </c>
      <c r="B129" s="42" t="str">
        <f t="shared" si="8"/>
        <v>V</v>
      </c>
      <c r="C129" s="43">
        <f t="shared" si="12"/>
        <v>128</v>
      </c>
      <c r="D129" s="39"/>
      <c r="E129" s="39"/>
      <c r="F129" s="39" t="s">
        <v>9</v>
      </c>
      <c r="G129" s="39"/>
      <c r="H129" s="39"/>
      <c r="I129" s="39" t="s">
        <v>9</v>
      </c>
      <c r="J129" s="39"/>
      <c r="K129" s="14" t="s">
        <v>18</v>
      </c>
      <c r="L129" s="14" t="s">
        <v>27</v>
      </c>
      <c r="M129" s="20" t="s">
        <v>531</v>
      </c>
      <c r="N129" s="14" t="s">
        <v>532</v>
      </c>
      <c r="O129" s="44" t="s">
        <v>564</v>
      </c>
      <c r="R129" s="39" t="s">
        <v>190</v>
      </c>
      <c r="S129" s="39"/>
      <c r="T129" s="39"/>
      <c r="V129" s="99" t="s">
        <v>164</v>
      </c>
      <c r="W129" s="105"/>
      <c r="X129" s="106"/>
      <c r="Y129" s="99" t="s">
        <v>309</v>
      </c>
      <c r="Z129" s="91" t="str">
        <f>IF(OR($M129="",NOT($O129="{array}")),"",IFERROR(MATCH(PARAMETERS!$M129,DEFAULT!$B$5:$CC$5,0),""))</f>
        <v/>
      </c>
      <c r="AA129" s="86">
        <f t="shared" si="13"/>
        <v>7</v>
      </c>
      <c r="AB129" s="117" t="str">
        <f>IF(AND(OR($A129="G",$A129="P"),NOT($O129="{array}")),IF(VLOOKUP($K129,base!$B$2:$D$18,3,0)="S",IF(OR($O129="",ISTEXT($O129)),"","STRING!"),IF(VLOOKUP($K129,base!$B$2:$D$18,3,0)="","",IF(ISTEXT($O129),"NUMERIC!",""))),"")</f>
        <v/>
      </c>
      <c r="AC129" s="17" t="str">
        <f>IF($AA129="","",IF($B129="I",VLOOKUP($AA129,#REF!,53,0),INDEX(VALUES!$B$1:$CX$1,1,$AA129)))</f>
        <v>- | DR | KF | KD</v>
      </c>
    </row>
    <row r="130" spans="1:29" hidden="1" outlineLevel="1" x14ac:dyDescent="0.3">
      <c r="A130" s="22" t="s">
        <v>84</v>
      </c>
      <c r="B130" s="42" t="str">
        <f t="shared" si="8"/>
        <v>V</v>
      </c>
      <c r="C130" s="43">
        <f t="shared" si="12"/>
        <v>129</v>
      </c>
      <c r="D130" s="39"/>
      <c r="E130" s="39"/>
      <c r="F130" s="39"/>
      <c r="G130" s="39"/>
      <c r="H130" s="39"/>
      <c r="I130" s="39" t="s">
        <v>9</v>
      </c>
      <c r="J130" s="39"/>
      <c r="K130" s="55" t="s">
        <v>18</v>
      </c>
      <c r="L130" s="54" t="s">
        <v>21</v>
      </c>
      <c r="M130" s="85" t="s">
        <v>540</v>
      </c>
      <c r="N130" s="61" t="s">
        <v>549</v>
      </c>
      <c r="O130" s="44" t="s">
        <v>527</v>
      </c>
      <c r="P130" s="63" t="s">
        <v>335</v>
      </c>
      <c r="Q130" s="59"/>
      <c r="R130" s="102" t="s">
        <v>189</v>
      </c>
      <c r="S130" s="102" t="s">
        <v>199</v>
      </c>
      <c r="T130" s="99" t="s">
        <v>335</v>
      </c>
      <c r="U130" s="99"/>
      <c r="V130" s="99" t="s">
        <v>165</v>
      </c>
      <c r="W130" s="105"/>
      <c r="X130" s="106"/>
      <c r="Y130" s="99" t="s">
        <v>310</v>
      </c>
      <c r="Z130" s="91" t="str">
        <f>IF(OR($M130="",NOT($O130="{array}")),"",IFERROR(MATCH(PARAMETERS!$M130,DEFAULT!$B$5:$CC$5,0),""))</f>
        <v/>
      </c>
      <c r="AA130" s="86">
        <f t="shared" si="13"/>
        <v>3</v>
      </c>
      <c r="AB130" s="117" t="str">
        <f>IF(AND(OR($A130="G",$A130="P"),NOT($O130="{array}")),IF(VLOOKUP($K130,base!$B$2:$D$18,3,0)="S",IF(OR($O130="",ISTEXT($O130)),"","STRING!"),IF(VLOOKUP($K130,base!$B$2:$D$18,3,0)="","",IF(ISTEXT($O130),"NUMERIC!",""))),"")</f>
        <v/>
      </c>
      <c r="AC130" s="17" t="str">
        <f>IF($AA130="","",IF($B130="I",VLOOKUP($AA130,#REF!,53,0),INDEX(VALUES!$B$1:$CX$1,1,$AA130)))</f>
        <v>- | 8016 | 8056 | 8100 | 8100A | 8100V | 8101 | 8101A | ...</v>
      </c>
    </row>
    <row r="131" spans="1:29" hidden="1" outlineLevel="1" x14ac:dyDescent="0.3">
      <c r="A131" s="22" t="s">
        <v>84</v>
      </c>
      <c r="B131" s="42" t="str">
        <f t="shared" si="8"/>
        <v/>
      </c>
      <c r="C131" s="43">
        <f t="shared" si="12"/>
        <v>130</v>
      </c>
      <c r="D131" s="39"/>
      <c r="E131" s="39"/>
      <c r="F131" s="39"/>
      <c r="G131" s="39"/>
      <c r="H131" s="39"/>
      <c r="I131" s="39" t="s">
        <v>9</v>
      </c>
      <c r="J131" s="39"/>
      <c r="K131" s="14" t="s">
        <v>18</v>
      </c>
      <c r="L131" s="14" t="s">
        <v>27</v>
      </c>
      <c r="M131" s="84" t="s">
        <v>101</v>
      </c>
      <c r="N131" s="67" t="s">
        <v>399</v>
      </c>
      <c r="R131" s="50" t="s">
        <v>343</v>
      </c>
      <c r="S131" s="101"/>
      <c r="T131" s="39"/>
      <c r="W131" s="15"/>
      <c r="Z131" s="91" t="str">
        <f>IF(OR($M131="",NOT($O131="{array}")),"",IFERROR(MATCH(PARAMETERS!$M131,DEFAULT!$B$5:$CC$5,0),""))</f>
        <v/>
      </c>
      <c r="AA131" s="86" t="str">
        <f t="shared" si="13"/>
        <v/>
      </c>
      <c r="AB131" s="117" t="str">
        <f>IF(AND(OR($A131="G",$A131="P"),NOT($O131="{array}")),IF(VLOOKUP($K131,base!$B$2:$D$18,3,0)="S",IF(OR($O131="",ISTEXT($O131)),"","STRING!"),IF(VLOOKUP($K131,base!$B$2:$D$18,3,0)="","",IF(ISTEXT($O131),"NUMERIC!",""))),"")</f>
        <v/>
      </c>
      <c r="AC131" s="17" t="str">
        <f>IF($AA131="","",IF($B131="I",VLOOKUP($AA131,#REF!,53,0),INDEX(VALUES!$B$1:$CX$1,1,$AA131)))</f>
        <v/>
      </c>
    </row>
    <row r="132" spans="1:29" hidden="1" outlineLevel="1" x14ac:dyDescent="0.3">
      <c r="A132" s="22" t="s">
        <v>84</v>
      </c>
      <c r="B132" s="42" t="str">
        <f t="shared" si="8"/>
        <v>V</v>
      </c>
      <c r="C132" s="43">
        <f t="shared" si="12"/>
        <v>131</v>
      </c>
      <c r="D132" s="39"/>
      <c r="E132" s="39"/>
      <c r="F132" s="39"/>
      <c r="G132" s="39"/>
      <c r="H132" s="39"/>
      <c r="I132" s="39" t="s">
        <v>9</v>
      </c>
      <c r="J132" s="39"/>
      <c r="K132" s="61" t="s">
        <v>18</v>
      </c>
      <c r="L132" s="54" t="s">
        <v>21</v>
      </c>
      <c r="M132" s="85" t="s">
        <v>550</v>
      </c>
      <c r="N132" s="61" t="s">
        <v>557</v>
      </c>
      <c r="O132" s="61" t="s">
        <v>514</v>
      </c>
      <c r="P132" s="68" t="s">
        <v>335</v>
      </c>
      <c r="Q132" s="68"/>
      <c r="R132" s="70" t="s">
        <v>343</v>
      </c>
      <c r="S132" s="59"/>
      <c r="T132" s="55"/>
      <c r="U132" s="55"/>
      <c r="V132" s="55"/>
      <c r="W132" s="15"/>
      <c r="X132" s="63"/>
      <c r="Y132" s="55"/>
      <c r="Z132" s="91" t="str">
        <f>IF(OR($M132="",NOT($O132="{array}")),"",IFERROR(MATCH(PARAMETERS!$M132,DEFAULT!$B$5:$CC$5,0),""))</f>
        <v/>
      </c>
      <c r="AA132" s="86">
        <f t="shared" si="13"/>
        <v>15</v>
      </c>
      <c r="AB132" s="117" t="str">
        <f>IF(AND(OR($A132="G",$A132="P"),NOT($O132="{array}")),IF(VLOOKUP($K132,base!$B$2:$D$18,3,0)="S",IF(OR($O132="",ISTEXT($O132)),"","STRING!"),IF(VLOOKUP($K132,base!$B$2:$D$18,3,0)="","",IF(ISTEXT($O132),"NUMERIC!",""))),"")</f>
        <v/>
      </c>
      <c r="AC132" s="17" t="str">
        <f>IF($AA132="","",IF($B132="I",VLOOKUP($AA132,#REF!,53,0),INDEX(VALUES!$B$1:$CX$1,1,$AA132)))</f>
        <v>W | So | Su</v>
      </c>
    </row>
    <row r="133" spans="1:29" hidden="1" outlineLevel="1" x14ac:dyDescent="0.3">
      <c r="A133" s="22" t="s">
        <v>84</v>
      </c>
      <c r="B133" s="42" t="str">
        <f t="shared" ref="B133:B208" si="14">IF($A133="P",IF(NOT($Z133=""),"A",IF(NOT($AA133=""),"I","")),IF(NOT($AA133=""),IF($A133="G","V","X"),IF(NOT($Z133=""),"A","")))</f>
        <v/>
      </c>
      <c r="C133" s="43">
        <f t="shared" si="12"/>
        <v>132</v>
      </c>
      <c r="D133" s="39"/>
      <c r="E133" s="39"/>
      <c r="F133" s="39"/>
      <c r="G133" s="39"/>
      <c r="H133" s="39"/>
      <c r="I133" s="39" t="s">
        <v>9</v>
      </c>
      <c r="J133" s="39"/>
      <c r="K133" s="61" t="s">
        <v>18</v>
      </c>
      <c r="L133" s="54" t="s">
        <v>21</v>
      </c>
      <c r="M133" s="85" t="s">
        <v>797</v>
      </c>
      <c r="N133" s="61" t="s">
        <v>798</v>
      </c>
      <c r="O133" s="61"/>
      <c r="P133" s="68" t="s">
        <v>335</v>
      </c>
      <c r="Q133" s="68"/>
      <c r="R133" s="70" t="s">
        <v>343</v>
      </c>
      <c r="S133" s="59"/>
      <c r="T133" s="55"/>
      <c r="U133" s="55"/>
      <c r="V133" s="55"/>
      <c r="W133" s="15"/>
      <c r="X133" s="63"/>
      <c r="Y133" s="55"/>
      <c r="Z133" s="91" t="str">
        <f>IF(OR($M133="",NOT($O133="{array}")),"",IFERROR(MATCH(PARAMETERS!$M133,DEFAULT!$B$5:$CC$5,0),""))</f>
        <v/>
      </c>
      <c r="AA133" s="86" t="str">
        <f t="shared" si="13"/>
        <v/>
      </c>
      <c r="AB133" s="117" t="str">
        <f>IF(AND(OR($A133="G",$A133="P"),NOT($O133="{array}")),IF(VLOOKUP($K133,base!$B$2:$D$18,3,0)="S",IF(OR($O133="",ISTEXT($O133)),"","STRING!"),IF(VLOOKUP($K133,base!$B$2:$D$18,3,0)="","",IF(ISTEXT($O133),"NUMERIC!",""))),"")</f>
        <v/>
      </c>
      <c r="AC133" s="17" t="str">
        <f>IF($AA133="","",IF($B133="I",VLOOKUP($AA133,#REF!,53,0),INDEX(VALUES!$B$1:$CX$1,1,$AA133)))</f>
        <v/>
      </c>
    </row>
    <row r="134" spans="1:29" hidden="1" outlineLevel="1" x14ac:dyDescent="0.3">
      <c r="A134" s="22" t="s">
        <v>84</v>
      </c>
      <c r="B134" s="42" t="str">
        <f t="shared" si="14"/>
        <v>V</v>
      </c>
      <c r="C134" s="43">
        <f t="shared" si="12"/>
        <v>133</v>
      </c>
      <c r="D134" s="39"/>
      <c r="E134" s="39"/>
      <c r="F134" s="39"/>
      <c r="G134" s="39"/>
      <c r="H134" s="39"/>
      <c r="I134" s="39" t="s">
        <v>9</v>
      </c>
      <c r="J134" s="39"/>
      <c r="K134" s="55" t="s">
        <v>18</v>
      </c>
      <c r="L134" s="54" t="s">
        <v>21</v>
      </c>
      <c r="M134" s="85" t="s">
        <v>551</v>
      </c>
      <c r="N134" s="99" t="s">
        <v>555</v>
      </c>
      <c r="O134" s="55" t="s">
        <v>565</v>
      </c>
      <c r="P134" s="63" t="s">
        <v>335</v>
      </c>
      <c r="Q134" s="102" t="s">
        <v>9</v>
      </c>
      <c r="R134" s="102" t="s">
        <v>189</v>
      </c>
      <c r="S134" s="102" t="s">
        <v>199</v>
      </c>
      <c r="T134" s="99" t="s">
        <v>335</v>
      </c>
      <c r="U134" s="99"/>
      <c r="V134" s="99" t="s">
        <v>167</v>
      </c>
      <c r="W134" s="105"/>
      <c r="X134" s="106"/>
      <c r="Y134" s="99" t="s">
        <v>553</v>
      </c>
      <c r="Z134" s="91" t="str">
        <f>IF(OR($M134="",NOT($O134="{array}")),"",IFERROR(MATCH(PARAMETERS!$M134,DEFAULT!$B$5:$CC$5,0),""))</f>
        <v/>
      </c>
      <c r="AA134" s="86">
        <f t="shared" si="13"/>
        <v>21</v>
      </c>
      <c r="AB134" s="117" t="str">
        <f>IF(AND(OR($A134="G",$A134="P"),NOT($O134="{array}")),IF(VLOOKUP($K134,base!$B$2:$D$18,3,0)="S",IF(OR($O134="",ISTEXT($O134)),"","STRING!"),IF(VLOOKUP($K134,base!$B$2:$D$18,3,0)="","",IF(ISTEXT($O134),"NUMERIC!",""))),"")</f>
        <v/>
      </c>
      <c r="AC134" s="17" t="str">
        <f>IF($AA134="","",IF($B134="I",VLOOKUP($AA134,#REF!,53,0),INDEX(VALUES!$B$1:$CX$1,1,$AA134)))</f>
        <v xml:space="preserve">  | ST | ES | AL | MS | NY | KO | XX</v>
      </c>
    </row>
    <row r="135" spans="1:29" hidden="1" outlineLevel="1" x14ac:dyDescent="0.3">
      <c r="A135" s="22" t="s">
        <v>84</v>
      </c>
      <c r="B135" s="42" t="str">
        <f t="shared" si="14"/>
        <v>V</v>
      </c>
      <c r="C135" s="43">
        <f t="shared" si="12"/>
        <v>134</v>
      </c>
      <c r="D135" s="39"/>
      <c r="E135" s="39"/>
      <c r="F135" s="39"/>
      <c r="G135" s="39"/>
      <c r="H135" s="39"/>
      <c r="I135" s="39" t="s">
        <v>9</v>
      </c>
      <c r="J135" s="39"/>
      <c r="K135" s="55" t="s">
        <v>18</v>
      </c>
      <c r="L135" s="54" t="s">
        <v>21</v>
      </c>
      <c r="M135" s="85" t="s">
        <v>552</v>
      </c>
      <c r="N135" s="99" t="s">
        <v>556</v>
      </c>
      <c r="O135" s="55" t="s">
        <v>19</v>
      </c>
      <c r="P135" s="63" t="s">
        <v>335</v>
      </c>
      <c r="Q135" s="102" t="s">
        <v>9</v>
      </c>
      <c r="R135" s="102" t="s">
        <v>189</v>
      </c>
      <c r="S135" s="102" t="s">
        <v>199</v>
      </c>
      <c r="T135" s="99" t="s">
        <v>335</v>
      </c>
      <c r="U135" s="99"/>
      <c r="V135" s="99" t="s">
        <v>169</v>
      </c>
      <c r="W135" s="105"/>
      <c r="X135" s="106"/>
      <c r="Y135" s="99" t="s">
        <v>554</v>
      </c>
      <c r="Z135" s="91" t="str">
        <f>IF(OR($M135="",NOT($O135="{array}")),"",IFERROR(MATCH(PARAMETERS!$M135,DEFAULT!$B$5:$CC$5,0),""))</f>
        <v/>
      </c>
      <c r="AA135" s="86">
        <f t="shared" si="13"/>
        <v>27</v>
      </c>
      <c r="AB135" s="117" t="str">
        <f>IF(AND(OR($A135="G",$A135="P"),NOT($O135="{array}")),IF(VLOOKUP($K135,base!$B$2:$D$18,3,0)="S",IF(OR($O135="",ISTEXT($O135)),"","STRING!"),IF(VLOOKUP($K135,base!$B$2:$D$18,3,0)="","",IF(ISTEXT($O135),"NUMERIC!",""))),"")</f>
        <v/>
      </c>
      <c r="AC135" s="17" t="str">
        <f>IF($AA135="","",IF($B135="I",VLOOKUP($AA135,#REF!,53,0),INDEX(VALUES!$B$1:$CX$1,1,$AA135)))</f>
        <v xml:space="preserve">  | - | B | S | T | P | L | V | ...</v>
      </c>
    </row>
    <row r="136" spans="1:29" hidden="1" outlineLevel="1" x14ac:dyDescent="0.3">
      <c r="A136" s="22" t="s">
        <v>84</v>
      </c>
      <c r="B136" s="42" t="str">
        <f t="shared" si="14"/>
        <v>V</v>
      </c>
      <c r="C136" s="43">
        <f t="shared" ref="C136:C142" si="15">(ROW()-1)</f>
        <v>135</v>
      </c>
      <c r="D136" s="39"/>
      <c r="E136" s="39"/>
      <c r="F136" s="39"/>
      <c r="G136" s="39"/>
      <c r="H136" s="39"/>
      <c r="I136" s="39" t="s">
        <v>9</v>
      </c>
      <c r="J136" s="39"/>
      <c r="K136" s="14" t="s">
        <v>18</v>
      </c>
      <c r="L136" s="14" t="s">
        <v>27</v>
      </c>
      <c r="M136" s="20" t="s">
        <v>530</v>
      </c>
      <c r="N136" s="14" t="s">
        <v>601</v>
      </c>
      <c r="O136" s="44" t="s">
        <v>564</v>
      </c>
      <c r="R136" s="39" t="s">
        <v>190</v>
      </c>
      <c r="S136" s="39"/>
      <c r="T136" s="39"/>
      <c r="W136" s="15"/>
      <c r="Z136" s="91" t="str">
        <f>IF(OR($M136="",NOT($O136="{array}")),"",IFERROR(MATCH(PARAMETERS!$M136,DEFAULT!$B$5:$CC$5,0),""))</f>
        <v/>
      </c>
      <c r="AA136" s="86">
        <f t="shared" si="13"/>
        <v>9</v>
      </c>
      <c r="AB136" s="117" t="str">
        <f>IF(AND(OR($A136="G",$A136="P"),NOT($O136="{array}")),IF(VLOOKUP($K136,base!$B$2:$D$18,3,0)="S",IF(OR($O136="",ISTEXT($O136)),"","STRING!"),IF(VLOOKUP($K136,base!$B$2:$D$18,3,0)="","",IF(ISTEXT($O136),"NUMERIC!",""))),"")</f>
        <v/>
      </c>
      <c r="AC136" s="17" t="str">
        <f>IF($AA136="","",IF($B136="I",VLOOKUP($AA136,#REF!,53,0),INDEX(VALUES!$B$1:$CX$1,1,$AA136)))</f>
        <v>- | DR | KD</v>
      </c>
    </row>
    <row r="137" spans="1:29" hidden="1" outlineLevel="1" x14ac:dyDescent="0.3">
      <c r="A137" s="22" t="s">
        <v>84</v>
      </c>
      <c r="B137" s="42" t="str">
        <f t="shared" si="14"/>
        <v>V</v>
      </c>
      <c r="C137" s="43">
        <f>(ROW()-1)</f>
        <v>136</v>
      </c>
      <c r="D137" s="39"/>
      <c r="E137" s="39"/>
      <c r="F137" s="39"/>
      <c r="G137" s="39"/>
      <c r="H137" s="39"/>
      <c r="I137" s="39" t="s">
        <v>9</v>
      </c>
      <c r="J137" s="39"/>
      <c r="K137" s="61" t="s">
        <v>18</v>
      </c>
      <c r="L137" s="54" t="s">
        <v>21</v>
      </c>
      <c r="M137" s="85" t="s">
        <v>539</v>
      </c>
      <c r="N137" s="61" t="s">
        <v>602</v>
      </c>
      <c r="O137" s="61" t="s">
        <v>527</v>
      </c>
      <c r="P137" s="63" t="s">
        <v>335</v>
      </c>
      <c r="Q137" s="59"/>
      <c r="R137" s="50" t="s">
        <v>343</v>
      </c>
      <c r="S137" s="102"/>
      <c r="T137" s="55" t="s">
        <v>335</v>
      </c>
      <c r="U137" s="55"/>
      <c r="V137" s="55"/>
      <c r="W137" s="15"/>
      <c r="X137" s="63"/>
      <c r="Y137" s="55"/>
      <c r="Z137" s="91" t="str">
        <f>IF(OR($M137="",NOT($O137="{array}")),"",IFERROR(MATCH(PARAMETERS!$M137,DEFAULT!$B$5:$CC$5,0),""))</f>
        <v/>
      </c>
      <c r="AA137" s="86">
        <f t="shared" si="13"/>
        <v>4</v>
      </c>
      <c r="AB137" s="117" t="str">
        <f>IF(AND(OR($A137="G",$A137="P"),NOT($O137="{array}")),IF(VLOOKUP($K137,base!$B$2:$D$18,3,0)="S",IF(OR($O137="",ISTEXT($O137)),"","STRING!"),IF(VLOOKUP($K137,base!$B$2:$D$18,3,0)="","",IF(ISTEXT($O137),"NUMERIC!",""))),"")</f>
        <v/>
      </c>
      <c r="AC137" s="17" t="str">
        <f>IF($AA137="","",IF($B137="I",VLOOKUP($AA137,#REF!,53,0),INDEX(VALUES!$B$1:$CX$1,1,$AA137)))</f>
        <v>- | 8016 | 8056 | 8100 | 8100A | 8100V | 8101 | 8101A | ...</v>
      </c>
    </row>
    <row r="138" spans="1:29" hidden="1" outlineLevel="1" x14ac:dyDescent="0.3">
      <c r="A138" s="22" t="s">
        <v>84</v>
      </c>
      <c r="B138" s="42" t="str">
        <f t="shared" si="14"/>
        <v/>
      </c>
      <c r="C138" s="43">
        <f>(ROW()-1)</f>
        <v>137</v>
      </c>
      <c r="D138" s="39"/>
      <c r="E138" s="39"/>
      <c r="F138" s="39"/>
      <c r="G138" s="39"/>
      <c r="H138" s="39"/>
      <c r="I138" s="39" t="s">
        <v>9</v>
      </c>
      <c r="J138" s="39"/>
      <c r="K138" s="14" t="s">
        <v>18</v>
      </c>
      <c r="L138" s="14" t="s">
        <v>27</v>
      </c>
      <c r="M138" s="84" t="s">
        <v>528</v>
      </c>
      <c r="N138" s="67" t="s">
        <v>603</v>
      </c>
      <c r="R138" s="50" t="s">
        <v>343</v>
      </c>
      <c r="S138" s="39"/>
      <c r="T138" s="39"/>
      <c r="W138" s="15"/>
      <c r="Z138" s="91" t="str">
        <f>IF(OR($M138="",NOT($O138="{array}")),"",IFERROR(MATCH(PARAMETERS!$M138,DEFAULT!$B$5:$CC$5,0),""))</f>
        <v/>
      </c>
      <c r="AA138" s="86" t="str">
        <f t="shared" si="13"/>
        <v/>
      </c>
      <c r="AB138" s="117" t="str">
        <f>IF(AND(OR($A138="G",$A138="P"),NOT($O138="{array}")),IF(VLOOKUP($K138,base!$B$2:$D$18,3,0)="S",IF(OR($O138="",ISTEXT($O138)),"","STRING!"),IF(VLOOKUP($K138,base!$B$2:$D$18,3,0)="","",IF(ISTEXT($O138),"NUMERIC!",""))),"")</f>
        <v/>
      </c>
      <c r="AC138" s="17" t="str">
        <f>IF($AA138="","",IF($B138="I",VLOOKUP($AA138,#REF!,53,0),INDEX(VALUES!$B$1:$CX$1,1,$AA138)))</f>
        <v/>
      </c>
    </row>
    <row r="139" spans="1:29" hidden="1" outlineLevel="1" x14ac:dyDescent="0.3">
      <c r="A139" s="22" t="s">
        <v>84</v>
      </c>
      <c r="B139" s="42" t="str">
        <f t="shared" si="14"/>
        <v>V</v>
      </c>
      <c r="C139" s="43">
        <f t="shared" si="15"/>
        <v>138</v>
      </c>
      <c r="D139" s="39"/>
      <c r="E139" s="39"/>
      <c r="F139" s="39"/>
      <c r="G139" s="39"/>
      <c r="H139" s="39"/>
      <c r="I139" s="39" t="s">
        <v>9</v>
      </c>
      <c r="J139" s="39"/>
      <c r="K139" s="14" t="s">
        <v>44</v>
      </c>
      <c r="L139" s="14" t="s">
        <v>27</v>
      </c>
      <c r="M139" s="20" t="s">
        <v>533</v>
      </c>
      <c r="N139" s="14" t="s">
        <v>604</v>
      </c>
      <c r="O139" s="44">
        <v>0</v>
      </c>
      <c r="R139" s="50" t="s">
        <v>343</v>
      </c>
      <c r="S139" s="39"/>
      <c r="T139" s="39"/>
      <c r="W139" s="15"/>
      <c r="Z139" s="91" t="str">
        <f>IF(OR($M139="",NOT($O139="{array}")),"",IFERROR(MATCH(PARAMETERS!$M139,DEFAULT!$B$5:$CC$5,0),""))</f>
        <v/>
      </c>
      <c r="AA139" s="86">
        <f t="shared" si="13"/>
        <v>11</v>
      </c>
      <c r="AB139" s="117" t="str">
        <f>IF(AND(OR($A139="G",$A139="P"),NOT($O139="{array}")),IF(VLOOKUP($K139,base!$B$2:$D$18,3,0)="S",IF(OR($O139="",ISTEXT($O139)),"","STRING!"),IF(VLOOKUP($K139,base!$B$2:$D$18,3,0)="","",IF(ISTEXT($O139),"NUMERIC!",""))),"")</f>
        <v/>
      </c>
      <c r="AC139" s="17" t="str">
        <f>IF($AA139="","",IF($B139="I",VLOOKUP($AA139,#REF!,53,0),INDEX(VALUES!$B$1:$CX$1,1,$AA139)))</f>
        <v>0 | 1</v>
      </c>
    </row>
    <row r="140" spans="1:29" hidden="1" outlineLevel="1" x14ac:dyDescent="0.3">
      <c r="A140" s="22" t="s">
        <v>84</v>
      </c>
      <c r="B140" s="42" t="str">
        <f t="shared" si="14"/>
        <v>V</v>
      </c>
      <c r="C140" s="43">
        <f t="shared" si="15"/>
        <v>139</v>
      </c>
      <c r="D140" s="39"/>
      <c r="E140" s="39"/>
      <c r="F140" s="39"/>
      <c r="G140" s="39"/>
      <c r="H140" s="39"/>
      <c r="I140" s="39" t="s">
        <v>9</v>
      </c>
      <c r="J140" s="39"/>
      <c r="K140" s="61" t="s">
        <v>18</v>
      </c>
      <c r="L140" s="54" t="s">
        <v>21</v>
      </c>
      <c r="M140" s="85" t="s">
        <v>561</v>
      </c>
      <c r="N140" s="61" t="s">
        <v>605</v>
      </c>
      <c r="O140" s="61" t="s">
        <v>514</v>
      </c>
      <c r="P140" s="68" t="s">
        <v>335</v>
      </c>
      <c r="Q140" s="68"/>
      <c r="R140" s="70" t="s">
        <v>343</v>
      </c>
      <c r="S140" s="59"/>
      <c r="T140" s="55"/>
      <c r="U140" s="55"/>
      <c r="V140" s="55"/>
      <c r="W140" s="15"/>
      <c r="X140" s="63"/>
      <c r="Y140" s="55"/>
      <c r="Z140" s="91" t="str">
        <f>IF(OR($M140="",NOT($O140="{array}")),"",IFERROR(MATCH(PARAMETERS!$M140,DEFAULT!$B$5:$CC$5,0),""))</f>
        <v/>
      </c>
      <c r="AA140" s="86">
        <f t="shared" si="13"/>
        <v>17</v>
      </c>
      <c r="AB140" s="117" t="str">
        <f>IF(AND(OR($A140="G",$A140="P"),NOT($O140="{array}")),IF(VLOOKUP($K140,base!$B$2:$D$18,3,0)="S",IF(OR($O140="",ISTEXT($O140)),"","STRING!"),IF(VLOOKUP($K140,base!$B$2:$D$18,3,0)="","",IF(ISTEXT($O140),"NUMERIC!",""))),"")</f>
        <v/>
      </c>
      <c r="AC140" s="17" t="str">
        <f>IF($AA140="","",IF($B140="I",VLOOKUP($AA140,#REF!,53,0),INDEX(VALUES!$B$1:$CX$1,1,$AA140)))</f>
        <v>W | So | Su</v>
      </c>
    </row>
    <row r="141" spans="1:29" hidden="1" outlineLevel="1" x14ac:dyDescent="0.3">
      <c r="A141" s="22" t="s">
        <v>84</v>
      </c>
      <c r="B141" s="42" t="str">
        <f t="shared" si="14"/>
        <v>V</v>
      </c>
      <c r="C141" s="43">
        <f t="shared" si="15"/>
        <v>140</v>
      </c>
      <c r="D141" s="39"/>
      <c r="E141" s="39"/>
      <c r="F141" s="39"/>
      <c r="G141" s="39"/>
      <c r="H141" s="39"/>
      <c r="I141" s="39" t="s">
        <v>9</v>
      </c>
      <c r="J141" s="39"/>
      <c r="K141" s="55" t="s">
        <v>18</v>
      </c>
      <c r="L141" s="54" t="s">
        <v>21</v>
      </c>
      <c r="M141" s="85" t="s">
        <v>562</v>
      </c>
      <c r="N141" s="61" t="s">
        <v>606</v>
      </c>
      <c r="O141" s="61" t="s">
        <v>565</v>
      </c>
      <c r="P141" s="68" t="s">
        <v>335</v>
      </c>
      <c r="Q141" s="70" t="s">
        <v>9</v>
      </c>
      <c r="R141" s="70" t="s">
        <v>189</v>
      </c>
      <c r="S141" s="70" t="s">
        <v>199</v>
      </c>
      <c r="T141" s="61" t="s">
        <v>335</v>
      </c>
      <c r="U141" s="61"/>
      <c r="V141" s="61" t="s">
        <v>167</v>
      </c>
      <c r="W141" s="108"/>
      <c r="X141" s="68"/>
      <c r="Y141" s="61" t="s">
        <v>553</v>
      </c>
      <c r="Z141" s="91" t="str">
        <f>IF(OR($M141="",NOT($O141="{array}")),"",IFERROR(MATCH(PARAMETERS!$M141,DEFAULT!$B$5:$CC$5,0),""))</f>
        <v/>
      </c>
      <c r="AA141" s="86">
        <f t="shared" si="13"/>
        <v>23</v>
      </c>
      <c r="AB141" s="117" t="str">
        <f>IF(AND(OR($A141="G",$A141="P"),NOT($O141="{array}")),IF(VLOOKUP($K141,base!$B$2:$D$18,3,0)="S",IF(OR($O141="",ISTEXT($O141)),"","STRING!"),IF(VLOOKUP($K141,base!$B$2:$D$18,3,0)="","",IF(ISTEXT($O141),"NUMERIC!",""))),"")</f>
        <v/>
      </c>
      <c r="AC141" s="17" t="str">
        <f>IF($AA141="","",IF($B141="I",VLOOKUP($AA141,#REF!,53,0),INDEX(VALUES!$B$1:$CX$1,1,$AA141)))</f>
        <v xml:space="preserve">  | ST | ES | AL | MS | NY | KO | XX</v>
      </c>
    </row>
    <row r="142" spans="1:29" hidden="1" outlineLevel="1" x14ac:dyDescent="0.3">
      <c r="A142" s="22" t="s">
        <v>84</v>
      </c>
      <c r="B142" s="42" t="str">
        <f t="shared" si="14"/>
        <v>V</v>
      </c>
      <c r="C142" s="43">
        <f t="shared" si="15"/>
        <v>141</v>
      </c>
      <c r="D142" s="39"/>
      <c r="E142" s="39"/>
      <c r="F142" s="39"/>
      <c r="G142" s="39"/>
      <c r="H142" s="39"/>
      <c r="I142" s="39" t="s">
        <v>9</v>
      </c>
      <c r="J142" s="39"/>
      <c r="K142" s="55" t="s">
        <v>18</v>
      </c>
      <c r="L142" s="54" t="s">
        <v>21</v>
      </c>
      <c r="M142" s="85" t="s">
        <v>563</v>
      </c>
      <c r="N142" s="61" t="s">
        <v>607</v>
      </c>
      <c r="O142" s="61" t="s">
        <v>19</v>
      </c>
      <c r="P142" s="68" t="s">
        <v>335</v>
      </c>
      <c r="Q142" s="70" t="s">
        <v>9</v>
      </c>
      <c r="R142" s="70" t="s">
        <v>189</v>
      </c>
      <c r="S142" s="70" t="s">
        <v>199</v>
      </c>
      <c r="T142" s="61" t="s">
        <v>335</v>
      </c>
      <c r="U142" s="61"/>
      <c r="V142" s="61" t="s">
        <v>169</v>
      </c>
      <c r="W142" s="108"/>
      <c r="X142" s="68"/>
      <c r="Y142" s="61" t="s">
        <v>554</v>
      </c>
      <c r="Z142" s="91" t="str">
        <f>IF(OR($M142="",NOT($O142="{array}")),"",IFERROR(MATCH(PARAMETERS!$M142,DEFAULT!$B$5:$CC$5,0),""))</f>
        <v/>
      </c>
      <c r="AA142" s="86">
        <f t="shared" si="13"/>
        <v>29</v>
      </c>
      <c r="AB142" s="117" t="str">
        <f>IF(AND(OR($A142="G",$A142="P"),NOT($O142="{array}")),IF(VLOOKUP($K142,base!$B$2:$D$18,3,0)="S",IF(OR($O142="",ISTEXT($O142)),"","STRING!"),IF(VLOOKUP($K142,base!$B$2:$D$18,3,0)="","",IF(ISTEXT($O142),"NUMERIC!",""))),"")</f>
        <v/>
      </c>
      <c r="AC142" s="17" t="str">
        <f>IF($AA142="","",IF($B142="I",VLOOKUP($AA142,#REF!,53,0),INDEX(VALUES!$B$1:$CX$1,1,$AA142)))</f>
        <v xml:space="preserve">  | - | B | S | T | P | L | V | ...</v>
      </c>
    </row>
    <row r="143" spans="1:29" hidden="1" outlineLevel="1" x14ac:dyDescent="0.25">
      <c r="A143" s="22" t="s">
        <v>84</v>
      </c>
      <c r="B143" s="42" t="str">
        <f t="shared" si="14"/>
        <v>V</v>
      </c>
      <c r="C143" s="43">
        <f t="shared" ref="C143:C156" si="16">(ROW()-1)</f>
        <v>142</v>
      </c>
      <c r="D143" s="39"/>
      <c r="E143" s="39"/>
      <c r="F143" s="39"/>
      <c r="G143" s="39"/>
      <c r="H143" s="39"/>
      <c r="I143" s="39" t="s">
        <v>9</v>
      </c>
      <c r="J143" s="39"/>
      <c r="K143" s="14" t="s">
        <v>24</v>
      </c>
      <c r="L143" s="14" t="s">
        <v>27</v>
      </c>
      <c r="M143" s="20" t="s">
        <v>102</v>
      </c>
      <c r="N143" s="67" t="s">
        <v>534</v>
      </c>
      <c r="O143" s="44">
        <v>1.05</v>
      </c>
      <c r="Q143" s="39" t="s">
        <v>9</v>
      </c>
      <c r="R143" s="39" t="s">
        <v>190</v>
      </c>
      <c r="S143" s="39"/>
      <c r="T143" s="39"/>
      <c r="V143" s="55" t="s">
        <v>173</v>
      </c>
      <c r="W143" s="15"/>
      <c r="X143" s="63"/>
      <c r="Y143" s="55" t="s">
        <v>316</v>
      </c>
      <c r="Z143" s="91" t="str">
        <f>IF(OR($M143="",NOT($O143="{array}")),"",IFERROR(MATCH(PARAMETERS!$M143,DEFAULT!$B$5:$CC$5,0),""))</f>
        <v/>
      </c>
      <c r="AA143" s="86">
        <f t="shared" si="13"/>
        <v>53</v>
      </c>
      <c r="AB143" s="117" t="str">
        <f>IF(AND(OR($A143="G",$A143="P"),NOT($O143="{array}")),IF(VLOOKUP($K143,base!$B$2:$D$18,3,0)="S",IF(OR($O143="",ISTEXT($O143)),"","STRING!"),IF(VLOOKUP($K143,base!$B$2:$D$18,3,0)="","",IF(ISTEXT($O143),"NUMERIC!",""))),"")</f>
        <v/>
      </c>
      <c r="AC143" s="17" t="str">
        <f>IF($AA143="","",IF($B143="I",VLOOKUP($AA143,#REF!,53,0),INDEX(VALUES!$B$1:$CX$1,1,$AA143)))</f>
        <v>0,85 | 1,05</v>
      </c>
    </row>
    <row r="144" spans="1:29" hidden="1" outlineLevel="1" x14ac:dyDescent="0.3">
      <c r="A144" s="22" t="s">
        <v>84</v>
      </c>
      <c r="B144" s="42" t="str">
        <f t="shared" si="14"/>
        <v>V</v>
      </c>
      <c r="C144" s="43">
        <f t="shared" si="16"/>
        <v>143</v>
      </c>
      <c r="D144" s="39"/>
      <c r="E144" s="39"/>
      <c r="F144" s="39"/>
      <c r="G144" s="39"/>
      <c r="H144" s="39"/>
      <c r="I144" s="39" t="s">
        <v>9</v>
      </c>
      <c r="J144" s="39"/>
      <c r="K144" s="14" t="s">
        <v>24</v>
      </c>
      <c r="L144" s="14" t="s">
        <v>27</v>
      </c>
      <c r="M144" s="20" t="s">
        <v>103</v>
      </c>
      <c r="N144" s="67" t="s">
        <v>608</v>
      </c>
      <c r="O144" s="44">
        <v>1.05</v>
      </c>
      <c r="Q144" s="39" t="s">
        <v>9</v>
      </c>
      <c r="R144" s="39" t="s">
        <v>190</v>
      </c>
      <c r="S144" s="39"/>
      <c r="T144" s="39"/>
      <c r="W144" s="15"/>
      <c r="Z144" s="91" t="str">
        <f>IF(OR($M144="",NOT($O144="{array}")),"",IFERROR(MATCH(PARAMETERS!$M144,DEFAULT!$B$5:$CC$5,0),""))</f>
        <v/>
      </c>
      <c r="AA144" s="86">
        <f t="shared" si="13"/>
        <v>54</v>
      </c>
      <c r="AB144" s="117" t="str">
        <f>IF(AND(OR($A144="G",$A144="P"),NOT($O144="{array}")),IF(VLOOKUP($K144,base!$B$2:$D$18,3,0)="S",IF(OR($O144="",ISTEXT($O144)),"","STRING!"),IF(VLOOKUP($K144,base!$B$2:$D$18,3,0)="","",IF(ISTEXT($O144),"NUMERIC!",""))),"")</f>
        <v/>
      </c>
      <c r="AC144" s="17" t="str">
        <f>IF($AA144="","",IF($B144="I",VLOOKUP($AA144,#REF!,53,0),INDEX(VALUES!$B$1:$CX$1,1,$AA144)))</f>
        <v>0,85 | 1,05</v>
      </c>
    </row>
    <row r="145" spans="1:29" hidden="1" outlineLevel="1" x14ac:dyDescent="0.3">
      <c r="A145" s="22"/>
      <c r="B145" s="42" t="str">
        <f t="shared" si="14"/>
        <v/>
      </c>
      <c r="C145" s="43">
        <f t="shared" si="16"/>
        <v>144</v>
      </c>
      <c r="D145" s="39"/>
      <c r="E145" s="39"/>
      <c r="F145" s="39"/>
      <c r="G145" s="39"/>
      <c r="H145" s="39"/>
      <c r="I145" s="39" t="s">
        <v>9</v>
      </c>
      <c r="J145" s="39"/>
      <c r="K145" s="67" t="s">
        <v>53</v>
      </c>
      <c r="L145" s="67" t="s">
        <v>27</v>
      </c>
      <c r="M145" s="84" t="s">
        <v>495</v>
      </c>
      <c r="N145" s="67" t="s">
        <v>492</v>
      </c>
      <c r="O145" s="97">
        <v>1</v>
      </c>
      <c r="R145" s="39" t="s">
        <v>190</v>
      </c>
      <c r="S145" s="39"/>
      <c r="T145" s="39"/>
      <c r="W145" s="15"/>
      <c r="Z145" s="91" t="str">
        <f>IF(OR($M145="",NOT($O145="{array}")),"",IFERROR(MATCH(PARAMETERS!$M145,DEFAULT!$B$5:$CC$5,0),""))</f>
        <v/>
      </c>
      <c r="AA145" s="86" t="str">
        <f t="shared" si="13"/>
        <v/>
      </c>
      <c r="AB145" s="117" t="str">
        <f>IF(AND(OR($A145="G",$A145="P"),NOT($O145="{array}")),IF(VLOOKUP($K145,base!$B$2:$D$18,3,0)="S",IF(OR($O145="",ISTEXT($O145)),"","STRING!"),IF(VLOOKUP($K145,base!$B$2:$D$18,3,0)="","",IF(ISTEXT($O145),"NUMERIC!",""))),"")</f>
        <v/>
      </c>
      <c r="AC145" s="17" t="str">
        <f>IF($AA145="","",IF($B145="I",VLOOKUP($AA145,#REF!,53,0),INDEX(VALUES!$B$1:$CX$1,1,$AA145)))</f>
        <v/>
      </c>
    </row>
    <row r="146" spans="1:29" hidden="1" outlineLevel="1" x14ac:dyDescent="0.3">
      <c r="A146" s="22"/>
      <c r="B146" s="42" t="str">
        <f t="shared" si="14"/>
        <v/>
      </c>
      <c r="C146" s="43">
        <f t="shared" si="16"/>
        <v>145</v>
      </c>
      <c r="D146" s="39"/>
      <c r="E146" s="39"/>
      <c r="F146" s="39"/>
      <c r="G146" s="39"/>
      <c r="H146" s="39"/>
      <c r="I146" s="39" t="s">
        <v>9</v>
      </c>
      <c r="J146" s="39"/>
      <c r="K146" s="67" t="s">
        <v>53</v>
      </c>
      <c r="L146" s="67" t="s">
        <v>27</v>
      </c>
      <c r="M146" s="84" t="s">
        <v>496</v>
      </c>
      <c r="N146" s="67" t="s">
        <v>493</v>
      </c>
      <c r="O146" s="97">
        <v>20</v>
      </c>
      <c r="R146" s="39" t="s">
        <v>190</v>
      </c>
      <c r="S146" s="39"/>
      <c r="T146" s="39"/>
      <c r="W146" s="15"/>
      <c r="Z146" s="91" t="str">
        <f>IF(OR($M146="",NOT($O146="{array}")),"",IFERROR(MATCH(PARAMETERS!$M146,DEFAULT!$B$5:$CC$5,0),""))</f>
        <v/>
      </c>
      <c r="AA146" s="86" t="str">
        <f t="shared" si="13"/>
        <v/>
      </c>
      <c r="AB146" s="117" t="str">
        <f>IF(AND(OR($A146="G",$A146="P"),NOT($O146="{array}")),IF(VLOOKUP($K146,base!$B$2:$D$18,3,0)="S",IF(OR($O146="",ISTEXT($O146)),"","STRING!"),IF(VLOOKUP($K146,base!$B$2:$D$18,3,0)="","",IF(ISTEXT($O146),"NUMERIC!",""))),"")</f>
        <v/>
      </c>
      <c r="AC146" s="17" t="str">
        <f>IF($AA146="","",IF($B146="I",VLOOKUP($AA146,#REF!,53,0),INDEX(VALUES!$B$1:$CX$1,1,$AA146)))</f>
        <v/>
      </c>
    </row>
    <row r="147" spans="1:29" hidden="1" outlineLevel="1" x14ac:dyDescent="0.3">
      <c r="A147" s="22" t="s">
        <v>84</v>
      </c>
      <c r="B147" s="42" t="str">
        <f t="shared" si="14"/>
        <v/>
      </c>
      <c r="C147" s="43">
        <f t="shared" si="16"/>
        <v>146</v>
      </c>
      <c r="D147" s="39"/>
      <c r="E147" s="39"/>
      <c r="F147" s="39" t="s">
        <v>9</v>
      </c>
      <c r="G147" s="39"/>
      <c r="H147" s="39"/>
      <c r="I147" s="39" t="s">
        <v>9</v>
      </c>
      <c r="J147" s="39"/>
      <c r="K147" s="14" t="s">
        <v>50</v>
      </c>
      <c r="L147" s="14" t="s">
        <v>27</v>
      </c>
      <c r="M147" s="20" t="s">
        <v>108</v>
      </c>
      <c r="N147" s="14" t="s">
        <v>109</v>
      </c>
      <c r="O147" s="44">
        <v>40</v>
      </c>
      <c r="R147" s="39" t="s">
        <v>190</v>
      </c>
      <c r="S147" s="39"/>
      <c r="T147" s="39"/>
      <c r="W147" s="15"/>
      <c r="Z147" s="91" t="str">
        <f>IF(OR($M147="",NOT($O147="{array}")),"",IFERROR(MATCH(PARAMETERS!$M147,DEFAULT!$B$5:$CC$5,0),""))</f>
        <v/>
      </c>
      <c r="AA147" s="86" t="str">
        <f t="shared" si="13"/>
        <v/>
      </c>
      <c r="AB147" s="117" t="str">
        <f>IF(AND(OR($A147="G",$A147="P"),NOT($O147="{array}")),IF(VLOOKUP($K147,base!$B$2:$D$18,3,0)="S",IF(OR($O147="",ISTEXT($O147)),"","STRING!"),IF(VLOOKUP($K147,base!$B$2:$D$18,3,0)="","",IF(ISTEXT($O147),"NUMERIC!",""))),"")</f>
        <v/>
      </c>
      <c r="AC147" s="17" t="str">
        <f>IF($AA147="","",IF($B147="I",VLOOKUP($AA147,#REF!,53,0),INDEX(VALUES!$B$1:$CX$1,1,$AA147)))</f>
        <v/>
      </c>
    </row>
    <row r="148" spans="1:29" collapsed="1" x14ac:dyDescent="0.3">
      <c r="A148" s="22" t="s">
        <v>84</v>
      </c>
      <c r="B148" s="42" t="str">
        <f t="shared" si="14"/>
        <v/>
      </c>
      <c r="C148" s="43">
        <f t="shared" si="16"/>
        <v>147</v>
      </c>
      <c r="D148" s="39"/>
      <c r="E148" s="39"/>
      <c r="F148" s="39"/>
      <c r="G148" s="39"/>
      <c r="H148" s="39"/>
      <c r="I148" s="39"/>
      <c r="J148" s="39"/>
      <c r="K148" s="14" t="s">
        <v>57</v>
      </c>
      <c r="L148" s="14" t="s">
        <v>38</v>
      </c>
      <c r="M148" s="49" t="s">
        <v>546</v>
      </c>
      <c r="N148" s="42" t="s">
        <v>547</v>
      </c>
      <c r="R148" s="39" t="s">
        <v>190</v>
      </c>
      <c r="S148" s="39"/>
      <c r="T148" s="39"/>
      <c r="W148" s="15"/>
      <c r="Z148" s="91" t="str">
        <f>IF(OR($M148="",NOT($O148="{array}")),"",IFERROR(MATCH(PARAMETERS!$M148,DEFAULT!$B$5:$CC$5,0),""))</f>
        <v/>
      </c>
      <c r="AA148" s="86" t="str">
        <f t="shared" si="13"/>
        <v/>
      </c>
      <c r="AB148" s="117" t="str">
        <f>IF(AND(OR($A148="G",$A148="P"),NOT($O148="{array}")),IF(VLOOKUP($K148,base!$B$2:$D$18,3,0)="S",IF(OR($O148="",ISTEXT($O148)),"","STRING!"),IF(VLOOKUP($K148,base!$B$2:$D$18,3,0)="","",IF(ISTEXT($O148),"NUMERIC!",""))),"")</f>
        <v/>
      </c>
      <c r="AC148" s="17" t="str">
        <f>IF($AA148="","",IF($B148="I",VLOOKUP($AA148,#REF!,53,0),INDEX(VALUES!$B$1:$CX$1,1,$AA148)))</f>
        <v/>
      </c>
    </row>
    <row r="149" spans="1:29" hidden="1" outlineLevel="1" x14ac:dyDescent="0.3">
      <c r="A149" s="22" t="s">
        <v>84</v>
      </c>
      <c r="B149" s="42" t="str">
        <f t="shared" si="14"/>
        <v/>
      </c>
      <c r="C149" s="43">
        <f t="shared" si="16"/>
        <v>148</v>
      </c>
      <c r="D149" s="39"/>
      <c r="E149" s="39"/>
      <c r="F149" s="39"/>
      <c r="G149" s="39"/>
      <c r="H149" s="39"/>
      <c r="I149" s="39" t="s">
        <v>9</v>
      </c>
      <c r="J149" s="39"/>
      <c r="K149" s="55" t="s">
        <v>18</v>
      </c>
      <c r="L149" s="54" t="s">
        <v>21</v>
      </c>
      <c r="M149" s="85" t="s">
        <v>590</v>
      </c>
      <c r="N149" s="99" t="s">
        <v>559</v>
      </c>
      <c r="O149" s="55" t="s">
        <v>335</v>
      </c>
      <c r="P149" s="63" t="s">
        <v>335</v>
      </c>
      <c r="Q149" s="59"/>
      <c r="R149" s="59" t="s">
        <v>189</v>
      </c>
      <c r="S149" s="59" t="s">
        <v>199</v>
      </c>
      <c r="T149" s="55" t="s">
        <v>335</v>
      </c>
      <c r="U149" s="55"/>
      <c r="V149" s="55" t="s">
        <v>559</v>
      </c>
      <c r="W149" s="15"/>
      <c r="X149" s="63"/>
      <c r="Y149" s="55"/>
      <c r="Z149" s="91" t="str">
        <f>IF(OR($M149="",NOT($O149="{array}")),"",IFERROR(MATCH(PARAMETERS!$M149,DEFAULT!$B$5:$CC$5,0),""))</f>
        <v/>
      </c>
      <c r="AA149" s="86" t="str">
        <f t="shared" si="13"/>
        <v/>
      </c>
      <c r="AB149" s="117" t="str">
        <f>IF(AND(OR($A149="G",$A149="P"),NOT($O149="{array}")),IF(VLOOKUP($K149,base!$B$2:$D$18,3,0)="S",IF(OR($O149="",ISTEXT($O149)),"","STRING!"),IF(VLOOKUP($K149,base!$B$2:$D$18,3,0)="","",IF(ISTEXT($O149),"NUMERIC!",""))),"")</f>
        <v/>
      </c>
      <c r="AC149" s="17" t="str">
        <f>IF($AA149="","",IF($B149="I",VLOOKUP($AA149,#REF!,53,0),INDEX(VALUES!$B$1:$CX$1,1,$AA149)))</f>
        <v/>
      </c>
    </row>
    <row r="150" spans="1:29" hidden="1" outlineLevel="1" x14ac:dyDescent="0.3">
      <c r="A150" s="22" t="s">
        <v>84</v>
      </c>
      <c r="B150" s="42" t="str">
        <f t="shared" si="14"/>
        <v>V</v>
      </c>
      <c r="C150" s="43">
        <f t="shared" si="16"/>
        <v>149</v>
      </c>
      <c r="D150" s="39"/>
      <c r="E150" s="39"/>
      <c r="F150" s="39"/>
      <c r="G150" s="39"/>
      <c r="H150" s="39"/>
      <c r="I150" s="39" t="s">
        <v>9</v>
      </c>
      <c r="J150" s="39"/>
      <c r="K150" s="55" t="s">
        <v>18</v>
      </c>
      <c r="L150" s="54" t="s">
        <v>21</v>
      </c>
      <c r="M150" s="85" t="s">
        <v>568</v>
      </c>
      <c r="N150" s="61" t="s">
        <v>566</v>
      </c>
      <c r="O150" s="99" t="s">
        <v>460</v>
      </c>
      <c r="P150" s="106" t="s">
        <v>335</v>
      </c>
      <c r="Q150" s="102"/>
      <c r="R150" s="102" t="s">
        <v>189</v>
      </c>
      <c r="S150" s="102" t="s">
        <v>199</v>
      </c>
      <c r="T150" s="99" t="s">
        <v>335</v>
      </c>
      <c r="U150" s="99"/>
      <c r="V150" s="99" t="s">
        <v>170</v>
      </c>
      <c r="W150" s="105"/>
      <c r="X150" s="106"/>
      <c r="Y150" s="99" t="s">
        <v>313</v>
      </c>
      <c r="Z150" s="91" t="str">
        <f>IF(OR($M150="",NOT($O150="{array}")),"",IFERROR(MATCH(PARAMETERS!$M150,DEFAULT!$B$5:$CC$5,0),""))</f>
        <v/>
      </c>
      <c r="AA150" s="86">
        <f t="shared" si="13"/>
        <v>31</v>
      </c>
      <c r="AB150" s="117" t="str">
        <f>IF(AND(OR($A150="G",$A150="P"),NOT($O150="{array}")),IF(VLOOKUP($K150,base!$B$2:$D$18,3,0)="S",IF(OR($O150="",ISTEXT($O150)),"","STRING!"),IF(VLOOKUP($K150,base!$B$2:$D$18,3,0)="","",IF(ISTEXT($O150),"NUMERIC!",""))),"")</f>
        <v/>
      </c>
      <c r="AC150" s="17" t="str">
        <f>IF($AA150="","",IF($B150="I",VLOOKUP($AA150,#REF!,53,0),INDEX(VALUES!$B$1:$CX$1,1,$AA150)))</f>
        <v>- | 650x + 6612 | 650x + 7122 | 650x + 7123 | 650x | 6612 | 7122 | 7123 | ...</v>
      </c>
    </row>
    <row r="151" spans="1:29" hidden="1" outlineLevel="1" x14ac:dyDescent="0.3">
      <c r="A151" s="22" t="s">
        <v>84</v>
      </c>
      <c r="B151" s="42" t="str">
        <f t="shared" si="14"/>
        <v/>
      </c>
      <c r="C151" s="43">
        <f t="shared" si="16"/>
        <v>150</v>
      </c>
      <c r="D151" s="39"/>
      <c r="E151" s="39"/>
      <c r="F151" s="39"/>
      <c r="G151" s="39"/>
      <c r="H151" s="39"/>
      <c r="I151" s="39" t="s">
        <v>9</v>
      </c>
      <c r="J151" s="39"/>
      <c r="K151" s="55" t="s">
        <v>18</v>
      </c>
      <c r="L151" s="54" t="s">
        <v>21</v>
      </c>
      <c r="M151" s="85" t="s">
        <v>593</v>
      </c>
      <c r="N151" s="61" t="s">
        <v>591</v>
      </c>
      <c r="O151" s="61" t="s">
        <v>527</v>
      </c>
      <c r="P151" s="63" t="s">
        <v>335</v>
      </c>
      <c r="Q151" s="59"/>
      <c r="R151" s="102" t="s">
        <v>189</v>
      </c>
      <c r="S151" s="102" t="s">
        <v>199</v>
      </c>
      <c r="T151" s="99" t="s">
        <v>335</v>
      </c>
      <c r="U151" s="99"/>
      <c r="V151" s="99" t="s">
        <v>592</v>
      </c>
      <c r="W151" s="105"/>
      <c r="X151" s="106"/>
      <c r="Y151" s="99"/>
      <c r="Z151" s="91" t="str">
        <f>IF(OR($M151="",NOT($O151="{array}")),"",IFERROR(MATCH(PARAMETERS!$M151,DEFAULT!$B$5:$CC$5,0),""))</f>
        <v/>
      </c>
      <c r="AA151" s="86" t="str">
        <f t="shared" si="13"/>
        <v/>
      </c>
      <c r="AB151" s="117" t="str">
        <f>IF(AND(OR($A151="G",$A151="P"),NOT($O151="{array}")),IF(VLOOKUP($K151,base!$B$2:$D$18,3,0)="S",IF(OR($O151="",ISTEXT($O151)),"","STRING!"),IF(VLOOKUP($K151,base!$B$2:$D$18,3,0)="","",IF(ISTEXT($O151),"NUMERIC!",""))),"")</f>
        <v/>
      </c>
      <c r="AC151" s="17" t="str">
        <f>IF($AA151="","",IF($B151="I",VLOOKUP($AA151,#REF!,53,0),INDEX(VALUES!$B$1:$CX$1,1,$AA151)))</f>
        <v/>
      </c>
    </row>
    <row r="152" spans="1:29" hidden="1" outlineLevel="1" x14ac:dyDescent="0.3">
      <c r="A152" s="22" t="s">
        <v>84</v>
      </c>
      <c r="B152" s="42" t="str">
        <f t="shared" si="14"/>
        <v>V</v>
      </c>
      <c r="C152" s="43">
        <f t="shared" si="16"/>
        <v>151</v>
      </c>
      <c r="D152" s="39"/>
      <c r="E152" s="39"/>
      <c r="F152" s="39"/>
      <c r="G152" s="39"/>
      <c r="H152" s="39"/>
      <c r="I152" s="39" t="s">
        <v>9</v>
      </c>
      <c r="J152" s="39"/>
      <c r="K152" s="55" t="s">
        <v>18</v>
      </c>
      <c r="L152" s="54" t="s">
        <v>21</v>
      </c>
      <c r="M152" s="85" t="s">
        <v>574</v>
      </c>
      <c r="N152" s="61" t="s">
        <v>578</v>
      </c>
      <c r="O152" s="99" t="s">
        <v>575</v>
      </c>
      <c r="P152" s="106" t="s">
        <v>335</v>
      </c>
      <c r="Q152" s="102"/>
      <c r="R152" s="102" t="s">
        <v>189</v>
      </c>
      <c r="S152" s="102" t="s">
        <v>199</v>
      </c>
      <c r="T152" s="99" t="s">
        <v>335</v>
      </c>
      <c r="U152" s="99"/>
      <c r="V152" s="99" t="s">
        <v>172</v>
      </c>
      <c r="W152" s="105"/>
      <c r="X152" s="106"/>
      <c r="Y152" s="99" t="s">
        <v>315</v>
      </c>
      <c r="Z152" s="91" t="str">
        <f>IF(OR($M152="",NOT($O152="{array}")),"",IFERROR(MATCH(PARAMETERS!$M152,DEFAULT!$B$5:$CC$5,0),""))</f>
        <v/>
      </c>
      <c r="AA152" s="86">
        <f t="shared" si="13"/>
        <v>34</v>
      </c>
      <c r="AB152" s="117" t="str">
        <f>IF(AND(OR($A152="G",$A152="P"),NOT($O152="{array}")),IF(VLOOKUP($K152,base!$B$2:$D$18,3,0)="S",IF(OR($O152="",ISTEXT($O152)),"","STRING!"),IF(VLOOKUP($K152,base!$B$2:$D$18,3,0)="","",IF(ISTEXT($O152),"NUMERIC!",""))),"")</f>
        <v/>
      </c>
      <c r="AC152" s="17" t="str">
        <f>IF($AA152="","",IF($B152="I",VLOOKUP($AA152,#REF!,53,0),INDEX(VALUES!$B$1:$CX$1,1,$AA152)))</f>
        <v>- | PZ | RZ | OZ | CH | BB | WCS | WCK</v>
      </c>
    </row>
    <row r="153" spans="1:29" hidden="1" outlineLevel="1" x14ac:dyDescent="0.3">
      <c r="A153" s="22" t="s">
        <v>84</v>
      </c>
      <c r="B153" s="42" t="str">
        <f t="shared" si="14"/>
        <v>V</v>
      </c>
      <c r="C153" s="43">
        <f t="shared" si="16"/>
        <v>152</v>
      </c>
      <c r="D153" s="39"/>
      <c r="E153" s="39"/>
      <c r="F153" s="39"/>
      <c r="G153" s="39"/>
      <c r="H153" s="39"/>
      <c r="I153" s="39" t="s">
        <v>9</v>
      </c>
      <c r="J153" s="39"/>
      <c r="K153" s="55" t="s">
        <v>18</v>
      </c>
      <c r="L153" s="54" t="s">
        <v>21</v>
      </c>
      <c r="M153" s="85" t="s">
        <v>581</v>
      </c>
      <c r="N153" s="99" t="s">
        <v>589</v>
      </c>
      <c r="O153" s="99" t="s">
        <v>335</v>
      </c>
      <c r="P153" s="106" t="s">
        <v>335</v>
      </c>
      <c r="Q153" s="102"/>
      <c r="R153" s="102" t="s">
        <v>189</v>
      </c>
      <c r="S153" s="102" t="s">
        <v>199</v>
      </c>
      <c r="T153" s="99" t="s">
        <v>335</v>
      </c>
      <c r="U153" s="99"/>
      <c r="V153" s="99" t="s">
        <v>166</v>
      </c>
      <c r="W153" s="105"/>
      <c r="X153" s="106"/>
      <c r="Y153" s="99" t="s">
        <v>311</v>
      </c>
      <c r="Z153" s="91" t="str">
        <f>IF(OR($M153="",NOT($O153="{array}")),"",IFERROR(MATCH(PARAMETERS!$M153,DEFAULT!$B$5:$CC$5,0),""))</f>
        <v/>
      </c>
      <c r="AA153" s="86">
        <f t="shared" si="13"/>
        <v>40</v>
      </c>
      <c r="AB153" s="117" t="str">
        <f>IF(AND(OR($A153="G",$A153="P"),NOT($O153="{array}")),IF(VLOOKUP($K153,base!$B$2:$D$18,3,0)="S",IF(OR($O153="",ISTEXT($O153)),"","STRING!"),IF(VLOOKUP($K153,base!$B$2:$D$18,3,0)="","",IF(ISTEXT($O153),"NUMERIC!",""))),"")</f>
        <v/>
      </c>
      <c r="AC153" s="17" t="str">
        <f>IF($AA153="","",IF($B153="I",VLOOKUP($AA153,#REF!,53,0),INDEX(VALUES!$B$1:$CX$1,1,$AA153)))</f>
        <v xml:space="preserve">  | ST | ES | AL | MS | NY | KO | XX</v>
      </c>
    </row>
    <row r="154" spans="1:29" hidden="1" outlineLevel="1" x14ac:dyDescent="0.3">
      <c r="A154" s="22" t="s">
        <v>84</v>
      </c>
      <c r="B154" s="42" t="str">
        <f t="shared" si="14"/>
        <v>V</v>
      </c>
      <c r="C154" s="43">
        <f t="shared" si="16"/>
        <v>153</v>
      </c>
      <c r="D154" s="39"/>
      <c r="E154" s="39"/>
      <c r="F154" s="39"/>
      <c r="G154" s="39"/>
      <c r="H154" s="39"/>
      <c r="I154" s="39" t="s">
        <v>9</v>
      </c>
      <c r="J154" s="39"/>
      <c r="K154" s="55" t="s">
        <v>18</v>
      </c>
      <c r="L154" s="54" t="s">
        <v>21</v>
      </c>
      <c r="M154" s="85" t="s">
        <v>580</v>
      </c>
      <c r="N154" s="99" t="s">
        <v>588</v>
      </c>
      <c r="O154" s="99" t="s">
        <v>335</v>
      </c>
      <c r="P154" s="106" t="s">
        <v>335</v>
      </c>
      <c r="Q154" s="102"/>
      <c r="R154" s="102" t="s">
        <v>189</v>
      </c>
      <c r="S154" s="102" t="s">
        <v>199</v>
      </c>
      <c r="T154" s="99" t="s">
        <v>335</v>
      </c>
      <c r="U154" s="99"/>
      <c r="V154" s="99" t="s">
        <v>168</v>
      </c>
      <c r="W154" s="105"/>
      <c r="X154" s="106"/>
      <c r="Y154" s="99" t="s">
        <v>312</v>
      </c>
      <c r="Z154" s="91" t="str">
        <f>IF(OR($M154="",NOT($O154="{array}")),"",IFERROR(MATCH(PARAMETERS!$M154,DEFAULT!$B$5:$CC$5,0),""))</f>
        <v/>
      </c>
      <c r="AA154" s="86">
        <f t="shared" si="13"/>
        <v>46</v>
      </c>
      <c r="AB154" s="117" t="str">
        <f>IF(AND(OR($A154="G",$A154="P"),NOT($O154="{array}")),IF(VLOOKUP($K154,base!$B$2:$D$18,3,0)="S",IF(OR($O154="",ISTEXT($O154)),"","STRING!"),IF(VLOOKUP($K154,base!$B$2:$D$18,3,0)="","",IF(ISTEXT($O154),"NUMERIC!",""))),"")</f>
        <v/>
      </c>
      <c r="AC154" s="17" t="str">
        <f>IF($AA154="","",IF($B154="I",VLOOKUP($AA154,#REF!,53,0),INDEX(VALUES!$B$1:$CX$1,1,$AA154)))</f>
        <v xml:space="preserve">  | - | B | S | T | P | L | V | ...</v>
      </c>
    </row>
    <row r="155" spans="1:29" hidden="1" outlineLevel="1" x14ac:dyDescent="0.3">
      <c r="A155" s="22" t="s">
        <v>84</v>
      </c>
      <c r="B155" s="42" t="str">
        <f t="shared" si="14"/>
        <v>V</v>
      </c>
      <c r="C155" s="43">
        <f t="shared" si="16"/>
        <v>154</v>
      </c>
      <c r="D155" s="39"/>
      <c r="E155" s="39"/>
      <c r="F155" s="39"/>
      <c r="G155" s="39"/>
      <c r="H155" s="39"/>
      <c r="I155" s="39" t="s">
        <v>9</v>
      </c>
      <c r="J155" s="39"/>
      <c r="K155" s="55" t="s">
        <v>18</v>
      </c>
      <c r="L155" s="54" t="s">
        <v>21</v>
      </c>
      <c r="M155" s="85" t="s">
        <v>569</v>
      </c>
      <c r="N155" s="61" t="s">
        <v>567</v>
      </c>
      <c r="O155" s="99" t="s">
        <v>460</v>
      </c>
      <c r="P155" s="106" t="s">
        <v>335</v>
      </c>
      <c r="Q155" s="102"/>
      <c r="R155" s="102" t="s">
        <v>189</v>
      </c>
      <c r="S155" s="102" t="s">
        <v>199</v>
      </c>
      <c r="T155" s="99" t="s">
        <v>335</v>
      </c>
      <c r="U155" s="99"/>
      <c r="V155" s="99" t="s">
        <v>171</v>
      </c>
      <c r="W155" s="105"/>
      <c r="X155" s="106"/>
      <c r="Y155" s="99" t="s">
        <v>314</v>
      </c>
      <c r="Z155" s="91" t="str">
        <f>IF(OR($M155="",NOT($O155="{array}")),"",IFERROR(MATCH(PARAMETERS!$M155,DEFAULT!$B$5:$CC$5,0),""))</f>
        <v/>
      </c>
      <c r="AA155" s="86">
        <f t="shared" si="13"/>
        <v>32</v>
      </c>
      <c r="AB155" s="117" t="str">
        <f>IF(AND(OR($A155="G",$A155="P"),NOT($O155="{array}")),IF(VLOOKUP($K155,base!$B$2:$D$18,3,0)="S",IF(OR($O155="",ISTEXT($O155)),"","STRING!"),IF(VLOOKUP($K155,base!$B$2:$D$18,3,0)="","",IF(ISTEXT($O155),"NUMERIC!",""))),"")</f>
        <v/>
      </c>
      <c r="AC155" s="17" t="str">
        <f>IF($AA155="","",IF($B155="I",VLOOKUP($AA155,#REF!,53,0),INDEX(VALUES!$B$1:$CX$1,1,$AA155)))</f>
        <v>- | 650x + 6612 | 650x + 7122 | 650x + 7123 | 650x | 6612 | 7122 | 7123 | ...</v>
      </c>
    </row>
    <row r="156" spans="1:29" ht="14.25" hidden="1" customHeight="1" outlineLevel="1" x14ac:dyDescent="0.3">
      <c r="A156" s="22" t="s">
        <v>84</v>
      </c>
      <c r="B156" s="42" t="str">
        <f t="shared" si="14"/>
        <v/>
      </c>
      <c r="C156" s="43">
        <f t="shared" si="16"/>
        <v>155</v>
      </c>
      <c r="D156" s="39"/>
      <c r="E156" s="39"/>
      <c r="F156" s="39"/>
      <c r="G156" s="39"/>
      <c r="H156" s="39"/>
      <c r="I156" s="39" t="s">
        <v>9</v>
      </c>
      <c r="J156" s="39"/>
      <c r="K156" s="55" t="s">
        <v>18</v>
      </c>
      <c r="L156" s="54" t="s">
        <v>21</v>
      </c>
      <c r="M156" s="85" t="s">
        <v>594</v>
      </c>
      <c r="N156" s="61" t="s">
        <v>595</v>
      </c>
      <c r="O156" s="61" t="s">
        <v>527</v>
      </c>
      <c r="P156" s="63" t="s">
        <v>335</v>
      </c>
      <c r="Q156" s="59"/>
      <c r="R156" s="102" t="s">
        <v>189</v>
      </c>
      <c r="S156" s="102" t="s">
        <v>199</v>
      </c>
      <c r="T156" s="99" t="s">
        <v>335</v>
      </c>
      <c r="U156" s="99"/>
      <c r="V156" s="99" t="s">
        <v>592</v>
      </c>
      <c r="W156" s="105"/>
      <c r="X156" s="106"/>
      <c r="Y156" s="99"/>
      <c r="Z156" s="91" t="str">
        <f>IF(OR($M156="",NOT($O156="{array}")),"",IFERROR(MATCH(PARAMETERS!$M156,DEFAULT!$B$5:$CC$5,0),""))</f>
        <v/>
      </c>
      <c r="AA156" s="86" t="str">
        <f t="shared" si="13"/>
        <v/>
      </c>
      <c r="AB156" s="117" t="str">
        <f>IF(AND(OR($A156="G",$A156="P"),NOT($O156="{array}")),IF(VLOOKUP($K156,base!$B$2:$D$18,3,0)="S",IF(OR($O156="",ISTEXT($O156)),"","STRING!"),IF(VLOOKUP($K156,base!$B$2:$D$18,3,0)="","",IF(ISTEXT($O156),"NUMERIC!",""))),"")</f>
        <v/>
      </c>
      <c r="AC156" s="17" t="str">
        <f>IF($AA156="","",IF($B156="I",VLOOKUP($AA156,#REF!,53,0),INDEX(VALUES!$B$1:$CX$1,1,$AA156)))</f>
        <v/>
      </c>
    </row>
    <row r="157" spans="1:29" hidden="1" outlineLevel="1" x14ac:dyDescent="0.3">
      <c r="A157" s="22" t="s">
        <v>84</v>
      </c>
      <c r="B157" s="42" t="str">
        <f t="shared" si="14"/>
        <v>V</v>
      </c>
      <c r="C157" s="43">
        <f t="shared" ref="C157:C216" si="17">(ROW()-1)</f>
        <v>156</v>
      </c>
      <c r="D157" s="39"/>
      <c r="E157" s="39"/>
      <c r="F157" s="39"/>
      <c r="G157" s="39"/>
      <c r="H157" s="39"/>
      <c r="I157" s="39" t="s">
        <v>9</v>
      </c>
      <c r="J157" s="39"/>
      <c r="K157" s="55" t="s">
        <v>18</v>
      </c>
      <c r="L157" s="54" t="s">
        <v>21</v>
      </c>
      <c r="M157" s="85" t="s">
        <v>576</v>
      </c>
      <c r="N157" s="61" t="s">
        <v>579</v>
      </c>
      <c r="O157" s="99" t="s">
        <v>575</v>
      </c>
      <c r="P157" s="106" t="s">
        <v>335</v>
      </c>
      <c r="Q157" s="102"/>
      <c r="R157" s="102" t="s">
        <v>189</v>
      </c>
      <c r="S157" s="102" t="s">
        <v>199</v>
      </c>
      <c r="T157" s="99" t="s">
        <v>335</v>
      </c>
      <c r="U157" s="99"/>
      <c r="V157" s="99" t="s">
        <v>172</v>
      </c>
      <c r="W157" s="105"/>
      <c r="X157" s="106"/>
      <c r="Y157" s="99" t="s">
        <v>315</v>
      </c>
      <c r="Z157" s="91" t="str">
        <f>IF(OR($M157="",NOT($O157="{array}")),"",IFERROR(MATCH(PARAMETERS!$M157,DEFAULT!$B$5:$CC$5,0),""))</f>
        <v/>
      </c>
      <c r="AA157" s="86">
        <f t="shared" si="13"/>
        <v>36</v>
      </c>
      <c r="AB157" s="117" t="str">
        <f>IF(AND(OR($A157="G",$A157="P"),NOT($O157="{array}")),IF(VLOOKUP($K157,base!$B$2:$D$18,3,0)="S",IF(OR($O157="",ISTEXT($O157)),"","STRING!"),IF(VLOOKUP($K157,base!$B$2:$D$18,3,0)="","",IF(ISTEXT($O157),"NUMERIC!",""))),"")</f>
        <v/>
      </c>
      <c r="AC157" s="17" t="str">
        <f>IF($AA157="","",IF($B157="I",VLOOKUP($AA157,#REF!,53,0),INDEX(VALUES!$B$1:$CX$1,1,$AA157)))</f>
        <v>- | PZ | RZ | OZ | CH | BB | WCS | WCK</v>
      </c>
    </row>
    <row r="158" spans="1:29" hidden="1" outlineLevel="1" x14ac:dyDescent="0.3">
      <c r="A158" s="22" t="s">
        <v>84</v>
      </c>
      <c r="B158" s="42" t="str">
        <f t="shared" si="14"/>
        <v>V</v>
      </c>
      <c r="C158" s="43">
        <f t="shared" si="17"/>
        <v>157</v>
      </c>
      <c r="D158" s="39"/>
      <c r="E158" s="39"/>
      <c r="F158" s="39"/>
      <c r="G158" s="39"/>
      <c r="H158" s="39"/>
      <c r="I158" s="39" t="s">
        <v>9</v>
      </c>
      <c r="J158" s="39"/>
      <c r="K158" s="55" t="s">
        <v>18</v>
      </c>
      <c r="L158" s="54" t="s">
        <v>21</v>
      </c>
      <c r="M158" s="85" t="s">
        <v>582</v>
      </c>
      <c r="N158" s="99" t="s">
        <v>586</v>
      </c>
      <c r="O158" s="99" t="s">
        <v>335</v>
      </c>
      <c r="P158" s="106" t="s">
        <v>335</v>
      </c>
      <c r="Q158" s="102"/>
      <c r="R158" s="102" t="s">
        <v>189</v>
      </c>
      <c r="S158" s="102" t="s">
        <v>199</v>
      </c>
      <c r="T158" s="99" t="s">
        <v>335</v>
      </c>
      <c r="U158" s="99"/>
      <c r="V158" s="99" t="s">
        <v>167</v>
      </c>
      <c r="W158" s="105"/>
      <c r="X158" s="106"/>
      <c r="Y158" s="99" t="s">
        <v>553</v>
      </c>
      <c r="Z158" s="91" t="str">
        <f>IF(OR($M158="",NOT($O158="{array}")),"",IFERROR(MATCH(PARAMETERS!$M158,DEFAULT!$B$5:$CC$5,0),""))</f>
        <v/>
      </c>
      <c r="AA158" s="86">
        <f t="shared" si="13"/>
        <v>42</v>
      </c>
      <c r="AB158" s="117" t="str">
        <f>IF(AND(OR($A158="G",$A158="P"),NOT($O158="{array}")),IF(VLOOKUP($K158,base!$B$2:$D$18,3,0)="S",IF(OR($O158="",ISTEXT($O158)),"","STRING!"),IF(VLOOKUP($K158,base!$B$2:$D$18,3,0)="","",IF(ISTEXT($O158),"NUMERIC!",""))),"")</f>
        <v/>
      </c>
      <c r="AC158" s="17" t="str">
        <f>IF($AA158="","",IF($B158="I",VLOOKUP($AA158,#REF!,53,0),INDEX(VALUES!$B$1:$CX$1,1,$AA158)))</f>
        <v xml:space="preserve">  | ST | ES | AL | MS | NY | KO | XX</v>
      </c>
    </row>
    <row r="159" spans="1:29" hidden="1" outlineLevel="1" x14ac:dyDescent="0.3">
      <c r="A159" s="22" t="s">
        <v>84</v>
      </c>
      <c r="B159" s="42" t="str">
        <f t="shared" si="14"/>
        <v>V</v>
      </c>
      <c r="C159" s="43">
        <f t="shared" si="17"/>
        <v>158</v>
      </c>
      <c r="D159" s="39"/>
      <c r="E159" s="39"/>
      <c r="F159" s="39"/>
      <c r="G159" s="39"/>
      <c r="H159" s="39"/>
      <c r="I159" s="39" t="s">
        <v>9</v>
      </c>
      <c r="J159" s="39"/>
      <c r="K159" s="55" t="s">
        <v>18</v>
      </c>
      <c r="L159" s="54" t="s">
        <v>21</v>
      </c>
      <c r="M159" s="85" t="s">
        <v>583</v>
      </c>
      <c r="N159" s="99" t="s">
        <v>587</v>
      </c>
      <c r="O159" s="99" t="s">
        <v>335</v>
      </c>
      <c r="P159" s="106" t="s">
        <v>335</v>
      </c>
      <c r="Q159" s="102"/>
      <c r="R159" s="102" t="s">
        <v>189</v>
      </c>
      <c r="S159" s="102" t="s">
        <v>199</v>
      </c>
      <c r="T159" s="99" t="s">
        <v>335</v>
      </c>
      <c r="U159" s="99"/>
      <c r="V159" s="99" t="s">
        <v>169</v>
      </c>
      <c r="W159" s="105"/>
      <c r="X159" s="106"/>
      <c r="Y159" s="99" t="s">
        <v>554</v>
      </c>
      <c r="Z159" s="91" t="str">
        <f>IF(OR($M159="",NOT($O159="{array}")),"",IFERROR(MATCH(PARAMETERS!$M159,DEFAULT!$B$5:$CC$5,0),""))</f>
        <v/>
      </c>
      <c r="AA159" s="86">
        <f t="shared" si="13"/>
        <v>48</v>
      </c>
      <c r="AB159" s="117" t="str">
        <f>IF(AND(OR($A159="G",$A159="P"),NOT($O159="{array}")),IF(VLOOKUP($K159,base!$B$2:$D$18,3,0)="S",IF(OR($O159="",ISTEXT($O159)),"","STRING!"),IF(VLOOKUP($K159,base!$B$2:$D$18,3,0)="","",IF(ISTEXT($O159),"NUMERIC!",""))),"")</f>
        <v/>
      </c>
      <c r="AC159" s="17" t="str">
        <f>IF($AA159="","",IF($B159="I",VLOOKUP($AA159,#REF!,53,0),INDEX(VALUES!$B$1:$CX$1,1,$AA159)))</f>
        <v xml:space="preserve">  | - | B | S | T | P | L | V | ...</v>
      </c>
    </row>
    <row r="160" spans="1:29" hidden="1" outlineLevel="1" x14ac:dyDescent="0.3">
      <c r="A160" s="22" t="s">
        <v>84</v>
      </c>
      <c r="B160" s="42" t="str">
        <f t="shared" si="14"/>
        <v>V</v>
      </c>
      <c r="C160" s="43">
        <f t="shared" si="17"/>
        <v>159</v>
      </c>
      <c r="D160" s="39"/>
      <c r="E160" s="39"/>
      <c r="F160" s="39"/>
      <c r="G160" s="39"/>
      <c r="H160" s="39"/>
      <c r="I160" s="39" t="s">
        <v>9</v>
      </c>
      <c r="J160" s="39"/>
      <c r="K160" s="55" t="s">
        <v>18</v>
      </c>
      <c r="L160" s="54" t="s">
        <v>21</v>
      </c>
      <c r="M160" s="85" t="s">
        <v>570</v>
      </c>
      <c r="N160" s="61" t="s">
        <v>571</v>
      </c>
      <c r="O160" s="99" t="s">
        <v>460</v>
      </c>
      <c r="P160" s="106" t="s">
        <v>335</v>
      </c>
      <c r="Q160" s="102"/>
      <c r="R160" s="102" t="s">
        <v>189</v>
      </c>
      <c r="S160" s="102" t="s">
        <v>199</v>
      </c>
      <c r="T160" s="99" t="s">
        <v>335</v>
      </c>
      <c r="U160" s="99"/>
      <c r="V160" s="99" t="s">
        <v>171</v>
      </c>
      <c r="W160" s="105"/>
      <c r="X160" s="106"/>
      <c r="Y160" s="99" t="s">
        <v>314</v>
      </c>
      <c r="Z160" s="91" t="str">
        <f>IF(OR($M160="",NOT($O160="{array}")),"",IFERROR(MATCH(PARAMETERS!$M160,DEFAULT!$B$5:$CC$5,0),""))</f>
        <v/>
      </c>
      <c r="AA160" s="86">
        <f t="shared" si="13"/>
        <v>33</v>
      </c>
      <c r="AB160" s="117" t="str">
        <f>IF(AND(OR($A160="G",$A160="P"),NOT($O160="{array}")),IF(VLOOKUP($K160,base!$B$2:$D$18,3,0)="S",IF(OR($O160="",ISTEXT($O160)),"","STRING!"),IF(VLOOKUP($K160,base!$B$2:$D$18,3,0)="","",IF(ISTEXT($O160),"NUMERIC!",""))),"")</f>
        <v/>
      </c>
      <c r="AC160" s="17" t="str">
        <f>IF($AA160="","",IF($B160="I",VLOOKUP($AA160,#REF!,53,0),INDEX(VALUES!$B$1:$CX$1,1,$AA160)))</f>
        <v>- | 650x + 6612 | 650x + 7122 | 650x + 7123 | 650x | 6612 | 7122 | 7123 | ...</v>
      </c>
    </row>
    <row r="161" spans="1:29" ht="14.25" hidden="1" customHeight="1" outlineLevel="1" x14ac:dyDescent="0.3">
      <c r="A161" s="22" t="s">
        <v>84</v>
      </c>
      <c r="B161" s="42" t="str">
        <f t="shared" si="14"/>
        <v/>
      </c>
      <c r="C161" s="43">
        <f t="shared" si="17"/>
        <v>160</v>
      </c>
      <c r="D161" s="39"/>
      <c r="E161" s="39"/>
      <c r="F161" s="39"/>
      <c r="G161" s="39"/>
      <c r="H161" s="39"/>
      <c r="I161" s="39" t="s">
        <v>9</v>
      </c>
      <c r="J161" s="39"/>
      <c r="K161" s="55" t="s">
        <v>18</v>
      </c>
      <c r="L161" s="54" t="s">
        <v>21</v>
      </c>
      <c r="M161" s="85" t="s">
        <v>596</v>
      </c>
      <c r="N161" s="61" t="s">
        <v>597</v>
      </c>
      <c r="O161" s="61" t="s">
        <v>527</v>
      </c>
      <c r="P161" s="63" t="s">
        <v>335</v>
      </c>
      <c r="Q161" s="59"/>
      <c r="R161" s="102" t="s">
        <v>189</v>
      </c>
      <c r="S161" s="102" t="s">
        <v>199</v>
      </c>
      <c r="T161" s="99" t="s">
        <v>335</v>
      </c>
      <c r="U161" s="99"/>
      <c r="V161" s="99" t="s">
        <v>592</v>
      </c>
      <c r="W161" s="105"/>
      <c r="X161" s="106"/>
      <c r="Y161" s="99"/>
      <c r="Z161" s="91" t="str">
        <f>IF(OR($M161="",NOT($O161="{array}")),"",IFERROR(MATCH(PARAMETERS!$M161,DEFAULT!$B$5:$CC$5,0),""))</f>
        <v/>
      </c>
      <c r="AA161" s="86" t="str">
        <f t="shared" si="13"/>
        <v/>
      </c>
      <c r="AB161" s="117" t="str">
        <f>IF(AND(OR($A161="G",$A161="P"),NOT($O161="{array}")),IF(VLOOKUP($K161,base!$B$2:$D$18,3,0)="S",IF(OR($O161="",ISTEXT($O161)),"","STRING!"),IF(VLOOKUP($K161,base!$B$2:$D$18,3,0)="","",IF(ISTEXT($O161),"NUMERIC!",""))),"")</f>
        <v/>
      </c>
      <c r="AC161" s="17" t="str">
        <f>IF($AA161="","",IF($B161="I",VLOOKUP($AA161,#REF!,53,0),INDEX(VALUES!$B$1:$CX$1,1,$AA161)))</f>
        <v/>
      </c>
    </row>
    <row r="162" spans="1:29" hidden="1" outlineLevel="1" x14ac:dyDescent="0.3">
      <c r="A162" s="22" t="s">
        <v>84</v>
      </c>
      <c r="B162" s="42" t="str">
        <f t="shared" si="14"/>
        <v>V</v>
      </c>
      <c r="C162" s="43">
        <f t="shared" si="17"/>
        <v>161</v>
      </c>
      <c r="D162" s="39"/>
      <c r="E162" s="39"/>
      <c r="F162" s="39"/>
      <c r="G162" s="39"/>
      <c r="H162" s="39"/>
      <c r="I162" s="39" t="s">
        <v>9</v>
      </c>
      <c r="J162" s="39"/>
      <c r="K162" s="55" t="s">
        <v>18</v>
      </c>
      <c r="L162" s="54" t="s">
        <v>21</v>
      </c>
      <c r="M162" s="85" t="s">
        <v>577</v>
      </c>
      <c r="N162" s="61" t="s">
        <v>598</v>
      </c>
      <c r="O162" s="99" t="s">
        <v>575</v>
      </c>
      <c r="P162" s="106" t="s">
        <v>335</v>
      </c>
      <c r="Q162" s="102"/>
      <c r="R162" s="102" t="s">
        <v>189</v>
      </c>
      <c r="S162" s="102" t="s">
        <v>199</v>
      </c>
      <c r="T162" s="99" t="s">
        <v>335</v>
      </c>
      <c r="U162" s="99"/>
      <c r="V162" s="99" t="s">
        <v>172</v>
      </c>
      <c r="W162" s="105"/>
      <c r="X162" s="106"/>
      <c r="Y162" s="99" t="s">
        <v>315</v>
      </c>
      <c r="Z162" s="91" t="str">
        <f>IF(OR($M162="",NOT($O162="{array}")),"",IFERROR(MATCH(PARAMETERS!$M162,DEFAULT!$B$5:$CC$5,0),""))</f>
        <v/>
      </c>
      <c r="AA162" s="86">
        <f t="shared" si="13"/>
        <v>38</v>
      </c>
      <c r="AB162" s="117" t="str">
        <f>IF(AND(OR($A162="G",$A162="P"),NOT($O162="{array}")),IF(VLOOKUP($K162,base!$B$2:$D$18,3,0)="S",IF(OR($O162="",ISTEXT($O162)),"","STRING!"),IF(VLOOKUP($K162,base!$B$2:$D$18,3,0)="","",IF(ISTEXT($O162),"NUMERIC!",""))),"")</f>
        <v/>
      </c>
      <c r="AC162" s="17" t="str">
        <f>IF($AA162="","",IF($B162="I",VLOOKUP($AA162,#REF!,53,0),INDEX(VALUES!$B$1:$CX$1,1,$AA162)))</f>
        <v>-</v>
      </c>
    </row>
    <row r="163" spans="1:29" hidden="1" outlineLevel="1" x14ac:dyDescent="0.3">
      <c r="A163" s="22" t="s">
        <v>84</v>
      </c>
      <c r="B163" s="42" t="str">
        <f t="shared" si="14"/>
        <v>V</v>
      </c>
      <c r="C163" s="43">
        <f t="shared" si="17"/>
        <v>162</v>
      </c>
      <c r="D163" s="39"/>
      <c r="E163" s="39"/>
      <c r="F163" s="39"/>
      <c r="G163" s="39"/>
      <c r="H163" s="39"/>
      <c r="I163" s="39" t="s">
        <v>9</v>
      </c>
      <c r="J163" s="39"/>
      <c r="K163" s="55" t="s">
        <v>18</v>
      </c>
      <c r="L163" s="54" t="s">
        <v>21</v>
      </c>
      <c r="M163" s="85" t="s">
        <v>584</v>
      </c>
      <c r="N163" s="61" t="s">
        <v>599</v>
      </c>
      <c r="O163" s="61" t="s">
        <v>335</v>
      </c>
      <c r="P163" s="68" t="s">
        <v>335</v>
      </c>
      <c r="Q163" s="70"/>
      <c r="R163" s="70" t="s">
        <v>189</v>
      </c>
      <c r="S163" s="70" t="s">
        <v>199</v>
      </c>
      <c r="T163" s="61" t="s">
        <v>335</v>
      </c>
      <c r="U163" s="61"/>
      <c r="V163" s="61" t="s">
        <v>167</v>
      </c>
      <c r="W163" s="108"/>
      <c r="X163" s="68"/>
      <c r="Y163" s="61" t="s">
        <v>553</v>
      </c>
      <c r="Z163" s="91" t="str">
        <f>IF(OR($M163="",NOT($O163="{array}")),"",IFERROR(MATCH(PARAMETERS!$M163,DEFAULT!$B$5:$CC$5,0),""))</f>
        <v/>
      </c>
      <c r="AA163" s="86">
        <f t="shared" si="13"/>
        <v>44</v>
      </c>
      <c r="AB163" s="117" t="str">
        <f>IF(AND(OR($A163="G",$A163="P"),NOT($O163="{array}")),IF(VLOOKUP($K163,base!$B$2:$D$18,3,0)="S",IF(OR($O163="",ISTEXT($O163)),"","STRING!"),IF(VLOOKUP($K163,base!$B$2:$D$18,3,0)="","",IF(ISTEXT($O163),"NUMERIC!",""))),"")</f>
        <v/>
      </c>
      <c r="AC163" s="17" t="str">
        <f>IF($AA163="","",IF($B163="I",VLOOKUP($AA163,#REF!,53,0),INDEX(VALUES!$B$1:$CX$1,1,$AA163)))</f>
        <v xml:space="preserve">  | ST | ES | AL | MS | NY | KO | XX</v>
      </c>
    </row>
    <row r="164" spans="1:29" hidden="1" outlineLevel="1" x14ac:dyDescent="0.3">
      <c r="A164" s="22" t="s">
        <v>84</v>
      </c>
      <c r="B164" s="42" t="str">
        <f t="shared" si="14"/>
        <v>V</v>
      </c>
      <c r="C164" s="43">
        <f t="shared" si="17"/>
        <v>163</v>
      </c>
      <c r="D164" s="39"/>
      <c r="E164" s="39"/>
      <c r="F164" s="39"/>
      <c r="G164" s="39"/>
      <c r="H164" s="39"/>
      <c r="I164" s="39" t="s">
        <v>9</v>
      </c>
      <c r="J164" s="39"/>
      <c r="K164" s="55" t="s">
        <v>18</v>
      </c>
      <c r="L164" s="54" t="s">
        <v>21</v>
      </c>
      <c r="M164" s="85" t="s">
        <v>585</v>
      </c>
      <c r="N164" s="61" t="s">
        <v>600</v>
      </c>
      <c r="O164" s="61" t="s">
        <v>335</v>
      </c>
      <c r="P164" s="68" t="s">
        <v>335</v>
      </c>
      <c r="Q164" s="70"/>
      <c r="R164" s="70" t="s">
        <v>189</v>
      </c>
      <c r="S164" s="70" t="s">
        <v>199</v>
      </c>
      <c r="T164" s="61" t="s">
        <v>335</v>
      </c>
      <c r="U164" s="61"/>
      <c r="V164" s="61" t="s">
        <v>169</v>
      </c>
      <c r="W164" s="108"/>
      <c r="X164" s="68"/>
      <c r="Y164" s="61" t="s">
        <v>554</v>
      </c>
      <c r="Z164" s="91" t="str">
        <f>IF(OR($M164="",NOT($O164="{array}")),"",IFERROR(MATCH(PARAMETERS!$M164,DEFAULT!$B$5:$CC$5,0),""))</f>
        <v/>
      </c>
      <c r="AA164" s="86">
        <f t="shared" ref="AA164:AA199" si="18">IF($M164="","",IFERROR(MATCH($M164,VALUESnames,0),""))</f>
        <v>50</v>
      </c>
      <c r="AB164" s="117" t="str">
        <f>IF(AND(OR($A164="G",$A164="P"),NOT($O164="{array}")),IF(VLOOKUP($K164,base!$B$2:$D$18,3,0)="S",IF(OR($O164="",ISTEXT($O164)),"","STRING!"),IF(VLOOKUP($K164,base!$B$2:$D$18,3,0)="","",IF(ISTEXT($O164),"NUMERIC!",""))),"")</f>
        <v/>
      </c>
      <c r="AC164" s="17" t="str">
        <f>IF($AA164="","",IF($B164="I",VLOOKUP($AA164,#REF!,53,0),INDEX(VALUES!$B$1:$CX$1,1,$AA164)))</f>
        <v xml:space="preserve">  | - | B | S | T | P | L | V | ...</v>
      </c>
    </row>
    <row r="165" spans="1:29" hidden="1" outlineLevel="1" x14ac:dyDescent="0.3">
      <c r="A165" s="22" t="s">
        <v>84</v>
      </c>
      <c r="B165" s="42" t="str">
        <f t="shared" si="14"/>
        <v/>
      </c>
      <c r="C165" s="43">
        <f t="shared" si="17"/>
        <v>164</v>
      </c>
      <c r="D165" s="39"/>
      <c r="E165" s="39"/>
      <c r="F165" s="39" t="s">
        <v>9</v>
      </c>
      <c r="G165" s="39"/>
      <c r="H165" s="39"/>
      <c r="I165" s="39" t="s">
        <v>9</v>
      </c>
      <c r="J165" s="39"/>
      <c r="K165" s="14" t="s">
        <v>50</v>
      </c>
      <c r="L165" s="14" t="s">
        <v>27</v>
      </c>
      <c r="M165" s="20" t="s">
        <v>110</v>
      </c>
      <c r="N165" s="14" t="s">
        <v>111</v>
      </c>
      <c r="O165" s="44">
        <v>40</v>
      </c>
      <c r="R165" s="39" t="s">
        <v>190</v>
      </c>
      <c r="S165" s="39"/>
      <c r="T165" s="39"/>
      <c r="W165" s="15"/>
      <c r="Z165" s="91" t="str">
        <f>IF(OR($M165="",NOT($O165="{array}")),"",IFERROR(MATCH(PARAMETERS!$M165,DEFAULT!$B$5:$CC$5,0),""))</f>
        <v/>
      </c>
      <c r="AA165" s="86" t="str">
        <f t="shared" si="18"/>
        <v/>
      </c>
      <c r="AB165" s="117" t="str">
        <f>IF(AND(OR($A165="G",$A165="P"),NOT($O165="{array}")),IF(VLOOKUP($K165,base!$B$2:$D$18,3,0)="S",IF(OR($O165="",ISTEXT($O165)),"","STRING!"),IF(VLOOKUP($K165,base!$B$2:$D$18,3,0)="","",IF(ISTEXT($O165),"NUMERIC!",""))),"")</f>
        <v/>
      </c>
      <c r="AC165" s="17" t="str">
        <f>IF($AA165="","",IF($B165="I",VLOOKUP($AA165,#REF!,53,0),INDEX(VALUES!$B$1:$CX$1,1,$AA165)))</f>
        <v/>
      </c>
    </row>
    <row r="166" spans="1:29" collapsed="1" x14ac:dyDescent="0.3">
      <c r="A166" s="22" t="s">
        <v>84</v>
      </c>
      <c r="B166" s="42" t="str">
        <f t="shared" si="14"/>
        <v/>
      </c>
      <c r="C166" s="43">
        <f t="shared" si="17"/>
        <v>165</v>
      </c>
      <c r="D166" s="39"/>
      <c r="E166" s="39"/>
      <c r="F166" s="39"/>
      <c r="G166" s="39"/>
      <c r="H166" s="39"/>
      <c r="I166" s="39"/>
      <c r="J166" s="39"/>
      <c r="K166" s="14" t="s">
        <v>57</v>
      </c>
      <c r="L166" s="14" t="s">
        <v>38</v>
      </c>
      <c r="M166" s="49" t="s">
        <v>535</v>
      </c>
      <c r="N166" s="42" t="s">
        <v>536</v>
      </c>
      <c r="R166" s="39" t="s">
        <v>189</v>
      </c>
      <c r="S166" s="39"/>
      <c r="T166" s="39"/>
      <c r="W166" s="15"/>
      <c r="Z166" s="91" t="str">
        <f>IF(OR($M166="",NOT($O166="{array}")),"",IFERROR(MATCH(PARAMETERS!$M166,DEFAULT!$B$5:$CC$5,0),""))</f>
        <v/>
      </c>
      <c r="AA166" s="86" t="str">
        <f t="shared" si="18"/>
        <v/>
      </c>
      <c r="AB166" s="117" t="str">
        <f>IF(AND(OR($A166="G",$A166="P"),NOT($O166="{array}")),IF(VLOOKUP($K166,base!$B$2:$D$18,3,0)="S",IF(OR($O166="",ISTEXT($O166)),"","STRING!"),IF(VLOOKUP($K166,base!$B$2:$D$18,3,0)="","",IF(ISTEXT($O166),"NUMERIC!",""))),"")</f>
        <v/>
      </c>
      <c r="AC166" s="17" t="str">
        <f>IF($AA166="","",IF($B166="I",VLOOKUP($AA166,#REF!,53,0),INDEX(VALUES!$B$1:$CX$1,1,$AA166)))</f>
        <v/>
      </c>
    </row>
    <row r="167" spans="1:29" hidden="1" outlineLevel="1" x14ac:dyDescent="0.25">
      <c r="A167" s="22" t="s">
        <v>84</v>
      </c>
      <c r="B167" s="42" t="str">
        <f>IF($A167="P",IF(NOT($Z167=""),"A",IF(NOT($AA167=""),"I","")),IF(NOT($AA167=""),IF($A167="G","V","X"),IF(NOT($Z167=""),"A","")))</f>
        <v/>
      </c>
      <c r="C167" s="43">
        <f t="shared" si="17"/>
        <v>166</v>
      </c>
      <c r="D167" s="39"/>
      <c r="E167" s="39"/>
      <c r="F167" s="39"/>
      <c r="G167" s="39"/>
      <c r="H167" s="39"/>
      <c r="I167" s="39" t="s">
        <v>9</v>
      </c>
      <c r="J167" s="39"/>
      <c r="K167" s="67" t="s">
        <v>18</v>
      </c>
      <c r="L167" s="67" t="s">
        <v>32</v>
      </c>
      <c r="M167" s="84" t="s">
        <v>1062</v>
      </c>
      <c r="N167" s="67" t="s">
        <v>1063</v>
      </c>
      <c r="O167" s="97"/>
      <c r="Q167" s="59" t="s">
        <v>9</v>
      </c>
      <c r="R167" s="59" t="s">
        <v>189</v>
      </c>
      <c r="S167" s="59" t="s">
        <v>199</v>
      </c>
      <c r="T167" s="39"/>
      <c r="Z167" s="91" t="str">
        <f>IF(OR($M167="",NOT($O167="{array}")),"",IFERROR(MATCH(PARAMETERS!$M167,DEFAULT!$B$5:$CC$5,0),""))</f>
        <v/>
      </c>
      <c r="AA167" s="86" t="str">
        <f t="shared" si="18"/>
        <v/>
      </c>
      <c r="AB167" s="117" t="str">
        <f>IF(AND(OR($A167="G",$A167="P"),NOT($O167="{array}")),IF(VLOOKUP($K167,base!$B$2:$D$18,3,0)="S",IF(OR($O167="",ISTEXT($O167)),"","STRING!"),IF(VLOOKUP($K167,base!$B$2:$D$18,3,0)="","",IF(ISTEXT($O167),"NUMERIC!",""))),"")</f>
        <v/>
      </c>
      <c r="AC167" s="17" t="str">
        <f>IF($AA167="","",IF($B167="I",VLOOKUP($AA167,#REF!,53,0),INDEX(VALUES!$B$1:$CX$1,1,$AA167)))</f>
        <v/>
      </c>
    </row>
    <row r="168" spans="1:29" hidden="1" outlineLevel="1" x14ac:dyDescent="0.25">
      <c r="A168" s="22" t="s">
        <v>84</v>
      </c>
      <c r="B168" s="42" t="str">
        <f>IF($A168="P",IF(NOT($Z168=""),"A",IF(NOT($AA168=""),"I","")),IF(NOT($AA168=""),IF($A168="G","V","X"),IF(NOT($Z168=""),"A","")))</f>
        <v/>
      </c>
      <c r="C168" s="43">
        <f t="shared" si="17"/>
        <v>167</v>
      </c>
      <c r="D168" s="39"/>
      <c r="E168" s="39"/>
      <c r="F168" s="39"/>
      <c r="G168" s="39"/>
      <c r="H168" s="39"/>
      <c r="I168" s="39" t="s">
        <v>9</v>
      </c>
      <c r="J168" s="39"/>
      <c r="K168" s="67" t="s">
        <v>18</v>
      </c>
      <c r="L168" s="67" t="s">
        <v>32</v>
      </c>
      <c r="M168" s="84" t="s">
        <v>1064</v>
      </c>
      <c r="N168" s="67" t="s">
        <v>1065</v>
      </c>
      <c r="O168" s="97"/>
      <c r="Q168" s="59" t="s">
        <v>9</v>
      </c>
      <c r="R168" s="59" t="s">
        <v>189</v>
      </c>
      <c r="S168" s="59" t="s">
        <v>199</v>
      </c>
      <c r="T168" s="39"/>
      <c r="Z168" s="91" t="str">
        <f>IF(OR($M168="",NOT($O168="{array}")),"",IFERROR(MATCH(PARAMETERS!$M168,DEFAULT!$B$5:$CC$5,0),""))</f>
        <v/>
      </c>
      <c r="AA168" s="86" t="str">
        <f t="shared" si="18"/>
        <v/>
      </c>
      <c r="AB168" s="117" t="str">
        <f>IF(AND(OR($A168="G",$A168="P"),NOT($O168="{array}")),IF(VLOOKUP($K168,base!$B$2:$D$18,3,0)="S",IF(OR($O168="",ISTEXT($O168)),"","STRING!"),IF(VLOOKUP($K168,base!$B$2:$D$18,3,0)="","",IF(ISTEXT($O168),"NUMERIC!",""))),"")</f>
        <v/>
      </c>
      <c r="AC168" s="17" t="str">
        <f>IF($AA168="","",IF($B168="I",VLOOKUP($AA168,#REF!,53,0),INDEX(VALUES!$B$1:$CX$1,1,$AA168)))</f>
        <v/>
      </c>
    </row>
    <row r="169" spans="1:29" hidden="1" outlineLevel="1" x14ac:dyDescent="0.25">
      <c r="A169" s="22" t="s">
        <v>84</v>
      </c>
      <c r="B169" s="42" t="str">
        <f>IF($A169="P",IF(NOT($Z169=""),"A",IF(NOT($AA169=""),"I","")),IF(NOT($AA169=""),IF($A169="G","V","X"),IF(NOT($Z169=""),"A","")))</f>
        <v/>
      </c>
      <c r="C169" s="43">
        <f t="shared" si="17"/>
        <v>168</v>
      </c>
      <c r="D169" s="39"/>
      <c r="E169" s="39"/>
      <c r="F169" s="39"/>
      <c r="G169" s="39"/>
      <c r="H169" s="39"/>
      <c r="I169" s="39" t="s">
        <v>9</v>
      </c>
      <c r="J169" s="39"/>
      <c r="K169" s="55" t="s">
        <v>18</v>
      </c>
      <c r="L169" s="54" t="s">
        <v>21</v>
      </c>
      <c r="M169" s="84" t="s">
        <v>1066</v>
      </c>
      <c r="N169" s="55" t="s">
        <v>300</v>
      </c>
      <c r="O169" s="55" t="s">
        <v>1067</v>
      </c>
      <c r="P169" s="63" t="s">
        <v>335</v>
      </c>
      <c r="Q169" s="59"/>
      <c r="R169" s="59" t="s">
        <v>189</v>
      </c>
      <c r="S169" s="59" t="s">
        <v>199</v>
      </c>
      <c r="T169" s="39"/>
      <c r="Z169" s="91" t="str">
        <f>IF(OR($M169="",NOT($O169="{array}")),"",IFERROR(MATCH(PARAMETERS!$M169,DEFAULT!$B$5:$CC$5,0),""))</f>
        <v/>
      </c>
      <c r="AA169" s="86" t="str">
        <f t="shared" si="18"/>
        <v/>
      </c>
      <c r="AB169" s="117" t="str">
        <f>IF(AND(OR($A169="G",$A169="P"),NOT($O169="{array}")),IF(VLOOKUP($K169,base!$B$2:$D$18,3,0)="S",IF(OR($O169="",ISTEXT($O169)),"","STRING!"),IF(VLOOKUP($K169,base!$B$2:$D$18,3,0)="","",IF(ISTEXT($O169),"NUMERIC!",""))),"")</f>
        <v/>
      </c>
      <c r="AC169" s="17" t="str">
        <f>IF($AA169="","",IF($B169="I",VLOOKUP($AA169,#REF!,53,0),INDEX(VALUES!$B$1:$CX$1,1,$AA169)))</f>
        <v/>
      </c>
    </row>
    <row r="170" spans="1:29" hidden="1" outlineLevel="1" x14ac:dyDescent="0.3">
      <c r="A170" s="22" t="s">
        <v>84</v>
      </c>
      <c r="B170" s="42" t="str">
        <f t="shared" si="14"/>
        <v/>
      </c>
      <c r="C170" s="43">
        <f t="shared" si="17"/>
        <v>169</v>
      </c>
      <c r="D170" s="39"/>
      <c r="E170" s="39"/>
      <c r="F170" s="39"/>
      <c r="G170" s="39"/>
      <c r="H170" s="39"/>
      <c r="I170" s="39" t="s">
        <v>9</v>
      </c>
      <c r="J170" s="39"/>
      <c r="K170" s="14" t="s">
        <v>24</v>
      </c>
      <c r="L170" s="14" t="s">
        <v>27</v>
      </c>
      <c r="M170" s="20" t="s">
        <v>104</v>
      </c>
      <c r="N170" s="67" t="s">
        <v>879</v>
      </c>
      <c r="O170" s="44">
        <v>7.1999999999999995E-2</v>
      </c>
      <c r="R170" s="39" t="s">
        <v>190</v>
      </c>
      <c r="S170" s="39"/>
      <c r="T170" s="39"/>
      <c r="W170" s="15"/>
      <c r="Z170" s="91" t="str">
        <f>IF(OR($M170="",NOT($O170="{array}")),"",IFERROR(MATCH(PARAMETERS!$M170,DEFAULT!$B$5:$CC$5,0),""))</f>
        <v/>
      </c>
      <c r="AA170" s="86" t="str">
        <f t="shared" si="18"/>
        <v/>
      </c>
      <c r="AB170" s="117" t="str">
        <f>IF(AND(OR($A170="G",$A170="P"),NOT($O170="{array}")),IF(VLOOKUP($K170,base!$B$2:$D$18,3,0)="S",IF(OR($O170="",ISTEXT($O170)),"","STRING!"),IF(VLOOKUP($K170,base!$B$2:$D$18,3,0)="","",IF(ISTEXT($O170),"NUMERIC!",""))),"")</f>
        <v/>
      </c>
      <c r="AC170" s="17" t="str">
        <f>IF($AA170="","",IF($B170="I",VLOOKUP($AA170,#REF!,53,0),INDEX(VALUES!$B$1:$CX$1,1,$AA170)))</f>
        <v/>
      </c>
    </row>
    <row r="171" spans="1:29" hidden="1" outlineLevel="1" x14ac:dyDescent="0.3">
      <c r="A171" s="22" t="s">
        <v>84</v>
      </c>
      <c r="B171" s="42" t="str">
        <f t="shared" si="14"/>
        <v/>
      </c>
      <c r="C171" s="43">
        <f t="shared" si="17"/>
        <v>170</v>
      </c>
      <c r="D171" s="39"/>
      <c r="E171" s="39"/>
      <c r="F171" s="39"/>
      <c r="G171" s="39"/>
      <c r="H171" s="39"/>
      <c r="I171" s="39" t="s">
        <v>9</v>
      </c>
      <c r="J171" s="39"/>
      <c r="K171" s="14" t="s">
        <v>24</v>
      </c>
      <c r="L171" s="14" t="s">
        <v>27</v>
      </c>
      <c r="M171" s="84" t="s">
        <v>572</v>
      </c>
      <c r="N171" s="67" t="s">
        <v>548</v>
      </c>
      <c r="O171" s="44">
        <v>8.0000000000000002E-3</v>
      </c>
      <c r="R171" s="39" t="s">
        <v>190</v>
      </c>
      <c r="S171" s="39"/>
      <c r="T171" s="39"/>
      <c r="W171" s="15"/>
      <c r="Z171" s="91" t="str">
        <f>IF(OR($M171="",NOT($O171="{array}")),"",IFERROR(MATCH(PARAMETERS!$M171,DEFAULT!$B$5:$CC$5,0),""))</f>
        <v/>
      </c>
      <c r="AA171" s="86" t="str">
        <f t="shared" si="18"/>
        <v/>
      </c>
      <c r="AB171" s="117" t="str">
        <f>IF(AND(OR($A171="G",$A171="P"),NOT($O171="{array}")),IF(VLOOKUP($K171,base!$B$2:$D$18,3,0)="S",IF(OR($O171="",ISTEXT($O171)),"","STRING!"),IF(VLOOKUP($K171,base!$B$2:$D$18,3,0)="","",IF(ISTEXT($O171),"NUMERIC!",""))),"")</f>
        <v/>
      </c>
      <c r="AC171" s="17" t="str">
        <f>IF($AA171="","",IF($B171="I",VLOOKUP($AA171,#REF!,53,0),INDEX(VALUES!$B$1:$CX$1,1,$AA171)))</f>
        <v/>
      </c>
    </row>
    <row r="172" spans="1:29" hidden="1" outlineLevel="1" x14ac:dyDescent="0.3">
      <c r="A172" s="22" t="s">
        <v>84</v>
      </c>
      <c r="B172" s="42" t="str">
        <f t="shared" si="14"/>
        <v/>
      </c>
      <c r="C172" s="43">
        <f t="shared" si="17"/>
        <v>171</v>
      </c>
      <c r="D172" s="39"/>
      <c r="E172" s="39"/>
      <c r="F172" s="39"/>
      <c r="G172" s="39"/>
      <c r="H172" s="39"/>
      <c r="I172" s="39" t="s">
        <v>9</v>
      </c>
      <c r="J172" s="39"/>
      <c r="K172" s="14" t="s">
        <v>24</v>
      </c>
      <c r="L172" s="14" t="s">
        <v>27</v>
      </c>
      <c r="M172" s="84" t="s">
        <v>882</v>
      </c>
      <c r="N172" s="67" t="s">
        <v>880</v>
      </c>
      <c r="O172" s="44">
        <v>7.1999999999999995E-2</v>
      </c>
      <c r="R172" s="39" t="s">
        <v>190</v>
      </c>
      <c r="S172" s="39"/>
      <c r="T172" s="39"/>
      <c r="W172" s="15"/>
      <c r="Z172" s="91" t="str">
        <f>IF(OR($M172="",NOT($O172="{array}")),"",IFERROR(MATCH(PARAMETERS!$M172,DEFAULT!$B$5:$CC$5,0),""))</f>
        <v/>
      </c>
      <c r="AA172" s="86" t="str">
        <f t="shared" si="18"/>
        <v/>
      </c>
      <c r="AB172" s="117" t="str">
        <f>IF(AND(OR($A172="G",$A172="P"),NOT($O172="{array}")),IF(VLOOKUP($K172,base!$B$2:$D$18,3,0)="S",IF(OR($O172="",ISTEXT($O172)),"","STRING!"),IF(VLOOKUP($K172,base!$B$2:$D$18,3,0)="","",IF(ISTEXT($O172),"NUMERIC!",""))),"")</f>
        <v/>
      </c>
      <c r="AC172" s="17" t="str">
        <f>IF($AA172="","",IF($B172="I",VLOOKUP($AA172,#REF!,53,0),INDEX(VALUES!$B$1:$CX$1,1,$AA172)))</f>
        <v/>
      </c>
    </row>
    <row r="173" spans="1:29" hidden="1" outlineLevel="1" x14ac:dyDescent="0.3">
      <c r="A173" s="22" t="s">
        <v>84</v>
      </c>
      <c r="B173" s="42" t="str">
        <f t="shared" si="14"/>
        <v/>
      </c>
      <c r="C173" s="43">
        <f t="shared" si="17"/>
        <v>172</v>
      </c>
      <c r="D173" s="39"/>
      <c r="E173" s="39"/>
      <c r="F173" s="39"/>
      <c r="G173" s="39"/>
      <c r="H173" s="39"/>
      <c r="I173" s="39" t="s">
        <v>9</v>
      </c>
      <c r="J173" s="39"/>
      <c r="K173" s="14" t="s">
        <v>24</v>
      </c>
      <c r="L173" s="14" t="s">
        <v>27</v>
      </c>
      <c r="M173" s="20" t="s">
        <v>105</v>
      </c>
      <c r="N173" s="67" t="s">
        <v>881</v>
      </c>
      <c r="O173" s="44">
        <v>7.1999999999999995E-2</v>
      </c>
      <c r="R173" s="39" t="s">
        <v>190</v>
      </c>
      <c r="S173" s="39"/>
      <c r="T173" s="39"/>
      <c r="W173" s="15"/>
      <c r="Y173" s="67" t="s">
        <v>884</v>
      </c>
      <c r="Z173" s="91" t="str">
        <f>IF(OR($M173="",NOT($O173="{array}")),"",IFERROR(MATCH(PARAMETERS!$M173,DEFAULT!$B$5:$CC$5,0),""))</f>
        <v/>
      </c>
      <c r="AA173" s="86" t="str">
        <f t="shared" si="18"/>
        <v/>
      </c>
      <c r="AB173" s="117" t="str">
        <f>IF(AND(OR($A173="G",$A173="P"),NOT($O173="{array}")),IF(VLOOKUP($K173,base!$B$2:$D$18,3,0)="S",IF(OR($O173="",ISTEXT($O173)),"","STRING!"),IF(VLOOKUP($K173,base!$B$2:$D$18,3,0)="","",IF(ISTEXT($O173),"NUMERIC!",""))),"")</f>
        <v/>
      </c>
      <c r="AC173" s="17" t="str">
        <f>IF($AA173="","",IF($B173="I",VLOOKUP($AA173,#REF!,53,0),INDEX(VALUES!$B$1:$CX$1,1,$AA173)))</f>
        <v/>
      </c>
    </row>
    <row r="174" spans="1:29" hidden="1" outlineLevel="1" x14ac:dyDescent="0.3">
      <c r="A174" s="22" t="s">
        <v>84</v>
      </c>
      <c r="B174" s="42" t="str">
        <f t="shared" si="14"/>
        <v/>
      </c>
      <c r="C174" s="43">
        <f t="shared" si="17"/>
        <v>173</v>
      </c>
      <c r="D174" s="39"/>
      <c r="E174" s="39"/>
      <c r="F174" s="39"/>
      <c r="G174" s="39"/>
      <c r="H174" s="39"/>
      <c r="I174" s="39" t="s">
        <v>9</v>
      </c>
      <c r="J174" s="39"/>
      <c r="K174" s="14" t="s">
        <v>24</v>
      </c>
      <c r="L174" s="14" t="s">
        <v>27</v>
      </c>
      <c r="M174" s="84" t="s">
        <v>573</v>
      </c>
      <c r="N174" s="67" t="s">
        <v>609</v>
      </c>
      <c r="O174" s="44">
        <v>8.0000000000000002E-3</v>
      </c>
      <c r="R174" s="39" t="s">
        <v>190</v>
      </c>
      <c r="S174" s="39"/>
      <c r="T174" s="39"/>
      <c r="W174" s="15"/>
      <c r="Y174" s="67" t="s">
        <v>884</v>
      </c>
      <c r="Z174" s="91" t="str">
        <f>IF(OR($M174="",NOT($O174="{array}")),"",IFERROR(MATCH(PARAMETERS!$M174,DEFAULT!$B$5:$CC$5,0),""))</f>
        <v/>
      </c>
      <c r="AA174" s="86" t="str">
        <f t="shared" si="18"/>
        <v/>
      </c>
      <c r="AB174" s="117" t="str">
        <f>IF(AND(OR($A174="G",$A174="P"),NOT($O174="{array}")),IF(VLOOKUP($K174,base!$B$2:$D$18,3,0)="S",IF(OR($O174="",ISTEXT($O174)),"","STRING!"),IF(VLOOKUP($K174,base!$B$2:$D$18,3,0)="","",IF(ISTEXT($O174),"NUMERIC!",""))),"")</f>
        <v/>
      </c>
      <c r="AC174" s="17" t="str">
        <f>IF($AA174="","",IF($B174="I",VLOOKUP($AA174,#REF!,53,0),INDEX(VALUES!$B$1:$CX$1,1,$AA174)))</f>
        <v/>
      </c>
    </row>
    <row r="175" spans="1:29" hidden="1" outlineLevel="1" x14ac:dyDescent="0.3">
      <c r="A175" s="22" t="s">
        <v>84</v>
      </c>
      <c r="B175" s="42" t="str">
        <f t="shared" si="14"/>
        <v/>
      </c>
      <c r="C175" s="43">
        <f t="shared" si="17"/>
        <v>174</v>
      </c>
      <c r="D175" s="39"/>
      <c r="E175" s="39"/>
      <c r="F175" s="39"/>
      <c r="G175" s="39"/>
      <c r="H175" s="39"/>
      <c r="I175" s="39" t="s">
        <v>9</v>
      </c>
      <c r="J175" s="39"/>
      <c r="K175" s="14" t="s">
        <v>24</v>
      </c>
      <c r="L175" s="14" t="s">
        <v>27</v>
      </c>
      <c r="M175" s="84" t="s">
        <v>883</v>
      </c>
      <c r="N175" s="67" t="s">
        <v>878</v>
      </c>
      <c r="O175" s="44">
        <v>7.1999999999999995E-2</v>
      </c>
      <c r="R175" s="39" t="s">
        <v>190</v>
      </c>
      <c r="S175" s="39"/>
      <c r="T175" s="39"/>
      <c r="W175" s="15"/>
      <c r="Y175" s="67" t="s">
        <v>884</v>
      </c>
      <c r="Z175" s="91" t="str">
        <f>IF(OR($M175="",NOT($O175="{array}")),"",IFERROR(MATCH(PARAMETERS!$M175,DEFAULT!$B$5:$CC$5,0),""))</f>
        <v/>
      </c>
      <c r="AA175" s="86" t="str">
        <f t="shared" si="18"/>
        <v/>
      </c>
      <c r="AB175" s="117" t="str">
        <f>IF(AND(OR($A175="G",$A175="P"),NOT($O175="{array}")),IF(VLOOKUP($K175,base!$B$2:$D$18,3,0)="S",IF(OR($O175="",ISTEXT($O175)),"","STRING!"),IF(VLOOKUP($K175,base!$B$2:$D$18,3,0)="","",IF(ISTEXT($O175),"NUMERIC!",""))),"")</f>
        <v/>
      </c>
      <c r="AC175" s="17" t="str">
        <f>IF($AA175="","",IF($B175="I",VLOOKUP($AA175,#REF!,53,0),INDEX(VALUES!$B$1:$CX$1,1,$AA175)))</f>
        <v/>
      </c>
    </row>
    <row r="176" spans="1:29" hidden="1" outlineLevel="1" x14ac:dyDescent="0.25">
      <c r="A176" s="22" t="s">
        <v>84</v>
      </c>
      <c r="B176" s="42" t="str">
        <f t="shared" si="14"/>
        <v/>
      </c>
      <c r="C176" s="43">
        <f t="shared" si="17"/>
        <v>175</v>
      </c>
      <c r="D176" s="39"/>
      <c r="E176" s="39"/>
      <c r="F176" s="39"/>
      <c r="G176" s="39"/>
      <c r="H176" s="39"/>
      <c r="I176" s="39" t="s">
        <v>9</v>
      </c>
      <c r="J176" s="39"/>
      <c r="K176" s="55" t="s">
        <v>18</v>
      </c>
      <c r="L176" s="54" t="s">
        <v>21</v>
      </c>
      <c r="M176" s="84" t="s">
        <v>1068</v>
      </c>
      <c r="N176" s="55" t="s">
        <v>1069</v>
      </c>
      <c r="O176" s="55" t="s">
        <v>155</v>
      </c>
      <c r="P176" s="63" t="s">
        <v>335</v>
      </c>
      <c r="Q176" s="59"/>
      <c r="R176" s="59" t="s">
        <v>343</v>
      </c>
      <c r="S176" s="59" t="s">
        <v>199</v>
      </c>
      <c r="T176" s="39"/>
      <c r="Z176" s="91" t="str">
        <f>IF(OR($M176="",NOT($O176="{array}")),"",IFERROR(MATCH(PARAMETERS!$M176,DEFAULT!$B$5:$CC$5,0),""))</f>
        <v/>
      </c>
      <c r="AA176" s="86" t="str">
        <f t="shared" si="18"/>
        <v/>
      </c>
      <c r="AB176" s="117" t="str">
        <f>IF(AND(OR($A176="G",$A176="P"),NOT($O176="{array}")),IF(VLOOKUP($K176,base!$B$2:$D$18,3,0)="S",IF(OR($O176="",ISTEXT($O176)),"","STRING!"),IF(VLOOKUP($K176,base!$B$2:$D$18,3,0)="","",IF(ISTEXT($O176),"NUMERIC!",""))),"")</f>
        <v/>
      </c>
      <c r="AC176" s="17" t="str">
        <f>IF($AA176="","",IF($B176="I",VLOOKUP($AA176,#REF!,53,0),INDEX(VALUES!$B$1:$CX$1,1,$AA176)))</f>
        <v/>
      </c>
    </row>
    <row r="177" spans="1:29" hidden="1" outlineLevel="1" x14ac:dyDescent="0.25">
      <c r="A177" s="22" t="s">
        <v>84</v>
      </c>
      <c r="B177" s="42" t="str">
        <f t="shared" si="14"/>
        <v/>
      </c>
      <c r="C177" s="43">
        <f t="shared" si="17"/>
        <v>176</v>
      </c>
      <c r="D177" s="39"/>
      <c r="E177" s="39"/>
      <c r="F177" s="39"/>
      <c r="G177" s="39"/>
      <c r="H177" s="39"/>
      <c r="I177" s="39" t="s">
        <v>9</v>
      </c>
      <c r="J177" s="39"/>
      <c r="K177" s="55" t="s">
        <v>44</v>
      </c>
      <c r="L177" s="54" t="s">
        <v>21</v>
      </c>
      <c r="M177" s="84" t="s">
        <v>1070</v>
      </c>
      <c r="N177" s="55" t="s">
        <v>1071</v>
      </c>
      <c r="O177" s="55">
        <v>0</v>
      </c>
      <c r="P177" s="63" t="s">
        <v>335</v>
      </c>
      <c r="Q177" s="59"/>
      <c r="R177" s="59" t="s">
        <v>189</v>
      </c>
      <c r="S177" s="59" t="s">
        <v>199</v>
      </c>
      <c r="T177" s="39"/>
      <c r="Z177" s="91" t="str">
        <f>IF(OR($M177="",NOT($O177="{array}")),"",IFERROR(MATCH(PARAMETERS!$M177,DEFAULT!$B$5:$CC$5,0),""))</f>
        <v/>
      </c>
      <c r="AA177" s="86" t="str">
        <f t="shared" si="18"/>
        <v/>
      </c>
      <c r="AB177" s="117" t="str">
        <f>IF(AND(OR($A177="G",$A177="P"),NOT($O177="{array}")),IF(VLOOKUP($K177,base!$B$2:$D$18,3,0)="S",IF(OR($O177="",ISTEXT($O177)),"","STRING!"),IF(VLOOKUP($K177,base!$B$2:$D$18,3,0)="","",IF(ISTEXT($O177),"NUMERIC!",""))),"")</f>
        <v/>
      </c>
      <c r="AC177" s="17" t="str">
        <f>IF($AA177="","",IF($B177="I",VLOOKUP($AA177,#REF!,53,0),INDEX(VALUES!$B$1:$CX$1,1,$AA177)))</f>
        <v/>
      </c>
    </row>
    <row r="178" spans="1:29" hidden="1" outlineLevel="1" x14ac:dyDescent="0.25">
      <c r="A178" s="22" t="s">
        <v>84</v>
      </c>
      <c r="B178" s="42" t="str">
        <f t="shared" si="14"/>
        <v/>
      </c>
      <c r="C178" s="43">
        <f t="shared" si="17"/>
        <v>177</v>
      </c>
      <c r="D178" s="39"/>
      <c r="E178" s="39"/>
      <c r="F178" s="39"/>
      <c r="G178" s="39"/>
      <c r="H178" s="39"/>
      <c r="I178" s="39" t="s">
        <v>9</v>
      </c>
      <c r="J178" s="39"/>
      <c r="K178" s="55" t="s">
        <v>44</v>
      </c>
      <c r="L178" s="54" t="s">
        <v>21</v>
      </c>
      <c r="M178" s="84" t="s">
        <v>1072</v>
      </c>
      <c r="N178" s="55" t="s">
        <v>301</v>
      </c>
      <c r="O178" s="55">
        <v>0</v>
      </c>
      <c r="P178" s="63" t="s">
        <v>335</v>
      </c>
      <c r="Q178" s="59"/>
      <c r="R178" s="59" t="s">
        <v>189</v>
      </c>
      <c r="S178" s="59" t="s">
        <v>199</v>
      </c>
      <c r="T178" s="39"/>
      <c r="Z178" s="91" t="str">
        <f>IF(OR($M178="",NOT($O178="{array}")),"",IFERROR(MATCH(PARAMETERS!$M178,DEFAULT!$B$5:$CC$5,0),""))</f>
        <v/>
      </c>
      <c r="AA178" s="86" t="str">
        <f t="shared" si="18"/>
        <v/>
      </c>
      <c r="AB178" s="117" t="str">
        <f>IF(AND(OR($A178="G",$A178="P"),NOT($O178="{array}")),IF(VLOOKUP($K178,base!$B$2:$D$18,3,0)="S",IF(OR($O178="",ISTEXT($O178)),"","STRING!"),IF(VLOOKUP($K178,base!$B$2:$D$18,3,0)="","",IF(ISTEXT($O178),"NUMERIC!",""))),"")</f>
        <v/>
      </c>
      <c r="AC178" s="17" t="str">
        <f>IF($AA178="","",IF($B178="I",VLOOKUP($AA178,#REF!,53,0),INDEX(VALUES!$B$1:$CX$1,1,$AA178)))</f>
        <v/>
      </c>
    </row>
    <row r="179" spans="1:29" hidden="1" outlineLevel="1" x14ac:dyDescent="0.25">
      <c r="A179" s="22" t="s">
        <v>84</v>
      </c>
      <c r="B179" s="42" t="str">
        <f t="shared" si="14"/>
        <v/>
      </c>
      <c r="C179" s="43">
        <f t="shared" si="17"/>
        <v>178</v>
      </c>
      <c r="D179" s="39"/>
      <c r="E179" s="39"/>
      <c r="F179" s="39"/>
      <c r="G179" s="39"/>
      <c r="H179" s="39"/>
      <c r="I179" s="39" t="s">
        <v>9</v>
      </c>
      <c r="J179" s="39"/>
      <c r="K179" s="55" t="s">
        <v>18</v>
      </c>
      <c r="L179" s="54" t="s">
        <v>21</v>
      </c>
      <c r="M179" s="84" t="s">
        <v>1073</v>
      </c>
      <c r="N179" s="55" t="s">
        <v>302</v>
      </c>
      <c r="O179" s="55" t="s">
        <v>1074</v>
      </c>
      <c r="P179" s="63" t="s">
        <v>335</v>
      </c>
      <c r="Q179" s="59"/>
      <c r="R179" s="59" t="s">
        <v>189</v>
      </c>
      <c r="S179" s="59" t="s">
        <v>199</v>
      </c>
      <c r="T179" s="39"/>
      <c r="Z179" s="91" t="str">
        <f>IF(OR($M179="",NOT($O179="{array}")),"",IFERROR(MATCH(PARAMETERS!$M179,DEFAULT!$B$5:$CC$5,0),""))</f>
        <v/>
      </c>
      <c r="AA179" s="86" t="str">
        <f t="shared" si="18"/>
        <v/>
      </c>
      <c r="AB179" s="117" t="str">
        <f>IF(AND(OR($A179="G",$A179="P"),NOT($O179="{array}")),IF(VLOOKUP($K179,base!$B$2:$D$18,3,0)="S",IF(OR($O179="",ISTEXT($O179)),"","STRING!"),IF(VLOOKUP($K179,base!$B$2:$D$18,3,0)="","",IF(ISTEXT($O179),"NUMERIC!",""))),"")</f>
        <v/>
      </c>
      <c r="AC179" s="17" t="str">
        <f>IF($AA179="","",IF($B179="I",VLOOKUP($AA179,#REF!,53,0),INDEX(VALUES!$B$1:$CX$1,1,$AA179)))</f>
        <v/>
      </c>
    </row>
    <row r="180" spans="1:29" hidden="1" outlineLevel="1" x14ac:dyDescent="0.25">
      <c r="A180" s="22" t="s">
        <v>84</v>
      </c>
      <c r="B180" s="42" t="str">
        <f t="shared" si="14"/>
        <v/>
      </c>
      <c r="C180" s="43">
        <f t="shared" si="17"/>
        <v>179</v>
      </c>
      <c r="D180" s="39"/>
      <c r="E180" s="39"/>
      <c r="F180" s="39"/>
      <c r="G180" s="39"/>
      <c r="H180" s="39"/>
      <c r="I180" s="39" t="s">
        <v>9</v>
      </c>
      <c r="J180" s="39"/>
      <c r="K180" s="55" t="s">
        <v>44</v>
      </c>
      <c r="L180" s="54" t="s">
        <v>21</v>
      </c>
      <c r="M180" s="84" t="s">
        <v>1075</v>
      </c>
      <c r="N180" s="55" t="s">
        <v>303</v>
      </c>
      <c r="O180" s="55">
        <v>0</v>
      </c>
      <c r="P180" s="63" t="s">
        <v>335</v>
      </c>
      <c r="Q180" s="59"/>
      <c r="R180" s="59" t="s">
        <v>189</v>
      </c>
      <c r="S180" s="59" t="s">
        <v>199</v>
      </c>
      <c r="T180" s="39"/>
      <c r="Z180" s="91" t="str">
        <f>IF(OR($M180="",NOT($O180="{array}")),"",IFERROR(MATCH(PARAMETERS!$M180,DEFAULT!$B$5:$CC$5,0),""))</f>
        <v/>
      </c>
      <c r="AA180" s="86" t="str">
        <f t="shared" si="18"/>
        <v/>
      </c>
      <c r="AB180" s="117" t="str">
        <f>IF(AND(OR($A180="G",$A180="P"),NOT($O180="{array}")),IF(VLOOKUP($K180,base!$B$2:$D$18,3,0)="S",IF(OR($O180="",ISTEXT($O180)),"","STRING!"),IF(VLOOKUP($K180,base!$B$2:$D$18,3,0)="","",IF(ISTEXT($O180),"NUMERIC!",""))),"")</f>
        <v/>
      </c>
      <c r="AC180" s="17" t="str">
        <f>IF($AA180="","",IF($B180="I",VLOOKUP($AA180,#REF!,53,0),INDEX(VALUES!$B$1:$CX$1,1,$AA180)))</f>
        <v/>
      </c>
    </row>
    <row r="181" spans="1:29" hidden="1" outlineLevel="1" x14ac:dyDescent="0.25">
      <c r="A181" s="22" t="s">
        <v>84</v>
      </c>
      <c r="B181" s="42" t="str">
        <f t="shared" si="14"/>
        <v/>
      </c>
      <c r="C181" s="43">
        <f t="shared" si="17"/>
        <v>180</v>
      </c>
      <c r="D181" s="39"/>
      <c r="E181" s="39"/>
      <c r="F181" s="39"/>
      <c r="G181" s="39"/>
      <c r="H181" s="39"/>
      <c r="I181" s="39" t="s">
        <v>9</v>
      </c>
      <c r="J181" s="39"/>
      <c r="K181" s="55" t="s">
        <v>44</v>
      </c>
      <c r="L181" s="54" t="s">
        <v>21</v>
      </c>
      <c r="M181" s="84" t="s">
        <v>1076</v>
      </c>
      <c r="N181" s="55" t="s">
        <v>304</v>
      </c>
      <c r="O181" s="55">
        <v>0</v>
      </c>
      <c r="P181" s="63" t="s">
        <v>335</v>
      </c>
      <c r="Q181" s="59"/>
      <c r="R181" s="59" t="s">
        <v>189</v>
      </c>
      <c r="S181" s="59" t="s">
        <v>199</v>
      </c>
      <c r="T181" s="39"/>
      <c r="Z181" s="91" t="str">
        <f>IF(OR($M181="",NOT($O181="{array}")),"",IFERROR(MATCH(PARAMETERS!$M181,DEFAULT!$B$5:$CC$5,0),""))</f>
        <v/>
      </c>
      <c r="AA181" s="86" t="str">
        <f t="shared" si="18"/>
        <v/>
      </c>
      <c r="AB181" s="117" t="str">
        <f>IF(AND(OR($A181="G",$A181="P"),NOT($O181="{array}")),IF(VLOOKUP($K181,base!$B$2:$D$18,3,0)="S",IF(OR($O181="",ISTEXT($O181)),"","STRING!"),IF(VLOOKUP($K181,base!$B$2:$D$18,3,0)="","",IF(ISTEXT($O181),"NUMERIC!",""))),"")</f>
        <v/>
      </c>
      <c r="AC181" s="17" t="str">
        <f>IF($AA181="","",IF($B181="I",VLOOKUP($AA181,#REF!,53,0),INDEX(VALUES!$B$1:$CX$1,1,$AA181)))</f>
        <v/>
      </c>
    </row>
    <row r="182" spans="1:29" hidden="1" outlineLevel="1" x14ac:dyDescent="0.25">
      <c r="A182" s="22" t="s">
        <v>84</v>
      </c>
      <c r="B182" s="42" t="str">
        <f t="shared" si="14"/>
        <v/>
      </c>
      <c r="C182" s="43">
        <f t="shared" si="17"/>
        <v>181</v>
      </c>
      <c r="D182" s="39"/>
      <c r="E182" s="39"/>
      <c r="F182" s="39"/>
      <c r="G182" s="39"/>
      <c r="H182" s="39"/>
      <c r="I182" s="39" t="s">
        <v>9</v>
      </c>
      <c r="J182" s="39"/>
      <c r="K182" s="55" t="s">
        <v>44</v>
      </c>
      <c r="L182" s="54" t="s">
        <v>21</v>
      </c>
      <c r="M182" s="84" t="s">
        <v>1077</v>
      </c>
      <c r="N182" s="55" t="s">
        <v>305</v>
      </c>
      <c r="O182" s="55">
        <v>0</v>
      </c>
      <c r="P182" s="63" t="s">
        <v>335</v>
      </c>
      <c r="Q182" s="59"/>
      <c r="R182" s="59" t="s">
        <v>189</v>
      </c>
      <c r="S182" s="59" t="s">
        <v>199</v>
      </c>
      <c r="T182" s="39"/>
      <c r="Z182" s="91" t="str">
        <f>IF(OR($M182="",NOT($O182="{array}")),"",IFERROR(MATCH(PARAMETERS!$M182,DEFAULT!$B$5:$CC$5,0),""))</f>
        <v/>
      </c>
      <c r="AA182" s="86" t="str">
        <f t="shared" si="18"/>
        <v/>
      </c>
      <c r="AB182" s="117" t="str">
        <f>IF(AND(OR($A182="G",$A182="P"),NOT($O182="{array}")),IF(VLOOKUP($K182,base!$B$2:$D$18,3,0)="S",IF(OR($O182="",ISTEXT($O182)),"","STRING!"),IF(VLOOKUP($K182,base!$B$2:$D$18,3,0)="","",IF(ISTEXT($O182),"NUMERIC!",""))),"")</f>
        <v/>
      </c>
      <c r="AC182" s="17" t="str">
        <f>IF($AA182="","",IF($B182="I",VLOOKUP($AA182,#REF!,53,0),INDEX(VALUES!$B$1:$CX$1,1,$AA182)))</f>
        <v/>
      </c>
    </row>
    <row r="183" spans="1:29" hidden="1" outlineLevel="1" x14ac:dyDescent="0.25">
      <c r="A183" s="22" t="s">
        <v>84</v>
      </c>
      <c r="B183" s="42" t="str">
        <f t="shared" si="14"/>
        <v/>
      </c>
      <c r="C183" s="43">
        <f t="shared" si="17"/>
        <v>182</v>
      </c>
      <c r="D183" s="39"/>
      <c r="E183" s="39"/>
      <c r="F183" s="39"/>
      <c r="G183" s="39"/>
      <c r="H183" s="39"/>
      <c r="I183" s="39" t="s">
        <v>9</v>
      </c>
      <c r="J183" s="39"/>
      <c r="K183" s="55" t="s">
        <v>18</v>
      </c>
      <c r="L183" s="54" t="s">
        <v>21</v>
      </c>
      <c r="M183" s="84" t="s">
        <v>1078</v>
      </c>
      <c r="N183" s="55" t="s">
        <v>306</v>
      </c>
      <c r="O183" s="55" t="s">
        <v>1079</v>
      </c>
      <c r="P183" s="63" t="s">
        <v>335</v>
      </c>
      <c r="Q183" s="59"/>
      <c r="R183" s="59" t="s">
        <v>189</v>
      </c>
      <c r="S183" s="59" t="s">
        <v>199</v>
      </c>
      <c r="T183" s="39"/>
      <c r="Z183" s="91" t="str">
        <f>IF(OR($M183="",NOT($O183="{array}")),"",IFERROR(MATCH(PARAMETERS!$M183,DEFAULT!$B$5:$CC$5,0),""))</f>
        <v/>
      </c>
      <c r="AA183" s="86" t="str">
        <f t="shared" si="18"/>
        <v/>
      </c>
      <c r="AB183" s="117" t="str">
        <f>IF(AND(OR($A183="G",$A183="P"),NOT($O183="{array}")),IF(VLOOKUP($K183,base!$B$2:$D$18,3,0)="S",IF(OR($O183="",ISTEXT($O183)),"","STRING!"),IF(VLOOKUP($K183,base!$B$2:$D$18,3,0)="","",IF(ISTEXT($O183),"NUMERIC!",""))),"")</f>
        <v/>
      </c>
      <c r="AC183" s="17" t="str">
        <f>IF($AA183="","",IF($B183="I",VLOOKUP($AA183,#REF!,53,0),INDEX(VALUES!$B$1:$CX$1,1,$AA183)))</f>
        <v/>
      </c>
    </row>
    <row r="184" spans="1:29" hidden="1" outlineLevel="1" x14ac:dyDescent="0.25">
      <c r="A184" s="22" t="s">
        <v>84</v>
      </c>
      <c r="B184" s="42" t="str">
        <f t="shared" si="14"/>
        <v/>
      </c>
      <c r="C184" s="43">
        <f t="shared" si="17"/>
        <v>183</v>
      </c>
      <c r="D184" s="39"/>
      <c r="E184" s="39"/>
      <c r="F184" s="39"/>
      <c r="G184" s="39"/>
      <c r="H184" s="39"/>
      <c r="I184" s="39" t="s">
        <v>9</v>
      </c>
      <c r="J184" s="39"/>
      <c r="K184" s="55" t="s">
        <v>44</v>
      </c>
      <c r="L184" s="54" t="s">
        <v>21</v>
      </c>
      <c r="M184" s="84" t="s">
        <v>1080</v>
      </c>
      <c r="N184" s="55" t="s">
        <v>1081</v>
      </c>
      <c r="O184" s="55">
        <v>0</v>
      </c>
      <c r="P184" s="63" t="s">
        <v>335</v>
      </c>
      <c r="Q184" s="59"/>
      <c r="R184" s="59" t="s">
        <v>189</v>
      </c>
      <c r="S184" s="59" t="s">
        <v>199</v>
      </c>
      <c r="T184" s="39"/>
      <c r="Z184" s="91" t="str">
        <f>IF(OR($M184="",NOT($O184="{array}")),"",IFERROR(MATCH(PARAMETERS!$M184,DEFAULT!$B$5:$CC$5,0),""))</f>
        <v/>
      </c>
      <c r="AA184" s="86" t="str">
        <f t="shared" si="18"/>
        <v/>
      </c>
      <c r="AB184" s="117" t="str">
        <f>IF(AND(OR($A184="G",$A184="P"),NOT($O184="{array}")),IF(VLOOKUP($K184,base!$B$2:$D$18,3,0)="S",IF(OR($O184="",ISTEXT($O184)),"","STRING!"),IF(VLOOKUP($K184,base!$B$2:$D$18,3,0)="","",IF(ISTEXT($O184),"NUMERIC!",""))),"")</f>
        <v/>
      </c>
      <c r="AC184" s="17" t="str">
        <f>IF($AA184="","",IF($B184="I",VLOOKUP($AA184,#REF!,53,0),INDEX(VALUES!$B$1:$CX$1,1,$AA184)))</f>
        <v/>
      </c>
    </row>
    <row r="185" spans="1:29" hidden="1" outlineLevel="1" x14ac:dyDescent="0.25">
      <c r="A185" s="22" t="s">
        <v>84</v>
      </c>
      <c r="B185" s="42" t="str">
        <f t="shared" si="14"/>
        <v/>
      </c>
      <c r="C185" s="43">
        <f t="shared" si="17"/>
        <v>184</v>
      </c>
      <c r="D185" s="39"/>
      <c r="E185" s="39"/>
      <c r="F185" s="39"/>
      <c r="G185" s="39"/>
      <c r="H185" s="39"/>
      <c r="I185" s="39" t="s">
        <v>9</v>
      </c>
      <c r="J185" s="39"/>
      <c r="K185" s="55" t="s">
        <v>44</v>
      </c>
      <c r="L185" s="54" t="s">
        <v>21</v>
      </c>
      <c r="M185" s="84" t="s">
        <v>1082</v>
      </c>
      <c r="N185" s="55" t="s">
        <v>1083</v>
      </c>
      <c r="O185" s="55">
        <v>0</v>
      </c>
      <c r="P185" s="63" t="s">
        <v>335</v>
      </c>
      <c r="Q185" s="59" t="s">
        <v>9</v>
      </c>
      <c r="R185" s="59" t="s">
        <v>189</v>
      </c>
      <c r="S185" s="59" t="s">
        <v>199</v>
      </c>
      <c r="T185" s="39"/>
      <c r="Z185" s="91" t="str">
        <f>IF(OR($M185="",NOT($O185="{array}")),"",IFERROR(MATCH(PARAMETERS!$M185,DEFAULT!$B$5:$CC$5,0),""))</f>
        <v/>
      </c>
      <c r="AA185" s="86" t="str">
        <f t="shared" si="18"/>
        <v/>
      </c>
      <c r="AB185" s="117" t="str">
        <f>IF(AND(OR($A185="G",$A185="P"),NOT($O185="{array}")),IF(VLOOKUP($K185,base!$B$2:$D$18,3,0)="S",IF(OR($O185="",ISTEXT($O185)),"","STRING!"),IF(VLOOKUP($K185,base!$B$2:$D$18,3,0)="","",IF(ISTEXT($O185),"NUMERIC!",""))),"")</f>
        <v/>
      </c>
      <c r="AC185" s="17" t="str">
        <f>IF($AA185="","",IF($B185="I",VLOOKUP($AA185,#REF!,53,0),INDEX(VALUES!$B$1:$CX$1,1,$AA185)))</f>
        <v/>
      </c>
    </row>
    <row r="186" spans="1:29" collapsed="1" x14ac:dyDescent="0.3">
      <c r="A186" s="22" t="s">
        <v>84</v>
      </c>
      <c r="B186" s="42" t="str">
        <f t="shared" si="14"/>
        <v/>
      </c>
      <c r="C186" s="43">
        <f t="shared" si="17"/>
        <v>185</v>
      </c>
      <c r="D186" s="291"/>
      <c r="E186" s="39"/>
      <c r="F186" s="292"/>
      <c r="G186" s="50"/>
      <c r="H186" s="39"/>
      <c r="I186" s="39"/>
      <c r="J186" s="39"/>
      <c r="K186" s="293" t="s">
        <v>57</v>
      </c>
      <c r="L186" s="293" t="s">
        <v>38</v>
      </c>
      <c r="M186" s="294" t="s">
        <v>349</v>
      </c>
      <c r="N186" s="295" t="s">
        <v>1084</v>
      </c>
      <c r="R186" s="39" t="s">
        <v>190</v>
      </c>
      <c r="S186" s="39"/>
      <c r="T186" s="39"/>
      <c r="Z186" s="91" t="str">
        <f>IF(OR($M186="",NOT($O186="{array}")),"",IFERROR(MATCH(PARAMETERS!$M186,DEFAULT!$B$5:$CC$5,0),""))</f>
        <v/>
      </c>
      <c r="AA186" s="86" t="str">
        <f t="shared" si="18"/>
        <v/>
      </c>
      <c r="AB186" s="117" t="str">
        <f>IF(AND(OR($A186="G",$A186="P"),NOT($O186="{array}")),IF(VLOOKUP($K186,base!$B$2:$D$18,3,0)="S",IF(OR($O186="",ISTEXT($O186)),"","STRING!"),IF(VLOOKUP($K186,base!$B$2:$D$18,3,0)="","",IF(ISTEXT($O186),"NUMERIC!",""))),"")</f>
        <v/>
      </c>
      <c r="AC186" s="17" t="str">
        <f>IF($AA186="","",IF($B186="I",VLOOKUP($AA186,#REF!,53,0),INDEX(VALUES!$B$1:$CX$1,1,$AA186)))</f>
        <v/>
      </c>
    </row>
    <row r="187" spans="1:29" hidden="1" outlineLevel="1" x14ac:dyDescent="0.25">
      <c r="A187" s="22" t="s">
        <v>84</v>
      </c>
      <c r="B187" s="42" t="str">
        <f t="shared" si="14"/>
        <v/>
      </c>
      <c r="C187" s="43">
        <f t="shared" si="17"/>
        <v>186</v>
      </c>
      <c r="D187" s="291"/>
      <c r="E187" s="39"/>
      <c r="F187" s="292"/>
      <c r="G187" s="50"/>
      <c r="H187" s="39"/>
      <c r="I187" s="39" t="s">
        <v>9</v>
      </c>
      <c r="J187" s="39"/>
      <c r="K187" s="67" t="s">
        <v>18</v>
      </c>
      <c r="L187" s="67" t="s">
        <v>32</v>
      </c>
      <c r="M187" s="84" t="s">
        <v>476</v>
      </c>
      <c r="N187" s="67" t="s">
        <v>1218</v>
      </c>
      <c r="O187" s="97" t="s">
        <v>19</v>
      </c>
      <c r="R187" s="59" t="s">
        <v>189</v>
      </c>
      <c r="S187" s="59" t="s">
        <v>199</v>
      </c>
      <c r="T187" s="55" t="s">
        <v>335</v>
      </c>
      <c r="U187" s="55" t="s">
        <v>335</v>
      </c>
      <c r="Z187" s="91" t="str">
        <f>IF(OR($M187="",NOT($O187="{array}")),"",IFERROR(MATCH(PARAMETERS!$M187,DEFAULT!$B$5:$CC$5,0),""))</f>
        <v/>
      </c>
      <c r="AA187" s="86" t="str">
        <f t="shared" si="18"/>
        <v/>
      </c>
      <c r="AB187" s="117" t="str">
        <f>IF(AND(OR($A187="G",$A187="P"),NOT($O187="{array}")),IF(VLOOKUP($K187,base!$B$2:$D$18,3,0)="S",IF(OR($O187="",ISTEXT($O187)),"","STRING!"),IF(VLOOKUP($K187,base!$B$2:$D$18,3,0)="","",IF(ISTEXT($O187),"NUMERIC!",""))),"")</f>
        <v/>
      </c>
      <c r="AC187" s="17" t="str">
        <f>IF($AA187="","",IF($B187="I",VLOOKUP($AA187,#REF!,53,0),INDEX(VALUES!$B$1:$CX$1,1,$AA187)))</f>
        <v/>
      </c>
    </row>
    <row r="188" spans="1:29" hidden="1" outlineLevel="1" x14ac:dyDescent="0.25">
      <c r="A188" s="22" t="s">
        <v>84</v>
      </c>
      <c r="B188" s="42" t="str">
        <f t="shared" si="14"/>
        <v/>
      </c>
      <c r="C188" s="43">
        <f t="shared" si="17"/>
        <v>187</v>
      </c>
      <c r="D188" s="291"/>
      <c r="E188" s="39"/>
      <c r="F188" s="292"/>
      <c r="G188" s="50"/>
      <c r="H188" s="39"/>
      <c r="I188" s="39" t="s">
        <v>9</v>
      </c>
      <c r="J188" s="39"/>
      <c r="K188" s="67" t="s">
        <v>18</v>
      </c>
      <c r="L188" s="67" t="s">
        <v>32</v>
      </c>
      <c r="M188" s="84" t="s">
        <v>1223</v>
      </c>
      <c r="N188" s="67" t="s">
        <v>1224</v>
      </c>
      <c r="O188" s="296">
        <v>8906</v>
      </c>
      <c r="R188" s="59" t="s">
        <v>343</v>
      </c>
      <c r="S188" s="59" t="s">
        <v>199</v>
      </c>
      <c r="T188" s="55" t="s">
        <v>335</v>
      </c>
      <c r="U188" s="55" t="s">
        <v>335</v>
      </c>
      <c r="Z188" s="91" t="str">
        <f>IF(OR($M188="",NOT($O188="{array}")),"",IFERROR(MATCH(PARAMETERS!$M188,DEFAULT!$B$5:$CC$5,0),""))</f>
        <v/>
      </c>
      <c r="AA188" s="86" t="str">
        <f t="shared" si="18"/>
        <v/>
      </c>
      <c r="AB188" s="117" t="str">
        <f>IF(AND(OR($A188="G",$A188="P"),NOT($O188="{array}")),IF(VLOOKUP($K188,base!$B$2:$D$18,3,0)="S",IF(OR($O188="",ISTEXT($O188)),"","STRING!"),IF(VLOOKUP($K188,base!$B$2:$D$18,3,0)="","",IF(ISTEXT($O188),"NUMERIC!",""))),"")</f>
        <v>STRING!</v>
      </c>
      <c r="AC188" s="17" t="str">
        <f>IF($AA188="","",IF($B188="I",VLOOKUP($AA188,#REF!,53,0),INDEX(VALUES!$B$1:$CX$1,1,$AA188)))</f>
        <v/>
      </c>
    </row>
    <row r="189" spans="1:29" hidden="1" outlineLevel="1" x14ac:dyDescent="0.25">
      <c r="A189" s="22" t="s">
        <v>84</v>
      </c>
      <c r="B189" s="42" t="str">
        <f t="shared" ref="B189:B194" si="19">IF($A189="P",IF(NOT($Z189=""),"A",IF(NOT($AA189=""),"I","")),IF(NOT($AA189=""),IF($A189="G","V","X"),IF(NOT($Z189=""),"A","")))</f>
        <v/>
      </c>
      <c r="C189" s="43">
        <f t="shared" si="17"/>
        <v>188</v>
      </c>
      <c r="D189" s="291"/>
      <c r="E189" s="39"/>
      <c r="F189" s="292"/>
      <c r="G189" s="50"/>
      <c r="H189" s="39"/>
      <c r="I189" s="39" t="s">
        <v>9</v>
      </c>
      <c r="J189" s="39"/>
      <c r="K189" s="67" t="s">
        <v>18</v>
      </c>
      <c r="L189" s="67" t="s">
        <v>32</v>
      </c>
      <c r="M189" s="84" t="s">
        <v>1225</v>
      </c>
      <c r="N189" s="67" t="s">
        <v>1226</v>
      </c>
      <c r="O189" s="296" t="s">
        <v>1227</v>
      </c>
      <c r="R189" s="59" t="s">
        <v>343</v>
      </c>
      <c r="S189" s="59" t="s">
        <v>199</v>
      </c>
      <c r="T189" s="55" t="s">
        <v>335</v>
      </c>
      <c r="U189" s="55" t="s">
        <v>335</v>
      </c>
      <c r="Z189" s="91" t="str">
        <f>IF(OR($M189="",NOT($O189="{array}")),"",IFERROR(MATCH(PARAMETERS!$M189,DEFAULT!$B$5:$CC$5,0),""))</f>
        <v/>
      </c>
      <c r="AA189" s="86" t="str">
        <f t="shared" si="18"/>
        <v/>
      </c>
      <c r="AB189" s="117" t="str">
        <f>IF(AND(OR($A189="G",$A189="P"),NOT($O189="{array}")),IF(VLOOKUP($K189,base!$B$2:$D$18,3,0)="S",IF(OR($O189="",ISTEXT($O189)),"","STRING!"),IF(VLOOKUP($K189,base!$B$2:$D$18,3,0)="","",IF(ISTEXT($O189),"NUMERIC!",""))),"")</f>
        <v/>
      </c>
      <c r="AC189" s="17" t="str">
        <f>IF($AA189="","",IF($B189="I",VLOOKUP($AA189,#REF!,53,0),INDEX(VALUES!$B$1:$CX$1,1,$AA189)))</f>
        <v/>
      </c>
    </row>
    <row r="190" spans="1:29" hidden="1" outlineLevel="1" x14ac:dyDescent="0.25">
      <c r="A190" s="22" t="s">
        <v>84</v>
      </c>
      <c r="B190" s="42" t="str">
        <f t="shared" si="19"/>
        <v/>
      </c>
      <c r="C190" s="43">
        <f t="shared" si="17"/>
        <v>189</v>
      </c>
      <c r="D190" s="291"/>
      <c r="E190" s="39"/>
      <c r="F190" s="292"/>
      <c r="G190" s="50"/>
      <c r="H190" s="39"/>
      <c r="I190" s="39" t="s">
        <v>9</v>
      </c>
      <c r="J190" s="39"/>
      <c r="K190" s="67" t="s">
        <v>18</v>
      </c>
      <c r="L190" s="67" t="s">
        <v>32</v>
      </c>
      <c r="M190" s="84" t="s">
        <v>1228</v>
      </c>
      <c r="N190" s="67" t="s">
        <v>1229</v>
      </c>
      <c r="O190" s="296" t="s">
        <v>1227</v>
      </c>
      <c r="R190" s="59" t="s">
        <v>343</v>
      </c>
      <c r="S190" s="59" t="s">
        <v>199</v>
      </c>
      <c r="T190" s="55" t="s">
        <v>335</v>
      </c>
      <c r="U190" s="55" t="s">
        <v>335</v>
      </c>
      <c r="Z190" s="91" t="str">
        <f>IF(OR($M190="",NOT($O190="{array}")),"",IFERROR(MATCH(PARAMETERS!$M190,DEFAULT!$B$5:$CC$5,0),""))</f>
        <v/>
      </c>
      <c r="AA190" s="86" t="str">
        <f t="shared" si="18"/>
        <v/>
      </c>
      <c r="AB190" s="117" t="str">
        <f>IF(AND(OR($A190="G",$A190="P"),NOT($O190="{array}")),IF(VLOOKUP($K190,base!$B$2:$D$18,3,0)="S",IF(OR($O190="",ISTEXT($O190)),"","STRING!"),IF(VLOOKUP($K190,base!$B$2:$D$18,3,0)="","",IF(ISTEXT($O190),"NUMERIC!",""))),"")</f>
        <v/>
      </c>
      <c r="AC190" s="17" t="str">
        <f>IF($AA190="","",IF($B190="I",VLOOKUP($AA190,#REF!,53,0),INDEX(VALUES!$B$1:$CX$1,1,$AA190)))</f>
        <v/>
      </c>
    </row>
    <row r="191" spans="1:29" hidden="1" outlineLevel="1" x14ac:dyDescent="0.25">
      <c r="A191" s="22" t="s">
        <v>84</v>
      </c>
      <c r="B191" s="42" t="str">
        <f t="shared" si="19"/>
        <v/>
      </c>
      <c r="C191" s="43">
        <f t="shared" si="17"/>
        <v>190</v>
      </c>
      <c r="D191" s="291"/>
      <c r="E191" s="39"/>
      <c r="F191" s="292"/>
      <c r="G191" s="50"/>
      <c r="H191" s="39"/>
      <c r="I191" s="39" t="s">
        <v>9</v>
      </c>
      <c r="J191" s="39"/>
      <c r="K191" s="67" t="s">
        <v>44</v>
      </c>
      <c r="L191" s="67" t="s">
        <v>27</v>
      </c>
      <c r="M191" s="84" t="s">
        <v>1230</v>
      </c>
      <c r="N191" s="67" t="s">
        <v>1232</v>
      </c>
      <c r="O191" s="97">
        <v>30</v>
      </c>
      <c r="R191" s="59" t="s">
        <v>343</v>
      </c>
      <c r="S191" s="59" t="s">
        <v>199</v>
      </c>
      <c r="T191" s="55" t="s">
        <v>335</v>
      </c>
      <c r="U191" s="55" t="s">
        <v>335</v>
      </c>
      <c r="Z191" s="91" t="str">
        <f>IF(OR($M191="",NOT($O191="{array}")),"",IFERROR(MATCH(PARAMETERS!$M191,DEFAULT!$B$5:$CC$5,0),""))</f>
        <v/>
      </c>
      <c r="AA191" s="86" t="str">
        <f t="shared" si="18"/>
        <v/>
      </c>
      <c r="AB191" s="117" t="str">
        <f>IF(AND(OR($A191="G",$A191="P"),NOT($O191="{array}")),IF(VLOOKUP($K191,base!$B$2:$D$18,3,0)="S",IF(OR($O191="",ISTEXT($O191)),"","STRING!"),IF(VLOOKUP($K191,base!$B$2:$D$18,3,0)="","",IF(ISTEXT($O191),"NUMERIC!",""))),"")</f>
        <v/>
      </c>
      <c r="AC191" s="17" t="str">
        <f>IF($AA191="","",IF($B191="I",VLOOKUP($AA191,#REF!,53,0),INDEX(VALUES!$B$1:$CX$1,1,$AA191)))</f>
        <v/>
      </c>
    </row>
    <row r="192" spans="1:29" hidden="1" outlineLevel="1" x14ac:dyDescent="0.25">
      <c r="A192" s="22" t="s">
        <v>84</v>
      </c>
      <c r="B192" s="42" t="str">
        <f t="shared" si="19"/>
        <v/>
      </c>
      <c r="C192" s="43">
        <f t="shared" si="17"/>
        <v>191</v>
      </c>
      <c r="D192" s="291"/>
      <c r="E192" s="39"/>
      <c r="F192" s="292"/>
      <c r="G192" s="50"/>
      <c r="H192" s="39"/>
      <c r="I192" s="39" t="s">
        <v>9</v>
      </c>
      <c r="J192" s="39"/>
      <c r="K192" s="67" t="s">
        <v>44</v>
      </c>
      <c r="L192" s="67" t="s">
        <v>27</v>
      </c>
      <c r="M192" s="84" t="s">
        <v>1231</v>
      </c>
      <c r="N192" s="67" t="s">
        <v>1233</v>
      </c>
      <c r="O192" s="97">
        <v>30</v>
      </c>
      <c r="R192" s="59" t="s">
        <v>343</v>
      </c>
      <c r="S192" s="59" t="s">
        <v>199</v>
      </c>
      <c r="T192" s="55" t="s">
        <v>335</v>
      </c>
      <c r="U192" s="55" t="s">
        <v>335</v>
      </c>
      <c r="Z192" s="91" t="str">
        <f>IF(OR($M192="",NOT($O192="{array}")),"",IFERROR(MATCH(PARAMETERS!$M192,DEFAULT!$B$5:$CC$5,0),""))</f>
        <v/>
      </c>
      <c r="AA192" s="86" t="str">
        <f t="shared" si="18"/>
        <v/>
      </c>
      <c r="AB192" s="117" t="str">
        <f>IF(AND(OR($A192="G",$A192="P"),NOT($O192="{array}")),IF(VLOOKUP($K192,base!$B$2:$D$18,3,0)="S",IF(OR($O192="",ISTEXT($O192)),"","STRING!"),IF(VLOOKUP($K192,base!$B$2:$D$18,3,0)="","",IF(ISTEXT($O192),"NUMERIC!",""))),"")</f>
        <v/>
      </c>
      <c r="AC192" s="17" t="str">
        <f>IF($AA192="","",IF($B192="I",VLOOKUP($AA192,#REF!,53,0),INDEX(VALUES!$B$1:$CX$1,1,$AA192)))</f>
        <v/>
      </c>
    </row>
    <row r="193" spans="1:29" hidden="1" outlineLevel="1" x14ac:dyDescent="0.25">
      <c r="A193" s="22" t="s">
        <v>84</v>
      </c>
      <c r="B193" s="42" t="str">
        <f t="shared" si="19"/>
        <v/>
      </c>
      <c r="C193" s="43">
        <f t="shared" si="17"/>
        <v>192</v>
      </c>
      <c r="D193" s="291"/>
      <c r="E193" s="39"/>
      <c r="F193" s="292"/>
      <c r="G193" s="50"/>
      <c r="H193" s="39"/>
      <c r="I193" s="39" t="s">
        <v>9</v>
      </c>
      <c r="J193" s="39"/>
      <c r="K193" s="67" t="s">
        <v>18</v>
      </c>
      <c r="L193" s="67" t="s">
        <v>32</v>
      </c>
      <c r="M193" s="84" t="s">
        <v>1234</v>
      </c>
      <c r="N193" s="67" t="s">
        <v>1235</v>
      </c>
      <c r="O193" s="296"/>
      <c r="R193" s="59" t="s">
        <v>343</v>
      </c>
      <c r="S193" s="59" t="s">
        <v>199</v>
      </c>
      <c r="T193" s="55" t="s">
        <v>335</v>
      </c>
      <c r="U193" s="55" t="s">
        <v>335</v>
      </c>
      <c r="Z193" s="91" t="str">
        <f>IF(OR($M193="",NOT($O193="{array}")),"",IFERROR(MATCH(PARAMETERS!$M193,DEFAULT!$B$5:$CC$5,0),""))</f>
        <v/>
      </c>
      <c r="AA193" s="86" t="str">
        <f t="shared" si="18"/>
        <v/>
      </c>
      <c r="AB193" s="117" t="str">
        <f>IF(AND(OR($A193="G",$A193="P"),NOT($O193="{array}")),IF(VLOOKUP($K193,base!$B$2:$D$18,3,0)="S",IF(OR($O193="",ISTEXT($O193)),"","STRING!"),IF(VLOOKUP($K193,base!$B$2:$D$18,3,0)="","",IF(ISTEXT($O193),"NUMERIC!",""))),"")</f>
        <v/>
      </c>
      <c r="AC193" s="17" t="str">
        <f>IF($AA193="","",IF($B193="I",VLOOKUP($AA193,#REF!,53,0),INDEX(VALUES!$B$1:$CX$1,1,$AA193)))</f>
        <v/>
      </c>
    </row>
    <row r="194" spans="1:29" hidden="1" outlineLevel="1" x14ac:dyDescent="0.25">
      <c r="A194" s="22" t="s">
        <v>84</v>
      </c>
      <c r="B194" s="42" t="str">
        <f t="shared" si="19"/>
        <v/>
      </c>
      <c r="C194" s="43">
        <f t="shared" si="17"/>
        <v>193</v>
      </c>
      <c r="D194" s="291"/>
      <c r="E194" s="39"/>
      <c r="F194" s="292"/>
      <c r="G194" s="50"/>
      <c r="H194" s="39"/>
      <c r="I194" s="39" t="s">
        <v>9</v>
      </c>
      <c r="J194" s="39"/>
      <c r="K194" s="55" t="s">
        <v>18</v>
      </c>
      <c r="L194" s="54" t="s">
        <v>32</v>
      </c>
      <c r="M194" s="84" t="s">
        <v>1085</v>
      </c>
      <c r="N194" s="55" t="s">
        <v>1086</v>
      </c>
      <c r="O194" s="55" t="s">
        <v>575</v>
      </c>
      <c r="P194" s="63" t="s">
        <v>335</v>
      </c>
      <c r="Q194" s="59"/>
      <c r="R194" s="59" t="s">
        <v>189</v>
      </c>
      <c r="S194" s="59" t="s">
        <v>199</v>
      </c>
      <c r="T194" s="55" t="s">
        <v>335</v>
      </c>
      <c r="U194" s="55" t="s">
        <v>335</v>
      </c>
      <c r="Z194" s="91" t="str">
        <f>IF(OR($M194="",NOT($O194="{array}")),"",IFERROR(MATCH(PARAMETERS!$M194,DEFAULT!$B$5:$CC$5,0),""))</f>
        <v/>
      </c>
      <c r="AA194" s="86" t="str">
        <f t="shared" si="18"/>
        <v/>
      </c>
      <c r="AB194" s="117" t="str">
        <f>IF(AND(OR($A194="G",$A194="P"),NOT($O194="{array}")),IF(VLOOKUP($K194,base!$B$2:$D$18,3,0)="S",IF(OR($O194="",ISTEXT($O194)),"","STRING!"),IF(VLOOKUP($K194,base!$B$2:$D$18,3,0)="","",IF(ISTEXT($O194),"NUMERIC!",""))),"")</f>
        <v/>
      </c>
      <c r="AC194" s="17" t="str">
        <f>IF($AA194="","",IF($B194="I",VLOOKUP($AA194,#REF!,53,0),INDEX(VALUES!$B$1:$CX$1,1,$AA194)))</f>
        <v/>
      </c>
    </row>
    <row r="195" spans="1:29" hidden="1" outlineLevel="1" x14ac:dyDescent="0.25">
      <c r="A195" s="22" t="s">
        <v>84</v>
      </c>
      <c r="B195" s="42" t="str">
        <f t="shared" si="14"/>
        <v/>
      </c>
      <c r="C195" s="43">
        <f t="shared" si="17"/>
        <v>194</v>
      </c>
      <c r="D195" s="291"/>
      <c r="E195" s="39"/>
      <c r="F195" s="292"/>
      <c r="G195" s="50"/>
      <c r="H195" s="39"/>
      <c r="I195" s="39" t="s">
        <v>9</v>
      </c>
      <c r="J195" s="39"/>
      <c r="K195" s="67" t="s">
        <v>18</v>
      </c>
      <c r="L195" s="67" t="s">
        <v>32</v>
      </c>
      <c r="M195" s="84" t="s">
        <v>1193</v>
      </c>
      <c r="N195" s="67" t="s">
        <v>1219</v>
      </c>
      <c r="O195" s="97" t="s">
        <v>1194</v>
      </c>
      <c r="R195" s="59" t="s">
        <v>189</v>
      </c>
      <c r="S195" s="59" t="s">
        <v>199</v>
      </c>
      <c r="T195" s="55" t="s">
        <v>335</v>
      </c>
      <c r="U195" s="55" t="s">
        <v>335</v>
      </c>
      <c r="Z195" s="91" t="str">
        <f>IF(OR($M195="",NOT($O195="{array}")),"",IFERROR(MATCH(PARAMETERS!$M195,DEFAULT!$B$5:$CC$5,0),""))</f>
        <v/>
      </c>
      <c r="AA195" s="86" t="str">
        <f t="shared" si="18"/>
        <v/>
      </c>
      <c r="AB195" s="117" t="str">
        <f>IF(AND(OR($A195="G",$A195="P"),NOT($O195="{array}")),IF(VLOOKUP($K195,base!$B$2:$D$18,3,0)="S",IF(OR($O195="",ISTEXT($O195)),"","STRING!"),IF(VLOOKUP($K195,base!$B$2:$D$18,3,0)="","",IF(ISTEXT($O195),"NUMERIC!",""))),"")</f>
        <v/>
      </c>
      <c r="AC195" s="17" t="str">
        <f>IF($AA195="","",IF($B195="I",VLOOKUP($AA195,#REF!,53,0),INDEX(VALUES!$B$1:$CX$1,1,$AA195)))</f>
        <v/>
      </c>
    </row>
    <row r="196" spans="1:29" hidden="1" outlineLevel="1" x14ac:dyDescent="0.25">
      <c r="A196" s="22" t="s">
        <v>84</v>
      </c>
      <c r="B196" s="42" t="str">
        <f>IF($A196="P",IF(NOT($Z196=""),"A",IF(NOT($AA196=""),"I","")),IF(NOT($AA196=""),IF($A196="G","V","X"),IF(NOT($Z196=""),"A","")))</f>
        <v/>
      </c>
      <c r="C196" s="43">
        <f t="shared" si="17"/>
        <v>195</v>
      </c>
      <c r="D196" s="291"/>
      <c r="E196" s="39"/>
      <c r="F196" s="292"/>
      <c r="G196" s="50"/>
      <c r="H196" s="39"/>
      <c r="I196" s="39" t="s">
        <v>9</v>
      </c>
      <c r="J196" s="39"/>
      <c r="K196" s="67" t="s">
        <v>18</v>
      </c>
      <c r="L196" s="67" t="s">
        <v>21</v>
      </c>
      <c r="M196" s="84" t="s">
        <v>1195</v>
      </c>
      <c r="N196" s="67" t="s">
        <v>1196</v>
      </c>
      <c r="O196" s="55" t="s">
        <v>1197</v>
      </c>
      <c r="Q196" s="59" t="s">
        <v>9</v>
      </c>
      <c r="R196" s="59" t="s">
        <v>189</v>
      </c>
      <c r="S196" s="59" t="s">
        <v>199</v>
      </c>
      <c r="T196" s="55" t="s">
        <v>335</v>
      </c>
      <c r="U196" s="55" t="s">
        <v>335</v>
      </c>
      <c r="Z196" s="91" t="str">
        <f>IF(OR($M196="",NOT($O196="{array}")),"",IFERROR(MATCH(PARAMETERS!$M196,DEFAULT!$B$5:$CC$5,0),""))</f>
        <v/>
      </c>
      <c r="AA196" s="86" t="str">
        <f t="shared" si="18"/>
        <v/>
      </c>
      <c r="AB196" s="117" t="str">
        <f>IF(AND(OR($A196="G",$A196="P"),NOT($O196="{array}")),IF(VLOOKUP($K196,base!$B$2:$D$18,3,0)="S",IF(OR($O196="",ISTEXT($O196)),"","STRING!"),IF(VLOOKUP($K196,base!$B$2:$D$18,3,0)="","",IF(ISTEXT($O196),"NUMERIC!",""))),"")</f>
        <v/>
      </c>
      <c r="AC196" s="17" t="str">
        <f>IF($AA196="","",IF($B196="I",VLOOKUP($AA196,#REF!,53,0),INDEX(VALUES!$B$1:$CX$1,1,$AA196)))</f>
        <v/>
      </c>
    </row>
    <row r="197" spans="1:29" hidden="1" outlineLevel="1" x14ac:dyDescent="0.25">
      <c r="A197" s="22" t="s">
        <v>84</v>
      </c>
      <c r="B197" s="42" t="str">
        <f>IF($A197="P",IF(NOT($Z197=""),"A",IF(NOT($AA197=""),"I","")),IF(NOT($AA197=""),IF($A197="G","V","X"),IF(NOT($Z197=""),"A","")))</f>
        <v/>
      </c>
      <c r="C197" s="43">
        <f t="shared" si="17"/>
        <v>196</v>
      </c>
      <c r="D197" s="291"/>
      <c r="E197" s="39"/>
      <c r="F197" s="292"/>
      <c r="G197" s="50"/>
      <c r="H197" s="39"/>
      <c r="I197" s="39" t="s">
        <v>9</v>
      </c>
      <c r="J197" s="39"/>
      <c r="K197" s="67" t="s">
        <v>18</v>
      </c>
      <c r="L197" s="67" t="s">
        <v>32</v>
      </c>
      <c r="M197" s="84" t="s">
        <v>1198</v>
      </c>
      <c r="N197" s="67" t="s">
        <v>1199</v>
      </c>
      <c r="O197" s="97"/>
      <c r="Q197" s="59"/>
      <c r="R197" s="59" t="s">
        <v>189</v>
      </c>
      <c r="S197" s="59" t="s">
        <v>199</v>
      </c>
      <c r="T197" s="55" t="s">
        <v>335</v>
      </c>
      <c r="U197" s="55" t="s">
        <v>335</v>
      </c>
      <c r="Z197" s="91" t="str">
        <f>IF(OR($M197="",NOT($O197="{array}")),"",IFERROR(MATCH(PARAMETERS!$M197,DEFAULT!$B$5:$CC$5,0),""))</f>
        <v/>
      </c>
      <c r="AA197" s="86" t="str">
        <f t="shared" si="18"/>
        <v/>
      </c>
      <c r="AB197" s="117" t="str">
        <f>IF(AND(OR($A197="G",$A197="P"),NOT($O197="{array}")),IF(VLOOKUP($K197,base!$B$2:$D$18,3,0)="S",IF(OR($O197="",ISTEXT($O197)),"","STRING!"),IF(VLOOKUP($K197,base!$B$2:$D$18,3,0)="","",IF(ISTEXT($O197),"NUMERIC!",""))),"")</f>
        <v/>
      </c>
      <c r="AC197" s="17" t="str">
        <f>IF($AA197="","",IF($B197="I",VLOOKUP($AA197,#REF!,53,0),INDEX(VALUES!$B$1:$CX$1,1,$AA197)))</f>
        <v/>
      </c>
    </row>
    <row r="198" spans="1:29" hidden="1" outlineLevel="1" x14ac:dyDescent="0.25">
      <c r="A198" s="22"/>
      <c r="B198" s="42" t="str">
        <f t="shared" ref="B198:B206" si="20">IF($A198="P",IF(NOT($Z198=""),"A",IF(NOT($AA198=""),"I","")),IF(NOT($AA198=""),IF($A198="G","V","X"),IF(NOT($Z198=""),"A","")))</f>
        <v/>
      </c>
      <c r="C198" s="43">
        <f t="shared" si="17"/>
        <v>197</v>
      </c>
      <c r="D198" s="291"/>
      <c r="E198" s="39"/>
      <c r="F198" s="292"/>
      <c r="G198" s="50"/>
      <c r="H198" s="39"/>
      <c r="I198" s="39" t="s">
        <v>9</v>
      </c>
      <c r="J198" s="39"/>
      <c r="K198" s="67" t="s">
        <v>44</v>
      </c>
      <c r="L198" s="67" t="s">
        <v>32</v>
      </c>
      <c r="M198" s="84" t="s">
        <v>1200</v>
      </c>
      <c r="N198" s="67" t="s">
        <v>1201</v>
      </c>
      <c r="O198" s="97">
        <v>1</v>
      </c>
      <c r="Q198" s="59"/>
      <c r="R198" s="59" t="s">
        <v>189</v>
      </c>
      <c r="S198" s="59" t="s">
        <v>199</v>
      </c>
      <c r="T198" s="55" t="s">
        <v>335</v>
      </c>
      <c r="U198" s="55" t="s">
        <v>335</v>
      </c>
      <c r="Z198" s="91" t="str">
        <f>IF(OR($M198="",NOT($O198="{array}")),"",IFERROR(MATCH(PARAMETERS!$M198,DEFAULT!$B$5:$CC$5,0),""))</f>
        <v/>
      </c>
      <c r="AA198" s="86" t="str">
        <f t="shared" si="18"/>
        <v/>
      </c>
      <c r="AB198" s="117" t="str">
        <f>IF(AND(OR($A198="G",$A198="P"),NOT($O198="{array}")),IF(VLOOKUP($K198,base!$B$2:$D$18,3,0)="S",IF(OR($O198="",ISTEXT($O198)),"","STRING!"),IF(VLOOKUP($K198,base!$B$2:$D$18,3,0)="","",IF(ISTEXT($O198),"NUMERIC!",""))),"")</f>
        <v/>
      </c>
      <c r="AC198" s="17" t="str">
        <f>IF($AA198="","",IF($B198="I",VLOOKUP($AA198,#REF!,53,0),INDEX(VALUES!$B$1:$CX$1,1,$AA198)))</f>
        <v/>
      </c>
    </row>
    <row r="199" spans="1:29" hidden="1" outlineLevel="1" x14ac:dyDescent="0.25">
      <c r="A199" s="22"/>
      <c r="B199" s="42" t="str">
        <f t="shared" si="20"/>
        <v/>
      </c>
      <c r="C199" s="43">
        <f t="shared" si="17"/>
        <v>198</v>
      </c>
      <c r="D199" s="291"/>
      <c r="E199" s="39"/>
      <c r="F199" s="292"/>
      <c r="G199" s="50"/>
      <c r="H199" s="39"/>
      <c r="I199" s="39" t="s">
        <v>9</v>
      </c>
      <c r="J199" s="39"/>
      <c r="K199" s="67" t="s">
        <v>18</v>
      </c>
      <c r="L199" s="67" t="s">
        <v>32</v>
      </c>
      <c r="M199" s="84" t="s">
        <v>1202</v>
      </c>
      <c r="N199" s="67" t="s">
        <v>1203</v>
      </c>
      <c r="O199" s="97" t="s">
        <v>48</v>
      </c>
      <c r="Q199" s="59"/>
      <c r="R199" s="59" t="s">
        <v>189</v>
      </c>
      <c r="S199" s="59" t="s">
        <v>199</v>
      </c>
      <c r="T199" s="55" t="s">
        <v>335</v>
      </c>
      <c r="U199" s="55" t="s">
        <v>335</v>
      </c>
      <c r="Z199" s="91" t="str">
        <f>IF(OR($M199="",NOT($O199="{array}")),"",IFERROR(MATCH(PARAMETERS!$M199,DEFAULT!$B$5:$CC$5,0),""))</f>
        <v/>
      </c>
      <c r="AA199" s="86" t="str">
        <f t="shared" si="18"/>
        <v/>
      </c>
      <c r="AB199" s="117" t="str">
        <f>IF(AND(OR($A199="G",$A199="P"),NOT($O199="{array}")),IF(VLOOKUP($K199,base!$B$2:$D$18,3,0)="S",IF(OR($O199="",ISTEXT($O199)),"","STRING!"),IF(VLOOKUP($K199,base!$B$2:$D$18,3,0)="","",IF(ISTEXT($O199),"NUMERIC!",""))),"")</f>
        <v/>
      </c>
      <c r="AC199" s="17" t="str">
        <f>IF($AA199="","",IF($B199="I",VLOOKUP($AA199,#REF!,53,0),INDEX(VALUES!$B$1:$CX$1,1,$AA199)))</f>
        <v/>
      </c>
    </row>
    <row r="200" spans="1:29" hidden="1" outlineLevel="1" x14ac:dyDescent="0.25">
      <c r="A200" s="22"/>
      <c r="B200" s="42" t="str">
        <f t="shared" si="20"/>
        <v/>
      </c>
      <c r="C200" s="43">
        <f t="shared" si="17"/>
        <v>199</v>
      </c>
      <c r="D200" s="291"/>
      <c r="E200" s="39"/>
      <c r="F200" s="292"/>
      <c r="G200" s="50"/>
      <c r="H200" s="39"/>
      <c r="I200" s="39" t="s">
        <v>9</v>
      </c>
      <c r="J200" s="39"/>
      <c r="K200" s="67" t="s">
        <v>18</v>
      </c>
      <c r="L200" s="67" t="s">
        <v>32</v>
      </c>
      <c r="M200" s="84" t="s">
        <v>1204</v>
      </c>
      <c r="N200" s="67" t="s">
        <v>1205</v>
      </c>
      <c r="O200" s="97" t="s">
        <v>1206</v>
      </c>
      <c r="Q200" s="59"/>
      <c r="R200" s="59" t="s">
        <v>189</v>
      </c>
      <c r="S200" s="59" t="s">
        <v>199</v>
      </c>
      <c r="T200" s="55"/>
      <c r="U200" s="55"/>
      <c r="V200" s="55"/>
      <c r="W200" s="15"/>
      <c r="Z200" s="91" t="s">
        <v>335</v>
      </c>
      <c r="AA200" s="86" t="str">
        <f t="shared" ref="AA200:AA206" si="21">IF($M200="","",IFERROR(MATCH($M200,VALUESnames,0),""))</f>
        <v/>
      </c>
      <c r="AB200" s="117" t="s">
        <v>335</v>
      </c>
      <c r="AC200" s="17" t="s">
        <v>335</v>
      </c>
    </row>
    <row r="201" spans="1:29" hidden="1" outlineLevel="1" x14ac:dyDescent="0.25">
      <c r="A201" s="22"/>
      <c r="B201" s="42" t="str">
        <f t="shared" si="20"/>
        <v/>
      </c>
      <c r="C201" s="43">
        <f t="shared" si="17"/>
        <v>200</v>
      </c>
      <c r="D201" s="291"/>
      <c r="E201" s="39"/>
      <c r="F201" s="292"/>
      <c r="G201" s="50"/>
      <c r="H201" s="39"/>
      <c r="I201" s="39" t="s">
        <v>9</v>
      </c>
      <c r="J201" s="39"/>
      <c r="K201" s="67" t="s">
        <v>18</v>
      </c>
      <c r="L201" s="67" t="s">
        <v>32</v>
      </c>
      <c r="M201" s="84" t="s">
        <v>1207</v>
      </c>
      <c r="N201" s="67" t="s">
        <v>1208</v>
      </c>
      <c r="O201" s="97" t="s">
        <v>1209</v>
      </c>
      <c r="Q201" s="59"/>
      <c r="R201" s="59" t="s">
        <v>189</v>
      </c>
      <c r="S201" s="59" t="s">
        <v>199</v>
      </c>
      <c r="T201" s="55"/>
      <c r="U201" s="55"/>
      <c r="V201" s="55"/>
      <c r="W201" s="15"/>
      <c r="Z201" s="91" t="s">
        <v>335</v>
      </c>
      <c r="AA201" s="86" t="str">
        <f t="shared" si="21"/>
        <v/>
      </c>
      <c r="AB201" s="117" t="s">
        <v>335</v>
      </c>
      <c r="AC201" s="17" t="s">
        <v>335</v>
      </c>
    </row>
    <row r="202" spans="1:29" hidden="1" outlineLevel="1" x14ac:dyDescent="0.25">
      <c r="A202" s="22"/>
      <c r="B202" s="42" t="str">
        <f t="shared" si="20"/>
        <v/>
      </c>
      <c r="C202" s="43">
        <f t="shared" si="17"/>
        <v>201</v>
      </c>
      <c r="D202" s="291"/>
      <c r="E202" s="39"/>
      <c r="F202" s="292"/>
      <c r="G202" s="50"/>
      <c r="H202" s="39"/>
      <c r="I202" s="39" t="s">
        <v>9</v>
      </c>
      <c r="J202" s="39"/>
      <c r="K202" s="67" t="s">
        <v>18</v>
      </c>
      <c r="L202" s="67" t="s">
        <v>32</v>
      </c>
      <c r="M202" s="84" t="s">
        <v>1210</v>
      </c>
      <c r="N202" s="67" t="s">
        <v>1211</v>
      </c>
      <c r="O202" s="97" t="s">
        <v>48</v>
      </c>
      <c r="Q202" s="59"/>
      <c r="R202" s="59" t="s">
        <v>189</v>
      </c>
      <c r="S202" s="59" t="s">
        <v>199</v>
      </c>
      <c r="T202" s="55"/>
      <c r="U202" s="55"/>
      <c r="V202" s="55"/>
      <c r="W202" s="15"/>
      <c r="Z202" s="91" t="s">
        <v>335</v>
      </c>
      <c r="AA202" s="86" t="str">
        <f t="shared" si="21"/>
        <v/>
      </c>
      <c r="AB202" s="117" t="s">
        <v>335</v>
      </c>
      <c r="AC202" s="17" t="s">
        <v>335</v>
      </c>
    </row>
    <row r="203" spans="1:29" hidden="1" outlineLevel="1" x14ac:dyDescent="0.25">
      <c r="A203" s="22"/>
      <c r="B203" s="42" t="str">
        <f t="shared" si="20"/>
        <v/>
      </c>
      <c r="C203" s="43">
        <f t="shared" si="17"/>
        <v>202</v>
      </c>
      <c r="D203" s="291"/>
      <c r="E203" s="39"/>
      <c r="F203" s="292"/>
      <c r="G203" s="50"/>
      <c r="H203" s="39"/>
      <c r="I203" s="39" t="s">
        <v>9</v>
      </c>
      <c r="J203" s="39"/>
      <c r="K203" s="67" t="s">
        <v>18</v>
      </c>
      <c r="L203" s="67" t="s">
        <v>32</v>
      </c>
      <c r="M203" s="84" t="s">
        <v>1212</v>
      </c>
      <c r="N203" s="67" t="s">
        <v>1213</v>
      </c>
      <c r="O203" s="97" t="s">
        <v>34</v>
      </c>
      <c r="Q203" s="59"/>
      <c r="R203" s="59" t="s">
        <v>189</v>
      </c>
      <c r="S203" s="59" t="s">
        <v>199</v>
      </c>
      <c r="T203" s="55"/>
      <c r="U203" s="55"/>
      <c r="V203" s="55"/>
      <c r="W203" s="15"/>
      <c r="Z203" s="91" t="s">
        <v>335</v>
      </c>
      <c r="AA203" s="86" t="str">
        <f t="shared" si="21"/>
        <v/>
      </c>
      <c r="AB203" s="117" t="s">
        <v>335</v>
      </c>
      <c r="AC203" s="17" t="s">
        <v>335</v>
      </c>
    </row>
    <row r="204" spans="1:29" hidden="1" outlineLevel="1" x14ac:dyDescent="0.25">
      <c r="A204" s="22"/>
      <c r="B204" s="42" t="str">
        <f t="shared" si="20"/>
        <v/>
      </c>
      <c r="C204" s="43">
        <f t="shared" si="17"/>
        <v>203</v>
      </c>
      <c r="D204" s="291"/>
      <c r="E204" s="39"/>
      <c r="F204" s="292"/>
      <c r="G204" s="50"/>
      <c r="H204" s="39"/>
      <c r="I204" s="39" t="s">
        <v>9</v>
      </c>
      <c r="J204" s="39"/>
      <c r="K204" s="55" t="s">
        <v>18</v>
      </c>
      <c r="L204" s="54" t="s">
        <v>21</v>
      </c>
      <c r="M204" s="84" t="s">
        <v>1214</v>
      </c>
      <c r="N204" s="61" t="s">
        <v>1215</v>
      </c>
      <c r="O204" s="55" t="s">
        <v>630</v>
      </c>
      <c r="P204" s="63" t="s">
        <v>335</v>
      </c>
      <c r="Q204" s="59" t="s">
        <v>9</v>
      </c>
      <c r="R204" s="59" t="s">
        <v>189</v>
      </c>
      <c r="S204" s="59" t="s">
        <v>199</v>
      </c>
      <c r="T204" s="39"/>
      <c r="Z204" s="91" t="s">
        <v>335</v>
      </c>
      <c r="AA204" s="86" t="str">
        <f t="shared" si="21"/>
        <v/>
      </c>
      <c r="AB204" s="117" t="s">
        <v>335</v>
      </c>
      <c r="AC204" s="17" t="s">
        <v>335</v>
      </c>
    </row>
    <row r="205" spans="1:29" hidden="1" outlineLevel="1" x14ac:dyDescent="0.25">
      <c r="A205" s="22"/>
      <c r="B205" s="42" t="str">
        <f t="shared" si="20"/>
        <v/>
      </c>
      <c r="C205" s="43">
        <f t="shared" si="17"/>
        <v>204</v>
      </c>
      <c r="D205" s="291"/>
      <c r="E205" s="39"/>
      <c r="F205" s="292"/>
      <c r="G205" s="50"/>
      <c r="H205" s="39"/>
      <c r="I205" s="39" t="s">
        <v>9</v>
      </c>
      <c r="J205" s="39"/>
      <c r="K205" s="55" t="s">
        <v>18</v>
      </c>
      <c r="L205" s="54" t="s">
        <v>21</v>
      </c>
      <c r="M205" s="84" t="s">
        <v>1216</v>
      </c>
      <c r="N205" s="55" t="s">
        <v>1217</v>
      </c>
      <c r="O205" s="55" t="s">
        <v>408</v>
      </c>
      <c r="P205" s="63" t="s">
        <v>335</v>
      </c>
      <c r="Q205" s="59" t="s">
        <v>9</v>
      </c>
      <c r="R205" s="59" t="s">
        <v>189</v>
      </c>
      <c r="S205" s="59" t="s">
        <v>199</v>
      </c>
      <c r="T205" s="55" t="s">
        <v>335</v>
      </c>
      <c r="U205" s="55" t="s">
        <v>335</v>
      </c>
      <c r="V205" s="55"/>
      <c r="W205" s="15" t="s">
        <v>335</v>
      </c>
      <c r="Z205" s="91" t="s">
        <v>335</v>
      </c>
      <c r="AA205" s="86" t="str">
        <f t="shared" si="21"/>
        <v/>
      </c>
      <c r="AB205" s="117" t="s">
        <v>335</v>
      </c>
      <c r="AC205" s="17" t="s">
        <v>335</v>
      </c>
    </row>
    <row r="206" spans="1:29" hidden="1" outlineLevel="1" x14ac:dyDescent="0.25">
      <c r="A206" s="22" t="s">
        <v>84</v>
      </c>
      <c r="B206" s="42" t="str">
        <f t="shared" si="20"/>
        <v/>
      </c>
      <c r="C206" s="43">
        <f t="shared" si="17"/>
        <v>205</v>
      </c>
      <c r="D206" s="291"/>
      <c r="E206" s="39"/>
      <c r="F206" s="292"/>
      <c r="G206" s="50"/>
      <c r="H206" s="39"/>
      <c r="I206" s="39" t="s">
        <v>9</v>
      </c>
      <c r="J206" s="39"/>
      <c r="K206" s="67" t="s">
        <v>44</v>
      </c>
      <c r="L206" s="67" t="s">
        <v>32</v>
      </c>
      <c r="M206" s="84" t="s">
        <v>1220</v>
      </c>
      <c r="N206" s="67" t="s">
        <v>1221</v>
      </c>
      <c r="O206" s="97">
        <v>0</v>
      </c>
      <c r="Q206" s="59"/>
      <c r="R206" s="59" t="s">
        <v>189</v>
      </c>
      <c r="S206" s="59" t="s">
        <v>199</v>
      </c>
      <c r="T206" s="55"/>
      <c r="U206" s="55"/>
      <c r="V206" s="55"/>
      <c r="W206" s="15"/>
      <c r="Z206" s="91" t="s">
        <v>335</v>
      </c>
      <c r="AA206" s="86" t="str">
        <f t="shared" si="21"/>
        <v/>
      </c>
      <c r="AB206" s="117" t="str">
        <f>IF(AND(OR($A206="G",$A206="P"),NOT($O206="{array}")),IF(VLOOKUP($K206,base!$B$2:$D$18,3,0)="S",IF(OR($O206="",ISTEXT($O206)),"","STRING!"),IF(VLOOKUP($K206,base!$B$2:$D$18,3,0)="","",IF(ISTEXT($O206),"NUMERIC!",""))),"")</f>
        <v/>
      </c>
      <c r="AC206" s="17" t="str">
        <f>IF($AA206="","",IF($B206="I",VLOOKUP($AA206,#REF!,53,0),INDEX(VALUES!$B$1:$CX$1,1,$AA206)))</f>
        <v/>
      </c>
    </row>
    <row r="207" spans="1:29" collapsed="1" x14ac:dyDescent="0.3">
      <c r="A207" s="22" t="s">
        <v>84</v>
      </c>
      <c r="B207" s="42" t="str">
        <f t="shared" si="14"/>
        <v/>
      </c>
      <c r="C207" s="43">
        <f t="shared" si="17"/>
        <v>206</v>
      </c>
      <c r="D207" s="39"/>
      <c r="E207" s="39"/>
      <c r="F207" s="39"/>
      <c r="G207" s="39"/>
      <c r="H207" s="39"/>
      <c r="I207" s="39"/>
      <c r="J207" s="39"/>
      <c r="K207" s="14" t="s">
        <v>57</v>
      </c>
      <c r="L207" s="14" t="s">
        <v>38</v>
      </c>
      <c r="M207" s="49" t="s">
        <v>524</v>
      </c>
      <c r="N207" s="42" t="s">
        <v>525</v>
      </c>
      <c r="R207" s="39" t="s">
        <v>189</v>
      </c>
      <c r="S207" s="39"/>
      <c r="T207" s="39"/>
      <c r="W207" s="15"/>
      <c r="Z207" s="91" t="str">
        <f>IF(OR($M207="",NOT($O207="{array}")),"",IFERROR(MATCH(PARAMETERS!$M207,DEFAULT!$B$5:$CC$5,0),""))</f>
        <v/>
      </c>
      <c r="AA207" s="86" t="str">
        <f t="shared" ref="AA207:AA233" si="22">IF($M207="","",IFERROR(MATCH($M207,VALUESnames,0),""))</f>
        <v/>
      </c>
      <c r="AB207" s="117" t="str">
        <f>IF(AND(OR($A207="G",$A207="P"),NOT($O207="{array}")),IF(VLOOKUP($K207,base!$B$2:$D$18,3,0)="S",IF(OR($O207="",ISTEXT($O207)),"","STRING!"),IF(VLOOKUP($K207,base!$B$2:$D$18,3,0)="","",IF(ISTEXT($O207),"NUMERIC!",""))),"")</f>
        <v/>
      </c>
      <c r="AC207" s="17" t="str">
        <f>IF($AA207="","",IF($B207="I",VLOOKUP($AA207,#REF!,53,0),INDEX(VALUES!$B$1:$CX$1,1,$AA207)))</f>
        <v/>
      </c>
    </row>
    <row r="208" spans="1:29" hidden="1" outlineLevel="1" x14ac:dyDescent="0.25">
      <c r="A208" s="22"/>
      <c r="B208" s="42" t="str">
        <f t="shared" si="14"/>
        <v/>
      </c>
      <c r="C208" s="43">
        <f t="shared" si="17"/>
        <v>207</v>
      </c>
      <c r="D208" s="39"/>
      <c r="E208" s="39"/>
      <c r="F208" s="39"/>
      <c r="G208" s="39"/>
      <c r="H208" s="39"/>
      <c r="I208" s="39" t="s">
        <v>9</v>
      </c>
      <c r="J208" s="39"/>
      <c r="K208" s="55" t="s">
        <v>18</v>
      </c>
      <c r="L208" s="54" t="s">
        <v>27</v>
      </c>
      <c r="M208" s="84" t="s">
        <v>1009</v>
      </c>
      <c r="N208" s="55" t="s">
        <v>1010</v>
      </c>
      <c r="O208" s="285" t="s">
        <v>408</v>
      </c>
      <c r="P208" s="63" t="s">
        <v>335</v>
      </c>
      <c r="Q208" s="59"/>
      <c r="R208" s="59" t="s">
        <v>189</v>
      </c>
      <c r="S208" s="59" t="s">
        <v>199</v>
      </c>
      <c r="T208" s="55" t="s">
        <v>335</v>
      </c>
      <c r="U208" s="55"/>
      <c r="V208" s="55" t="s">
        <v>174</v>
      </c>
      <c r="W208" s="15"/>
      <c r="Z208" s="91" t="str">
        <f>IF(OR($M208="",NOT($O208="{array}")),"",IFERROR(MATCH(PARAMETERS!$M208,DEFAULT!$B$5:$CC$5,0),""))</f>
        <v/>
      </c>
      <c r="AA208" s="86" t="str">
        <f t="shared" si="22"/>
        <v/>
      </c>
      <c r="AB208" s="117" t="str">
        <f>IF(AND(OR($A208="G",$A208="P"),NOT($O208="{array}")),IF(VLOOKUP($K208,base!$B$2:$D$18,3,0)="S",IF(OR($O208="",ISTEXT($O208)),"","STRING!"),IF(VLOOKUP($K208,base!$B$2:$D$18,3,0)="","",IF(ISTEXT($O208),"NUMERIC!",""))),"")</f>
        <v/>
      </c>
      <c r="AC208" s="17" t="str">
        <f>IF($AA208="","",IF($B208="I",VLOOKUP($AA208,#REF!,53,0),INDEX(VALUES!$B$1:$CX$1,1,$AA208)))</f>
        <v/>
      </c>
    </row>
    <row r="209" spans="1:29" hidden="1" outlineLevel="1" x14ac:dyDescent="0.25">
      <c r="A209" s="22"/>
      <c r="B209" s="42" t="str">
        <f t="shared" ref="B209:B260" si="23">IF($A209="P",IF(NOT($Z209=""),"A",IF(NOT($AA209=""),"I","")),IF(NOT($AA209=""),IF($A209="G","V","X"),IF(NOT($Z209=""),"A","")))</f>
        <v/>
      </c>
      <c r="C209" s="43">
        <f t="shared" si="17"/>
        <v>208</v>
      </c>
      <c r="D209" s="39"/>
      <c r="E209" s="39"/>
      <c r="F209" s="39"/>
      <c r="G209" s="39"/>
      <c r="H209" s="39"/>
      <c r="I209" s="39" t="s">
        <v>9</v>
      </c>
      <c r="J209" s="39"/>
      <c r="K209" s="61" t="s">
        <v>24</v>
      </c>
      <c r="L209" s="54" t="s">
        <v>27</v>
      </c>
      <c r="M209" s="84" t="s">
        <v>1011</v>
      </c>
      <c r="N209" s="55" t="s">
        <v>1012</v>
      </c>
      <c r="O209" s="55">
        <v>0.2</v>
      </c>
      <c r="P209" s="63" t="s">
        <v>335</v>
      </c>
      <c r="Q209" s="59" t="s">
        <v>9</v>
      </c>
      <c r="R209" s="59" t="s">
        <v>189</v>
      </c>
      <c r="S209" s="59" t="s">
        <v>199</v>
      </c>
      <c r="T209" s="55" t="s">
        <v>335</v>
      </c>
      <c r="U209" s="55"/>
      <c r="V209" s="55" t="s">
        <v>175</v>
      </c>
      <c r="W209" s="15"/>
      <c r="Z209" s="91" t="str">
        <f>IF(OR($M209="",NOT($O209="{array}")),"",IFERROR(MATCH(PARAMETERS!$M209,DEFAULT!$B$5:$CC$5,0),""))</f>
        <v/>
      </c>
      <c r="AA209" s="86" t="str">
        <f t="shared" si="22"/>
        <v/>
      </c>
      <c r="AB209" s="117" t="str">
        <f>IF(AND(OR($A209="G",$A209="P"),NOT($O209="{array}")),IF(VLOOKUP($K209,base!$B$2:$D$18,3,0)="S",IF(OR($O209="",ISTEXT($O209)),"","STRING!"),IF(VLOOKUP($K209,base!$B$2:$D$18,3,0)="","",IF(ISTEXT($O209),"NUMERIC!",""))),"")</f>
        <v/>
      </c>
      <c r="AC209" s="17" t="str">
        <f>IF($AA209="","",IF($B209="I",VLOOKUP($AA209,#REF!,53,0),INDEX(VALUES!$B$1:$CX$1,1,$AA209)))</f>
        <v/>
      </c>
    </row>
    <row r="210" spans="1:29" hidden="1" outlineLevel="1" x14ac:dyDescent="0.25">
      <c r="A210" s="22"/>
      <c r="B210" s="42" t="str">
        <f t="shared" si="23"/>
        <v/>
      </c>
      <c r="C210" s="43">
        <f t="shared" si="17"/>
        <v>209</v>
      </c>
      <c r="D210" s="39"/>
      <c r="E210" s="39"/>
      <c r="F210" s="39"/>
      <c r="G210" s="39"/>
      <c r="H210" s="39"/>
      <c r="I210" s="39" t="s">
        <v>9</v>
      </c>
      <c r="J210" s="39"/>
      <c r="K210" s="61" t="s">
        <v>24</v>
      </c>
      <c r="L210" s="54" t="s">
        <v>27</v>
      </c>
      <c r="M210" s="84" t="s">
        <v>1013</v>
      </c>
      <c r="N210" s="55" t="s">
        <v>1014</v>
      </c>
      <c r="O210" s="55">
        <v>0.85</v>
      </c>
      <c r="P210" s="63" t="s">
        <v>335</v>
      </c>
      <c r="Q210" s="59" t="s">
        <v>9</v>
      </c>
      <c r="R210" s="59" t="s">
        <v>189</v>
      </c>
      <c r="S210" s="59" t="s">
        <v>199</v>
      </c>
      <c r="T210" s="55" t="s">
        <v>335</v>
      </c>
      <c r="U210" s="55"/>
      <c r="V210" s="55" t="s">
        <v>176</v>
      </c>
      <c r="W210" s="15"/>
      <c r="Z210" s="91" t="str">
        <f>IF(OR($M210="",NOT($O210="{array}")),"",IFERROR(MATCH(PARAMETERS!$M210,DEFAULT!$B$5:$CC$5,0),""))</f>
        <v/>
      </c>
      <c r="AA210" s="86" t="str">
        <f t="shared" si="22"/>
        <v/>
      </c>
      <c r="AB210" s="117" t="str">
        <f>IF(AND(OR($A210="G",$A210="P"),NOT($O210="{array}")),IF(VLOOKUP($K210,base!$B$2:$D$18,3,0)="S",IF(OR($O210="",ISTEXT($O210)),"","STRING!"),IF(VLOOKUP($K210,base!$B$2:$D$18,3,0)="","",IF(ISTEXT($O210),"NUMERIC!",""))),"")</f>
        <v/>
      </c>
      <c r="AC210" s="17" t="str">
        <f>IF($AA210="","",IF($B210="I",VLOOKUP($AA210,#REF!,53,0),INDEX(VALUES!$B$1:$CX$1,1,$AA210)))</f>
        <v/>
      </c>
    </row>
    <row r="211" spans="1:29" hidden="1" outlineLevel="1" x14ac:dyDescent="0.25">
      <c r="A211" s="22"/>
      <c r="B211" s="42" t="str">
        <f t="shared" si="23"/>
        <v/>
      </c>
      <c r="C211" s="43">
        <f t="shared" si="17"/>
        <v>210</v>
      </c>
      <c r="D211" s="39"/>
      <c r="E211" s="39"/>
      <c r="F211" s="39"/>
      <c r="G211" s="39"/>
      <c r="H211" s="39"/>
      <c r="I211" s="39" t="s">
        <v>9</v>
      </c>
      <c r="J211" s="39"/>
      <c r="K211" s="55" t="s">
        <v>18</v>
      </c>
      <c r="L211" s="54" t="s">
        <v>27</v>
      </c>
      <c r="M211" s="84" t="s">
        <v>1015</v>
      </c>
      <c r="N211" s="55" t="s">
        <v>1016</v>
      </c>
      <c r="O211" s="55" t="s">
        <v>29</v>
      </c>
      <c r="P211" s="63" t="s">
        <v>335</v>
      </c>
      <c r="Q211" s="59" t="s">
        <v>9</v>
      </c>
      <c r="R211" s="59" t="s">
        <v>189</v>
      </c>
      <c r="S211" s="59" t="s">
        <v>199</v>
      </c>
      <c r="T211" s="55" t="s">
        <v>335</v>
      </c>
      <c r="U211" s="55"/>
      <c r="V211" s="55" t="s">
        <v>177</v>
      </c>
      <c r="W211" s="15"/>
      <c r="Z211" s="91" t="str">
        <f>IF(OR($M211="",NOT($O211="{array}")),"",IFERROR(MATCH(PARAMETERS!$M211,DEFAULT!$B$5:$CC$5,0),""))</f>
        <v/>
      </c>
      <c r="AA211" s="86" t="str">
        <f t="shared" si="22"/>
        <v/>
      </c>
      <c r="AB211" s="117" t="str">
        <f>IF(AND(OR($A211="G",$A211="P"),NOT($O211="{array}")),IF(VLOOKUP($K211,base!$B$2:$D$18,3,0)="S",IF(OR($O211="",ISTEXT($O211)),"","STRING!"),IF(VLOOKUP($K211,base!$B$2:$D$18,3,0)="","",IF(ISTEXT($O211),"NUMERIC!",""))),"")</f>
        <v/>
      </c>
      <c r="AC211" s="17" t="str">
        <f>IF($AA211="","",IF($B211="I",VLOOKUP($AA211,#REF!,53,0),INDEX(VALUES!$B$1:$CX$1,1,$AA211)))</f>
        <v/>
      </c>
    </row>
    <row r="212" spans="1:29" hidden="1" outlineLevel="1" x14ac:dyDescent="0.25">
      <c r="A212" s="22"/>
      <c r="B212" s="42" t="str">
        <f t="shared" si="23"/>
        <v/>
      </c>
      <c r="C212" s="43">
        <f t="shared" si="17"/>
        <v>211</v>
      </c>
      <c r="D212" s="39"/>
      <c r="E212" s="39"/>
      <c r="F212" s="39"/>
      <c r="G212" s="39"/>
      <c r="H212" s="39"/>
      <c r="I212" s="39" t="s">
        <v>9</v>
      </c>
      <c r="J212" s="39"/>
      <c r="K212" s="55" t="s">
        <v>18</v>
      </c>
      <c r="L212" s="54" t="s">
        <v>27</v>
      </c>
      <c r="M212" s="84" t="s">
        <v>1017</v>
      </c>
      <c r="N212" s="55" t="s">
        <v>1018</v>
      </c>
      <c r="O212" s="55" t="s">
        <v>408</v>
      </c>
      <c r="P212" s="63" t="s">
        <v>335</v>
      </c>
      <c r="Q212" s="59"/>
      <c r="R212" s="59" t="s">
        <v>189</v>
      </c>
      <c r="S212" s="59" t="s">
        <v>199</v>
      </c>
      <c r="T212" s="55" t="s">
        <v>335</v>
      </c>
      <c r="U212" s="55"/>
      <c r="V212" s="55" t="s">
        <v>178</v>
      </c>
      <c r="W212" s="15"/>
      <c r="Z212" s="91" t="str">
        <f>IF(OR($M212="",NOT($O212="{array}")),"",IFERROR(MATCH(PARAMETERS!$M212,DEFAULT!$B$5:$CC$5,0),""))</f>
        <v/>
      </c>
      <c r="AA212" s="86" t="str">
        <f t="shared" si="22"/>
        <v/>
      </c>
      <c r="AB212" s="117" t="str">
        <f>IF(AND(OR($A212="G",$A212="P"),NOT($O212="{array}")),IF(VLOOKUP($K212,base!$B$2:$D$18,3,0)="S",IF(OR($O212="",ISTEXT($O212)),"","STRING!"),IF(VLOOKUP($K212,base!$B$2:$D$18,3,0)="","",IF(ISTEXT($O212),"NUMERIC!",""))),"")</f>
        <v/>
      </c>
      <c r="AC212" s="17" t="str">
        <f>IF($AA212="","",IF($B212="I",VLOOKUP($AA212,#REF!,53,0),INDEX(VALUES!$B$1:$CX$1,1,$AA212)))</f>
        <v/>
      </c>
    </row>
    <row r="213" spans="1:29" hidden="1" outlineLevel="1" x14ac:dyDescent="0.25">
      <c r="A213" s="22"/>
      <c r="B213" s="42" t="str">
        <f t="shared" si="23"/>
        <v/>
      </c>
      <c r="C213" s="43">
        <f t="shared" si="17"/>
        <v>212</v>
      </c>
      <c r="D213" s="39"/>
      <c r="E213" s="39"/>
      <c r="F213" s="39"/>
      <c r="G213" s="39"/>
      <c r="H213" s="39"/>
      <c r="I213" s="39" t="s">
        <v>9</v>
      </c>
      <c r="J213" s="39"/>
      <c r="K213" s="61" t="s">
        <v>24</v>
      </c>
      <c r="L213" s="54" t="s">
        <v>27</v>
      </c>
      <c r="M213" s="84" t="s">
        <v>1019</v>
      </c>
      <c r="N213" s="55" t="s">
        <v>1012</v>
      </c>
      <c r="O213" s="55">
        <v>0.2</v>
      </c>
      <c r="P213" s="63" t="s">
        <v>335</v>
      </c>
      <c r="Q213" s="59" t="s">
        <v>9</v>
      </c>
      <c r="R213" s="59" t="s">
        <v>189</v>
      </c>
      <c r="S213" s="59" t="s">
        <v>199</v>
      </c>
      <c r="T213" s="55" t="s">
        <v>335</v>
      </c>
      <c r="U213" s="55"/>
      <c r="V213" s="55" t="s">
        <v>179</v>
      </c>
      <c r="W213" s="15"/>
      <c r="Z213" s="91" t="str">
        <f>IF(OR($M213="",NOT($O213="{array}")),"",IFERROR(MATCH(PARAMETERS!$M213,DEFAULT!$B$5:$CC$5,0),""))</f>
        <v/>
      </c>
      <c r="AA213" s="86" t="str">
        <f t="shared" si="22"/>
        <v/>
      </c>
      <c r="AB213" s="117" t="str">
        <f>IF(AND(OR($A213="G",$A213="P"),NOT($O213="{array}")),IF(VLOOKUP($K213,base!$B$2:$D$18,3,0)="S",IF(OR($O213="",ISTEXT($O213)),"","STRING!"),IF(VLOOKUP($K213,base!$B$2:$D$18,3,0)="","",IF(ISTEXT($O213),"NUMERIC!",""))),"")</f>
        <v/>
      </c>
      <c r="AC213" s="17" t="str">
        <f>IF($AA213="","",IF($B213="I",VLOOKUP($AA213,#REF!,53,0),INDEX(VALUES!$B$1:$CX$1,1,$AA213)))</f>
        <v/>
      </c>
    </row>
    <row r="214" spans="1:29" hidden="1" outlineLevel="1" x14ac:dyDescent="0.25">
      <c r="A214" s="22"/>
      <c r="B214" s="42" t="str">
        <f t="shared" si="23"/>
        <v/>
      </c>
      <c r="C214" s="43">
        <f t="shared" si="17"/>
        <v>213</v>
      </c>
      <c r="D214" s="39"/>
      <c r="E214" s="39"/>
      <c r="F214" s="39"/>
      <c r="G214" s="39"/>
      <c r="H214" s="39"/>
      <c r="I214" s="39" t="s">
        <v>9</v>
      </c>
      <c r="J214" s="39"/>
      <c r="K214" s="61" t="s">
        <v>24</v>
      </c>
      <c r="L214" s="54" t="s">
        <v>27</v>
      </c>
      <c r="M214" s="84" t="s">
        <v>1020</v>
      </c>
      <c r="N214" s="55" t="s">
        <v>1014</v>
      </c>
      <c r="O214" s="55">
        <v>0.85</v>
      </c>
      <c r="P214" s="63" t="s">
        <v>335</v>
      </c>
      <c r="Q214" s="59" t="s">
        <v>9</v>
      </c>
      <c r="R214" s="59" t="s">
        <v>189</v>
      </c>
      <c r="S214" s="59" t="s">
        <v>199</v>
      </c>
      <c r="T214" s="55" t="s">
        <v>335</v>
      </c>
      <c r="U214" s="55"/>
      <c r="V214" s="55" t="s">
        <v>180</v>
      </c>
      <c r="W214" s="15"/>
      <c r="Z214" s="91" t="str">
        <f>IF(OR($M214="",NOT($O214="{array}")),"",IFERROR(MATCH(PARAMETERS!$M214,DEFAULT!$B$5:$CC$5,0),""))</f>
        <v/>
      </c>
      <c r="AA214" s="86" t="str">
        <f t="shared" si="22"/>
        <v/>
      </c>
      <c r="AB214" s="117" t="str">
        <f>IF(AND(OR($A214="G",$A214="P"),NOT($O214="{array}")),IF(VLOOKUP($K214,base!$B$2:$D$18,3,0)="S",IF(OR($O214="",ISTEXT($O214)),"","STRING!"),IF(VLOOKUP($K214,base!$B$2:$D$18,3,0)="","",IF(ISTEXT($O214),"NUMERIC!",""))),"")</f>
        <v/>
      </c>
      <c r="AC214" s="17" t="str">
        <f>IF($AA214="","",IF($B214="I",VLOOKUP($AA214,#REF!,53,0),INDEX(VALUES!$B$1:$CX$1,1,$AA214)))</f>
        <v/>
      </c>
    </row>
    <row r="215" spans="1:29" hidden="1" outlineLevel="1" x14ac:dyDescent="0.25">
      <c r="A215" s="22"/>
      <c r="B215" s="42" t="str">
        <f t="shared" si="23"/>
        <v/>
      </c>
      <c r="C215" s="43">
        <f t="shared" si="17"/>
        <v>214</v>
      </c>
      <c r="D215" s="39"/>
      <c r="E215" s="39"/>
      <c r="F215" s="39"/>
      <c r="G215" s="39"/>
      <c r="H215" s="39"/>
      <c r="I215" s="39" t="s">
        <v>9</v>
      </c>
      <c r="J215" s="39"/>
      <c r="K215" s="55" t="s">
        <v>18</v>
      </c>
      <c r="L215" s="54" t="s">
        <v>27</v>
      </c>
      <c r="M215" s="84" t="s">
        <v>1021</v>
      </c>
      <c r="N215" s="55" t="s">
        <v>1022</v>
      </c>
      <c r="O215" s="55" t="s">
        <v>29</v>
      </c>
      <c r="P215" s="63" t="s">
        <v>335</v>
      </c>
      <c r="Q215" s="59" t="s">
        <v>9</v>
      </c>
      <c r="R215" s="59" t="s">
        <v>189</v>
      </c>
      <c r="S215" s="59" t="s">
        <v>199</v>
      </c>
      <c r="T215" s="55" t="s">
        <v>335</v>
      </c>
      <c r="U215" s="55"/>
      <c r="V215" s="55" t="s">
        <v>181</v>
      </c>
      <c r="W215" s="15"/>
      <c r="Z215" s="91" t="str">
        <f>IF(OR($M215="",NOT($O215="{array}")),"",IFERROR(MATCH(PARAMETERS!$M215,DEFAULT!$B$5:$CC$5,0),""))</f>
        <v/>
      </c>
      <c r="AA215" s="86" t="str">
        <f t="shared" si="22"/>
        <v/>
      </c>
      <c r="AB215" s="117" t="str">
        <f>IF(AND(OR($A215="G",$A215="P"),NOT($O215="{array}")),IF(VLOOKUP($K215,base!$B$2:$D$18,3,0)="S",IF(OR($O215="",ISTEXT($O215)),"","STRING!"),IF(VLOOKUP($K215,base!$B$2:$D$18,3,0)="","",IF(ISTEXT($O215),"NUMERIC!",""))),"")</f>
        <v/>
      </c>
      <c r="AC215" s="17" t="str">
        <f>IF($AA215="","",IF($B215="I",VLOOKUP($AA215,#REF!,53,0),INDEX(VALUES!$B$1:$CX$1,1,$AA215)))</f>
        <v/>
      </c>
    </row>
    <row r="216" spans="1:29" hidden="1" outlineLevel="1" x14ac:dyDescent="0.25">
      <c r="A216" s="22"/>
      <c r="B216" s="42" t="str">
        <f t="shared" si="23"/>
        <v/>
      </c>
      <c r="C216" s="43">
        <f t="shared" si="17"/>
        <v>215</v>
      </c>
      <c r="D216" s="39"/>
      <c r="E216" s="39"/>
      <c r="F216" s="39"/>
      <c r="G216" s="39"/>
      <c r="H216" s="39"/>
      <c r="I216" s="39" t="s">
        <v>9</v>
      </c>
      <c r="J216" s="39"/>
      <c r="K216" s="55" t="s">
        <v>47</v>
      </c>
      <c r="L216" s="54" t="s">
        <v>27</v>
      </c>
      <c r="M216" s="84" t="s">
        <v>1023</v>
      </c>
      <c r="N216" s="55" t="s">
        <v>1024</v>
      </c>
      <c r="O216" s="55">
        <v>0</v>
      </c>
      <c r="P216" s="63" t="s">
        <v>335</v>
      </c>
      <c r="Q216" s="59"/>
      <c r="R216" s="59" t="s">
        <v>189</v>
      </c>
      <c r="S216" s="59" t="s">
        <v>199</v>
      </c>
      <c r="T216" s="55" t="s">
        <v>335</v>
      </c>
      <c r="U216" s="55"/>
      <c r="V216" s="55" t="s">
        <v>181</v>
      </c>
      <c r="W216" s="15"/>
      <c r="Z216" s="91" t="str">
        <f>IF(OR($M216="",NOT($O216="{array}")),"",IFERROR(MATCH(PARAMETERS!$M216,DEFAULT!$B$5:$CC$5,0),""))</f>
        <v/>
      </c>
      <c r="AA216" s="86" t="str">
        <f t="shared" si="22"/>
        <v/>
      </c>
      <c r="AB216" s="117" t="str">
        <f>IF(AND(OR($A216="G",$A216="P"),NOT($O216="{array}")),IF(VLOOKUP($K216,base!$B$2:$D$18,3,0)="S",IF(OR($O216="",ISTEXT($O216)),"","STRING!"),IF(VLOOKUP($K216,base!$B$2:$D$18,3,0)="","",IF(ISTEXT($O216),"NUMERIC!",""))),"")</f>
        <v/>
      </c>
      <c r="AC216" s="17" t="str">
        <f>IF($AA216="","",IF($B216="I",VLOOKUP($AA216,#REF!,53,0),INDEX(VALUES!$B$1:$CX$1,1,$AA216)))</f>
        <v/>
      </c>
    </row>
    <row r="217" spans="1:29" collapsed="1" x14ac:dyDescent="0.3">
      <c r="A217" s="22" t="s">
        <v>84</v>
      </c>
      <c r="B217" s="42" t="str">
        <f t="shared" si="23"/>
        <v/>
      </c>
      <c r="C217" s="43">
        <f t="shared" ref="C217:C226" si="24">(ROW()-1)</f>
        <v>216</v>
      </c>
      <c r="D217" s="39"/>
      <c r="E217" s="39"/>
      <c r="F217" s="39" t="s">
        <v>9</v>
      </c>
      <c r="G217" s="39"/>
      <c r="H217" s="39"/>
      <c r="I217" s="39" t="s">
        <v>9</v>
      </c>
      <c r="J217" s="39"/>
      <c r="K217" s="14" t="s">
        <v>18</v>
      </c>
      <c r="L217" s="14" t="s">
        <v>21</v>
      </c>
      <c r="M217" s="20" t="s">
        <v>146</v>
      </c>
      <c r="N217" s="14" t="s">
        <v>147</v>
      </c>
      <c r="Q217" s="39" t="s">
        <v>9</v>
      </c>
      <c r="R217" s="39" t="s">
        <v>190</v>
      </c>
      <c r="S217" s="39"/>
      <c r="T217" s="39"/>
      <c r="W217" s="15"/>
      <c r="Z217" s="91" t="str">
        <f>IF(OR($M217="",NOT($O217="{array}")),"",IFERROR(MATCH(PARAMETERS!$M217,DEFAULT!$B$5:$CC$5,0),""))</f>
        <v/>
      </c>
      <c r="AA217" s="86" t="str">
        <f t="shared" si="22"/>
        <v/>
      </c>
      <c r="AB217" s="117" t="str">
        <f>IF(AND(OR($A217="G",$A217="P"),NOT($O217="{array}")),IF(VLOOKUP($K217,base!$B$2:$D$18,3,0)="S",IF(OR($O217="",ISTEXT($O217)),"","STRING!"),IF(VLOOKUP($K217,base!$B$2:$D$18,3,0)="","",IF(ISTEXT($O217),"NUMERIC!",""))),"")</f>
        <v/>
      </c>
      <c r="AC217" s="17" t="str">
        <f>IF($AA217="","",IF($B217="I",VLOOKUP($AA217,#REF!,53,0),INDEX(VALUES!$B$1:$CX$1,1,$AA217)))</f>
        <v/>
      </c>
    </row>
    <row r="218" spans="1:29" hidden="1" outlineLevel="1" x14ac:dyDescent="0.25">
      <c r="A218" s="22"/>
      <c r="B218" s="42" t="str">
        <f t="shared" si="23"/>
        <v/>
      </c>
      <c r="C218" s="43">
        <f t="shared" si="24"/>
        <v>217</v>
      </c>
      <c r="D218" s="39"/>
      <c r="E218" s="39"/>
      <c r="F218" s="39"/>
      <c r="G218" s="39"/>
      <c r="H218" s="39"/>
      <c r="I218" s="39" t="s">
        <v>9</v>
      </c>
      <c r="J218" s="39"/>
      <c r="K218" s="55" t="s">
        <v>18</v>
      </c>
      <c r="L218" s="54" t="s">
        <v>21</v>
      </c>
      <c r="M218" s="55" t="s">
        <v>317</v>
      </c>
      <c r="N218" s="55" t="s">
        <v>335</v>
      </c>
      <c r="O218" s="55" t="s">
        <v>335</v>
      </c>
      <c r="P218" s="63" t="s">
        <v>335</v>
      </c>
      <c r="Q218" s="63" t="s">
        <v>9</v>
      </c>
      <c r="R218" s="63" t="s">
        <v>189</v>
      </c>
      <c r="S218" s="63" t="s">
        <v>199</v>
      </c>
      <c r="T218" s="55" t="s">
        <v>335</v>
      </c>
      <c r="U218" s="55"/>
      <c r="V218" s="55" t="s">
        <v>317</v>
      </c>
      <c r="W218" s="15"/>
      <c r="Z218" s="91" t="str">
        <f>IF(OR($M218="",NOT($O218="{array}")),"",IFERROR(MATCH(PARAMETERS!$M218,DEFAULT!$B$5:$CC$5,0),""))</f>
        <v/>
      </c>
      <c r="AA218" s="86" t="str">
        <f t="shared" si="22"/>
        <v/>
      </c>
      <c r="AB218" s="117" t="str">
        <f>IF(AND(OR($A218="G",$A218="P"),NOT($O218="{array}")),IF(VLOOKUP($K218,base!$B$2:$D$18,3,0)="S",IF(OR($O218="",ISTEXT($O218)),"","STRING!"),IF(VLOOKUP($K218,base!$B$2:$D$18,3,0)="","",IF(ISTEXT($O218),"NUMERIC!",""))),"")</f>
        <v/>
      </c>
      <c r="AC218" s="17" t="str">
        <f>IF($AA218="","",IF($B218="I",VLOOKUP($AA218,#REF!,53,0),INDEX(VALUES!$B$1:$CX$1,1,$AA218)))</f>
        <v/>
      </c>
    </row>
    <row r="219" spans="1:29" hidden="1" outlineLevel="1" x14ac:dyDescent="0.25">
      <c r="A219" s="22"/>
      <c r="B219" s="42" t="str">
        <f t="shared" si="23"/>
        <v/>
      </c>
      <c r="C219" s="43">
        <f t="shared" si="24"/>
        <v>218</v>
      </c>
      <c r="D219" s="39"/>
      <c r="E219" s="39"/>
      <c r="F219" s="39"/>
      <c r="G219" s="39"/>
      <c r="H219" s="39"/>
      <c r="I219" s="39" t="s">
        <v>9</v>
      </c>
      <c r="J219" s="39"/>
      <c r="K219" s="55" t="s">
        <v>186</v>
      </c>
      <c r="L219" s="54" t="s">
        <v>21</v>
      </c>
      <c r="M219" s="55" t="s">
        <v>318</v>
      </c>
      <c r="N219" s="55" t="s">
        <v>335</v>
      </c>
      <c r="O219" s="55" t="s">
        <v>319</v>
      </c>
      <c r="P219" s="63" t="s">
        <v>335</v>
      </c>
      <c r="Q219" s="63" t="s">
        <v>9</v>
      </c>
      <c r="R219" s="63" t="s">
        <v>189</v>
      </c>
      <c r="S219" s="63" t="s">
        <v>199</v>
      </c>
      <c r="T219" s="55" t="s">
        <v>335</v>
      </c>
      <c r="U219" s="55"/>
      <c r="V219" s="55" t="s">
        <v>318</v>
      </c>
      <c r="W219" s="15"/>
      <c r="Z219" s="91" t="str">
        <f>IF(OR($M219="",NOT($O219="{array}")),"",IFERROR(MATCH(PARAMETERS!$M219,DEFAULT!$B$5:$CC$5,0),""))</f>
        <v/>
      </c>
      <c r="AA219" s="86" t="str">
        <f t="shared" si="22"/>
        <v/>
      </c>
      <c r="AB219" s="117" t="str">
        <f>IF(AND(OR($A219="G",$A219="P"),NOT($O219="{array}")),IF(VLOOKUP($K219,base!$B$2:$D$18,3,0)="S",IF(OR($O219="",ISTEXT($O219)),"","STRING!"),IF(VLOOKUP($K219,base!$B$2:$D$18,3,0)="","",IF(ISTEXT($O219),"NUMERIC!",""))),"")</f>
        <v/>
      </c>
      <c r="AC219" s="17" t="str">
        <f>IF($AA219="","",IF($B219="I",VLOOKUP($AA219,#REF!,53,0),INDEX(VALUES!$B$1:$CX$1,1,$AA219)))</f>
        <v/>
      </c>
    </row>
    <row r="220" spans="1:29" hidden="1" outlineLevel="1" x14ac:dyDescent="0.25">
      <c r="A220" s="22"/>
      <c r="B220" s="42" t="str">
        <f t="shared" si="23"/>
        <v/>
      </c>
      <c r="C220" s="43">
        <f t="shared" si="24"/>
        <v>219</v>
      </c>
      <c r="D220" s="39"/>
      <c r="E220" s="39"/>
      <c r="F220" s="39"/>
      <c r="G220" s="39"/>
      <c r="H220" s="39"/>
      <c r="I220" s="39" t="s">
        <v>9</v>
      </c>
      <c r="J220" s="39"/>
      <c r="K220" s="55" t="s">
        <v>186</v>
      </c>
      <c r="L220" s="54" t="s">
        <v>21</v>
      </c>
      <c r="M220" s="55" t="s">
        <v>320</v>
      </c>
      <c r="N220" s="55" t="s">
        <v>335</v>
      </c>
      <c r="O220" s="55" t="s">
        <v>321</v>
      </c>
      <c r="P220" s="63" t="s">
        <v>335</v>
      </c>
      <c r="Q220" s="63" t="s">
        <v>9</v>
      </c>
      <c r="R220" s="63" t="s">
        <v>189</v>
      </c>
      <c r="S220" s="63" t="s">
        <v>199</v>
      </c>
      <c r="T220" s="55" t="s">
        <v>335</v>
      </c>
      <c r="U220" s="55"/>
      <c r="V220" s="55" t="s">
        <v>320</v>
      </c>
      <c r="W220" s="15"/>
      <c r="Z220" s="91" t="str">
        <f>IF(OR($M220="",NOT($O220="{array}")),"",IFERROR(MATCH(PARAMETERS!$M220,DEFAULT!$B$5:$CC$5,0),""))</f>
        <v/>
      </c>
      <c r="AA220" s="86" t="str">
        <f t="shared" si="22"/>
        <v/>
      </c>
      <c r="AB220" s="117" t="str">
        <f>IF(AND(OR($A220="G",$A220="P"),NOT($O220="{array}")),IF(VLOOKUP($K220,base!$B$2:$D$18,3,0)="S",IF(OR($O220="",ISTEXT($O220)),"","STRING!"),IF(VLOOKUP($K220,base!$B$2:$D$18,3,0)="","",IF(ISTEXT($O220),"NUMERIC!",""))),"")</f>
        <v/>
      </c>
      <c r="AC220" s="17" t="str">
        <f>IF($AA220="","",IF($B220="I",VLOOKUP($AA220,#REF!,53,0),INDEX(VALUES!$B$1:$CX$1,1,$AA220)))</f>
        <v/>
      </c>
    </row>
    <row r="221" spans="1:29" hidden="1" outlineLevel="1" x14ac:dyDescent="0.25">
      <c r="A221" s="22"/>
      <c r="B221" s="42" t="str">
        <f t="shared" si="23"/>
        <v/>
      </c>
      <c r="C221" s="43">
        <f t="shared" si="24"/>
        <v>220</v>
      </c>
      <c r="D221" s="39"/>
      <c r="E221" s="39"/>
      <c r="F221" s="39"/>
      <c r="G221" s="39"/>
      <c r="H221" s="39"/>
      <c r="I221" s="39" t="s">
        <v>9</v>
      </c>
      <c r="J221" s="39"/>
      <c r="K221" s="55" t="s">
        <v>47</v>
      </c>
      <c r="L221" s="54" t="s">
        <v>21</v>
      </c>
      <c r="M221" s="55" t="s">
        <v>322</v>
      </c>
      <c r="N221" s="55" t="s">
        <v>335</v>
      </c>
      <c r="O221" s="55" t="s">
        <v>335</v>
      </c>
      <c r="P221" s="63" t="s">
        <v>335</v>
      </c>
      <c r="Q221" s="63" t="s">
        <v>9</v>
      </c>
      <c r="R221" s="63" t="s">
        <v>189</v>
      </c>
      <c r="S221" s="63" t="s">
        <v>199</v>
      </c>
      <c r="T221" s="55" t="s">
        <v>335</v>
      </c>
      <c r="U221" s="55"/>
      <c r="V221" s="55" t="s">
        <v>322</v>
      </c>
      <c r="W221" s="15"/>
      <c r="Z221" s="91" t="str">
        <f>IF(OR($M221="",NOT($O221="{array}")),"",IFERROR(MATCH(PARAMETERS!$M221,DEFAULT!$B$5:$CC$5,0),""))</f>
        <v/>
      </c>
      <c r="AA221" s="86" t="str">
        <f t="shared" si="22"/>
        <v/>
      </c>
      <c r="AB221" s="117" t="str">
        <f>IF(AND(OR($A221="G",$A221="P"),NOT($O221="{array}")),IF(VLOOKUP($K221,base!$B$2:$D$18,3,0)="S",IF(OR($O221="",ISTEXT($O221)),"","STRING!"),IF(VLOOKUP($K221,base!$B$2:$D$18,3,0)="","",IF(ISTEXT($O221),"NUMERIC!",""))),"")</f>
        <v/>
      </c>
      <c r="AC221" s="17" t="str">
        <f>IF($AA221="","",IF($B221="I",VLOOKUP($AA221,#REF!,53,0),INDEX(VALUES!$B$1:$CX$1,1,$AA221)))</f>
        <v/>
      </c>
    </row>
    <row r="222" spans="1:29" hidden="1" outlineLevel="1" x14ac:dyDescent="0.25">
      <c r="A222" s="22"/>
      <c r="B222" s="42" t="str">
        <f t="shared" si="23"/>
        <v/>
      </c>
      <c r="C222" s="43">
        <f t="shared" si="24"/>
        <v>221</v>
      </c>
      <c r="D222" s="39"/>
      <c r="E222" s="39"/>
      <c r="F222" s="39"/>
      <c r="G222" s="39"/>
      <c r="H222" s="39"/>
      <c r="I222" s="39" t="s">
        <v>9</v>
      </c>
      <c r="J222" s="39"/>
      <c r="K222" s="55" t="s">
        <v>47</v>
      </c>
      <c r="L222" s="54" t="s">
        <v>21</v>
      </c>
      <c r="M222" s="55" t="s">
        <v>323</v>
      </c>
      <c r="N222" s="55" t="s">
        <v>335</v>
      </c>
      <c r="O222" s="55" t="s">
        <v>335</v>
      </c>
      <c r="P222" s="63" t="s">
        <v>335</v>
      </c>
      <c r="Q222" s="63" t="s">
        <v>9</v>
      </c>
      <c r="R222" s="63" t="s">
        <v>189</v>
      </c>
      <c r="S222" s="63" t="s">
        <v>199</v>
      </c>
      <c r="T222" s="55" t="s">
        <v>335</v>
      </c>
      <c r="U222" s="55"/>
      <c r="V222" s="55" t="s">
        <v>323</v>
      </c>
      <c r="W222" s="15"/>
      <c r="Z222" s="91" t="str">
        <f>IF(OR($M222="",NOT($O222="{array}")),"",IFERROR(MATCH(PARAMETERS!$M222,DEFAULT!$B$5:$CC$5,0),""))</f>
        <v/>
      </c>
      <c r="AA222" s="86" t="str">
        <f t="shared" si="22"/>
        <v/>
      </c>
      <c r="AB222" s="117" t="str">
        <f>IF(AND(OR($A222="G",$A222="P"),NOT($O222="{array}")),IF(VLOOKUP($K222,base!$B$2:$D$18,3,0)="S",IF(OR($O222="",ISTEXT($O222)),"","STRING!"),IF(VLOOKUP($K222,base!$B$2:$D$18,3,0)="","",IF(ISTEXT($O222),"NUMERIC!",""))),"")</f>
        <v/>
      </c>
      <c r="AC222" s="17" t="str">
        <f>IF($AA222="","",IF($B222="I",VLOOKUP($AA222,#REF!,53,0),INDEX(VALUES!$B$1:$CX$1,1,$AA222)))</f>
        <v/>
      </c>
    </row>
    <row r="223" spans="1:29" hidden="1" outlineLevel="1" x14ac:dyDescent="0.25">
      <c r="A223" s="22"/>
      <c r="B223" s="42" t="str">
        <f t="shared" si="23"/>
        <v/>
      </c>
      <c r="C223" s="43">
        <f t="shared" si="24"/>
        <v>222</v>
      </c>
      <c r="D223" s="39"/>
      <c r="E223" s="39"/>
      <c r="F223" s="39"/>
      <c r="G223" s="39"/>
      <c r="H223" s="39"/>
      <c r="I223" s="39" t="s">
        <v>9</v>
      </c>
      <c r="J223" s="39"/>
      <c r="K223" s="55" t="s">
        <v>186</v>
      </c>
      <c r="L223" s="54" t="s">
        <v>21</v>
      </c>
      <c r="M223" s="55" t="s">
        <v>324</v>
      </c>
      <c r="N223" s="55" t="s">
        <v>335</v>
      </c>
      <c r="O223" s="55" t="s">
        <v>325</v>
      </c>
      <c r="P223" s="63" t="s">
        <v>335</v>
      </c>
      <c r="Q223" s="63" t="s">
        <v>9</v>
      </c>
      <c r="R223" s="63" t="s">
        <v>189</v>
      </c>
      <c r="S223" s="63" t="s">
        <v>199</v>
      </c>
      <c r="T223" s="55" t="s">
        <v>335</v>
      </c>
      <c r="U223" s="55"/>
      <c r="V223" s="55" t="s">
        <v>324</v>
      </c>
      <c r="W223" s="15"/>
      <c r="Z223" s="91" t="str">
        <f>IF(OR($M223="",NOT($O223="{array}")),"",IFERROR(MATCH(PARAMETERS!$M223,DEFAULT!$B$5:$CC$5,0),""))</f>
        <v/>
      </c>
      <c r="AA223" s="86" t="str">
        <f t="shared" si="22"/>
        <v/>
      </c>
      <c r="AB223" s="117" t="str">
        <f>IF(AND(OR($A223="G",$A223="P"),NOT($O223="{array}")),IF(VLOOKUP($K223,base!$B$2:$D$18,3,0)="S",IF(OR($O223="",ISTEXT($O223)),"","STRING!"),IF(VLOOKUP($K223,base!$B$2:$D$18,3,0)="","",IF(ISTEXT($O223),"NUMERIC!",""))),"")</f>
        <v/>
      </c>
      <c r="AC223" s="17" t="str">
        <f>IF($AA223="","",IF($B223="I",VLOOKUP($AA223,#REF!,53,0),INDEX(VALUES!$B$1:$CX$1,1,$AA223)))</f>
        <v/>
      </c>
    </row>
    <row r="224" spans="1:29" hidden="1" outlineLevel="1" x14ac:dyDescent="0.25">
      <c r="A224" s="22"/>
      <c r="B224" s="42" t="str">
        <f t="shared" si="23"/>
        <v/>
      </c>
      <c r="C224" s="43">
        <f t="shared" si="24"/>
        <v>223</v>
      </c>
      <c r="D224" s="39"/>
      <c r="E224" s="39"/>
      <c r="F224" s="39"/>
      <c r="G224" s="39"/>
      <c r="H224" s="39"/>
      <c r="I224" s="39" t="s">
        <v>9</v>
      </c>
      <c r="J224" s="39"/>
      <c r="K224" s="55" t="s">
        <v>47</v>
      </c>
      <c r="L224" s="54" t="s">
        <v>21</v>
      </c>
      <c r="M224" s="55" t="s">
        <v>326</v>
      </c>
      <c r="N224" s="55" t="s">
        <v>335</v>
      </c>
      <c r="O224" s="55" t="s">
        <v>335</v>
      </c>
      <c r="P224" s="63" t="s">
        <v>335</v>
      </c>
      <c r="Q224" s="63" t="s">
        <v>9</v>
      </c>
      <c r="R224" s="63" t="s">
        <v>189</v>
      </c>
      <c r="S224" s="63" t="s">
        <v>199</v>
      </c>
      <c r="T224" s="55" t="s">
        <v>335</v>
      </c>
      <c r="U224" s="55"/>
      <c r="V224" s="55" t="s">
        <v>326</v>
      </c>
      <c r="W224" s="15"/>
      <c r="Z224" s="91" t="str">
        <f>IF(OR($M224="",NOT($O224="{array}")),"",IFERROR(MATCH(PARAMETERS!$M224,DEFAULT!$B$5:$CC$5,0),""))</f>
        <v/>
      </c>
      <c r="AA224" s="86" t="str">
        <f t="shared" si="22"/>
        <v/>
      </c>
      <c r="AB224" s="117" t="str">
        <f>IF(AND(OR($A224="G",$A224="P"),NOT($O224="{array}")),IF(VLOOKUP($K224,base!$B$2:$D$18,3,0)="S",IF(OR($O224="",ISTEXT($O224)),"","STRING!"),IF(VLOOKUP($K224,base!$B$2:$D$18,3,0)="","",IF(ISTEXT($O224),"NUMERIC!",""))),"")</f>
        <v/>
      </c>
      <c r="AC224" s="17" t="str">
        <f>IF($AA224="","",IF($B224="I",VLOOKUP($AA224,#REF!,53,0),INDEX(VALUES!$B$1:$CX$1,1,$AA224)))</f>
        <v/>
      </c>
    </row>
    <row r="225" spans="1:29" hidden="1" outlineLevel="1" x14ac:dyDescent="0.3">
      <c r="A225" s="22" t="s">
        <v>84</v>
      </c>
      <c r="B225" s="42" t="str">
        <f t="shared" si="23"/>
        <v/>
      </c>
      <c r="C225" s="43">
        <f t="shared" si="24"/>
        <v>224</v>
      </c>
      <c r="D225" s="39"/>
      <c r="E225" s="39"/>
      <c r="F225" s="39" t="s">
        <v>9</v>
      </c>
      <c r="G225" s="39"/>
      <c r="H225" s="39"/>
      <c r="I225" s="39" t="s">
        <v>9</v>
      </c>
      <c r="J225" s="39"/>
      <c r="K225" s="14" t="s">
        <v>18</v>
      </c>
      <c r="L225" s="14" t="s">
        <v>21</v>
      </c>
      <c r="M225" s="20" t="s">
        <v>156</v>
      </c>
      <c r="N225" s="14" t="s">
        <v>157</v>
      </c>
      <c r="Q225" s="39" t="s">
        <v>9</v>
      </c>
      <c r="R225" s="39" t="s">
        <v>190</v>
      </c>
      <c r="S225" s="39"/>
      <c r="T225" s="39"/>
      <c r="W225" s="15"/>
      <c r="Z225" s="91" t="str">
        <f>IF(OR($M225="",NOT($O225="{array}")),"",IFERROR(MATCH(PARAMETERS!$M225,DEFAULT!$B$5:$CC$5,0),""))</f>
        <v/>
      </c>
      <c r="AA225" s="86" t="str">
        <f t="shared" si="22"/>
        <v/>
      </c>
      <c r="AB225" s="117" t="str">
        <f>IF(AND(OR($A225="G",$A225="P"),NOT($O225="{array}")),IF(VLOOKUP($K225,base!$B$2:$D$18,3,0)="S",IF(OR($O225="",ISTEXT($O225)),"","STRING!"),IF(VLOOKUP($K225,base!$B$2:$D$18,3,0)="","",IF(ISTEXT($O225),"NUMERIC!",""))),"")</f>
        <v/>
      </c>
      <c r="AC225" s="17" t="str">
        <f>IF($AA225="","",IF($B225="I",VLOOKUP($AA225,#REF!,53,0),INDEX(VALUES!$B$1:$CX$1,1,$AA225)))</f>
        <v/>
      </c>
    </row>
    <row r="226" spans="1:29" collapsed="1" x14ac:dyDescent="0.3">
      <c r="A226" s="22" t="s">
        <v>84</v>
      </c>
      <c r="B226" s="42" t="str">
        <f t="shared" si="23"/>
        <v/>
      </c>
      <c r="C226" s="43">
        <f t="shared" si="24"/>
        <v>225</v>
      </c>
      <c r="D226" s="39"/>
      <c r="E226" s="39"/>
      <c r="F226" s="39" t="s">
        <v>9</v>
      </c>
      <c r="G226" s="39" t="s">
        <v>9</v>
      </c>
      <c r="H226" s="39"/>
      <c r="I226" s="39"/>
      <c r="J226" s="39"/>
      <c r="K226" s="14" t="s">
        <v>57</v>
      </c>
      <c r="L226" s="14" t="s">
        <v>38</v>
      </c>
      <c r="M226" s="49" t="s">
        <v>990</v>
      </c>
      <c r="N226" s="42" t="s">
        <v>195</v>
      </c>
      <c r="R226" s="39" t="s">
        <v>190</v>
      </c>
      <c r="S226" s="39"/>
      <c r="T226" s="39"/>
      <c r="W226" s="15" t="s">
        <v>335</v>
      </c>
      <c r="Z226" s="91" t="str">
        <f>IF(OR($M226="",NOT($O226="{array}")),"",IFERROR(MATCH(PARAMETERS!$M226,DEFAULT!$B$5:$CC$5,0),""))</f>
        <v/>
      </c>
      <c r="AA226" s="86" t="str">
        <f t="shared" si="22"/>
        <v/>
      </c>
      <c r="AB226" s="117" t="str">
        <f>IF(AND(OR($A226="G",$A226="P"),NOT($O226="{array}")),IF(VLOOKUP($K226,base!$B$2:$D$18,3,0)="S",IF(OR($O226="",ISTEXT($O226)),"","STRING!"),IF(VLOOKUP($K226,base!$B$2:$D$18,3,0)="","",IF(ISTEXT($O226),"NUMERIC!",""))),"")</f>
        <v/>
      </c>
      <c r="AC226" s="17" t="str">
        <f>IF($AA226="","",IF($B226="I",VLOOKUP($AA226,#REF!,53,0),INDEX(VALUES!$B$1:$CX$1,1,$AA226)))</f>
        <v/>
      </c>
    </row>
    <row r="227" spans="1:29" hidden="1" outlineLevel="1" x14ac:dyDescent="0.3">
      <c r="A227" s="22" t="s">
        <v>84</v>
      </c>
      <c r="B227" s="42" t="str">
        <f t="shared" si="23"/>
        <v/>
      </c>
      <c r="C227" s="43">
        <f t="shared" ref="C227:C241" si="25">(ROW()-1)</f>
        <v>226</v>
      </c>
      <c r="D227" s="39"/>
      <c r="E227" s="39"/>
      <c r="F227" s="39" t="s">
        <v>9</v>
      </c>
      <c r="G227" s="39"/>
      <c r="H227" s="39"/>
      <c r="I227" s="39" t="s">
        <v>9</v>
      </c>
      <c r="J227" s="39" t="s">
        <v>9</v>
      </c>
      <c r="K227" s="14" t="s">
        <v>18</v>
      </c>
      <c r="L227" s="14" t="s">
        <v>27</v>
      </c>
      <c r="M227" s="20" t="s">
        <v>119</v>
      </c>
      <c r="N227" s="14" t="s">
        <v>120</v>
      </c>
      <c r="O227" s="44" t="s">
        <v>121</v>
      </c>
      <c r="Q227" s="39" t="s">
        <v>9</v>
      </c>
      <c r="R227" s="39" t="s">
        <v>190</v>
      </c>
      <c r="S227" s="39"/>
      <c r="T227" s="39"/>
      <c r="W227" s="15"/>
      <c r="Z227" s="91" t="str">
        <f>IF(OR($M227="",NOT($O227="{array}")),"",IFERROR(MATCH(PARAMETERS!$M227,DEFAULT!$B$5:$CC$5,0),""))</f>
        <v/>
      </c>
      <c r="AA227" s="86" t="str">
        <f t="shared" si="22"/>
        <v/>
      </c>
      <c r="AB227" s="117" t="str">
        <f>IF(AND(OR($A227="G",$A227="P"),NOT($O227="{array}")),IF(VLOOKUP($K227,base!$B$2:$D$18,3,0)="S",IF(OR($O227="",ISTEXT($O227)),"","STRING!"),IF(VLOOKUP($K227,base!$B$2:$D$18,3,0)="","",IF(ISTEXT($O227),"NUMERIC!",""))),"")</f>
        <v/>
      </c>
      <c r="AC227" s="17" t="str">
        <f>IF($AA227="","",IF($B227="I",VLOOKUP($AA227,#REF!,53,0),INDEX(VALUES!$B$1:$CX$1,1,$AA227)))</f>
        <v/>
      </c>
    </row>
    <row r="228" spans="1:29" hidden="1" outlineLevel="1" x14ac:dyDescent="0.3">
      <c r="A228" s="22" t="s">
        <v>84</v>
      </c>
      <c r="B228" s="42" t="str">
        <f t="shared" si="23"/>
        <v/>
      </c>
      <c r="C228" s="43">
        <f t="shared" si="25"/>
        <v>227</v>
      </c>
      <c r="D228" s="39"/>
      <c r="E228" s="39"/>
      <c r="F228" s="39" t="s">
        <v>9</v>
      </c>
      <c r="G228" s="39" t="s">
        <v>9</v>
      </c>
      <c r="H228" s="39"/>
      <c r="I228" s="39" t="s">
        <v>9</v>
      </c>
      <c r="J228" s="39" t="s">
        <v>9</v>
      </c>
      <c r="K228" s="14" t="s">
        <v>44</v>
      </c>
      <c r="L228" s="14" t="s">
        <v>27</v>
      </c>
      <c r="M228" s="20" t="s">
        <v>122</v>
      </c>
      <c r="N228" s="14" t="s">
        <v>120</v>
      </c>
      <c r="O228" s="44">
        <v>2</v>
      </c>
      <c r="Q228" s="39" t="s">
        <v>9</v>
      </c>
      <c r="R228" s="39" t="s">
        <v>190</v>
      </c>
      <c r="S228" s="39"/>
      <c r="T228" s="39"/>
      <c r="W228" s="15"/>
      <c r="Z228" s="91" t="str">
        <f>IF(OR($M228="",NOT($O228="{array}")),"",IFERROR(MATCH(PARAMETERS!$M228,DEFAULT!$B$5:$CC$5,0),""))</f>
        <v/>
      </c>
      <c r="AA228" s="86" t="str">
        <f t="shared" si="22"/>
        <v/>
      </c>
      <c r="AB228" s="117" t="str">
        <f>IF(AND(OR($A228="G",$A228="P"),NOT($O228="{array}")),IF(VLOOKUP($K228,base!$B$2:$D$18,3,0)="S",IF(OR($O228="",ISTEXT($O228)),"","STRING!"),IF(VLOOKUP($K228,base!$B$2:$D$18,3,0)="","",IF(ISTEXT($O228),"NUMERIC!",""))),"")</f>
        <v/>
      </c>
      <c r="AC228" s="17" t="str">
        <f>IF($AA228="","",IF($B228="I",VLOOKUP($AA228,#REF!,53,0),INDEX(VALUES!$B$1:$CX$1,1,$AA228)))</f>
        <v/>
      </c>
    </row>
    <row r="229" spans="1:29" hidden="1" outlineLevel="1" x14ac:dyDescent="0.3">
      <c r="A229" s="22" t="s">
        <v>84</v>
      </c>
      <c r="B229" s="42" t="str">
        <f t="shared" si="23"/>
        <v/>
      </c>
      <c r="C229" s="43">
        <f t="shared" si="25"/>
        <v>228</v>
      </c>
      <c r="D229" s="39"/>
      <c r="E229" s="39"/>
      <c r="F229" s="39" t="s">
        <v>9</v>
      </c>
      <c r="G229" s="39" t="s">
        <v>9</v>
      </c>
      <c r="H229" s="39"/>
      <c r="I229" s="39" t="s">
        <v>9</v>
      </c>
      <c r="J229" s="39" t="s">
        <v>9</v>
      </c>
      <c r="K229" s="14" t="s">
        <v>24</v>
      </c>
      <c r="L229" s="14" t="s">
        <v>27</v>
      </c>
      <c r="M229" s="20" t="s">
        <v>123</v>
      </c>
      <c r="O229" s="44">
        <v>0</v>
      </c>
      <c r="Q229" s="39" t="s">
        <v>9</v>
      </c>
      <c r="R229" s="39" t="s">
        <v>190</v>
      </c>
      <c r="S229" s="39"/>
      <c r="T229" s="39"/>
      <c r="W229" s="15"/>
      <c r="Z229" s="91" t="str">
        <f>IF(OR($M229="",NOT($O229="{array}")),"",IFERROR(MATCH(PARAMETERS!$M229,DEFAULT!$B$5:$CC$5,0),""))</f>
        <v/>
      </c>
      <c r="AA229" s="86" t="str">
        <f t="shared" si="22"/>
        <v/>
      </c>
      <c r="AB229" s="117" t="str">
        <f>IF(AND(OR($A229="G",$A229="P"),NOT($O229="{array}")),IF(VLOOKUP($K229,base!$B$2:$D$18,3,0)="S",IF(OR($O229="",ISTEXT($O229)),"","STRING!"),IF(VLOOKUP($K229,base!$B$2:$D$18,3,0)="","",IF(ISTEXT($O229),"NUMERIC!",""))),"")</f>
        <v/>
      </c>
      <c r="AC229" s="17" t="str">
        <f>IF($AA229="","",IF($B229="I",VLOOKUP($AA229,#REF!,53,0),INDEX(VALUES!$B$1:$CX$1,1,$AA229)))</f>
        <v/>
      </c>
    </row>
    <row r="230" spans="1:29" hidden="1" outlineLevel="1" x14ac:dyDescent="0.3">
      <c r="A230" s="22" t="s">
        <v>84</v>
      </c>
      <c r="B230" s="42" t="str">
        <f t="shared" si="23"/>
        <v/>
      </c>
      <c r="C230" s="43">
        <f t="shared" si="25"/>
        <v>229</v>
      </c>
      <c r="D230" s="39"/>
      <c r="E230" s="39"/>
      <c r="F230" s="39" t="s">
        <v>9</v>
      </c>
      <c r="G230" s="39" t="s">
        <v>9</v>
      </c>
      <c r="H230" s="39"/>
      <c r="I230" s="39" t="s">
        <v>9</v>
      </c>
      <c r="J230" s="39" t="s">
        <v>9</v>
      </c>
      <c r="K230" s="14" t="s">
        <v>24</v>
      </c>
      <c r="L230" s="14" t="s">
        <v>27</v>
      </c>
      <c r="M230" s="20" t="s">
        <v>124</v>
      </c>
      <c r="O230" s="44">
        <v>0</v>
      </c>
      <c r="Q230" s="39" t="s">
        <v>9</v>
      </c>
      <c r="R230" s="39" t="s">
        <v>190</v>
      </c>
      <c r="S230" s="39"/>
      <c r="T230" s="39"/>
      <c r="W230" s="15"/>
      <c r="Z230" s="91" t="str">
        <f>IF(OR($M230="",NOT($O230="{array}")),"",IFERROR(MATCH(PARAMETERS!$M230,DEFAULT!$B$5:$CC$5,0),""))</f>
        <v/>
      </c>
      <c r="AA230" s="86" t="str">
        <f t="shared" si="22"/>
        <v/>
      </c>
      <c r="AB230" s="117" t="str">
        <f>IF(AND(OR($A230="G",$A230="P"),NOT($O230="{array}")),IF(VLOOKUP($K230,base!$B$2:$D$18,3,0)="S",IF(OR($O230="",ISTEXT($O230)),"","STRING!"),IF(VLOOKUP($K230,base!$B$2:$D$18,3,0)="","",IF(ISTEXT($O230),"NUMERIC!",""))),"")</f>
        <v/>
      </c>
      <c r="AC230" s="17" t="str">
        <f>IF($AA230="","",IF($B230="I",VLOOKUP($AA230,#REF!,53,0),INDEX(VALUES!$B$1:$CX$1,1,$AA230)))</f>
        <v/>
      </c>
    </row>
    <row r="231" spans="1:29" hidden="1" outlineLevel="1" x14ac:dyDescent="0.3">
      <c r="A231" s="22" t="s">
        <v>84</v>
      </c>
      <c r="B231" s="42" t="str">
        <f t="shared" si="23"/>
        <v/>
      </c>
      <c r="C231" s="43">
        <f t="shared" si="25"/>
        <v>230</v>
      </c>
      <c r="D231" s="39"/>
      <c r="E231" s="39"/>
      <c r="F231" s="39" t="s">
        <v>9</v>
      </c>
      <c r="G231" s="39" t="s">
        <v>9</v>
      </c>
      <c r="H231" s="39"/>
      <c r="I231" s="39" t="s">
        <v>9</v>
      </c>
      <c r="J231" s="39" t="s">
        <v>9</v>
      </c>
      <c r="K231" s="14" t="s">
        <v>24</v>
      </c>
      <c r="L231" s="14" t="s">
        <v>27</v>
      </c>
      <c r="M231" s="20" t="s">
        <v>125</v>
      </c>
      <c r="O231" s="44">
        <v>0</v>
      </c>
      <c r="Q231" s="39" t="s">
        <v>9</v>
      </c>
      <c r="R231" s="39" t="s">
        <v>190</v>
      </c>
      <c r="S231" s="39"/>
      <c r="T231" s="39"/>
      <c r="W231" s="15"/>
      <c r="Z231" s="91" t="str">
        <f>IF(OR($M231="",NOT($O231="{array}")),"",IFERROR(MATCH(PARAMETERS!$M231,DEFAULT!$B$5:$CC$5,0),""))</f>
        <v/>
      </c>
      <c r="AA231" s="86" t="str">
        <f t="shared" si="22"/>
        <v/>
      </c>
      <c r="AB231" s="117" t="str">
        <f>IF(AND(OR($A231="G",$A231="P"),NOT($O231="{array}")),IF(VLOOKUP($K231,base!$B$2:$D$18,3,0)="S",IF(OR($O231="",ISTEXT($O231)),"","STRING!"),IF(VLOOKUP($K231,base!$B$2:$D$18,3,0)="","",IF(ISTEXT($O231),"NUMERIC!",""))),"")</f>
        <v/>
      </c>
      <c r="AC231" s="17" t="str">
        <f>IF($AA231="","",IF($B231="I",VLOOKUP($AA231,#REF!,53,0),INDEX(VALUES!$B$1:$CX$1,1,$AA231)))</f>
        <v/>
      </c>
    </row>
    <row r="232" spans="1:29" hidden="1" outlineLevel="1" x14ac:dyDescent="0.3">
      <c r="A232" s="22" t="s">
        <v>84</v>
      </c>
      <c r="B232" s="42" t="str">
        <f t="shared" si="23"/>
        <v/>
      </c>
      <c r="C232" s="43">
        <f t="shared" si="25"/>
        <v>231</v>
      </c>
      <c r="D232" s="39"/>
      <c r="E232" s="39"/>
      <c r="F232" s="39" t="s">
        <v>9</v>
      </c>
      <c r="G232" s="39" t="s">
        <v>9</v>
      </c>
      <c r="H232" s="39"/>
      <c r="I232" s="39" t="s">
        <v>9</v>
      </c>
      <c r="J232" s="39" t="s">
        <v>9</v>
      </c>
      <c r="K232" s="14" t="s">
        <v>24</v>
      </c>
      <c r="L232" s="14" t="s">
        <v>27</v>
      </c>
      <c r="M232" s="20" t="s">
        <v>126</v>
      </c>
      <c r="O232" s="44">
        <v>0</v>
      </c>
      <c r="Q232" s="39" t="s">
        <v>9</v>
      </c>
      <c r="R232" s="39" t="s">
        <v>190</v>
      </c>
      <c r="S232" s="39"/>
      <c r="T232" s="39"/>
      <c r="W232" s="15"/>
      <c r="Z232" s="91" t="str">
        <f>IF(OR($M232="",NOT($O232="{array}")),"",IFERROR(MATCH(PARAMETERS!$M232,DEFAULT!$B$5:$CC$5,0),""))</f>
        <v/>
      </c>
      <c r="AA232" s="86" t="str">
        <f t="shared" si="22"/>
        <v/>
      </c>
      <c r="AB232" s="117" t="str">
        <f>IF(AND(OR($A232="G",$A232="P"),NOT($O232="{array}")),IF(VLOOKUP($K232,base!$B$2:$D$18,3,0)="S",IF(OR($O232="",ISTEXT($O232)),"","STRING!"),IF(VLOOKUP($K232,base!$B$2:$D$18,3,0)="","",IF(ISTEXT($O232),"NUMERIC!",""))),"")</f>
        <v/>
      </c>
      <c r="AC232" s="17" t="str">
        <f>IF($AA232="","",IF($B232="I",VLOOKUP($AA232,#REF!,53,0),INDEX(VALUES!$B$1:$CX$1,1,$AA232)))</f>
        <v/>
      </c>
    </row>
    <row r="233" spans="1:29" hidden="1" outlineLevel="1" x14ac:dyDescent="0.3">
      <c r="A233" s="22" t="s">
        <v>84</v>
      </c>
      <c r="B233" s="42" t="str">
        <f t="shared" si="23"/>
        <v/>
      </c>
      <c r="C233" s="43">
        <f t="shared" si="25"/>
        <v>232</v>
      </c>
      <c r="D233" s="39"/>
      <c r="E233" s="39"/>
      <c r="F233" s="39" t="s">
        <v>9</v>
      </c>
      <c r="G233" s="39" t="s">
        <v>9</v>
      </c>
      <c r="H233" s="39"/>
      <c r="I233" s="39" t="s">
        <v>9</v>
      </c>
      <c r="J233" s="39" t="s">
        <v>9</v>
      </c>
      <c r="K233" s="14" t="s">
        <v>24</v>
      </c>
      <c r="L233" s="14" t="s">
        <v>27</v>
      </c>
      <c r="M233" s="20" t="s">
        <v>127</v>
      </c>
      <c r="O233" s="44">
        <v>0</v>
      </c>
      <c r="Q233" s="39" t="s">
        <v>9</v>
      </c>
      <c r="R233" s="39" t="s">
        <v>190</v>
      </c>
      <c r="S233" s="39"/>
      <c r="T233" s="39"/>
      <c r="W233" s="15"/>
      <c r="Z233" s="91" t="str">
        <f>IF(OR($M233="",NOT($O233="{array}")),"",IFERROR(MATCH(PARAMETERS!$M233,DEFAULT!$B$5:$CC$5,0),""))</f>
        <v/>
      </c>
      <c r="AA233" s="86" t="str">
        <f t="shared" si="22"/>
        <v/>
      </c>
      <c r="AB233" s="117" t="str">
        <f>IF(AND(OR($A233="G",$A233="P"),NOT($O233="{array}")),IF(VLOOKUP($K233,base!$B$2:$D$18,3,0)="S",IF(OR($O233="",ISTEXT($O233)),"","STRING!"),IF(VLOOKUP($K233,base!$B$2:$D$18,3,0)="","",IF(ISTEXT($O233),"NUMERIC!",""))),"")</f>
        <v/>
      </c>
      <c r="AC233" s="17" t="str">
        <f>IF($AA233="","",IF($B233="I",VLOOKUP($AA233,#REF!,53,0),INDEX(VALUES!$B$1:$CX$1,1,$AA233)))</f>
        <v/>
      </c>
    </row>
    <row r="234" spans="1:29" hidden="1" outlineLevel="1" x14ac:dyDescent="0.3">
      <c r="A234" s="22" t="s">
        <v>84</v>
      </c>
      <c r="B234" s="42" t="str">
        <f t="shared" si="23"/>
        <v/>
      </c>
      <c r="C234" s="43">
        <f t="shared" si="25"/>
        <v>233</v>
      </c>
      <c r="D234" s="39"/>
      <c r="E234" s="39"/>
      <c r="F234" s="39" t="s">
        <v>9</v>
      </c>
      <c r="G234" s="39" t="s">
        <v>9</v>
      </c>
      <c r="H234" s="39"/>
      <c r="I234" s="39" t="s">
        <v>9</v>
      </c>
      <c r="J234" s="39" t="s">
        <v>9</v>
      </c>
      <c r="K234" s="14" t="s">
        <v>24</v>
      </c>
      <c r="L234" s="14" t="s">
        <v>27</v>
      </c>
      <c r="M234" s="20" t="s">
        <v>128</v>
      </c>
      <c r="O234" s="44">
        <v>0</v>
      </c>
      <c r="Q234" s="39" t="s">
        <v>9</v>
      </c>
      <c r="R234" s="39" t="s">
        <v>190</v>
      </c>
      <c r="S234" s="39"/>
      <c r="T234" s="39"/>
      <c r="W234" s="15"/>
      <c r="Z234" s="91" t="str">
        <f>IF(OR($M234="",NOT($O234="{array}")),"",IFERROR(MATCH(PARAMETERS!$M234,DEFAULT!$B$5:$CC$5,0),""))</f>
        <v/>
      </c>
      <c r="AA234" s="86" t="str">
        <f>IF($M234="","",IFERROR(MATCH($M234,VALUESnames,0),""))</f>
        <v/>
      </c>
      <c r="AB234" s="117" t="str">
        <f>IF(AND(OR($A234="G",$A234="P"),NOT($O234="{array}")),IF(VLOOKUP($K234,base!$B$2:$D$18,3,0)="S",IF(OR($O234="",ISTEXT($O234)),"","STRING!"),IF(VLOOKUP($K234,base!$B$2:$D$18,3,0)="","",IF(ISTEXT($O234),"NUMERIC!",""))),"")</f>
        <v/>
      </c>
      <c r="AC234" s="17" t="str">
        <f>IF($AA234="","",IF($B234="I",VLOOKUP($AA234,#REF!,53,0),INDEX(VALUES!$B$1:$CX$1,1,$AA234)))</f>
        <v/>
      </c>
    </row>
    <row r="235" spans="1:29" hidden="1" outlineLevel="1" x14ac:dyDescent="0.3">
      <c r="A235" s="22" t="s">
        <v>84</v>
      </c>
      <c r="B235" s="42" t="str">
        <f t="shared" si="23"/>
        <v/>
      </c>
      <c r="C235" s="43">
        <f t="shared" si="25"/>
        <v>234</v>
      </c>
      <c r="D235" s="39"/>
      <c r="E235" s="39"/>
      <c r="F235" s="39" t="s">
        <v>9</v>
      </c>
      <c r="G235" s="39" t="s">
        <v>9</v>
      </c>
      <c r="H235" s="39"/>
      <c r="I235" s="39" t="s">
        <v>9</v>
      </c>
      <c r="J235" s="39" t="s">
        <v>9</v>
      </c>
      <c r="K235" s="14" t="s">
        <v>24</v>
      </c>
      <c r="L235" s="14" t="s">
        <v>27</v>
      </c>
      <c r="M235" s="20" t="s">
        <v>129</v>
      </c>
      <c r="O235" s="44">
        <v>0</v>
      </c>
      <c r="Q235" s="39" t="s">
        <v>9</v>
      </c>
      <c r="R235" s="39" t="s">
        <v>190</v>
      </c>
      <c r="S235" s="39"/>
      <c r="T235" s="39"/>
      <c r="W235" s="15"/>
      <c r="Z235" s="91" t="str">
        <f>IF(OR($M235="",NOT($O235="{array}")),"",IFERROR(MATCH(PARAMETERS!$M235,DEFAULT!$B$5:$CC$5,0),""))</f>
        <v/>
      </c>
      <c r="AA235" s="86" t="str">
        <f>IF($M235="","",IFERROR(MATCH($M235,VALUESnames,0),""))</f>
        <v/>
      </c>
      <c r="AB235" s="117" t="str">
        <f>IF(AND(OR($A235="G",$A235="P"),NOT($O235="{array}")),IF(VLOOKUP($K235,base!$B$2:$D$18,3,0)="S",IF(OR($O235="",ISTEXT($O235)),"","STRING!"),IF(VLOOKUP($K235,base!$B$2:$D$18,3,0)="","",IF(ISTEXT($O235),"NUMERIC!",""))),"")</f>
        <v/>
      </c>
      <c r="AC235" s="17" t="str">
        <f>IF($AA235="","",IF($B235="I",VLOOKUP($AA235,#REF!,53,0),INDEX(VALUES!$B$1:$CX$1,1,$AA235)))</f>
        <v/>
      </c>
    </row>
    <row r="236" spans="1:29" hidden="1" outlineLevel="1" x14ac:dyDescent="0.3">
      <c r="A236" s="22" t="s">
        <v>84</v>
      </c>
      <c r="B236" s="42" t="str">
        <f t="shared" si="23"/>
        <v/>
      </c>
      <c r="C236" s="43">
        <f t="shared" si="25"/>
        <v>235</v>
      </c>
      <c r="D236" s="39"/>
      <c r="E236" s="39"/>
      <c r="F236" s="39" t="s">
        <v>9</v>
      </c>
      <c r="G236" s="39" t="s">
        <v>9</v>
      </c>
      <c r="H236" s="39"/>
      <c r="I236" s="39" t="s">
        <v>9</v>
      </c>
      <c r="J236" s="39" t="s">
        <v>9</v>
      </c>
      <c r="K236" s="14" t="s">
        <v>24</v>
      </c>
      <c r="L236" s="14" t="s">
        <v>27</v>
      </c>
      <c r="M236" s="20" t="s">
        <v>130</v>
      </c>
      <c r="O236" s="44">
        <v>0</v>
      </c>
      <c r="Q236" s="39" t="s">
        <v>9</v>
      </c>
      <c r="R236" s="39" t="s">
        <v>190</v>
      </c>
      <c r="S236" s="39"/>
      <c r="T236" s="39"/>
      <c r="W236" s="15"/>
      <c r="Z236" s="91" t="str">
        <f>IF(OR($M236="",NOT($O236="{array}")),"",IFERROR(MATCH(PARAMETERS!$M236,DEFAULT!$B$5:$CC$5,0),""))</f>
        <v/>
      </c>
      <c r="AA236" s="86" t="str">
        <f>IF($M236="","",IFERROR(MATCH($M236,VALUESnames,0),""))</f>
        <v/>
      </c>
      <c r="AB236" s="117" t="str">
        <f>IF(AND(OR($A236="G",$A236="P"),NOT($O236="{array}")),IF(VLOOKUP($K236,base!$B$2:$D$18,3,0)="S",IF(OR($O236="",ISTEXT($O236)),"","STRING!"),IF(VLOOKUP($K236,base!$B$2:$D$18,3,0)="","",IF(ISTEXT($O236),"NUMERIC!",""))),"")</f>
        <v/>
      </c>
      <c r="AC236" s="17" t="str">
        <f>IF($AA236="","",IF($B236="I",VLOOKUP($AA236,#REF!,53,0),INDEX(VALUES!$B$1:$CX$1,1,$AA236)))</f>
        <v/>
      </c>
    </row>
    <row r="237" spans="1:29" hidden="1" outlineLevel="1" x14ac:dyDescent="0.3">
      <c r="A237" s="22" t="s">
        <v>84</v>
      </c>
      <c r="B237" s="42" t="str">
        <f t="shared" si="23"/>
        <v/>
      </c>
      <c r="C237" s="43">
        <f t="shared" si="25"/>
        <v>236</v>
      </c>
      <c r="D237" s="39"/>
      <c r="E237" s="39"/>
      <c r="F237" s="39" t="s">
        <v>9</v>
      </c>
      <c r="G237" s="39" t="s">
        <v>9</v>
      </c>
      <c r="H237" s="39"/>
      <c r="I237" s="39" t="s">
        <v>9</v>
      </c>
      <c r="J237" s="39" t="s">
        <v>9</v>
      </c>
      <c r="K237" s="14" t="s">
        <v>24</v>
      </c>
      <c r="L237" s="14" t="s">
        <v>27</v>
      </c>
      <c r="M237" s="20" t="s">
        <v>131</v>
      </c>
      <c r="O237" s="44">
        <v>0</v>
      </c>
      <c r="Q237" s="39" t="s">
        <v>9</v>
      </c>
      <c r="R237" s="39" t="s">
        <v>190</v>
      </c>
      <c r="S237" s="39"/>
      <c r="T237" s="39"/>
      <c r="W237" s="15"/>
      <c r="Z237" s="91" t="str">
        <f>IF(OR($M237="",NOT($O237="{array}")),"",IFERROR(MATCH(PARAMETERS!$M237,DEFAULT!$B$5:$CC$5,0),""))</f>
        <v/>
      </c>
      <c r="AA237" s="86" t="str">
        <f>IF($M237="","",IFERROR(MATCH($M237,VALUESnames,0),""))</f>
        <v/>
      </c>
      <c r="AB237" s="117" t="str">
        <f>IF(AND(OR($A237="G",$A237="P"),NOT($O237="{array}")),IF(VLOOKUP($K237,base!$B$2:$D$18,3,0)="S",IF(OR($O237="",ISTEXT($O237)),"","STRING!"),IF(VLOOKUP($K237,base!$B$2:$D$18,3,0)="","",IF(ISTEXT($O237),"NUMERIC!",""))),"")</f>
        <v/>
      </c>
      <c r="AC237" s="17" t="str">
        <f>IF($AA237="","",IF($B237="I",VLOOKUP($AA237,#REF!,53,0),INDEX(VALUES!$B$1:$CX$1,1,$AA237)))</f>
        <v/>
      </c>
    </row>
    <row r="238" spans="1:29" hidden="1" outlineLevel="1" x14ac:dyDescent="0.3">
      <c r="A238" s="22" t="s">
        <v>84</v>
      </c>
      <c r="B238" s="42" t="str">
        <f t="shared" si="23"/>
        <v/>
      </c>
      <c r="C238" s="43">
        <f t="shared" si="25"/>
        <v>237</v>
      </c>
      <c r="D238" s="39"/>
      <c r="E238" s="39"/>
      <c r="F238" s="39" t="s">
        <v>9</v>
      </c>
      <c r="G238" s="39" t="s">
        <v>9</v>
      </c>
      <c r="H238" s="39"/>
      <c r="I238" s="39" t="s">
        <v>9</v>
      </c>
      <c r="J238" s="39" t="s">
        <v>9</v>
      </c>
      <c r="K238" s="14" t="s">
        <v>24</v>
      </c>
      <c r="L238" s="14" t="s">
        <v>27</v>
      </c>
      <c r="M238" s="20" t="s">
        <v>132</v>
      </c>
      <c r="O238" s="44">
        <v>0</v>
      </c>
      <c r="Q238" s="39" t="s">
        <v>9</v>
      </c>
      <c r="R238" s="39" t="s">
        <v>190</v>
      </c>
      <c r="S238" s="39"/>
      <c r="T238" s="39"/>
      <c r="W238" s="15"/>
      <c r="Z238" s="91" t="str">
        <f>IF(OR($M238="",NOT($O238="{array}")),"",IFERROR(MATCH(PARAMETERS!$M238,DEFAULT!$B$5:$CC$5,0),""))</f>
        <v/>
      </c>
      <c r="AA238" s="86" t="str">
        <f t="shared" ref="AA238:AA298" si="26">IF($M238="","",IFERROR(MATCH($M238,VALUESnames,0),""))</f>
        <v/>
      </c>
      <c r="AB238" s="117" t="str">
        <f>IF(AND(OR($A238="G",$A238="P"),NOT($O238="{array}")),IF(VLOOKUP($K238,base!$B$2:$D$18,3,0)="S",IF(OR($O238="",ISTEXT($O238)),"","STRING!"),IF(VLOOKUP($K238,base!$B$2:$D$18,3,0)="","",IF(ISTEXT($O238),"NUMERIC!",""))),"")</f>
        <v/>
      </c>
      <c r="AC238" s="17" t="str">
        <f>IF($AA238="","",IF($B238="I",VLOOKUP($AA238,#REF!,53,0),INDEX(VALUES!$B$1:$CX$1,1,$AA238)))</f>
        <v/>
      </c>
    </row>
    <row r="239" spans="1:29" hidden="1" outlineLevel="1" x14ac:dyDescent="0.3">
      <c r="A239" s="22" t="s">
        <v>84</v>
      </c>
      <c r="B239" s="42" t="str">
        <f t="shared" si="23"/>
        <v>A</v>
      </c>
      <c r="C239" s="43">
        <f t="shared" si="25"/>
        <v>238</v>
      </c>
      <c r="D239" s="39"/>
      <c r="E239" s="39"/>
      <c r="F239" s="39" t="s">
        <v>9</v>
      </c>
      <c r="G239" s="39" t="s">
        <v>9</v>
      </c>
      <c r="H239" s="39"/>
      <c r="I239" s="39" t="s">
        <v>9</v>
      </c>
      <c r="J239" s="39" t="s">
        <v>9</v>
      </c>
      <c r="K239" s="14" t="s">
        <v>24</v>
      </c>
      <c r="L239" s="14" t="s">
        <v>27</v>
      </c>
      <c r="M239" s="20" t="s">
        <v>133</v>
      </c>
      <c r="O239" s="44" t="s">
        <v>33</v>
      </c>
      <c r="Q239" s="39" t="s">
        <v>9</v>
      </c>
      <c r="R239" s="39" t="s">
        <v>190</v>
      </c>
      <c r="S239" s="39"/>
      <c r="T239" s="39"/>
      <c r="W239" s="15"/>
      <c r="Z239" s="91">
        <f>IF(OR($M239="",NOT($O239="{array}")),"",IFERROR(MATCH(PARAMETERS!$M239,DEFAULT!$B$5:$CC$5,0),""))</f>
        <v>15</v>
      </c>
      <c r="AA239" s="86" t="str">
        <f t="shared" si="26"/>
        <v/>
      </c>
      <c r="AB239" s="117" t="str">
        <f>IF(AND(OR($A239="G",$A239="P"),NOT($O239="{array}")),IF(VLOOKUP($K239,base!$B$2:$D$18,3,0)="S",IF(OR($O239="",ISTEXT($O239)),"","STRING!"),IF(VLOOKUP($K239,base!$B$2:$D$18,3,0)="","",IF(ISTEXT($O239),"NUMERIC!",""))),"")</f>
        <v/>
      </c>
      <c r="AC239" s="17" t="str">
        <f>IF($AA239="","",IF($B239="I",VLOOKUP($AA239,#REF!,53,0),INDEX(VALUES!$B$1:$CX$1,1,$AA239)))</f>
        <v/>
      </c>
    </row>
    <row r="240" spans="1:29" collapsed="1" x14ac:dyDescent="0.3">
      <c r="A240" s="22"/>
      <c r="B240" s="42" t="str">
        <f t="shared" si="23"/>
        <v/>
      </c>
      <c r="C240" s="43">
        <f t="shared" si="25"/>
        <v>239</v>
      </c>
      <c r="D240" s="39"/>
      <c r="E240" s="39"/>
      <c r="F240" s="39"/>
      <c r="G240" s="39"/>
      <c r="H240" s="39"/>
      <c r="I240" s="39"/>
      <c r="J240" s="39"/>
      <c r="R240" s="39"/>
      <c r="S240" s="39"/>
      <c r="T240" s="39"/>
      <c r="Z240" s="91" t="str">
        <f>IF(OR($M240="",NOT($O240="{array}")),"",IFERROR(MATCH(PARAMETERS!$M240,DEFAULT!$B$5:$CC$5,0),""))</f>
        <v/>
      </c>
      <c r="AA240" s="86" t="str">
        <f t="shared" si="26"/>
        <v/>
      </c>
      <c r="AB240" s="117" t="str">
        <f>IF(AND(OR($A240="G",$A240="P"),NOT($O240="{array}")),IF(VLOOKUP($K240,base!$B$2:$D$18,3,0)="S",IF(OR($O240="",ISTEXT($O240)),"","STRING!"),IF(VLOOKUP($K240,base!$B$2:$D$18,3,0)="","",IF(ISTEXT($O240),"NUMERIC!",""))),"")</f>
        <v/>
      </c>
      <c r="AC240" s="17" t="str">
        <f>IF($AA240="","",IF($B240="I",VLOOKUP($AA240,#REF!,53,0),INDEX(VALUES!$B$1:$CX$1,1,$AA240)))</f>
        <v/>
      </c>
    </row>
    <row r="241" spans="1:29" x14ac:dyDescent="0.3">
      <c r="A241" s="22"/>
      <c r="B241" s="42" t="str">
        <f t="shared" si="23"/>
        <v/>
      </c>
      <c r="C241" s="43">
        <f t="shared" si="25"/>
        <v>240</v>
      </c>
      <c r="D241" s="39"/>
      <c r="E241" s="39"/>
      <c r="F241" s="39"/>
      <c r="G241" s="39"/>
      <c r="H241" s="39"/>
      <c r="I241" s="39"/>
      <c r="J241" s="39"/>
      <c r="R241" s="39"/>
      <c r="S241" s="39"/>
      <c r="T241" s="39"/>
      <c r="Z241" s="91" t="str">
        <f>IF(OR($M241="",NOT($O241="{array}")),"",IFERROR(MATCH(PARAMETERS!$M241,DEFAULT!$B$5:$CC$5,0),""))</f>
        <v/>
      </c>
      <c r="AA241" s="86" t="str">
        <f t="shared" si="26"/>
        <v/>
      </c>
      <c r="AB241" s="117" t="str">
        <f>IF(AND(OR($A241="G",$A241="P"),NOT($O241="{array}")),IF(VLOOKUP($K241,base!$B$2:$D$18,3,0)="S",IF(OR($O241="",ISTEXT($O241)),"","STRING!"),IF(VLOOKUP($K241,base!$B$2:$D$18,3,0)="","",IF(ISTEXT($O241),"NUMERIC!",""))),"")</f>
        <v/>
      </c>
      <c r="AC241" s="17" t="str">
        <f>IF($AA241="","",IF($B241="I",VLOOKUP($AA241,#REF!,53,0),INDEX(VALUES!$B$1:$CX$1,1,$AA241)))</f>
        <v/>
      </c>
    </row>
    <row r="242" spans="1:29" collapsed="1" x14ac:dyDescent="0.3">
      <c r="A242" s="22" t="s">
        <v>844</v>
      </c>
      <c r="B242" s="42"/>
      <c r="C242" s="43"/>
      <c r="D242" s="39"/>
      <c r="E242" s="39"/>
      <c r="F242" s="39"/>
      <c r="G242" s="39"/>
      <c r="H242" s="39"/>
      <c r="I242" s="39"/>
      <c r="J242" s="39"/>
      <c r="R242" s="39"/>
      <c r="S242" s="39"/>
      <c r="T242" s="39"/>
      <c r="Z242" s="91" t="str">
        <f>IF(OR($M242="",NOT($O242="{array}")),"",IFERROR(MATCH(PARAMETERS!$M242,DEFAULT!$B$5:$CC$5,0),""))</f>
        <v/>
      </c>
      <c r="AA242" s="86" t="str">
        <f t="shared" si="26"/>
        <v/>
      </c>
      <c r="AB242" s="117" t="str">
        <f>IF(AND(OR($A242="G",$A242="P"),NOT($O242="{array}")),IF(VLOOKUP($K242,base!$B$2:$D$18,3,0)="S",IF(OR($O242="",ISTEXT($O242)),"","STRING!"),IF(VLOOKUP($K242,base!$B$2:$D$18,3,0)="","",IF(ISTEXT($O242),"NUMERIC!",""))),"")</f>
        <v/>
      </c>
      <c r="AC242" s="17" t="str">
        <f>IF($AA242="","",IF($B242="I",VLOOKUP($AA242,#REF!,53,0),INDEX(VALUES!$B$1:$CX$1,1,$AA242)))</f>
        <v/>
      </c>
    </row>
    <row r="243" spans="1:29" collapsed="1" x14ac:dyDescent="0.3">
      <c r="A243" s="22" t="s">
        <v>84</v>
      </c>
      <c r="B243" s="42" t="str">
        <f t="shared" si="23"/>
        <v/>
      </c>
      <c r="C243" s="43">
        <f t="shared" ref="C243:C252" si="27">(ROW()-1)</f>
        <v>242</v>
      </c>
      <c r="D243" s="39"/>
      <c r="E243" s="39"/>
      <c r="F243" s="39" t="s">
        <v>9</v>
      </c>
      <c r="G243" s="39" t="s">
        <v>9</v>
      </c>
      <c r="H243" s="39"/>
      <c r="I243" s="39"/>
      <c r="J243" s="39"/>
      <c r="K243" s="14" t="s">
        <v>57</v>
      </c>
      <c r="L243" s="14" t="s">
        <v>38</v>
      </c>
      <c r="M243" s="49" t="s">
        <v>845</v>
      </c>
      <c r="N243" s="42" t="s">
        <v>846</v>
      </c>
      <c r="R243" s="39" t="s">
        <v>190</v>
      </c>
      <c r="S243" s="39"/>
      <c r="T243" s="39"/>
      <c r="Z243" s="91" t="str">
        <f>IF(OR($M243="",NOT($O243="{array}")),"",IFERROR(MATCH(PARAMETERS!$M243,DEFAULT!$B$5:$CC$5,0),""))</f>
        <v/>
      </c>
      <c r="AA243" s="86" t="str">
        <f t="shared" si="26"/>
        <v/>
      </c>
      <c r="AB243" s="117" t="str">
        <f>IF(AND(OR($A243="G",$A243="P"),NOT($O243="{array}")),IF(VLOOKUP($K243,base!$B$2:$D$18,3,0)="S",IF(OR($O243="",ISTEXT($O243)),"","STRING!"),IF(VLOOKUP($K243,base!$B$2:$D$18,3,0)="","",IF(ISTEXT($O243),"NUMERIC!",""))),"")</f>
        <v/>
      </c>
      <c r="AC243" s="17" t="str">
        <f>IF($AA243="","",IF($B243="I",VLOOKUP($AA243,#REF!,53,0),INDEX(VALUES!$B$1:$CX$1,1,$AA243)))</f>
        <v/>
      </c>
    </row>
    <row r="244" spans="1:29" x14ac:dyDescent="0.3">
      <c r="A244" s="22" t="s">
        <v>84</v>
      </c>
      <c r="B244" s="42" t="str">
        <f t="shared" si="23"/>
        <v/>
      </c>
      <c r="C244" s="43">
        <f t="shared" si="27"/>
        <v>243</v>
      </c>
      <c r="D244" s="39"/>
      <c r="E244" s="39"/>
      <c r="F244" s="39" t="s">
        <v>9</v>
      </c>
      <c r="G244" s="39"/>
      <c r="H244" s="39"/>
      <c r="I244" s="39"/>
      <c r="J244" s="39"/>
      <c r="K244" s="14" t="s">
        <v>57</v>
      </c>
      <c r="L244" s="14" t="s">
        <v>38</v>
      </c>
      <c r="M244" s="49" t="s">
        <v>847</v>
      </c>
      <c r="N244" s="42" t="s">
        <v>848</v>
      </c>
      <c r="R244" s="39" t="s">
        <v>190</v>
      </c>
      <c r="S244" s="39"/>
      <c r="T244" s="39"/>
      <c r="Z244" s="91" t="str">
        <f>IF(OR($M244="",NOT($O244="{array}")),"",IFERROR(MATCH(PARAMETERS!$M244,DEFAULT!$B$5:$CC$5,0),""))</f>
        <v/>
      </c>
      <c r="AA244" s="86" t="str">
        <f t="shared" si="26"/>
        <v/>
      </c>
      <c r="AB244" s="117" t="str">
        <f>IF(AND(OR($A244="G",$A244="P"),NOT($O244="{array}")),IF(VLOOKUP($K244,base!$B$2:$D$18,3,0)="S",IF(OR($O244="",ISTEXT($O244)),"","STRING!"),IF(VLOOKUP($K244,base!$B$2:$D$18,3,0)="","",IF(ISTEXT($O244),"NUMERIC!",""))),"")</f>
        <v/>
      </c>
      <c r="AC244" s="17" t="str">
        <f>IF($AA244="","",IF($B244="I",VLOOKUP($AA244,#REF!,53,0),INDEX(VALUES!$B$1:$CX$1,1,$AA244)))</f>
        <v/>
      </c>
    </row>
    <row r="245" spans="1:29" hidden="1" outlineLevel="1" x14ac:dyDescent="0.3">
      <c r="A245" s="22" t="s">
        <v>84</v>
      </c>
      <c r="B245" s="42" t="str">
        <f t="shared" si="23"/>
        <v>A</v>
      </c>
      <c r="C245" s="43">
        <f t="shared" si="27"/>
        <v>244</v>
      </c>
      <c r="D245" s="39"/>
      <c r="E245" s="39"/>
      <c r="F245" s="39"/>
      <c r="G245" s="39"/>
      <c r="H245" s="39"/>
      <c r="I245" s="39" t="s">
        <v>9</v>
      </c>
      <c r="J245" s="39"/>
      <c r="K245" s="14" t="s">
        <v>52</v>
      </c>
      <c r="L245" s="14" t="s">
        <v>27</v>
      </c>
      <c r="M245" s="122" t="s">
        <v>849</v>
      </c>
      <c r="N245" s="14" t="s">
        <v>850</v>
      </c>
      <c r="O245" s="44" t="s">
        <v>33</v>
      </c>
      <c r="R245" s="39" t="s">
        <v>343</v>
      </c>
      <c r="S245" s="39"/>
      <c r="T245" s="39"/>
      <c r="Z245" s="91">
        <f>IF(OR($M245="",NOT($O245="{array}")),"",IFERROR(MATCH(PARAMETERS!$M245,DEFAULT!$B$5:$CC$5,0),""))</f>
        <v>76</v>
      </c>
      <c r="AA245" s="86" t="str">
        <f t="shared" si="26"/>
        <v/>
      </c>
      <c r="AB245" s="117" t="str">
        <f>IF(AND(OR($A245="G",$A245="P"),NOT($O245="{array}")),IF(VLOOKUP($K245,base!$B$2:$D$18,3,0)="S",IF(OR($O245="",ISTEXT($O245)),"","STRING!"),IF(VLOOKUP($K245,base!$B$2:$D$18,3,0)="","",IF(ISTEXT($O245),"NUMERIC!",""))),"")</f>
        <v/>
      </c>
      <c r="AC245" s="17" t="str">
        <f>IF($AA245="","",IF($B245="I",VLOOKUP($AA245,#REF!,53,0),INDEX(VALUES!$B$1:$CX$1,1,$AA245)))</f>
        <v/>
      </c>
    </row>
    <row r="246" spans="1:29" collapsed="1" x14ac:dyDescent="0.3">
      <c r="A246" s="22" t="s">
        <v>84</v>
      </c>
      <c r="B246" s="42" t="str">
        <f t="shared" si="23"/>
        <v/>
      </c>
      <c r="C246" s="43">
        <f t="shared" si="27"/>
        <v>245</v>
      </c>
      <c r="D246" s="39"/>
      <c r="E246" s="39"/>
      <c r="F246" s="39" t="s">
        <v>9</v>
      </c>
      <c r="G246" s="39"/>
      <c r="H246" s="39"/>
      <c r="I246" s="39"/>
      <c r="J246" s="39"/>
      <c r="K246" s="14" t="s">
        <v>57</v>
      </c>
      <c r="L246" s="14" t="s">
        <v>38</v>
      </c>
      <c r="M246" s="49" t="s">
        <v>851</v>
      </c>
      <c r="N246" s="42" t="s">
        <v>852</v>
      </c>
      <c r="R246" s="39" t="s">
        <v>190</v>
      </c>
      <c r="S246" s="39"/>
      <c r="T246" s="39"/>
      <c r="Z246" s="91" t="str">
        <f>IF(OR($M246="",NOT($O246="{array}")),"",IFERROR(MATCH(PARAMETERS!$M246,DEFAULT!$B$5:$CC$5,0),""))</f>
        <v/>
      </c>
      <c r="AA246" s="86" t="str">
        <f t="shared" si="26"/>
        <v/>
      </c>
      <c r="AB246" s="117" t="str">
        <f>IF(AND(OR($A246="G",$A246="P"),NOT($O246="{array}")),IF(VLOOKUP($K246,base!$B$2:$D$18,3,0)="S",IF(OR($O246="",ISTEXT($O246)),"","STRING!"),IF(VLOOKUP($K246,base!$B$2:$D$18,3,0)="","",IF(ISTEXT($O246),"NUMERIC!",""))),"")</f>
        <v/>
      </c>
      <c r="AC246" s="17" t="str">
        <f>IF($AA246="","",IF($B246="I",VLOOKUP($AA246,#REF!,53,0),INDEX(VALUES!$B$1:$CX$1,1,$AA246)))</f>
        <v/>
      </c>
    </row>
    <row r="247" spans="1:29" hidden="1" outlineLevel="1" x14ac:dyDescent="0.3">
      <c r="A247" s="22" t="s">
        <v>84</v>
      </c>
      <c r="B247" s="42" t="str">
        <f t="shared" si="23"/>
        <v>A</v>
      </c>
      <c r="C247" s="43">
        <f t="shared" si="27"/>
        <v>246</v>
      </c>
      <c r="D247" s="39"/>
      <c r="E247" s="39"/>
      <c r="F247" s="39"/>
      <c r="G247" s="39"/>
      <c r="H247" s="39"/>
      <c r="I247" s="39" t="s">
        <v>9</v>
      </c>
      <c r="J247" s="39"/>
      <c r="K247" s="14" t="s">
        <v>53</v>
      </c>
      <c r="L247" s="14" t="s">
        <v>27</v>
      </c>
      <c r="M247" s="122" t="s">
        <v>853</v>
      </c>
      <c r="N247" s="14" t="s">
        <v>854</v>
      </c>
      <c r="O247" s="44" t="s">
        <v>33</v>
      </c>
      <c r="R247" s="39" t="s">
        <v>343</v>
      </c>
      <c r="S247" s="39"/>
      <c r="T247" s="39"/>
      <c r="Z247" s="91">
        <f>IF(OR($M247="",NOT($O247="{array}")),"",IFERROR(MATCH(PARAMETERS!$M247,DEFAULT!$B$5:$CC$5,0),""))</f>
        <v>70</v>
      </c>
      <c r="AA247" s="86" t="str">
        <f t="shared" si="26"/>
        <v/>
      </c>
      <c r="AB247" s="117" t="str">
        <f>IF(AND(OR($A247="G",$A247="P"),NOT($O247="{array}")),IF(VLOOKUP($K247,base!$B$2:$D$18,3,0)="S",IF(OR($O247="",ISTEXT($O247)),"","STRING!"),IF(VLOOKUP($K247,base!$B$2:$D$18,3,0)="","",IF(ISTEXT($O247),"NUMERIC!",""))),"")</f>
        <v/>
      </c>
      <c r="AC247" s="17" t="str">
        <f>IF($AA247="","",IF($B247="I",VLOOKUP($AA247,#REF!,53,0),INDEX(VALUES!$B$1:$CX$1,1,$AA247)))</f>
        <v/>
      </c>
    </row>
    <row r="248" spans="1:29" hidden="1" outlineLevel="1" x14ac:dyDescent="0.3">
      <c r="A248" s="22" t="s">
        <v>84</v>
      </c>
      <c r="B248" s="42" t="str">
        <f t="shared" si="23"/>
        <v>A</v>
      </c>
      <c r="C248" s="43">
        <f t="shared" si="27"/>
        <v>247</v>
      </c>
      <c r="D248" s="39"/>
      <c r="E248" s="39"/>
      <c r="F248" s="39"/>
      <c r="G248" s="39"/>
      <c r="H248" s="39"/>
      <c r="I248" s="39" t="s">
        <v>9</v>
      </c>
      <c r="J248" s="39"/>
      <c r="K248" s="14" t="s">
        <v>53</v>
      </c>
      <c r="L248" s="14" t="s">
        <v>27</v>
      </c>
      <c r="M248" s="122" t="s">
        <v>855</v>
      </c>
      <c r="N248" s="14" t="s">
        <v>856</v>
      </c>
      <c r="O248" s="44" t="s">
        <v>33</v>
      </c>
      <c r="R248" s="39" t="s">
        <v>343</v>
      </c>
      <c r="S248" s="39"/>
      <c r="T248" s="39"/>
      <c r="Z248" s="91">
        <f>IF(OR($M248="",NOT($O248="{array}")),"",IFERROR(MATCH(PARAMETERS!$M248,DEFAULT!$B$5:$CC$5,0),""))</f>
        <v>72</v>
      </c>
      <c r="AA248" s="86" t="str">
        <f t="shared" si="26"/>
        <v/>
      </c>
      <c r="AB248" s="117" t="str">
        <f>IF(AND(OR($A248="G",$A248="P"),NOT($O248="{array}")),IF(VLOOKUP($K248,base!$B$2:$D$18,3,0)="S",IF(OR($O248="",ISTEXT($O248)),"","STRING!"),IF(VLOOKUP($K248,base!$B$2:$D$18,3,0)="","",IF(ISTEXT($O248),"NUMERIC!",""))),"")</f>
        <v/>
      </c>
      <c r="AC248" s="17" t="str">
        <f>IF($AA248="","",IF($B248="I",VLOOKUP($AA248,#REF!,53,0),INDEX(VALUES!$B$1:$CX$1,1,$AA248)))</f>
        <v/>
      </c>
    </row>
    <row r="249" spans="1:29" hidden="1" outlineLevel="1" x14ac:dyDescent="0.3">
      <c r="A249" s="22" t="s">
        <v>84</v>
      </c>
      <c r="B249" s="42" t="str">
        <f t="shared" si="23"/>
        <v>A</v>
      </c>
      <c r="C249" s="43">
        <f t="shared" si="27"/>
        <v>248</v>
      </c>
      <c r="D249" s="39"/>
      <c r="E249" s="39"/>
      <c r="F249" s="39"/>
      <c r="G249" s="39"/>
      <c r="H249" s="39"/>
      <c r="I249" s="39" t="s">
        <v>9</v>
      </c>
      <c r="J249" s="39"/>
      <c r="K249" s="14" t="s">
        <v>53</v>
      </c>
      <c r="L249" s="14" t="s">
        <v>27</v>
      </c>
      <c r="M249" s="122" t="s">
        <v>857</v>
      </c>
      <c r="N249" s="14" t="s">
        <v>858</v>
      </c>
      <c r="O249" s="44" t="s">
        <v>33</v>
      </c>
      <c r="R249" s="39" t="s">
        <v>343</v>
      </c>
      <c r="S249" s="39"/>
      <c r="T249" s="39"/>
      <c r="Z249" s="91">
        <f>IF(OR($M249="",NOT($O249="{array}")),"",IFERROR(MATCH(PARAMETERS!$M249,DEFAULT!$B$5:$CC$5,0),""))</f>
        <v>74</v>
      </c>
      <c r="AA249" s="86" t="str">
        <f t="shared" si="26"/>
        <v/>
      </c>
      <c r="AB249" s="117" t="str">
        <f>IF(AND(OR($A249="G",$A249="P"),NOT($O249="{array}")),IF(VLOOKUP($K249,base!$B$2:$D$18,3,0)="S",IF(OR($O249="",ISTEXT($O249)),"","STRING!"),IF(VLOOKUP($K249,base!$B$2:$D$18,3,0)="","",IF(ISTEXT($O249),"NUMERIC!",""))),"")</f>
        <v/>
      </c>
      <c r="AC249" s="17" t="str">
        <f>IF($AA249="","",IF($B249="I",VLOOKUP($AA249,#REF!,53,0),INDEX(VALUES!$B$1:$CX$1,1,$AA249)))</f>
        <v/>
      </c>
    </row>
    <row r="250" spans="1:29" collapsed="1" x14ac:dyDescent="0.3">
      <c r="A250" s="22"/>
      <c r="B250" s="42" t="str">
        <f t="shared" si="23"/>
        <v/>
      </c>
      <c r="C250" s="43">
        <f t="shared" si="27"/>
        <v>249</v>
      </c>
      <c r="D250" s="39"/>
      <c r="E250" s="39"/>
      <c r="F250" s="39" t="s">
        <v>9</v>
      </c>
      <c r="G250" s="39"/>
      <c r="H250" s="39"/>
      <c r="I250" s="39"/>
      <c r="J250" s="39"/>
      <c r="K250" s="14" t="s">
        <v>57</v>
      </c>
      <c r="L250" s="14" t="s">
        <v>38</v>
      </c>
      <c r="M250" s="49" t="s">
        <v>859</v>
      </c>
      <c r="N250" s="42" t="s">
        <v>860</v>
      </c>
      <c r="R250" s="39" t="s">
        <v>190</v>
      </c>
      <c r="S250" s="39"/>
      <c r="T250" s="39"/>
      <c r="Z250" s="91" t="str">
        <f>IF(OR($M250="",NOT($O250="{array}")),"",IFERROR(MATCH(PARAMETERS!$M250,DEFAULT!$B$5:$CC$5,0),""))</f>
        <v/>
      </c>
      <c r="AA250" s="86" t="str">
        <f t="shared" si="26"/>
        <v/>
      </c>
      <c r="AB250" s="117" t="str">
        <f>IF(AND(OR($A250="G",$A250="P"),NOT($O250="{array}")),IF(VLOOKUP($K250,base!$B$2:$D$18,3,0)="S",IF(OR($O250="",ISTEXT($O250)),"","STRING!"),IF(VLOOKUP($K250,base!$B$2:$D$18,3,0)="","",IF(ISTEXT($O250),"NUMERIC!",""))),"")</f>
        <v/>
      </c>
      <c r="AC250" s="17" t="str">
        <f>IF($AA250="","",IF($B250="I",VLOOKUP($AA250,#REF!,53,0),INDEX(VALUES!$B$1:$CX$1,1,$AA250)))</f>
        <v/>
      </c>
    </row>
    <row r="251" spans="1:29" hidden="1" outlineLevel="1" x14ac:dyDescent="0.3">
      <c r="A251" s="22" t="s">
        <v>84</v>
      </c>
      <c r="B251" s="42" t="str">
        <f t="shared" si="23"/>
        <v>A</v>
      </c>
      <c r="C251" s="43">
        <f t="shared" si="27"/>
        <v>250</v>
      </c>
      <c r="D251" s="39"/>
      <c r="E251" s="39"/>
      <c r="F251" s="39"/>
      <c r="G251" s="39"/>
      <c r="H251" s="39"/>
      <c r="I251" s="39" t="s">
        <v>9</v>
      </c>
      <c r="J251" s="39"/>
      <c r="K251" s="14" t="s">
        <v>50</v>
      </c>
      <c r="L251" s="14" t="s">
        <v>27</v>
      </c>
      <c r="M251" s="122" t="s">
        <v>842</v>
      </c>
      <c r="N251" s="14" t="s">
        <v>843</v>
      </c>
      <c r="O251" s="44" t="s">
        <v>33</v>
      </c>
      <c r="R251" s="39" t="s">
        <v>343</v>
      </c>
      <c r="S251" s="39"/>
      <c r="T251" s="39"/>
      <c r="Z251" s="91">
        <f>IF(OR($M251="",NOT($O251="{array}")),"",IFERROR(MATCH(PARAMETERS!$M251,DEFAULT!$B$5:$CC$5,0),""))</f>
        <v>78</v>
      </c>
      <c r="AA251" s="86" t="str">
        <f t="shared" si="26"/>
        <v/>
      </c>
      <c r="AB251" s="117" t="str">
        <f>IF(AND(OR($A251="G",$A251="P"),NOT($O251="{array}")),IF(VLOOKUP($K251,base!$B$2:$D$18,3,0)="S",IF(OR($O251="",ISTEXT($O251)),"","STRING!"),IF(VLOOKUP($K251,base!$B$2:$D$18,3,0)="","",IF(ISTEXT($O251),"NUMERIC!",""))),"")</f>
        <v/>
      </c>
      <c r="AC251" s="17" t="str">
        <f>IF($AA251="","",IF($B251="I",VLOOKUP($AA251,#REF!,53,0),INDEX(VALUES!$B$1:$CX$1,1,$AA251)))</f>
        <v/>
      </c>
    </row>
    <row r="252" spans="1:29" hidden="1" outlineLevel="1" x14ac:dyDescent="0.3">
      <c r="A252" s="22" t="s">
        <v>84</v>
      </c>
      <c r="B252" s="42" t="str">
        <f t="shared" si="23"/>
        <v/>
      </c>
      <c r="C252" s="43">
        <f t="shared" si="27"/>
        <v>251</v>
      </c>
      <c r="D252" s="39"/>
      <c r="E252" s="39"/>
      <c r="F252" s="39"/>
      <c r="G252" s="39"/>
      <c r="H252" s="39"/>
      <c r="I252" s="39" t="s">
        <v>9</v>
      </c>
      <c r="J252" s="39"/>
      <c r="K252" s="14" t="s">
        <v>50</v>
      </c>
      <c r="L252" s="14" t="s">
        <v>27</v>
      </c>
      <c r="M252" s="122" t="s">
        <v>937</v>
      </c>
      <c r="N252" s="14" t="s">
        <v>938</v>
      </c>
      <c r="O252" s="44">
        <v>0</v>
      </c>
      <c r="R252" s="39" t="s">
        <v>343</v>
      </c>
      <c r="S252" s="39"/>
      <c r="T252" s="39"/>
      <c r="Z252" s="91" t="str">
        <f>IF(OR($M252="",NOT($O252="{array}")),"",IFERROR(MATCH(PARAMETERS!$M252,DEFAULT!$B$5:$CC$5,0),""))</f>
        <v/>
      </c>
      <c r="AA252" s="86" t="str">
        <f t="shared" si="26"/>
        <v/>
      </c>
      <c r="AB252" s="117" t="str">
        <f>IF(AND(OR($A252="G",$A252="P"),NOT($O252="{array}")),IF(VLOOKUP($K252,base!$B$2:$D$18,3,0)="S",IF(OR($O252="",ISTEXT($O252)),"","STRING!"),IF(VLOOKUP($K252,base!$B$2:$D$18,3,0)="","",IF(ISTEXT($O252),"NUMERIC!",""))),"")</f>
        <v/>
      </c>
      <c r="AC252" s="17" t="str">
        <f>IF($AA252="","",IF($B252="I",VLOOKUP($AA252,#REF!,53,0),INDEX(VALUES!$B$1:$CX$1,1,$AA252)))</f>
        <v/>
      </c>
    </row>
    <row r="253" spans="1:29" collapsed="1" x14ac:dyDescent="0.3">
      <c r="A253" s="22" t="s">
        <v>483</v>
      </c>
      <c r="B253" s="42"/>
      <c r="C253" s="43"/>
      <c r="D253" s="39"/>
      <c r="E253" s="39"/>
      <c r="F253" s="39"/>
      <c r="G253" s="39"/>
      <c r="H253" s="39"/>
      <c r="I253" s="39"/>
      <c r="J253" s="39"/>
      <c r="L253" s="60"/>
      <c r="M253" s="14"/>
      <c r="R253" s="39"/>
      <c r="S253" s="39"/>
      <c r="T253" s="39"/>
      <c r="Z253" s="91" t="str">
        <f>IF(OR($M253="",NOT($O253="{array}")),"",IFERROR(MATCH(PARAMETERS!$M253,DEFAULT!$B$5:$CC$5,0),""))</f>
        <v/>
      </c>
      <c r="AA253" s="86" t="str">
        <f t="shared" si="26"/>
        <v/>
      </c>
      <c r="AB253" s="117" t="str">
        <f>IF(AND(OR($A253="G",$A253="P"),NOT($O253="{array}")),IF(VLOOKUP($K253,base!$B$2:$D$18,3,0)="S",IF(OR($O253="",ISTEXT($O253)),"","STRING!"),IF(VLOOKUP($K253,base!$B$2:$D$18,3,0)="","",IF(ISTEXT($O253),"NUMERIC!",""))),"")</f>
        <v/>
      </c>
      <c r="AC253" s="17" t="str">
        <f>IF($AA253="","",IF($B253="I",VLOOKUP($AA253,#REF!,53,0),INDEX(VALUES!$B$1:$CX$1,1,$AA253)))</f>
        <v/>
      </c>
    </row>
    <row r="254" spans="1:29" x14ac:dyDescent="0.3">
      <c r="A254" s="22" t="s">
        <v>84</v>
      </c>
      <c r="B254" s="42" t="str">
        <f t="shared" si="23"/>
        <v/>
      </c>
      <c r="C254" s="43">
        <f>(ROW()-1)</f>
        <v>253</v>
      </c>
      <c r="D254" s="39"/>
      <c r="E254" s="39"/>
      <c r="F254" s="39"/>
      <c r="G254" s="39"/>
      <c r="H254" s="39"/>
      <c r="I254" s="39"/>
      <c r="J254" s="39"/>
      <c r="K254" s="67" t="s">
        <v>57</v>
      </c>
      <c r="L254" s="67" t="s">
        <v>38</v>
      </c>
      <c r="M254" s="95" t="s">
        <v>484</v>
      </c>
      <c r="N254" s="96" t="s">
        <v>485</v>
      </c>
      <c r="O254" s="97"/>
      <c r="R254" s="39" t="s">
        <v>343</v>
      </c>
      <c r="S254" s="39"/>
      <c r="T254" s="39"/>
      <c r="Z254" s="91" t="str">
        <f>IF(OR($M254="",NOT($O254="{array}")),"",IFERROR(MATCH(PARAMETERS!$M254,DEFAULT!$B$5:$CC$5,0),""))</f>
        <v/>
      </c>
      <c r="AA254" s="86" t="str">
        <f t="shared" si="26"/>
        <v/>
      </c>
      <c r="AB254" s="117" t="str">
        <f>IF(AND(OR($A254="G",$A254="P"),NOT($O254="{array}")),IF(VLOOKUP($K254,base!$B$2:$D$18,3,0)="S",IF(OR($O254="",ISTEXT($O254)),"","STRING!"),IF(VLOOKUP($K254,base!$B$2:$D$18,3,0)="","",IF(ISTEXT($O254),"NUMERIC!",""))),"")</f>
        <v/>
      </c>
      <c r="AC254" s="17" t="str">
        <f>IF($AA254="","",IF($B254="I",VLOOKUP($AA254,#REF!,53,0),INDEX(VALUES!$B$1:$CX$1,1,$AA254)))</f>
        <v/>
      </c>
    </row>
    <row r="255" spans="1:29" hidden="1" outlineLevel="1" x14ac:dyDescent="0.3">
      <c r="A255" s="22" t="s">
        <v>84</v>
      </c>
      <c r="B255" s="42" t="str">
        <f t="shared" si="23"/>
        <v/>
      </c>
      <c r="C255" s="43">
        <f>(ROW()-1)</f>
        <v>254</v>
      </c>
      <c r="D255" s="39"/>
      <c r="E255" s="39"/>
      <c r="F255" s="39"/>
      <c r="G255" s="39"/>
      <c r="H255" s="39"/>
      <c r="I255" s="39" t="s">
        <v>9</v>
      </c>
      <c r="J255" s="39"/>
      <c r="K255" s="67" t="s">
        <v>44</v>
      </c>
      <c r="L255" s="67" t="s">
        <v>32</v>
      </c>
      <c r="M255" s="100" t="s">
        <v>486</v>
      </c>
      <c r="N255" s="67" t="s">
        <v>488</v>
      </c>
      <c r="O255" s="97">
        <v>0</v>
      </c>
      <c r="R255" s="39" t="s">
        <v>343</v>
      </c>
      <c r="S255" s="39"/>
      <c r="T255" s="39"/>
      <c r="Z255" s="91" t="str">
        <f>IF(OR($M255="",NOT($O255="{array}")),"",IFERROR(MATCH(PARAMETERS!$M255,DEFAULT!$B$5:$CC$5,0),""))</f>
        <v/>
      </c>
      <c r="AA255" s="86" t="str">
        <f t="shared" si="26"/>
        <v/>
      </c>
      <c r="AB255" s="117" t="str">
        <f>IF(AND(OR($A255="G",$A255="P"),NOT($O255="{array}")),IF(VLOOKUP($K255,base!$B$2:$D$18,3,0)="S",IF(OR($O255="",ISTEXT($O255)),"","STRING!"),IF(VLOOKUP($K255,base!$B$2:$D$18,3,0)="","",IF(ISTEXT($O255),"NUMERIC!",""))),"")</f>
        <v/>
      </c>
      <c r="AC255" s="17" t="str">
        <f>IF($AA255="","",IF($B255="I",VLOOKUP($AA255,#REF!,53,0),INDEX(VALUES!$B$1:$CX$1,1,$AA255)))</f>
        <v/>
      </c>
    </row>
    <row r="256" spans="1:29" hidden="1" outlineLevel="1" x14ac:dyDescent="0.3">
      <c r="A256" s="22" t="s">
        <v>84</v>
      </c>
      <c r="B256" s="42" t="str">
        <f t="shared" si="23"/>
        <v/>
      </c>
      <c r="C256" s="43">
        <f>(ROW()-1)</f>
        <v>255</v>
      </c>
      <c r="D256" s="39"/>
      <c r="E256" s="39"/>
      <c r="F256" s="39"/>
      <c r="G256" s="39"/>
      <c r="H256" s="39"/>
      <c r="I256" s="39" t="s">
        <v>9</v>
      </c>
      <c r="J256" s="39"/>
      <c r="K256" s="67" t="s">
        <v>44</v>
      </c>
      <c r="L256" s="67" t="s">
        <v>32</v>
      </c>
      <c r="M256" s="100" t="s">
        <v>487</v>
      </c>
      <c r="N256" s="67" t="s">
        <v>489</v>
      </c>
      <c r="O256" s="97">
        <v>0</v>
      </c>
      <c r="R256" s="39" t="s">
        <v>343</v>
      </c>
      <c r="S256" s="39"/>
      <c r="T256" s="39"/>
      <c r="Z256" s="91" t="str">
        <f>IF(OR($M256="",NOT($O256="{array}")),"",IFERROR(MATCH(PARAMETERS!$M256,DEFAULT!$B$5:$CC$5,0),""))</f>
        <v/>
      </c>
      <c r="AA256" s="86" t="str">
        <f t="shared" si="26"/>
        <v/>
      </c>
      <c r="AB256" s="117" t="str">
        <f>IF(AND(OR($A256="G",$A256="P"),NOT($O256="{array}")),IF(VLOOKUP($K256,base!$B$2:$D$18,3,0)="S",IF(OR($O256="",ISTEXT($O256)),"","STRING!"),IF(VLOOKUP($K256,base!$B$2:$D$18,3,0)="","",IF(ISTEXT($O256),"NUMERIC!",""))),"")</f>
        <v/>
      </c>
      <c r="AC256" s="17" t="str">
        <f>IF($AA256="","",IF($B256="I",VLOOKUP($AA256,#REF!,53,0),INDEX(VALUES!$B$1:$CX$1,1,$AA256)))</f>
        <v/>
      </c>
    </row>
    <row r="257" spans="1:29" hidden="1" outlineLevel="1" x14ac:dyDescent="0.3">
      <c r="A257" s="22" t="s">
        <v>84</v>
      </c>
      <c r="B257" s="42" t="str">
        <f t="shared" si="23"/>
        <v/>
      </c>
      <c r="C257" s="43">
        <f>(ROW()-1)</f>
        <v>256</v>
      </c>
      <c r="D257" s="39"/>
      <c r="E257" s="39"/>
      <c r="F257" s="39"/>
      <c r="G257" s="39"/>
      <c r="H257" s="39"/>
      <c r="I257" s="39" t="s">
        <v>9</v>
      </c>
      <c r="J257" s="39"/>
      <c r="K257" s="67" t="s">
        <v>47</v>
      </c>
      <c r="L257" s="67" t="s">
        <v>32</v>
      </c>
      <c r="M257" s="100" t="s">
        <v>991</v>
      </c>
      <c r="N257" s="67" t="s">
        <v>992</v>
      </c>
      <c r="O257" s="97">
        <v>1</v>
      </c>
      <c r="R257" s="39" t="s">
        <v>343</v>
      </c>
      <c r="S257" s="39"/>
      <c r="T257" s="39"/>
      <c r="Z257" s="91" t="str">
        <f>IF(OR($M257="",NOT($O257="{array}")),"",IFERROR(MATCH(PARAMETERS!$M257,DEFAULT!$B$5:$CC$5,0),""))</f>
        <v/>
      </c>
      <c r="AA257" s="86" t="str">
        <f t="shared" si="26"/>
        <v/>
      </c>
      <c r="AB257" s="117" t="str">
        <f>IF(AND(OR($A257="G",$A257="P"),NOT($O257="{array}")),IF(VLOOKUP($K257,base!$B$2:$D$18,3,0)="S",IF(OR($O257="",ISTEXT($O257)),"","STRING!"),IF(VLOOKUP($K257,base!$B$2:$D$18,3,0)="","",IF(ISTEXT($O257),"NUMERIC!",""))),"")</f>
        <v/>
      </c>
      <c r="AC257" s="17" t="str">
        <f>IF($AA257="","",IF($B257="I",VLOOKUP($AA257,#REF!,53,0),INDEX(VALUES!$B$1:$CX$1,1,$AA257)))</f>
        <v/>
      </c>
    </row>
    <row r="258" spans="1:29" collapsed="1" x14ac:dyDescent="0.3">
      <c r="A258" s="22" t="s">
        <v>84</v>
      </c>
      <c r="B258" s="42" t="str">
        <f t="shared" si="23"/>
        <v/>
      </c>
      <c r="C258" s="43">
        <f t="shared" ref="C258:C268" si="28">(ROW()-1)</f>
        <v>257</v>
      </c>
      <c r="D258" s="39"/>
      <c r="E258" s="39"/>
      <c r="F258" s="39"/>
      <c r="G258" s="39"/>
      <c r="H258" s="39"/>
      <c r="I258" s="39"/>
      <c r="J258" s="39"/>
      <c r="K258" s="67" t="s">
        <v>57</v>
      </c>
      <c r="L258" s="67" t="s">
        <v>38</v>
      </c>
      <c r="M258" s="95" t="s">
        <v>474</v>
      </c>
      <c r="N258" s="96" t="s">
        <v>475</v>
      </c>
      <c r="O258" s="97"/>
      <c r="R258" s="39" t="s">
        <v>343</v>
      </c>
      <c r="S258" s="39"/>
      <c r="T258" s="39"/>
      <c r="Z258" s="91" t="str">
        <f>IF(OR($M258="",NOT($O258="{array}")),"",IFERROR(MATCH(PARAMETERS!$M258,DEFAULT!$B$5:$CC$5,0),""))</f>
        <v/>
      </c>
      <c r="AA258" s="86" t="str">
        <f t="shared" si="26"/>
        <v/>
      </c>
      <c r="AB258" s="117" t="str">
        <f>IF(AND(OR($A258="G",$A258="P"),NOT($O258="{array}")),IF(VLOOKUP($K258,base!$B$2:$D$18,3,0)="S",IF(OR($O258="",ISTEXT($O258)),"","STRING!"),IF(VLOOKUP($K258,base!$B$2:$D$18,3,0)="","",IF(ISTEXT($O258),"NUMERIC!",""))),"")</f>
        <v/>
      </c>
      <c r="AC258" s="17" t="str">
        <f>IF($AA258="","",IF($B258="I",VLOOKUP($AA258,#REF!,53,0),INDEX(VALUES!$B$1:$CX$1,1,$AA258)))</f>
        <v/>
      </c>
    </row>
    <row r="259" spans="1:29" hidden="1" outlineLevel="1" x14ac:dyDescent="0.3">
      <c r="A259" s="22" t="s">
        <v>84</v>
      </c>
      <c r="B259" s="42" t="str">
        <f t="shared" si="23"/>
        <v/>
      </c>
      <c r="C259" s="43">
        <f t="shared" si="28"/>
        <v>258</v>
      </c>
      <c r="D259" s="39"/>
      <c r="E259" s="39"/>
      <c r="F259" s="39"/>
      <c r="G259" s="39"/>
      <c r="H259" s="39"/>
      <c r="I259" s="39" t="s">
        <v>9</v>
      </c>
      <c r="J259" s="39"/>
      <c r="K259" s="67" t="s">
        <v>18</v>
      </c>
      <c r="L259" s="67" t="s">
        <v>32</v>
      </c>
      <c r="M259" s="100" t="s">
        <v>478</v>
      </c>
      <c r="N259" s="67" t="s">
        <v>470</v>
      </c>
      <c r="O259" s="97" t="s">
        <v>415</v>
      </c>
      <c r="R259" s="39" t="s">
        <v>343</v>
      </c>
      <c r="S259" s="39"/>
      <c r="T259" s="39"/>
      <c r="Z259" s="91" t="str">
        <f>IF(OR($M259="",NOT($O259="{array}")),"",IFERROR(MATCH(PARAMETERS!$M259,DEFAULT!$B$5:$CC$5,0),""))</f>
        <v/>
      </c>
      <c r="AA259" s="86" t="str">
        <f t="shared" si="26"/>
        <v/>
      </c>
      <c r="AB259" s="117" t="str">
        <f>IF(AND(OR($A259="G",$A259="P"),NOT($O259="{array}")),IF(VLOOKUP($K259,base!$B$2:$D$18,3,0)="S",IF(OR($O259="",ISTEXT($O259)),"","STRING!"),IF(VLOOKUP($K259,base!$B$2:$D$18,3,0)="","",IF(ISTEXT($O259),"NUMERIC!",""))),"")</f>
        <v/>
      </c>
      <c r="AC259" s="17" t="str">
        <f>IF($AA259="","",IF($B259="I",VLOOKUP($AA259,#REF!,53,0),INDEX(VALUES!$B$1:$CX$1,1,$AA259)))</f>
        <v/>
      </c>
    </row>
    <row r="260" spans="1:29" hidden="1" outlineLevel="1" x14ac:dyDescent="0.3">
      <c r="A260" s="22" t="s">
        <v>84</v>
      </c>
      <c r="B260" s="42" t="str">
        <f t="shared" si="23"/>
        <v/>
      </c>
      <c r="C260" s="43">
        <f t="shared" si="28"/>
        <v>259</v>
      </c>
      <c r="D260" s="39"/>
      <c r="E260" s="39"/>
      <c r="F260" s="39"/>
      <c r="G260" s="39"/>
      <c r="H260" s="39"/>
      <c r="I260" s="39" t="s">
        <v>9</v>
      </c>
      <c r="J260" s="39"/>
      <c r="K260" s="67" t="s">
        <v>18</v>
      </c>
      <c r="L260" s="67" t="s">
        <v>32</v>
      </c>
      <c r="M260" s="100" t="s">
        <v>479</v>
      </c>
      <c r="N260" s="67" t="s">
        <v>471</v>
      </c>
      <c r="O260" s="97" t="s">
        <v>415</v>
      </c>
      <c r="R260" s="39" t="s">
        <v>343</v>
      </c>
      <c r="S260" s="39"/>
      <c r="T260" s="39"/>
      <c r="Z260" s="91" t="str">
        <f>IF(OR($M260="",NOT($O260="{array}")),"",IFERROR(MATCH(PARAMETERS!$M260,DEFAULT!$B$5:$CC$5,0),""))</f>
        <v/>
      </c>
      <c r="AA260" s="86" t="str">
        <f t="shared" si="26"/>
        <v/>
      </c>
      <c r="AB260" s="117" t="str">
        <f>IF(AND(OR($A260="G",$A260="P"),NOT($O260="{array}")),IF(VLOOKUP($K260,base!$B$2:$D$18,3,0)="S",IF(OR($O260="",ISTEXT($O260)),"","STRING!"),IF(VLOOKUP($K260,base!$B$2:$D$18,3,0)="","",IF(ISTEXT($O260),"NUMERIC!",""))),"")</f>
        <v/>
      </c>
      <c r="AC260" s="17" t="str">
        <f>IF($AA260="","",IF($B260="I",VLOOKUP($AA260,#REF!,53,0),INDEX(VALUES!$B$1:$CX$1,1,$AA260)))</f>
        <v/>
      </c>
    </row>
    <row r="261" spans="1:29" hidden="1" outlineLevel="1" x14ac:dyDescent="0.3">
      <c r="A261" s="22" t="s">
        <v>84</v>
      </c>
      <c r="B261" s="42" t="str">
        <f t="shared" ref="B261:B298" si="29">IF($A261="P",IF(NOT($Z261=""),"A",IF(NOT($AA261=""),"I","")),IF(NOT($AA261=""),IF($A261="G","V","X"),IF(NOT($Z261=""),"A","")))</f>
        <v/>
      </c>
      <c r="C261" s="43">
        <f t="shared" si="28"/>
        <v>260</v>
      </c>
      <c r="D261" s="39"/>
      <c r="E261" s="39"/>
      <c r="F261" s="39"/>
      <c r="G261" s="39"/>
      <c r="H261" s="39"/>
      <c r="I261" s="39" t="s">
        <v>9</v>
      </c>
      <c r="J261" s="39"/>
      <c r="K261" s="67" t="s">
        <v>18</v>
      </c>
      <c r="L261" s="67" t="s">
        <v>32</v>
      </c>
      <c r="M261" s="100" t="s">
        <v>505</v>
      </c>
      <c r="N261" s="67" t="s">
        <v>508</v>
      </c>
      <c r="O261" s="97" t="s">
        <v>415</v>
      </c>
      <c r="R261" s="39" t="s">
        <v>343</v>
      </c>
      <c r="S261" s="39"/>
      <c r="T261" s="39"/>
      <c r="Z261" s="91" t="str">
        <f>IF(OR($M261="",NOT($O261="{array}")),"",IFERROR(MATCH(PARAMETERS!$M261,DEFAULT!$B$5:$CC$5,0),""))</f>
        <v/>
      </c>
      <c r="AA261" s="86" t="str">
        <f t="shared" si="26"/>
        <v/>
      </c>
      <c r="AB261" s="117" t="str">
        <f>IF(AND(OR($A261="G",$A261="P"),NOT($O261="{array}")),IF(VLOOKUP($K261,base!$B$2:$D$18,3,0)="S",IF(OR($O261="",ISTEXT($O261)),"","STRING!"),IF(VLOOKUP($K261,base!$B$2:$D$18,3,0)="","",IF(ISTEXT($O261),"NUMERIC!",""))),"")</f>
        <v/>
      </c>
      <c r="AC261" s="17" t="str">
        <f>IF($AA261="","",IF($B261="I",VLOOKUP($AA261,#REF!,53,0),INDEX(VALUES!$B$1:$CX$1,1,$AA261)))</f>
        <v/>
      </c>
    </row>
    <row r="262" spans="1:29" hidden="1" outlineLevel="1" x14ac:dyDescent="0.3">
      <c r="A262" s="22" t="s">
        <v>84</v>
      </c>
      <c r="B262" s="42" t="str">
        <f t="shared" si="29"/>
        <v/>
      </c>
      <c r="C262" s="43">
        <f t="shared" si="28"/>
        <v>261</v>
      </c>
      <c r="D262" s="39"/>
      <c r="E262" s="39"/>
      <c r="F262" s="39"/>
      <c r="G262" s="39"/>
      <c r="H262" s="39"/>
      <c r="I262" s="39" t="s">
        <v>9</v>
      </c>
      <c r="J262" s="39"/>
      <c r="K262" s="67" t="s">
        <v>18</v>
      </c>
      <c r="L262" s="67" t="s">
        <v>32</v>
      </c>
      <c r="M262" s="100" t="s">
        <v>480</v>
      </c>
      <c r="N262" s="67" t="s">
        <v>507</v>
      </c>
      <c r="O262" s="97" t="s">
        <v>614</v>
      </c>
      <c r="R262" s="39" t="s">
        <v>343</v>
      </c>
      <c r="S262" s="39"/>
      <c r="T262" s="39"/>
      <c r="Z262" s="91" t="str">
        <f>IF(OR($M262="",NOT($O262="{array}")),"",IFERROR(MATCH(PARAMETERS!$M262,DEFAULT!$B$5:$CC$5,0),""))</f>
        <v/>
      </c>
      <c r="AA262" s="86" t="str">
        <f t="shared" si="26"/>
        <v/>
      </c>
      <c r="AB262" s="117" t="str">
        <f>IF(AND(OR($A262="G",$A262="P"),NOT($O262="{array}")),IF(VLOOKUP($K262,base!$B$2:$D$18,3,0)="S",IF(OR($O262="",ISTEXT($O262)),"","STRING!"),IF(VLOOKUP($K262,base!$B$2:$D$18,3,0)="","",IF(ISTEXT($O262),"NUMERIC!",""))),"")</f>
        <v/>
      </c>
      <c r="AC262" s="17" t="str">
        <f>IF($AA262="","",IF($B262="I",VLOOKUP($AA262,#REF!,53,0),INDEX(VALUES!$B$1:$CX$1,1,$AA262)))</f>
        <v/>
      </c>
    </row>
    <row r="263" spans="1:29" hidden="1" outlineLevel="1" x14ac:dyDescent="0.3">
      <c r="A263" s="22" t="s">
        <v>84</v>
      </c>
      <c r="B263" s="42" t="str">
        <f t="shared" si="29"/>
        <v/>
      </c>
      <c r="C263" s="43">
        <f t="shared" si="28"/>
        <v>262</v>
      </c>
      <c r="D263" s="39"/>
      <c r="E263" s="39"/>
      <c r="F263" s="39"/>
      <c r="G263" s="39"/>
      <c r="H263" s="39"/>
      <c r="I263" s="39" t="s">
        <v>9</v>
      </c>
      <c r="J263" s="39"/>
      <c r="K263" s="67" t="s">
        <v>18</v>
      </c>
      <c r="L263" s="67" t="s">
        <v>32</v>
      </c>
      <c r="M263" s="100" t="s">
        <v>481</v>
      </c>
      <c r="N263" s="67" t="s">
        <v>472</v>
      </c>
      <c r="O263" s="97" t="s">
        <v>615</v>
      </c>
      <c r="R263" s="39" t="s">
        <v>343</v>
      </c>
      <c r="S263" s="39"/>
      <c r="T263" s="39"/>
      <c r="Z263" s="91" t="str">
        <f>IF(OR($M263="",NOT($O263="{array}")),"",IFERROR(MATCH(PARAMETERS!$M263,DEFAULT!$B$5:$CC$5,0),""))</f>
        <v/>
      </c>
      <c r="AA263" s="86" t="str">
        <f t="shared" si="26"/>
        <v/>
      </c>
      <c r="AB263" s="117" t="str">
        <f>IF(AND(OR($A263="G",$A263="P"),NOT($O263="{array}")),IF(VLOOKUP($K263,base!$B$2:$D$18,3,0)="S",IF(OR($O263="",ISTEXT($O263)),"","STRING!"),IF(VLOOKUP($K263,base!$B$2:$D$18,3,0)="","",IF(ISTEXT($O263),"NUMERIC!",""))),"")</f>
        <v/>
      </c>
      <c r="AC263" s="17" t="str">
        <f>IF($AA263="","",IF($B263="I",VLOOKUP($AA263,#REF!,53,0),INDEX(VALUES!$B$1:$CX$1,1,$AA263)))</f>
        <v/>
      </c>
    </row>
    <row r="264" spans="1:29" hidden="1" outlineLevel="1" x14ac:dyDescent="0.3">
      <c r="A264" s="22" t="s">
        <v>84</v>
      </c>
      <c r="B264" s="42" t="str">
        <f t="shared" si="29"/>
        <v/>
      </c>
      <c r="C264" s="43">
        <f t="shared" si="28"/>
        <v>263</v>
      </c>
      <c r="D264" s="39"/>
      <c r="E264" s="39"/>
      <c r="F264" s="39"/>
      <c r="G264" s="39"/>
      <c r="H264" s="39"/>
      <c r="I264" s="39" t="s">
        <v>9</v>
      </c>
      <c r="J264" s="39"/>
      <c r="K264" s="67" t="s">
        <v>18</v>
      </c>
      <c r="L264" s="67" t="s">
        <v>32</v>
      </c>
      <c r="M264" s="100" t="s">
        <v>506</v>
      </c>
      <c r="N264" s="67" t="s">
        <v>509</v>
      </c>
      <c r="O264" s="97" t="s">
        <v>415</v>
      </c>
      <c r="R264" s="39" t="s">
        <v>343</v>
      </c>
      <c r="S264" s="39"/>
      <c r="T264" s="39"/>
      <c r="Z264" s="91" t="str">
        <f>IF(OR($M264="",NOT($O264="{array}")),"",IFERROR(MATCH(PARAMETERS!$M264,DEFAULT!$B$5:$CC$5,0),""))</f>
        <v/>
      </c>
      <c r="AA264" s="86" t="str">
        <f t="shared" si="26"/>
        <v/>
      </c>
      <c r="AB264" s="117" t="str">
        <f>IF(AND(OR($A264="G",$A264="P"),NOT($O264="{array}")),IF(VLOOKUP($K264,base!$B$2:$D$18,3,0)="S",IF(OR($O264="",ISTEXT($O264)),"","STRING!"),IF(VLOOKUP($K264,base!$B$2:$D$18,3,0)="","",IF(ISTEXT($O264),"NUMERIC!",""))),"")</f>
        <v/>
      </c>
      <c r="AC264" s="17" t="str">
        <f>IF($AA264="","",IF($B264="I",VLOOKUP($AA264,#REF!,53,0),INDEX(VALUES!$B$1:$CX$1,1,$AA264)))</f>
        <v/>
      </c>
    </row>
    <row r="265" spans="1:29" hidden="1" outlineLevel="1" x14ac:dyDescent="0.3">
      <c r="A265" s="22" t="s">
        <v>84</v>
      </c>
      <c r="B265" s="42" t="str">
        <f t="shared" si="29"/>
        <v/>
      </c>
      <c r="C265" s="43">
        <f t="shared" si="28"/>
        <v>264</v>
      </c>
      <c r="D265" s="39"/>
      <c r="E265" s="39"/>
      <c r="F265" s="39"/>
      <c r="G265" s="39"/>
      <c r="H265" s="39"/>
      <c r="I265" s="39" t="s">
        <v>9</v>
      </c>
      <c r="J265" s="39"/>
      <c r="K265" s="67" t="s">
        <v>18</v>
      </c>
      <c r="L265" s="67" t="s">
        <v>32</v>
      </c>
      <c r="M265" s="100" t="s">
        <v>477</v>
      </c>
      <c r="N265" s="67" t="s">
        <v>469</v>
      </c>
      <c r="O265" s="97" t="s">
        <v>616</v>
      </c>
      <c r="R265" s="39" t="s">
        <v>343</v>
      </c>
      <c r="S265" s="39"/>
      <c r="T265" s="39"/>
      <c r="Z265" s="91" t="str">
        <f>IF(OR($M265="",NOT($O265="{array}")),"",IFERROR(MATCH(PARAMETERS!$M265,DEFAULT!$B$5:$CC$5,0),""))</f>
        <v/>
      </c>
      <c r="AA265" s="86" t="str">
        <f t="shared" si="26"/>
        <v/>
      </c>
      <c r="AB265" s="117" t="str">
        <f>IF(AND(OR($A265="G",$A265="P"),NOT($O265="{array}")),IF(VLOOKUP($K265,base!$B$2:$D$18,3,0)="S",IF(OR($O265="",ISTEXT($O265)),"","STRING!"),IF(VLOOKUP($K265,base!$B$2:$D$18,3,0)="","",IF(ISTEXT($O265),"NUMERIC!",""))),"")</f>
        <v/>
      </c>
      <c r="AC265" s="17" t="str">
        <f>IF($AA265="","",IF($B265="I",VLOOKUP($AA265,#REF!,53,0),INDEX(VALUES!$B$1:$CX$1,1,$AA265)))</f>
        <v/>
      </c>
    </row>
    <row r="266" spans="1:29" hidden="1" outlineLevel="1" x14ac:dyDescent="0.3">
      <c r="A266" s="22" t="s">
        <v>84</v>
      </c>
      <c r="B266" s="42" t="str">
        <f t="shared" si="29"/>
        <v/>
      </c>
      <c r="C266" s="43">
        <f t="shared" si="28"/>
        <v>265</v>
      </c>
      <c r="D266" s="39"/>
      <c r="E266" s="39"/>
      <c r="F266" s="39"/>
      <c r="G266" s="39"/>
      <c r="H266" s="39"/>
      <c r="I266" s="39" t="s">
        <v>9</v>
      </c>
      <c r="J266" s="39"/>
      <c r="K266" s="67" t="s">
        <v>18</v>
      </c>
      <c r="L266" s="67" t="s">
        <v>32</v>
      </c>
      <c r="M266" s="100" t="s">
        <v>482</v>
      </c>
      <c r="N266" s="67" t="s">
        <v>473</v>
      </c>
      <c r="O266" s="97" t="s">
        <v>415</v>
      </c>
      <c r="R266" s="39" t="s">
        <v>343</v>
      </c>
      <c r="S266" s="39"/>
      <c r="T266" s="39"/>
      <c r="Z266" s="91" t="str">
        <f>IF(OR($M266="",NOT($O266="{array}")),"",IFERROR(MATCH(PARAMETERS!$M266,DEFAULT!$B$5:$CC$5,0),""))</f>
        <v/>
      </c>
      <c r="AA266" s="86" t="str">
        <f t="shared" si="26"/>
        <v/>
      </c>
      <c r="AB266" s="117" t="str">
        <f>IF(AND(OR($A266="G",$A266="P"),NOT($O266="{array}")),IF(VLOOKUP($K266,base!$B$2:$D$18,3,0)="S",IF(OR($O266="",ISTEXT($O266)),"","STRING!"),IF(VLOOKUP($K266,base!$B$2:$D$18,3,0)="","",IF(ISTEXT($O266),"NUMERIC!",""))),"")</f>
        <v/>
      </c>
      <c r="AC266" s="17" t="str">
        <f>IF($AA266="","",IF($B266="I",VLOOKUP($AA266,#REF!,53,0),INDEX(VALUES!$B$1:$CX$1,1,$AA266)))</f>
        <v/>
      </c>
    </row>
    <row r="267" spans="1:29" hidden="1" outlineLevel="1" x14ac:dyDescent="0.3">
      <c r="A267" s="22" t="s">
        <v>84</v>
      </c>
      <c r="B267" s="42" t="str">
        <f t="shared" si="29"/>
        <v/>
      </c>
      <c r="C267" s="43">
        <f t="shared" si="28"/>
        <v>266</v>
      </c>
      <c r="D267" s="39"/>
      <c r="E267" s="39"/>
      <c r="F267" s="39"/>
      <c r="G267" s="39"/>
      <c r="H267" s="39"/>
      <c r="I267" s="39" t="s">
        <v>9</v>
      </c>
      <c r="J267" s="39"/>
      <c r="K267" s="67" t="s">
        <v>18</v>
      </c>
      <c r="L267" s="67" t="s">
        <v>32</v>
      </c>
      <c r="M267" s="100" t="s">
        <v>510</v>
      </c>
      <c r="N267" s="67" t="s">
        <v>511</v>
      </c>
      <c r="O267" s="97" t="s">
        <v>415</v>
      </c>
      <c r="R267" s="39" t="s">
        <v>343</v>
      </c>
      <c r="S267" s="39"/>
      <c r="T267" s="39"/>
      <c r="Z267" s="91" t="str">
        <f>IF(OR($M267="",NOT($O267="{array}")),"",IFERROR(MATCH(PARAMETERS!$M267,DEFAULT!$B$5:$CC$5,0),""))</f>
        <v/>
      </c>
      <c r="AA267" s="86" t="str">
        <f t="shared" si="26"/>
        <v/>
      </c>
      <c r="AB267" s="117" t="str">
        <f>IF(AND(OR($A267="G",$A267="P"),NOT($O267="{array}")),IF(VLOOKUP($K267,base!$B$2:$D$18,3,0)="S",IF(OR($O267="",ISTEXT($O267)),"","STRING!"),IF(VLOOKUP($K267,base!$B$2:$D$18,3,0)="","",IF(ISTEXT($O267),"NUMERIC!",""))),"")</f>
        <v/>
      </c>
      <c r="AC267" s="17" t="str">
        <f>IF($AA267="","",IF($B267="I",VLOOKUP($AA267,#REF!,53,0),INDEX(VALUES!$B$1:$CX$1,1,$AA267)))</f>
        <v/>
      </c>
    </row>
    <row r="268" spans="1:29" hidden="1" outlineLevel="1" x14ac:dyDescent="0.3">
      <c r="A268" s="22" t="s">
        <v>84</v>
      </c>
      <c r="B268" s="42" t="str">
        <f t="shared" si="29"/>
        <v/>
      </c>
      <c r="C268" s="43">
        <f t="shared" si="28"/>
        <v>267</v>
      </c>
      <c r="D268" s="39"/>
      <c r="E268" s="39"/>
      <c r="F268" s="39"/>
      <c r="G268" s="39"/>
      <c r="H268" s="39"/>
      <c r="I268" s="39" t="s">
        <v>9</v>
      </c>
      <c r="J268" s="39"/>
      <c r="K268" s="67" t="s">
        <v>18</v>
      </c>
      <c r="L268" s="67" t="s">
        <v>32</v>
      </c>
      <c r="M268" s="100" t="s">
        <v>512</v>
      </c>
      <c r="N268" s="67" t="s">
        <v>513</v>
      </c>
      <c r="O268" s="97" t="s">
        <v>415</v>
      </c>
      <c r="R268" s="39" t="s">
        <v>343</v>
      </c>
      <c r="S268" s="39"/>
      <c r="T268" s="39"/>
      <c r="Z268" s="91" t="str">
        <f>IF(OR($M268="",NOT($O268="{array}")),"",IFERROR(MATCH(PARAMETERS!$M268,DEFAULT!$B$5:$CC$5,0),""))</f>
        <v/>
      </c>
      <c r="AA268" s="86" t="str">
        <f t="shared" si="26"/>
        <v/>
      </c>
      <c r="AB268" s="117" t="str">
        <f>IF(AND(OR($A268="G",$A268="P"),NOT($O268="{array}")),IF(VLOOKUP($K268,base!$B$2:$D$18,3,0)="S",IF(OR($O268="",ISTEXT($O268)),"","STRING!"),IF(VLOOKUP($K268,base!$B$2:$D$18,3,0)="","",IF(ISTEXT($O268),"NUMERIC!",""))),"")</f>
        <v/>
      </c>
      <c r="AC268" s="17" t="str">
        <f>IF($AA268="","",IF($B268="I",VLOOKUP($AA268,#REF!,53,0),INDEX(VALUES!$B$1:$CX$1,1,$AA268)))</f>
        <v/>
      </c>
    </row>
    <row r="269" spans="1:29" collapsed="1" x14ac:dyDescent="0.3">
      <c r="A269" s="22" t="s">
        <v>84</v>
      </c>
      <c r="B269" s="42" t="str">
        <f t="shared" si="29"/>
        <v/>
      </c>
      <c r="C269" s="43">
        <f t="shared" ref="C269:C297" si="30">(ROW()-1)</f>
        <v>268</v>
      </c>
      <c r="D269" s="39"/>
      <c r="E269" s="39"/>
      <c r="F269" s="39" t="s">
        <v>9</v>
      </c>
      <c r="G269" s="39" t="s">
        <v>9</v>
      </c>
      <c r="H269" s="39"/>
      <c r="I269" s="39"/>
      <c r="J269" s="39"/>
      <c r="K269" s="14" t="s">
        <v>57</v>
      </c>
      <c r="L269" s="14" t="s">
        <v>38</v>
      </c>
      <c r="M269" s="49" t="s">
        <v>351</v>
      </c>
      <c r="N269" s="42" t="s">
        <v>393</v>
      </c>
      <c r="R269" s="39" t="s">
        <v>190</v>
      </c>
      <c r="S269" s="39"/>
      <c r="T269" s="39"/>
      <c r="Z269" s="91" t="str">
        <f>IF(OR($M269="",NOT($O269="{array}")),"",IFERROR(MATCH(PARAMETERS!$M269,DEFAULT!$B$5:$CC$5,0),""))</f>
        <v/>
      </c>
      <c r="AA269" s="86" t="str">
        <f t="shared" si="26"/>
        <v/>
      </c>
      <c r="AB269" s="117" t="str">
        <f>IF(AND(OR($A269="G",$A269="P"),NOT($O269="{array}")),IF(VLOOKUP($K269,base!$B$2:$D$18,3,0)="S",IF(OR($O269="",ISTEXT($O269)),"","STRING!"),IF(VLOOKUP($K269,base!$B$2:$D$18,3,0)="","",IF(ISTEXT($O269),"NUMERIC!",""))),"")</f>
        <v/>
      </c>
      <c r="AC269" s="17" t="str">
        <f>IF($AA269="","",IF($B269="I",VLOOKUP($AA269,#REF!,53,0),INDEX(VALUES!$B$1:$CX$1,1,$AA269)))</f>
        <v/>
      </c>
    </row>
    <row r="270" spans="1:29" hidden="1" outlineLevel="1" x14ac:dyDescent="0.3">
      <c r="A270" s="22"/>
      <c r="B270" s="42" t="str">
        <f t="shared" si="29"/>
        <v/>
      </c>
      <c r="C270" s="43">
        <f t="shared" si="30"/>
        <v>269</v>
      </c>
      <c r="D270" s="39"/>
      <c r="E270" s="39"/>
      <c r="F270" s="39"/>
      <c r="G270" s="39" t="s">
        <v>9</v>
      </c>
      <c r="H270" s="39"/>
      <c r="I270" s="39" t="s">
        <v>9</v>
      </c>
      <c r="J270" s="39"/>
      <c r="K270" s="14" t="s">
        <v>18</v>
      </c>
      <c r="L270" s="14" t="s">
        <v>38</v>
      </c>
      <c r="M270" s="20" t="s">
        <v>143</v>
      </c>
      <c r="N270" s="14" t="s">
        <v>357</v>
      </c>
      <c r="O270" s="44" t="s">
        <v>144</v>
      </c>
      <c r="R270" s="39" t="s">
        <v>190</v>
      </c>
      <c r="S270" s="39"/>
      <c r="T270" s="39"/>
      <c r="Z270" s="91" t="str">
        <f>IF(OR($M270="",NOT($O270="{array}")),"",IFERROR(MATCH(PARAMETERS!$M270,DEFAULT!$B$5:$CC$5,0),""))</f>
        <v/>
      </c>
      <c r="AA270" s="86" t="str">
        <f t="shared" si="26"/>
        <v/>
      </c>
      <c r="AB270" s="117" t="str">
        <f>IF(AND(OR($A270="G",$A270="P"),NOT($O270="{array}")),IF(VLOOKUP($K270,base!$B$2:$D$18,3,0)="S",IF(OR($O270="",ISTEXT($O270)),"","STRING!"),IF(VLOOKUP($K270,base!$B$2:$D$18,3,0)="","",IF(ISTEXT($O270),"NUMERIC!",""))),"")</f>
        <v/>
      </c>
      <c r="AC270" s="17" t="str">
        <f>IF($AA270="","",IF($B270="I",VLOOKUP($AA270,#REF!,53,0),INDEX(VALUES!$B$1:$CX$1,1,$AA270)))</f>
        <v/>
      </c>
    </row>
    <row r="271" spans="1:29" hidden="1" outlineLevel="1" x14ac:dyDescent="0.3">
      <c r="A271" s="22" t="s">
        <v>84</v>
      </c>
      <c r="B271" s="42" t="str">
        <f t="shared" si="29"/>
        <v>V</v>
      </c>
      <c r="C271" s="43">
        <f t="shared" si="30"/>
        <v>270</v>
      </c>
      <c r="D271" s="39"/>
      <c r="E271" s="39"/>
      <c r="F271" s="39"/>
      <c r="G271" s="39"/>
      <c r="H271" s="39"/>
      <c r="I271" s="39" t="s">
        <v>9</v>
      </c>
      <c r="J271" s="39"/>
      <c r="K271" s="67" t="s">
        <v>44</v>
      </c>
      <c r="L271" s="67" t="s">
        <v>32</v>
      </c>
      <c r="M271" s="100" t="s">
        <v>618</v>
      </c>
      <c r="N271" s="67" t="s">
        <v>619</v>
      </c>
      <c r="O271" s="97">
        <v>1</v>
      </c>
      <c r="R271" s="39" t="s">
        <v>343</v>
      </c>
      <c r="S271" s="39"/>
      <c r="T271" s="39"/>
      <c r="Z271" s="91" t="str">
        <f>IF(OR($M271="",NOT($O271="{array}")),"",IFERROR(MATCH(PARAMETERS!$M271,DEFAULT!$B$5:$CC$5,0),""))</f>
        <v/>
      </c>
      <c r="AA271" s="86">
        <f t="shared" si="26"/>
        <v>100</v>
      </c>
      <c r="AB271" s="117" t="str">
        <f>IF(AND(OR($A271="G",$A271="P"),NOT($O271="{array}")),IF(VLOOKUP($K271,base!$B$2:$D$18,3,0)="S",IF(OR($O271="",ISTEXT($O271)),"","STRING!"),IF(VLOOKUP($K271,base!$B$2:$D$18,3,0)="","",IF(ISTEXT($O271),"NUMERIC!",""))),"")</f>
        <v/>
      </c>
      <c r="AC271" s="17" t="str">
        <f>IF($AA271="","",IF($B271="I",VLOOKUP($AA271,#REF!,53,0),INDEX(VALUES!$B$1:$CX$1,1,$AA271)))</f>
        <v>1 | 2</v>
      </c>
    </row>
    <row r="272" spans="1:29" hidden="1" outlineLevel="1" x14ac:dyDescent="0.3">
      <c r="A272" s="22" t="s">
        <v>84</v>
      </c>
      <c r="B272" s="42" t="str">
        <f t="shared" si="29"/>
        <v/>
      </c>
      <c r="C272" s="43">
        <f t="shared" si="30"/>
        <v>271</v>
      </c>
      <c r="D272" s="39"/>
      <c r="E272" s="39"/>
      <c r="F272" s="39"/>
      <c r="G272" s="39"/>
      <c r="H272" s="39"/>
      <c r="I272" s="39" t="s">
        <v>9</v>
      </c>
      <c r="J272" s="39"/>
      <c r="K272" s="67" t="s">
        <v>44</v>
      </c>
      <c r="L272" s="67" t="s">
        <v>32</v>
      </c>
      <c r="M272" s="84" t="s">
        <v>933</v>
      </c>
      <c r="N272" s="67" t="s">
        <v>939</v>
      </c>
      <c r="O272" s="97">
        <v>1</v>
      </c>
      <c r="R272" s="39" t="s">
        <v>343</v>
      </c>
      <c r="S272" s="39"/>
      <c r="T272" s="39"/>
      <c r="Z272" s="91" t="str">
        <f>IF(OR($M272="",NOT($O272="{array}")),"",IFERROR(MATCH(PARAMETERS!$M272,DEFAULT!$B$5:$CC$5,0),""))</f>
        <v/>
      </c>
      <c r="AA272" s="86" t="str">
        <f t="shared" si="26"/>
        <v/>
      </c>
      <c r="AB272" s="117" t="str">
        <f>IF(AND(OR($A272="G",$A272="P"),NOT($O272="{array}")),IF(VLOOKUP($K272,base!$B$2:$D$18,3,0)="S",IF(OR($O272="",ISTEXT($O272)),"","STRING!"),IF(VLOOKUP($K272,base!$B$2:$D$18,3,0)="","",IF(ISTEXT($O272),"NUMERIC!",""))),"")</f>
        <v/>
      </c>
      <c r="AC272" s="17" t="str">
        <f>IF($AA272="","",IF($B272="I",VLOOKUP($AA272,#REF!,53,0),INDEX(VALUES!$B$1:$CX$1,1,$AA272)))</f>
        <v/>
      </c>
    </row>
    <row r="273" spans="1:29" hidden="1" outlineLevel="1" x14ac:dyDescent="0.3">
      <c r="A273" s="22" t="s">
        <v>84</v>
      </c>
      <c r="B273" s="42" t="str">
        <f t="shared" si="29"/>
        <v/>
      </c>
      <c r="C273" s="43">
        <f t="shared" si="30"/>
        <v>272</v>
      </c>
      <c r="D273" s="39"/>
      <c r="E273" s="39"/>
      <c r="F273" s="39" t="s">
        <v>9</v>
      </c>
      <c r="G273" s="39" t="s">
        <v>9</v>
      </c>
      <c r="H273" s="39"/>
      <c r="I273" s="39" t="s">
        <v>9</v>
      </c>
      <c r="J273" s="39"/>
      <c r="K273" s="14" t="s">
        <v>44</v>
      </c>
      <c r="L273" s="14" t="s">
        <v>27</v>
      </c>
      <c r="M273" s="20" t="s">
        <v>134</v>
      </c>
      <c r="N273" s="14" t="s">
        <v>356</v>
      </c>
      <c r="O273" s="44">
        <v>1</v>
      </c>
      <c r="Q273" s="39" t="s">
        <v>9</v>
      </c>
      <c r="R273" s="39" t="s">
        <v>190</v>
      </c>
      <c r="S273" s="39"/>
      <c r="T273" s="39"/>
      <c r="Z273" s="91" t="str">
        <f>IF(OR($M273="",NOT($O273="{array}")),"",IFERROR(MATCH(PARAMETERS!$M273,DEFAULT!$B$5:$CC$5,0),""))</f>
        <v/>
      </c>
      <c r="AA273" s="86" t="str">
        <f t="shared" si="26"/>
        <v/>
      </c>
      <c r="AB273" s="117" t="str">
        <f>IF(AND(OR($A273="G",$A273="P"),NOT($O273="{array}")),IF(VLOOKUP($K273,base!$B$2:$D$18,3,0)="S",IF(OR($O273="",ISTEXT($O273)),"","STRING!"),IF(VLOOKUP($K273,base!$B$2:$D$18,3,0)="","",IF(ISTEXT($O273),"NUMERIC!",""))),"")</f>
        <v/>
      </c>
      <c r="AC273" s="17" t="str">
        <f>IF($AA273="","",IF($B273="I",VLOOKUP($AA273,#REF!,53,0),INDEX(VALUES!$B$1:$CX$1,1,$AA273)))</f>
        <v/>
      </c>
    </row>
    <row r="274" spans="1:29" hidden="1" outlineLevel="1" x14ac:dyDescent="0.3">
      <c r="A274" s="22" t="s">
        <v>84</v>
      </c>
      <c r="B274" s="42" t="str">
        <f t="shared" si="29"/>
        <v/>
      </c>
      <c r="C274" s="43">
        <f t="shared" si="30"/>
        <v>273</v>
      </c>
      <c r="D274" s="39"/>
      <c r="E274" s="39"/>
      <c r="F274" s="39" t="s">
        <v>9</v>
      </c>
      <c r="G274" s="39" t="s">
        <v>9</v>
      </c>
      <c r="H274" s="39"/>
      <c r="I274" s="39" t="s">
        <v>9</v>
      </c>
      <c r="J274" s="39"/>
      <c r="K274" s="14" t="s">
        <v>44</v>
      </c>
      <c r="L274" s="14" t="s">
        <v>27</v>
      </c>
      <c r="M274" s="20" t="s">
        <v>135</v>
      </c>
      <c r="N274" s="14" t="s">
        <v>355</v>
      </c>
      <c r="O274" s="44">
        <v>1</v>
      </c>
      <c r="Q274" s="39" t="s">
        <v>9</v>
      </c>
      <c r="R274" s="39" t="s">
        <v>190</v>
      </c>
      <c r="S274" s="39"/>
      <c r="T274" s="39"/>
      <c r="Z274" s="91" t="str">
        <f>IF(OR($M274="",NOT($O274="{array}")),"",IFERROR(MATCH(PARAMETERS!$M274,DEFAULT!$B$5:$CC$5,0),""))</f>
        <v/>
      </c>
      <c r="AA274" s="86" t="str">
        <f t="shared" si="26"/>
        <v/>
      </c>
      <c r="AB274" s="117" t="str">
        <f>IF(AND(OR($A274="G",$A274="P"),NOT($O274="{array}")),IF(VLOOKUP($K274,base!$B$2:$D$18,3,0)="S",IF(OR($O274="",ISTEXT($O274)),"","STRING!"),IF(VLOOKUP($K274,base!$B$2:$D$18,3,0)="","",IF(ISTEXT($O274),"NUMERIC!",""))),"")</f>
        <v/>
      </c>
      <c r="AC274" s="17" t="str">
        <f>IF($AA274="","",IF($B274="I",VLOOKUP($AA274,#REF!,53,0),INDEX(VALUES!$B$1:$CX$1,1,$AA274)))</f>
        <v/>
      </c>
    </row>
    <row r="275" spans="1:29" hidden="1" outlineLevel="1" x14ac:dyDescent="0.3">
      <c r="A275" s="22" t="s">
        <v>84</v>
      </c>
      <c r="B275" s="42" t="str">
        <f t="shared" si="29"/>
        <v/>
      </c>
      <c r="C275" s="43">
        <f t="shared" si="30"/>
        <v>274</v>
      </c>
      <c r="D275" s="39"/>
      <c r="E275" s="39"/>
      <c r="F275" s="39" t="s">
        <v>9</v>
      </c>
      <c r="G275" s="39" t="s">
        <v>9</v>
      </c>
      <c r="H275" s="39"/>
      <c r="I275" s="39" t="s">
        <v>9</v>
      </c>
      <c r="J275" s="39" t="s">
        <v>9</v>
      </c>
      <c r="K275" s="14" t="s">
        <v>44</v>
      </c>
      <c r="L275" s="14" t="s">
        <v>27</v>
      </c>
      <c r="M275" s="20" t="s">
        <v>136</v>
      </c>
      <c r="N275" s="14" t="s">
        <v>355</v>
      </c>
      <c r="O275" s="44">
        <v>1</v>
      </c>
      <c r="Q275" s="39" t="s">
        <v>9</v>
      </c>
      <c r="R275" s="39" t="s">
        <v>190</v>
      </c>
      <c r="S275" s="39"/>
      <c r="T275" s="39"/>
      <c r="Z275" s="91" t="str">
        <f>IF(OR($M275="",NOT($O275="{array}")),"",IFERROR(MATCH(PARAMETERS!$M275,DEFAULT!$B$5:$CC$5,0),""))</f>
        <v/>
      </c>
      <c r="AA275" s="86" t="str">
        <f t="shared" si="26"/>
        <v/>
      </c>
      <c r="AB275" s="117" t="str">
        <f>IF(AND(OR($A275="G",$A275="P"),NOT($O275="{array}")),IF(VLOOKUP($K275,base!$B$2:$D$18,3,0)="S",IF(OR($O275="",ISTEXT($O275)),"","STRING!"),IF(VLOOKUP($K275,base!$B$2:$D$18,3,0)="","",IF(ISTEXT($O275),"NUMERIC!",""))),"")</f>
        <v/>
      </c>
      <c r="AC275" s="17" t="str">
        <f>IF($AA275="","",IF($B275="I",VLOOKUP($AA275,#REF!,53,0),INDEX(VALUES!$B$1:$CX$1,1,$AA275)))</f>
        <v/>
      </c>
    </row>
    <row r="276" spans="1:29" hidden="1" outlineLevel="1" x14ac:dyDescent="0.3">
      <c r="A276" s="22" t="s">
        <v>84</v>
      </c>
      <c r="B276" s="42" t="str">
        <f t="shared" si="29"/>
        <v/>
      </c>
      <c r="C276" s="43">
        <f t="shared" si="30"/>
        <v>275</v>
      </c>
      <c r="D276" s="39"/>
      <c r="E276" s="39"/>
      <c r="F276" s="39"/>
      <c r="G276" s="39" t="s">
        <v>9</v>
      </c>
      <c r="H276" s="39"/>
      <c r="I276" s="39" t="s">
        <v>9</v>
      </c>
      <c r="J276" s="39"/>
      <c r="K276" s="14" t="s">
        <v>44</v>
      </c>
      <c r="L276" s="14" t="s">
        <v>27</v>
      </c>
      <c r="M276" s="20" t="s">
        <v>396</v>
      </c>
      <c r="O276" s="44">
        <v>0</v>
      </c>
      <c r="Q276" s="39" t="s">
        <v>401</v>
      </c>
      <c r="R276" s="39" t="s">
        <v>190</v>
      </c>
      <c r="S276" s="39"/>
      <c r="T276" s="39"/>
      <c r="Z276" s="91" t="str">
        <f>IF(OR($M276="",NOT($O276="{array}")),"",IFERROR(MATCH(PARAMETERS!$M276,DEFAULT!$B$5:$CC$5,0),""))</f>
        <v/>
      </c>
      <c r="AA276" s="86" t="str">
        <f t="shared" si="26"/>
        <v/>
      </c>
      <c r="AB276" s="117" t="str">
        <f>IF(AND(OR($A276="G",$A276="P"),NOT($O276="{array}")),IF(VLOOKUP($K276,base!$B$2:$D$18,3,0)="S",IF(OR($O276="",ISTEXT($O276)),"","STRING!"),IF(VLOOKUP($K276,base!$B$2:$D$18,3,0)="","",IF(ISTEXT($O276),"NUMERIC!",""))),"")</f>
        <v/>
      </c>
      <c r="AC276" s="17" t="str">
        <f>IF($AA276="","",IF($B276="I",VLOOKUP($AA276,#REF!,53,0),INDEX(VALUES!$B$1:$CX$1,1,$AA276)))</f>
        <v/>
      </c>
    </row>
    <row r="277" spans="1:29" hidden="1" outlineLevel="1" x14ac:dyDescent="0.3">
      <c r="A277" s="22" t="s">
        <v>84</v>
      </c>
      <c r="B277" s="42" t="str">
        <f t="shared" si="29"/>
        <v/>
      </c>
      <c r="C277" s="43">
        <f t="shared" si="30"/>
        <v>276</v>
      </c>
      <c r="D277" s="39"/>
      <c r="E277" s="39"/>
      <c r="F277" s="39"/>
      <c r="G277" s="39" t="s">
        <v>9</v>
      </c>
      <c r="H277" s="39"/>
      <c r="I277" s="39" t="s">
        <v>9</v>
      </c>
      <c r="J277" s="39"/>
      <c r="K277" s="14" t="s">
        <v>44</v>
      </c>
      <c r="L277" s="14" t="s">
        <v>27</v>
      </c>
      <c r="M277" s="20" t="s">
        <v>397</v>
      </c>
      <c r="O277" s="44">
        <v>1</v>
      </c>
      <c r="Q277" s="39" t="s">
        <v>401</v>
      </c>
      <c r="R277" s="39" t="s">
        <v>190</v>
      </c>
      <c r="S277" s="39"/>
      <c r="T277" s="39"/>
      <c r="Z277" s="91" t="str">
        <f>IF(OR($M277="",NOT($O277="{array}")),"",IFERROR(MATCH(PARAMETERS!$M277,DEFAULT!$B$5:$CC$5,0),""))</f>
        <v/>
      </c>
      <c r="AA277" s="86" t="str">
        <f t="shared" si="26"/>
        <v/>
      </c>
      <c r="AB277" s="117" t="str">
        <f>IF(AND(OR($A277="G",$A277="P"),NOT($O277="{array}")),IF(VLOOKUP($K277,base!$B$2:$D$18,3,0)="S",IF(OR($O277="",ISTEXT($O277)),"","STRING!"),IF(VLOOKUP($K277,base!$B$2:$D$18,3,0)="","",IF(ISTEXT($O277),"NUMERIC!",""))),"")</f>
        <v/>
      </c>
      <c r="AC277" s="17" t="str">
        <f>IF($AA277="","",IF($B277="I",VLOOKUP($AA277,#REF!,53,0),INDEX(VALUES!$B$1:$CX$1,1,$AA277)))</f>
        <v/>
      </c>
    </row>
    <row r="278" spans="1:29" hidden="1" outlineLevel="1" x14ac:dyDescent="0.3">
      <c r="A278" s="22" t="s">
        <v>84</v>
      </c>
      <c r="B278" s="42" t="str">
        <f t="shared" si="29"/>
        <v/>
      </c>
      <c r="C278" s="43">
        <f t="shared" si="30"/>
        <v>277</v>
      </c>
      <c r="D278" s="39"/>
      <c r="E278" s="39"/>
      <c r="F278" s="39" t="s">
        <v>9</v>
      </c>
      <c r="G278" s="39" t="s">
        <v>9</v>
      </c>
      <c r="H278" s="39"/>
      <c r="I278" s="39" t="s">
        <v>9</v>
      </c>
      <c r="J278" s="39"/>
      <c r="K278" s="14" t="s">
        <v>18</v>
      </c>
      <c r="L278" s="14" t="s">
        <v>27</v>
      </c>
      <c r="M278" s="20" t="s">
        <v>137</v>
      </c>
      <c r="N278" s="14" t="s">
        <v>392</v>
      </c>
      <c r="Q278" s="39" t="s">
        <v>9</v>
      </c>
      <c r="R278" s="39" t="s">
        <v>190</v>
      </c>
      <c r="S278" s="39"/>
      <c r="T278" s="39"/>
      <c r="Z278" s="91" t="str">
        <f>IF(OR($M278="",NOT($O278="{array}")),"",IFERROR(MATCH(PARAMETERS!$M278,DEFAULT!$B$5:$CC$5,0),""))</f>
        <v/>
      </c>
      <c r="AA278" s="86" t="str">
        <f t="shared" si="26"/>
        <v/>
      </c>
      <c r="AB278" s="117" t="str">
        <f>IF(AND(OR($A278="G",$A278="P"),NOT($O278="{array}")),IF(VLOOKUP($K278,base!$B$2:$D$18,3,0)="S",IF(OR($O278="",ISTEXT($O278)),"","STRING!"),IF(VLOOKUP($K278,base!$B$2:$D$18,3,0)="","",IF(ISTEXT($O278),"NUMERIC!",""))),"")</f>
        <v/>
      </c>
      <c r="AC278" s="17" t="str">
        <f>IF($AA278="","",IF($B278="I",VLOOKUP($AA278,#REF!,53,0),INDEX(VALUES!$B$1:$CX$1,1,$AA278)))</f>
        <v/>
      </c>
    </row>
    <row r="279" spans="1:29" hidden="1" outlineLevel="1" x14ac:dyDescent="0.3">
      <c r="A279" s="22" t="s">
        <v>84</v>
      </c>
      <c r="B279" s="42" t="str">
        <f t="shared" si="29"/>
        <v/>
      </c>
      <c r="C279" s="43">
        <f t="shared" si="30"/>
        <v>278</v>
      </c>
      <c r="D279" s="39"/>
      <c r="E279" s="39"/>
      <c r="F279" s="39" t="s">
        <v>9</v>
      </c>
      <c r="G279" s="39" t="s">
        <v>9</v>
      </c>
      <c r="H279" s="39"/>
      <c r="I279" s="39" t="s">
        <v>9</v>
      </c>
      <c r="J279" s="39" t="s">
        <v>9</v>
      </c>
      <c r="K279" s="14" t="s">
        <v>44</v>
      </c>
      <c r="L279" s="14" t="s">
        <v>38</v>
      </c>
      <c r="M279" s="20" t="s">
        <v>142</v>
      </c>
      <c r="N279" s="14" t="s">
        <v>352</v>
      </c>
      <c r="O279" s="44">
        <v>2</v>
      </c>
      <c r="Q279" s="39" t="s">
        <v>9</v>
      </c>
      <c r="R279" s="39" t="s">
        <v>190</v>
      </c>
      <c r="S279" s="39"/>
      <c r="T279" s="39"/>
      <c r="Z279" s="91" t="str">
        <f>IF(OR($M279="",NOT($O279="{array}")),"",IFERROR(MATCH(PARAMETERS!$M279,DEFAULT!$B$5:$CC$5,0),""))</f>
        <v/>
      </c>
      <c r="AA279" s="86" t="str">
        <f t="shared" si="26"/>
        <v/>
      </c>
      <c r="AB279" s="117" t="str">
        <f>IF(AND(OR($A279="G",$A279="P"),NOT($O279="{array}")),IF(VLOOKUP($K279,base!$B$2:$D$18,3,0)="S",IF(OR($O279="",ISTEXT($O279)),"","STRING!"),IF(VLOOKUP($K279,base!$B$2:$D$18,3,0)="","",IF(ISTEXT($O279),"NUMERIC!",""))),"")</f>
        <v/>
      </c>
      <c r="AC279" s="17" t="str">
        <f>IF($AA279="","",IF($B279="I",VLOOKUP($AA279,#REF!,53,0),INDEX(VALUES!$B$1:$CX$1,1,$AA279)))</f>
        <v/>
      </c>
    </row>
    <row r="280" spans="1:29" hidden="1" outlineLevel="1" x14ac:dyDescent="0.3">
      <c r="A280" s="22" t="s">
        <v>84</v>
      </c>
      <c r="B280" s="42" t="str">
        <f t="shared" si="29"/>
        <v/>
      </c>
      <c r="C280" s="43">
        <f t="shared" si="30"/>
        <v>279</v>
      </c>
      <c r="D280" s="39"/>
      <c r="E280" s="39"/>
      <c r="F280" s="39" t="s">
        <v>9</v>
      </c>
      <c r="G280" s="39" t="s">
        <v>9</v>
      </c>
      <c r="H280" s="39"/>
      <c r="I280" s="39" t="s">
        <v>9</v>
      </c>
      <c r="J280" s="39"/>
      <c r="K280" s="14" t="s">
        <v>47</v>
      </c>
      <c r="L280" s="14" t="s">
        <v>27</v>
      </c>
      <c r="M280" s="20" t="s">
        <v>118</v>
      </c>
      <c r="N280" s="14" t="s">
        <v>353</v>
      </c>
      <c r="O280" s="44">
        <v>1</v>
      </c>
      <c r="Q280" s="39" t="s">
        <v>9</v>
      </c>
      <c r="R280" s="39" t="s">
        <v>190</v>
      </c>
      <c r="S280" s="39"/>
      <c r="T280" s="39"/>
      <c r="Z280" s="91" t="str">
        <f>IF(OR($M280="",NOT($O280="{array}")),"",IFERROR(MATCH(PARAMETERS!$M280,DEFAULT!$B$5:$CC$5,0),""))</f>
        <v/>
      </c>
      <c r="AA280" s="86" t="str">
        <f t="shared" si="26"/>
        <v/>
      </c>
      <c r="AB280" s="117" t="str">
        <f>IF(AND(OR($A280="G",$A280="P"),NOT($O280="{array}")),IF(VLOOKUP($K280,base!$B$2:$D$18,3,0)="S",IF(OR($O280="",ISTEXT($O280)),"","STRING!"),IF(VLOOKUP($K280,base!$B$2:$D$18,3,0)="","",IF(ISTEXT($O280),"NUMERIC!",""))),"")</f>
        <v/>
      </c>
      <c r="AC280" s="17" t="str">
        <f>IF($AA280="","",IF($B280="I",VLOOKUP($AA280,#REF!,53,0),INDEX(VALUES!$B$1:$CX$1,1,$AA280)))</f>
        <v/>
      </c>
    </row>
    <row r="281" spans="1:29" hidden="1" outlineLevel="1" x14ac:dyDescent="0.3">
      <c r="A281" s="22" t="s">
        <v>84</v>
      </c>
      <c r="B281" s="42" t="str">
        <f t="shared" si="29"/>
        <v/>
      </c>
      <c r="C281" s="43">
        <f t="shared" si="30"/>
        <v>280</v>
      </c>
      <c r="D281" s="39"/>
      <c r="E281" s="39"/>
      <c r="F281" s="39"/>
      <c r="G281" s="39" t="s">
        <v>9</v>
      </c>
      <c r="H281" s="39"/>
      <c r="I281" s="39" t="s">
        <v>9</v>
      </c>
      <c r="J281" s="39"/>
      <c r="K281" s="14" t="s">
        <v>44</v>
      </c>
      <c r="L281" s="14" t="s">
        <v>27</v>
      </c>
      <c r="M281" s="20" t="s">
        <v>886</v>
      </c>
      <c r="N281" s="14" t="s">
        <v>887</v>
      </c>
      <c r="O281" s="44">
        <v>7000</v>
      </c>
      <c r="Q281" s="39" t="s">
        <v>9</v>
      </c>
      <c r="R281" s="39" t="s">
        <v>343</v>
      </c>
      <c r="S281" s="39"/>
      <c r="T281" s="39"/>
      <c r="Z281" s="91" t="str">
        <f>IF(OR($M281="",NOT($O281="{array}")),"",IFERROR(MATCH(PARAMETERS!$M281,DEFAULT!$B$5:$CC$5,0),""))</f>
        <v/>
      </c>
      <c r="AA281" s="86" t="str">
        <f t="shared" si="26"/>
        <v/>
      </c>
      <c r="AB281" s="117" t="str">
        <f>IF(AND(OR($A281="G",$A281="P"),NOT($O281="{array}")),IF(VLOOKUP($K281,base!$B$2:$D$18,3,0)="S",IF(OR($O281="",ISTEXT($O281)),"","STRING!"),IF(VLOOKUP($K281,base!$B$2:$D$18,3,0)="","",IF(ISTEXT($O281),"NUMERIC!",""))),"")</f>
        <v/>
      </c>
      <c r="AC281" s="17" t="str">
        <f>IF($AA281="","",IF($B281="I",VLOOKUP($AA281,#REF!,53,0),INDEX(VALUES!$B$1:$CX$1,1,$AA281)))</f>
        <v/>
      </c>
    </row>
    <row r="282" spans="1:29" hidden="1" outlineLevel="1" x14ac:dyDescent="0.3">
      <c r="A282" s="22" t="s">
        <v>84</v>
      </c>
      <c r="B282" s="42" t="str">
        <f t="shared" si="29"/>
        <v>V</v>
      </c>
      <c r="C282" s="43">
        <f t="shared" si="30"/>
        <v>281</v>
      </c>
      <c r="D282" s="39"/>
      <c r="E282" s="39"/>
      <c r="F282" s="39"/>
      <c r="G282" s="39"/>
      <c r="H282" s="39"/>
      <c r="I282" s="39" t="s">
        <v>9</v>
      </c>
      <c r="J282" s="39"/>
      <c r="K282" s="67" t="s">
        <v>44</v>
      </c>
      <c r="L282" s="67" t="s">
        <v>32</v>
      </c>
      <c r="M282" s="67" t="s">
        <v>490</v>
      </c>
      <c r="N282" s="67" t="s">
        <v>491</v>
      </c>
      <c r="O282" s="97">
        <v>0</v>
      </c>
      <c r="R282" s="39" t="s">
        <v>343</v>
      </c>
      <c r="S282" s="39"/>
      <c r="T282" s="39"/>
      <c r="Z282" s="91" t="str">
        <f>IF(OR($M282="",NOT($O282="{array}")),"",IFERROR(MATCH(PARAMETERS!$M282,DEFAULT!$B$5:$CC$5,0),""))</f>
        <v/>
      </c>
      <c r="AA282" s="86">
        <f t="shared" si="26"/>
        <v>101</v>
      </c>
      <c r="AB282" s="117" t="str">
        <f>IF(AND(OR($A282="G",$A282="P"),NOT($O282="{array}")),IF(VLOOKUP($K282,base!$B$2:$D$18,3,0)="S",IF(OR($O282="",ISTEXT($O282)),"","STRING!"),IF(VLOOKUP($K282,base!$B$2:$D$18,3,0)="","",IF(ISTEXT($O282),"NUMERIC!",""))),"")</f>
        <v/>
      </c>
      <c r="AC282" s="17" t="str">
        <f>IF($AA282="","",IF($B282="I",VLOOKUP($AA282,#REF!,53,0),INDEX(VALUES!$B$1:$CX$1,1,$AA282)))</f>
        <v>0 | 1 | 2 | 3 | 4 | 5 | 6 | 7 | ...</v>
      </c>
    </row>
    <row r="283" spans="1:29" collapsed="1" x14ac:dyDescent="0.3">
      <c r="A283" s="22" t="s">
        <v>84</v>
      </c>
      <c r="B283" s="42" t="str">
        <f t="shared" si="29"/>
        <v/>
      </c>
      <c r="C283" s="252">
        <f t="shared" si="30"/>
        <v>282</v>
      </c>
      <c r="D283" s="253"/>
      <c r="E283" s="253"/>
      <c r="F283" s="253"/>
      <c r="G283" s="253"/>
      <c r="H283" s="253"/>
      <c r="I283" s="253"/>
      <c r="J283" s="253"/>
      <c r="K283" s="254" t="s">
        <v>57</v>
      </c>
      <c r="L283" s="254" t="s">
        <v>38</v>
      </c>
      <c r="M283" s="255" t="s">
        <v>808</v>
      </c>
      <c r="N283" s="256" t="s">
        <v>809</v>
      </c>
      <c r="O283" s="257"/>
      <c r="P283" s="254"/>
      <c r="Q283" s="253"/>
      <c r="R283" s="253" t="s">
        <v>190</v>
      </c>
      <c r="S283" s="253"/>
      <c r="T283" s="253"/>
      <c r="U283" s="254"/>
      <c r="V283" s="254"/>
      <c r="W283" s="258"/>
      <c r="X283" s="258"/>
      <c r="Y283" s="254"/>
      <c r="Z283" s="91" t="str">
        <f>IF(OR($M283="",NOT($O283="{array}")),"",IFERROR(MATCH(PARAMETERS!$M283,DEFAULT!$B$5:$CC$5,0),""))</f>
        <v/>
      </c>
      <c r="AA283" s="86" t="str">
        <f t="shared" si="26"/>
        <v/>
      </c>
      <c r="AB283" s="117" t="str">
        <f>IF(AND(OR($A283="G",$A283="P"),NOT($O283="{array}")),IF(VLOOKUP($K283,base!$B$2:$D$18,3,0)="S",IF(OR($O283="",ISTEXT($O283)),"","STRING!"),IF(VLOOKUP($K283,base!$B$2:$D$18,3,0)="","",IF(ISTEXT($O283),"NUMERIC!",""))),"")</f>
        <v/>
      </c>
      <c r="AC283" s="17" t="str">
        <f>IF($AA283="","",IF($B283="I",VLOOKUP($AA283,#REF!,53,0),INDEX(VALUES!$B$1:$CX$1,1,$AA283)))</f>
        <v/>
      </c>
    </row>
    <row r="284" spans="1:29" hidden="1" outlineLevel="1" x14ac:dyDescent="0.3">
      <c r="A284" s="22" t="s">
        <v>84</v>
      </c>
      <c r="B284" s="42" t="str">
        <f t="shared" si="29"/>
        <v/>
      </c>
      <c r="C284" s="260">
        <f t="shared" si="30"/>
        <v>283</v>
      </c>
      <c r="D284" s="253"/>
      <c r="E284" s="253"/>
      <c r="F284" s="253"/>
      <c r="G284" s="253"/>
      <c r="H284" s="253"/>
      <c r="I284" s="253" t="s">
        <v>9</v>
      </c>
      <c r="J284" s="253" t="s">
        <v>9</v>
      </c>
      <c r="K284" s="254" t="s">
        <v>44</v>
      </c>
      <c r="L284" s="261" t="s">
        <v>38</v>
      </c>
      <c r="M284" s="259" t="s">
        <v>800</v>
      </c>
      <c r="N284" s="254" t="s">
        <v>801</v>
      </c>
      <c r="O284" s="257">
        <v>1</v>
      </c>
      <c r="P284" s="254"/>
      <c r="Q284" s="253"/>
      <c r="R284" s="253" t="s">
        <v>343</v>
      </c>
      <c r="S284" s="253"/>
      <c r="T284" s="253"/>
      <c r="U284" s="254"/>
      <c r="V284" s="254"/>
      <c r="W284" s="258"/>
      <c r="X284" s="258"/>
      <c r="Y284" s="254"/>
      <c r="Z284" s="91" t="str">
        <f>IF(OR($M284="",NOT($O284="{array}")),"",IFERROR(MATCH(PARAMETERS!$M284,DEFAULT!$B$5:$CC$5,0),""))</f>
        <v/>
      </c>
      <c r="AA284" s="86" t="str">
        <f t="shared" si="26"/>
        <v/>
      </c>
      <c r="AB284" s="117" t="str">
        <f>IF(AND(OR($A284="G",$A284="P"),NOT($O284="{array}")),IF(VLOOKUP($K284,base!$B$2:$D$18,3,0)="S",IF(OR($O284="",ISTEXT($O284)),"","STRING!"),IF(VLOOKUP($K284,base!$B$2:$D$18,3,0)="","",IF(ISTEXT($O284),"NUMERIC!",""))),"")</f>
        <v/>
      </c>
      <c r="AC284" s="17" t="str">
        <f>IF($AA284="","",IF($B284="I",VLOOKUP($AA284,#REF!,53,0),INDEX(VALUES!$B$1:$CX$1,1,$AA284)))</f>
        <v/>
      </c>
    </row>
    <row r="285" spans="1:29" hidden="1" outlineLevel="1" x14ac:dyDescent="0.3">
      <c r="A285" s="22" t="s">
        <v>84</v>
      </c>
      <c r="B285" s="42" t="str">
        <f t="shared" si="29"/>
        <v/>
      </c>
      <c r="C285" s="260">
        <f t="shared" si="30"/>
        <v>284</v>
      </c>
      <c r="D285" s="253"/>
      <c r="E285" s="253"/>
      <c r="F285" s="253"/>
      <c r="G285" s="253"/>
      <c r="H285" s="253"/>
      <c r="I285" s="253" t="s">
        <v>9</v>
      </c>
      <c r="J285" s="253" t="s">
        <v>9</v>
      </c>
      <c r="K285" s="254" t="s">
        <v>44</v>
      </c>
      <c r="L285" s="261" t="s">
        <v>38</v>
      </c>
      <c r="M285" s="259" t="s">
        <v>802</v>
      </c>
      <c r="N285" s="254" t="s">
        <v>805</v>
      </c>
      <c r="O285" s="257">
        <v>1</v>
      </c>
      <c r="P285" s="254"/>
      <c r="Q285" s="253"/>
      <c r="R285" s="253" t="s">
        <v>343</v>
      </c>
      <c r="S285" s="253"/>
      <c r="T285" s="253"/>
      <c r="U285" s="254"/>
      <c r="V285" s="254"/>
      <c r="W285" s="258"/>
      <c r="X285" s="258"/>
      <c r="Y285" s="254"/>
      <c r="Z285" s="91" t="str">
        <f>IF(OR($M285="",NOT($O285="{array}")),"",IFERROR(MATCH(PARAMETERS!$M285,DEFAULT!$B$5:$CC$5,0),""))</f>
        <v/>
      </c>
      <c r="AA285" s="86" t="str">
        <f t="shared" si="26"/>
        <v/>
      </c>
      <c r="AB285" s="117" t="str">
        <f>IF(AND(OR($A285="G",$A285="P"),NOT($O285="{array}")),IF(VLOOKUP($K285,base!$B$2:$D$18,3,0)="S",IF(OR($O285="",ISTEXT($O285)),"","STRING!"),IF(VLOOKUP($K285,base!$B$2:$D$18,3,0)="","",IF(ISTEXT($O285),"NUMERIC!",""))),"")</f>
        <v/>
      </c>
      <c r="AC285" s="17" t="str">
        <f>IF($AA285="","",IF($B285="I",VLOOKUP($AA285,#REF!,53,0),INDEX(VALUES!$B$1:$CX$1,1,$AA285)))</f>
        <v/>
      </c>
    </row>
    <row r="286" spans="1:29" hidden="1" outlineLevel="1" x14ac:dyDescent="0.3">
      <c r="A286" s="22" t="s">
        <v>84</v>
      </c>
      <c r="B286" s="42" t="str">
        <f t="shared" si="29"/>
        <v/>
      </c>
      <c r="C286" s="260">
        <f t="shared" si="30"/>
        <v>285</v>
      </c>
      <c r="D286" s="253"/>
      <c r="E286" s="253"/>
      <c r="F286" s="253"/>
      <c r="G286" s="253"/>
      <c r="H286" s="253"/>
      <c r="I286" s="253" t="s">
        <v>9</v>
      </c>
      <c r="J286" s="253" t="s">
        <v>9</v>
      </c>
      <c r="K286" s="254" t="s">
        <v>44</v>
      </c>
      <c r="L286" s="261" t="s">
        <v>38</v>
      </c>
      <c r="M286" s="259" t="s">
        <v>804</v>
      </c>
      <c r="N286" s="254" t="s">
        <v>803</v>
      </c>
      <c r="O286" s="257">
        <v>0</v>
      </c>
      <c r="P286" s="254"/>
      <c r="Q286" s="253"/>
      <c r="R286" s="253" t="s">
        <v>343</v>
      </c>
      <c r="S286" s="253"/>
      <c r="T286" s="253"/>
      <c r="U286" s="254"/>
      <c r="V286" s="254"/>
      <c r="W286" s="258"/>
      <c r="X286" s="258"/>
      <c r="Y286" s="254"/>
      <c r="Z286" s="91" t="str">
        <f>IF(OR($M286="",NOT($O286="{array}")),"",IFERROR(MATCH(PARAMETERS!$M286,DEFAULT!$B$5:$CC$5,0),""))</f>
        <v/>
      </c>
      <c r="AA286" s="86" t="str">
        <f t="shared" si="26"/>
        <v/>
      </c>
      <c r="AB286" s="117" t="str">
        <f>IF(AND(OR($A286="G",$A286="P"),NOT($O286="{array}")),IF(VLOOKUP($K286,base!$B$2:$D$18,3,0)="S",IF(OR($O286="",ISTEXT($O286)),"","STRING!"),IF(VLOOKUP($K286,base!$B$2:$D$18,3,0)="","",IF(ISTEXT($O286),"NUMERIC!",""))),"")</f>
        <v/>
      </c>
      <c r="AC286" s="17" t="str">
        <f>IF($AA286="","",IF($B286="I",VLOOKUP($AA286,#REF!,53,0),INDEX(VALUES!$B$1:$CX$1,1,$AA286)))</f>
        <v/>
      </c>
    </row>
    <row r="287" spans="1:29" collapsed="1" x14ac:dyDescent="0.3">
      <c r="A287" s="22" t="s">
        <v>84</v>
      </c>
      <c r="B287" s="42" t="str">
        <f t="shared" si="29"/>
        <v/>
      </c>
      <c r="C287" s="260">
        <f t="shared" si="30"/>
        <v>286</v>
      </c>
      <c r="D287" s="253"/>
      <c r="E287" s="253"/>
      <c r="F287" s="253"/>
      <c r="G287" s="253"/>
      <c r="H287" s="253"/>
      <c r="I287" s="253" t="s">
        <v>9</v>
      </c>
      <c r="J287" s="253" t="s">
        <v>9</v>
      </c>
      <c r="K287" s="254" t="s">
        <v>44</v>
      </c>
      <c r="L287" s="261" t="s">
        <v>38</v>
      </c>
      <c r="M287" s="259" t="s">
        <v>806</v>
      </c>
      <c r="N287" s="254" t="s">
        <v>807</v>
      </c>
      <c r="O287" s="257">
        <v>0</v>
      </c>
      <c r="P287" s="254"/>
      <c r="Q287" s="253"/>
      <c r="R287" s="253" t="s">
        <v>343</v>
      </c>
      <c r="S287" s="253"/>
      <c r="T287" s="253"/>
      <c r="U287" s="254"/>
      <c r="V287" s="254"/>
      <c r="W287" s="258"/>
      <c r="X287" s="258"/>
      <c r="Y287" s="254"/>
      <c r="Z287" s="91" t="str">
        <f>IF(OR($M287="",NOT($O287="{array}")),"",IFERROR(MATCH(PARAMETERS!$M287,DEFAULT!$B$5:$CC$5,0),""))</f>
        <v/>
      </c>
      <c r="AA287" s="86" t="str">
        <f t="shared" si="26"/>
        <v/>
      </c>
      <c r="AB287" s="117" t="str">
        <f>IF(AND(OR($A287="G",$A287="P"),NOT($O287="{array}")),IF(VLOOKUP($K287,base!$B$2:$D$18,3,0)="S",IF(OR($O287="",ISTEXT($O287)),"","STRING!"),IF(VLOOKUP($K287,base!$B$2:$D$18,3,0)="","",IF(ISTEXT($O287),"NUMERIC!",""))),"")</f>
        <v/>
      </c>
      <c r="AC287" s="17" t="str">
        <f>IF($AA287="","",IF($B287="I",VLOOKUP($AA287,#REF!,53,0),INDEX(VALUES!$B$1:$CX$1,1,$AA287)))</f>
        <v/>
      </c>
    </row>
    <row r="288" spans="1:29" x14ac:dyDescent="0.3">
      <c r="A288" s="22"/>
      <c r="B288" s="42" t="str">
        <f t="shared" si="29"/>
        <v/>
      </c>
      <c r="C288" s="43">
        <f t="shared" si="30"/>
        <v>287</v>
      </c>
      <c r="D288" s="39"/>
      <c r="E288" s="39"/>
      <c r="F288" s="39"/>
      <c r="G288" s="39"/>
      <c r="H288" s="39"/>
      <c r="I288" s="39"/>
      <c r="J288" s="39"/>
      <c r="R288" s="39"/>
      <c r="S288" s="39"/>
      <c r="T288" s="39"/>
      <c r="Z288" s="91" t="str">
        <f>IF(OR($M288="",NOT($O288="{array}")),"",IFERROR(MATCH(PARAMETERS!$M288,DEFAULT!$B$5:$CC$5,0),""))</f>
        <v/>
      </c>
      <c r="AA288" s="86" t="str">
        <f t="shared" si="26"/>
        <v/>
      </c>
      <c r="AB288" s="117" t="str">
        <f>IF(AND(OR($A288="G",$A288="P"),NOT($O288="{array}")),IF(VLOOKUP($K288,base!$B$2:$D$18,3,0)="S",IF(OR($O288="",ISTEXT($O288)),"","STRING!"),IF(VLOOKUP($K288,base!$B$2:$D$18,3,0)="","",IF(ISTEXT($O288),"NUMERIC!",""))),"")</f>
        <v/>
      </c>
      <c r="AC288" s="17" t="str">
        <f>IF($AA288="","",IF($B288="I",VLOOKUP($AA288,#REF!,53,0),INDEX(VALUES!$B$1:$CX$1,1,$AA288)))</f>
        <v/>
      </c>
    </row>
    <row r="289" spans="1:29" x14ac:dyDescent="0.3">
      <c r="A289" s="22"/>
      <c r="B289" s="42" t="str">
        <f t="shared" si="29"/>
        <v/>
      </c>
      <c r="C289" s="43">
        <f t="shared" si="30"/>
        <v>288</v>
      </c>
      <c r="D289" s="39"/>
      <c r="E289" s="39"/>
      <c r="F289" s="39"/>
      <c r="G289" s="39"/>
      <c r="H289" s="39"/>
      <c r="I289" s="39"/>
      <c r="J289" s="39"/>
      <c r="R289" s="39"/>
      <c r="S289" s="39"/>
      <c r="T289" s="39"/>
      <c r="Z289" s="91" t="str">
        <f>IF(OR($M289="",NOT($O289="{array}")),"",IFERROR(MATCH(PARAMETERS!$M289,DEFAULT!$B$5:$CC$5,0),""))</f>
        <v/>
      </c>
      <c r="AA289" s="86" t="str">
        <f t="shared" si="26"/>
        <v/>
      </c>
      <c r="AB289" s="117" t="str">
        <f>IF(AND(OR($A289="G",$A289="P"),NOT($O289="{array}")),IF(VLOOKUP($K289,base!$B$2:$D$18,3,0)="S",IF(OR($O289="",ISTEXT($O289)),"","STRING!"),IF(VLOOKUP($K289,base!$B$2:$D$18,3,0)="","",IF(ISTEXT($O289),"NUMERIC!",""))),"")</f>
        <v/>
      </c>
      <c r="AC289" s="17" t="str">
        <f>IF($AA289="","",IF($B289="I",VLOOKUP($AA289,#REF!,53,0),INDEX(VALUES!$B$1:$CX$1,1,$AA289)))</f>
        <v/>
      </c>
    </row>
    <row r="290" spans="1:29" x14ac:dyDescent="0.3">
      <c r="A290" s="22"/>
      <c r="B290" s="42" t="str">
        <f t="shared" si="29"/>
        <v/>
      </c>
      <c r="C290" s="43">
        <f t="shared" si="30"/>
        <v>289</v>
      </c>
      <c r="D290" s="39"/>
      <c r="E290" s="39"/>
      <c r="F290" s="39"/>
      <c r="G290" s="39"/>
      <c r="H290" s="39"/>
      <c r="I290" s="39"/>
      <c r="J290" s="39"/>
      <c r="R290" s="39"/>
      <c r="S290" s="39"/>
      <c r="T290" s="39"/>
      <c r="Z290" s="91" t="str">
        <f>IF(OR($M290="",NOT($O290="{array}")),"",IFERROR(MATCH(PARAMETERS!$M290,DEFAULT!$B$5:$CC$5,0),""))</f>
        <v/>
      </c>
      <c r="AA290" s="86" t="str">
        <f t="shared" si="26"/>
        <v/>
      </c>
      <c r="AB290" s="117" t="str">
        <f>IF(AND(OR($A290="G",$A290="P"),NOT($O290="{array}")),IF(VLOOKUP($K290,base!$B$2:$D$18,3,0)="S",IF(OR($O290="",ISTEXT($O290)),"","STRING!"),IF(VLOOKUP($K290,base!$B$2:$D$18,3,0)="","",IF(ISTEXT($O290),"NUMERIC!",""))),"")</f>
        <v/>
      </c>
      <c r="AC290" s="17" t="str">
        <f>IF($AA290="","",IF($B290="I",VLOOKUP($AA290,#REF!,53,0),INDEX(VALUES!$B$1:$CX$1,1,$AA290)))</f>
        <v/>
      </c>
    </row>
    <row r="291" spans="1:29" x14ac:dyDescent="0.3">
      <c r="A291" s="22"/>
      <c r="B291" s="42" t="str">
        <f t="shared" si="29"/>
        <v/>
      </c>
      <c r="C291" s="43">
        <f t="shared" si="30"/>
        <v>290</v>
      </c>
      <c r="D291" s="39"/>
      <c r="E291" s="39"/>
      <c r="F291" s="39"/>
      <c r="G291" s="39"/>
      <c r="H291" s="39"/>
      <c r="I291" s="39"/>
      <c r="J291" s="39"/>
      <c r="R291" s="39"/>
      <c r="S291" s="39"/>
      <c r="T291" s="39"/>
      <c r="Z291" s="91" t="str">
        <f>IF(OR($M291="",NOT($O291="{array}")),"",IFERROR(MATCH(PARAMETERS!$M291,DEFAULT!$B$5:$CC$5,0),""))</f>
        <v/>
      </c>
      <c r="AA291" s="86" t="str">
        <f t="shared" si="26"/>
        <v/>
      </c>
      <c r="AB291" s="117" t="str">
        <f>IF(AND(OR($A291="G",$A291="P"),NOT($O291="{array}")),IF(VLOOKUP($K291,base!$B$2:$D$18,3,0)="S",IF(OR($O291="",ISTEXT($O291)),"","STRING!"),IF(VLOOKUP($K291,base!$B$2:$D$18,3,0)="","",IF(ISTEXT($O291),"NUMERIC!",""))),"")</f>
        <v/>
      </c>
      <c r="AC291" s="17" t="str">
        <f>IF($AA291="","",IF($B291="I",VLOOKUP($AA291,#REF!,53,0),INDEX(VALUES!$B$1:$CX$1,1,$AA291)))</f>
        <v/>
      </c>
    </row>
    <row r="292" spans="1:29" x14ac:dyDescent="0.3">
      <c r="A292" s="22"/>
      <c r="B292" s="42" t="str">
        <f t="shared" si="29"/>
        <v/>
      </c>
      <c r="C292" s="43">
        <f t="shared" si="30"/>
        <v>291</v>
      </c>
      <c r="D292" s="39"/>
      <c r="E292" s="39"/>
      <c r="F292" s="39"/>
      <c r="G292" s="39"/>
      <c r="H292" s="39"/>
      <c r="I292" s="39"/>
      <c r="J292" s="39"/>
      <c r="R292" s="39"/>
      <c r="S292" s="39"/>
      <c r="T292" s="39"/>
      <c r="Z292" s="91" t="str">
        <f>IF(OR($M292="",NOT($O292="{array}")),"",IFERROR(MATCH(PARAMETERS!$M292,DEFAULT!$B$5:$CC$5,0),""))</f>
        <v/>
      </c>
      <c r="AA292" s="86" t="str">
        <f t="shared" si="26"/>
        <v/>
      </c>
      <c r="AB292" s="117" t="str">
        <f>IF(AND(OR($A292="G",$A292="P"),NOT($O292="{array}")),IF(VLOOKUP($K292,base!$B$2:$D$18,3,0)="S",IF(OR($O292="",ISTEXT($O292)),"","STRING!"),IF(VLOOKUP($K292,base!$B$2:$D$18,3,0)="","",IF(ISTEXT($O292),"NUMERIC!",""))),"")</f>
        <v/>
      </c>
      <c r="AC292" s="17" t="str">
        <f>IF($AA292="","",IF($B292="I",VLOOKUP($AA292,#REF!,53,0),INDEX(VALUES!$B$1:$CX$1,1,$AA292)))</f>
        <v/>
      </c>
    </row>
    <row r="293" spans="1:29" x14ac:dyDescent="0.3">
      <c r="A293" s="22"/>
      <c r="B293" s="42" t="str">
        <f t="shared" si="29"/>
        <v/>
      </c>
      <c r="C293" s="43">
        <f t="shared" si="30"/>
        <v>292</v>
      </c>
      <c r="D293" s="39"/>
      <c r="E293" s="39"/>
      <c r="F293" s="39"/>
      <c r="G293" s="39"/>
      <c r="H293" s="39"/>
      <c r="I293" s="39"/>
      <c r="J293" s="39"/>
      <c r="R293" s="39"/>
      <c r="S293" s="39"/>
      <c r="T293" s="39"/>
      <c r="Z293" s="91" t="str">
        <f>IF(OR($M293="",NOT($O293="{array}")),"",IFERROR(MATCH(PARAMETERS!$M293,DEFAULT!$B$5:$CC$5,0),""))</f>
        <v/>
      </c>
      <c r="AA293" s="86" t="str">
        <f t="shared" si="26"/>
        <v/>
      </c>
      <c r="AB293" s="117" t="str">
        <f>IF(AND(OR($A293="G",$A293="P"),NOT($O293="{array}")),IF(VLOOKUP($K293,base!$B$2:$D$18,3,0)="S",IF(OR($O293="",ISTEXT($O293)),"","STRING!"),IF(VLOOKUP($K293,base!$B$2:$D$18,3,0)="","",IF(ISTEXT($O293),"NUMERIC!",""))),"")</f>
        <v/>
      </c>
      <c r="AC293" s="17" t="str">
        <f>IF($AA293="","",IF($B293="I",VLOOKUP($AA293,#REF!,53,0),INDEX(VALUES!$B$1:$CX$1,1,$AA293)))</f>
        <v/>
      </c>
    </row>
    <row r="294" spans="1:29" x14ac:dyDescent="0.3">
      <c r="A294" s="22"/>
      <c r="B294" s="42" t="str">
        <f t="shared" si="29"/>
        <v/>
      </c>
      <c r="C294" s="43">
        <f t="shared" si="30"/>
        <v>293</v>
      </c>
      <c r="D294" s="39"/>
      <c r="E294" s="39"/>
      <c r="F294" s="39"/>
      <c r="G294" s="39"/>
      <c r="H294" s="39"/>
      <c r="I294" s="39"/>
      <c r="J294" s="39"/>
      <c r="R294" s="39"/>
      <c r="S294" s="39"/>
      <c r="T294" s="39"/>
      <c r="Z294" s="91" t="str">
        <f>IF(OR($M294="",NOT($O294="{array}")),"",IFERROR(MATCH(PARAMETERS!$M294,DEFAULT!$B$5:$CC$5,0),""))</f>
        <v/>
      </c>
      <c r="AA294" s="86" t="str">
        <f t="shared" si="26"/>
        <v/>
      </c>
      <c r="AB294" s="117" t="str">
        <f>IF(AND(OR($A294="G",$A294="P"),NOT($O294="{array}")),IF(VLOOKUP($K294,base!$B$2:$D$18,3,0)="S",IF(OR($O294="",ISTEXT($O294)),"","STRING!"),IF(VLOOKUP($K294,base!$B$2:$D$18,3,0)="","",IF(ISTEXT($O294),"NUMERIC!",""))),"")</f>
        <v/>
      </c>
      <c r="AC294" s="17" t="str">
        <f>IF($AA294="","",IF($B294="I",VLOOKUP($AA294,#REF!,53,0),INDEX(VALUES!$B$1:$CX$1,1,$AA294)))</f>
        <v/>
      </c>
    </row>
    <row r="295" spans="1:29" x14ac:dyDescent="0.3">
      <c r="A295" s="22"/>
      <c r="B295" s="42" t="str">
        <f t="shared" si="29"/>
        <v/>
      </c>
      <c r="C295" s="43">
        <f t="shared" si="30"/>
        <v>294</v>
      </c>
      <c r="D295" s="39"/>
      <c r="E295" s="39"/>
      <c r="F295" s="39"/>
      <c r="G295" s="39"/>
      <c r="H295" s="39"/>
      <c r="I295" s="39"/>
      <c r="J295" s="39"/>
      <c r="R295" s="39"/>
      <c r="S295" s="39"/>
      <c r="T295" s="39"/>
      <c r="Z295" s="91" t="str">
        <f>IF(OR($M295="",NOT($O295="{array}")),"",IFERROR(MATCH(PARAMETERS!$M295,DEFAULT!$B$5:$CC$5,0),""))</f>
        <v/>
      </c>
      <c r="AA295" s="86" t="str">
        <f t="shared" si="26"/>
        <v/>
      </c>
      <c r="AB295" s="117" t="str">
        <f>IF(AND(OR($A295="G",$A295="P"),NOT($O295="{array}")),IF(VLOOKUP($K295,base!$B$2:$D$18,3,0)="S",IF(OR($O295="",ISTEXT($O295)),"","STRING!"),IF(VLOOKUP($K295,base!$B$2:$D$18,3,0)="","",IF(ISTEXT($O295),"NUMERIC!",""))),"")</f>
        <v/>
      </c>
      <c r="AC295" s="17" t="str">
        <f>IF($AA295="","",IF($B295="I",VLOOKUP($AA295,#REF!,53,0),INDEX(VALUES!$B$1:$CX$1,1,$AA295)))</f>
        <v/>
      </c>
    </row>
    <row r="296" spans="1:29" x14ac:dyDescent="0.3">
      <c r="A296" s="22"/>
      <c r="B296" s="42" t="str">
        <f t="shared" si="29"/>
        <v/>
      </c>
      <c r="C296" s="43">
        <f t="shared" si="30"/>
        <v>295</v>
      </c>
      <c r="D296" s="39"/>
      <c r="E296" s="39"/>
      <c r="F296" s="39"/>
      <c r="G296" s="39"/>
      <c r="H296" s="39"/>
      <c r="I296" s="39"/>
      <c r="J296" s="39"/>
      <c r="R296" s="39"/>
      <c r="S296" s="39"/>
      <c r="T296" s="39"/>
      <c r="Z296" s="91" t="str">
        <f>IF(OR($M296="",NOT($O296="{array}")),"",IFERROR(MATCH(PARAMETERS!$M296,DEFAULT!$B$5:$CC$5,0),""))</f>
        <v/>
      </c>
      <c r="AA296" s="86" t="str">
        <f t="shared" si="26"/>
        <v/>
      </c>
      <c r="AB296" s="117" t="str">
        <f>IF(AND(OR($A296="G",$A296="P"),NOT($O296="{array}")),IF(VLOOKUP($K296,base!$B$2:$D$18,3,0)="S",IF(OR($O296="",ISTEXT($O296)),"","STRING!"),IF(VLOOKUP($K296,base!$B$2:$D$18,3,0)="","",IF(ISTEXT($O296),"NUMERIC!",""))),"")</f>
        <v/>
      </c>
      <c r="AC296" s="17" t="str">
        <f>IF($AA296="","",IF($B296="I",VLOOKUP($AA296,#REF!,53,0),INDEX(VALUES!$B$1:$CX$1,1,$AA296)))</f>
        <v/>
      </c>
    </row>
    <row r="297" spans="1:29" x14ac:dyDescent="0.3">
      <c r="A297" s="22"/>
      <c r="B297" s="42" t="str">
        <f t="shared" si="29"/>
        <v/>
      </c>
      <c r="C297" s="43">
        <f t="shared" si="30"/>
        <v>296</v>
      </c>
      <c r="D297" s="39"/>
      <c r="E297" s="39"/>
      <c r="F297" s="39"/>
      <c r="G297" s="39"/>
      <c r="H297" s="39"/>
      <c r="I297" s="39"/>
      <c r="J297" s="39"/>
      <c r="R297" s="39"/>
      <c r="S297" s="39"/>
      <c r="T297" s="39"/>
      <c r="Z297" s="91" t="str">
        <f>IF(OR($M297="",NOT($O297="{array}")),"",IFERROR(MATCH(PARAMETERS!$M297,DEFAULT!$B$5:$CC$5,0),""))</f>
        <v/>
      </c>
      <c r="AA297" s="86" t="str">
        <f t="shared" si="26"/>
        <v/>
      </c>
      <c r="AB297" s="117" t="str">
        <f>IF(AND(OR($A297="G",$A297="P"),NOT($O297="{array}")),IF(VLOOKUP($K297,base!$B$2:$D$18,3,0)="S",IF(OR($O297="",ISTEXT($O297)),"","STRING!"),IF(VLOOKUP($K297,base!$B$2:$D$18,3,0)="","",IF(ISTEXT($O297),"NUMERIC!",""))),"")</f>
        <v/>
      </c>
      <c r="AC297" s="17" t="str">
        <f>IF($AA297="","",IF($B297="I",VLOOKUP($AA297,#REF!,53,0),INDEX(VALUES!$B$1:$CX$1,1,$AA297)))</f>
        <v/>
      </c>
    </row>
    <row r="298" spans="1:29" ht="18" thickBot="1" x14ac:dyDescent="0.35">
      <c r="A298" s="22"/>
      <c r="B298" s="42" t="str">
        <f t="shared" si="29"/>
        <v/>
      </c>
      <c r="C298" s="43">
        <f>(ROW()-1)</f>
        <v>297</v>
      </c>
      <c r="D298" s="39"/>
      <c r="E298" s="39"/>
      <c r="F298" s="39"/>
      <c r="G298" s="39"/>
      <c r="H298" s="39"/>
      <c r="I298" s="39"/>
      <c r="J298" s="39"/>
      <c r="R298" s="39"/>
      <c r="S298" s="39"/>
      <c r="T298" s="39"/>
      <c r="Z298" s="91" t="str">
        <f>IF(OR($M298="",NOT($O298="{array}")),"",IFERROR(MATCH(PARAMETERS!$M298,DEFAULT!$B$5:$CC$5,0),""))</f>
        <v/>
      </c>
      <c r="AA298" s="86" t="str">
        <f t="shared" si="26"/>
        <v/>
      </c>
      <c r="AB298" s="117" t="str">
        <f>IF(AND(OR($A298="G",$A298="P"),NOT($O298="{array}")),IF(VLOOKUP($K298,base!$B$2:$D$18,3,0)="S",IF(OR($O298="",ISTEXT($O298)),"","STRING!"),IF(VLOOKUP($K298,base!$B$2:$D$18,3,0)="","",IF(ISTEXT($O298),"NUMERIC!",""))),"")</f>
        <v/>
      </c>
      <c r="AC298" s="17" t="str">
        <f>IF($AA298="","",IF($B298="I",VLOOKUP($AA298,#REF!,53,0),INDEX(VALUES!$B$1:$CX$1,1,$AA298)))</f>
        <v/>
      </c>
    </row>
    <row r="299" spans="1:29" s="25" customFormat="1" ht="18" thickTop="1" x14ac:dyDescent="0.3">
      <c r="A299" s="36"/>
      <c r="B299" s="25" t="str">
        <f>IF($A299="","",IF($A299="G",IF(NOT($Z299=""),"A",IF(NOT($AA299=""),"V","")),IF($A299="P",IF(NOT($Z299=""),"A",IF(NOT($AA299=""),"I","")))))</f>
        <v/>
      </c>
      <c r="D299" s="45"/>
      <c r="E299" s="45"/>
      <c r="F299" s="45"/>
      <c r="G299" s="45"/>
      <c r="H299" s="45"/>
      <c r="I299" s="45"/>
      <c r="J299" s="45"/>
      <c r="M299" s="48"/>
      <c r="O299" s="46"/>
      <c r="Q299" s="66"/>
      <c r="R299" s="45"/>
      <c r="S299" s="45"/>
      <c r="T299" s="45"/>
      <c r="X299" s="47"/>
      <c r="Z299" s="92"/>
      <c r="AA299" s="93"/>
      <c r="AB299" s="118"/>
    </row>
  </sheetData>
  <phoneticPr fontId="7" type="noConversion"/>
  <conditionalFormatting sqref="A2:A298">
    <cfRule type="cellIs" dxfId="1" priority="49" stopIfTrue="1" operator="equal">
      <formula>"G"</formula>
    </cfRule>
    <cfRule type="cellIs" dxfId="0" priority="50" stopIfTrue="1" operator="equal">
      <formula>"P"</formula>
    </cfRule>
  </conditionalFormatting>
  <dataValidations count="8">
    <dataValidation type="list" allowBlank="1" showInputMessage="1" showErrorMessage="1" sqref="Q2:Q68 D2:J298 Q70:Q298">
      <formula1>"x"</formula1>
    </dataValidation>
    <dataValidation type="list" allowBlank="1" showInputMessage="1" showErrorMessage="1" sqref="R2:R298">
      <formula1>Stakeholder</formula1>
    </dataValidation>
    <dataValidation type="list" allowBlank="1" showInputMessage="1" sqref="S2:T298">
      <formula1>read_write</formula1>
    </dataValidation>
    <dataValidation type="list" allowBlank="1" showInputMessage="1" showErrorMessage="1" sqref="K2:K298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298">
      <formula1>"info,model,logic,internal"</formula1>
    </dataValidation>
    <dataValidation type="list" allowBlank="1" showInputMessage="1" sqref="O2:O298">
      <formula1>"empty,{array}"</formula1>
    </dataValidation>
    <dataValidation type="custom" allowBlank="1" showInputMessage="1" showErrorMessage="1" sqref="C2:C298">
      <formula1>"x"</formula1>
    </dataValidation>
    <dataValidation type="list" allowBlank="1" showInputMessage="1" sqref="A2:A298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D157"/>
  <sheetViews>
    <sheetView topLeftCell="BA1" zoomScaleNormal="100" workbookViewId="0">
      <pane ySplit="1452" activePane="bottomLeft"/>
      <selection activeCell="BR1" sqref="BR1:BW1048576"/>
      <selection pane="bottomLeft" activeCell="BN7" sqref="BN7"/>
    </sheetView>
  </sheetViews>
  <sheetFormatPr baseColWidth="10" defaultColWidth="11.44140625" defaultRowHeight="13.8" x14ac:dyDescent="0.3"/>
  <cols>
    <col min="1" max="1" width="17.6640625" style="23" customWidth="1"/>
    <col min="2" max="2" width="30.88671875" style="17" customWidth="1"/>
    <col min="3" max="5" width="9.5546875" style="17" customWidth="1"/>
    <col min="6" max="6" width="19.5546875" style="17" customWidth="1"/>
    <col min="7" max="10" width="7.88671875" style="17" customWidth="1"/>
    <col min="11" max="14" width="7.6640625" style="17" customWidth="1"/>
    <col min="15" max="15" width="36.33203125" style="17" customWidth="1"/>
    <col min="16" max="19" width="5" style="17" customWidth="1"/>
    <col min="20" max="20" width="17.5546875" style="17" customWidth="1"/>
    <col min="21" max="22" width="14.5546875" style="17" customWidth="1"/>
    <col min="23" max="23" width="24.44140625" style="17" bestFit="1" customWidth="1"/>
    <col min="24" max="24" width="27.109375" style="17" bestFit="1" customWidth="1"/>
    <col min="25" max="30" width="4.33203125" style="17" customWidth="1"/>
    <col min="31" max="33" width="5.44140625" style="17" customWidth="1"/>
    <col min="34" max="39" width="4.6640625" style="17" customWidth="1"/>
    <col min="40" max="60" width="5.33203125" style="17" customWidth="1"/>
    <col min="61" max="64" width="9" style="17" customWidth="1"/>
    <col min="65" max="66" width="6.6640625" style="17" bestFit="1" customWidth="1"/>
    <col min="67" max="69" width="11.44140625" style="17"/>
    <col min="70" max="71" width="14.88671875" style="17" customWidth="1"/>
    <col min="72" max="72" width="18.44140625" style="17" customWidth="1"/>
    <col min="73" max="73" width="14.88671875" style="17" customWidth="1"/>
    <col min="74" max="74" width="20.88671875" style="17" customWidth="1"/>
    <col min="75" max="75" width="14.88671875" style="17" customWidth="1"/>
    <col min="76" max="76" width="20.44140625" style="17" customWidth="1"/>
    <col min="77" max="77" width="16.109375" style="17" customWidth="1"/>
    <col min="78" max="78" width="17.6640625" style="17" customWidth="1"/>
    <col min="79" max="79" width="16.109375" style="17" customWidth="1"/>
    <col min="80" max="80" width="24.88671875" style="17" customWidth="1"/>
    <col min="81" max="81" width="16.109375" style="17" customWidth="1"/>
    <col min="82" max="82" width="36" style="29" customWidth="1"/>
    <col min="83" max="16384" width="11.44140625" style="14"/>
  </cols>
  <sheetData>
    <row r="1" spans="1:82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01" t="s">
        <v>88</v>
      </c>
    </row>
    <row r="2" spans="1:82" x14ac:dyDescent="0.3">
      <c r="A2" s="27" t="s">
        <v>901</v>
      </c>
      <c r="B2" s="34" t="str">
        <f t="shared" ref="B2:U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>IF(V$3="-","-",IF(V$3=U$3,U$2+1,1))</f>
        <v>-</v>
      </c>
      <c r="W2" s="34">
        <f t="shared" ref="W2:CC2" si="1">IF(W$3="-","-",IF(W$3=V$3,V$2+1,1))</f>
        <v>1</v>
      </c>
      <c r="X2" s="34">
        <f t="shared" si="1"/>
        <v>2</v>
      </c>
      <c r="Y2" s="34">
        <f t="shared" si="1"/>
        <v>1</v>
      </c>
      <c r="Z2" s="34">
        <f t="shared" si="1"/>
        <v>2</v>
      </c>
      <c r="AA2" s="34">
        <f t="shared" si="1"/>
        <v>3</v>
      </c>
      <c r="AB2" s="34">
        <f t="shared" si="1"/>
        <v>4</v>
      </c>
      <c r="AC2" s="34">
        <f t="shared" si="1"/>
        <v>5</v>
      </c>
      <c r="AD2" s="34">
        <f t="shared" si="1"/>
        <v>6</v>
      </c>
      <c r="AE2" s="34">
        <f t="shared" si="1"/>
        <v>1</v>
      </c>
      <c r="AF2" s="34">
        <f t="shared" si="1"/>
        <v>2</v>
      </c>
      <c r="AG2" s="34">
        <f t="shared" si="1"/>
        <v>3</v>
      </c>
      <c r="AH2" s="34">
        <f t="shared" si="1"/>
        <v>1</v>
      </c>
      <c r="AI2" s="34">
        <f t="shared" si="1"/>
        <v>2</v>
      </c>
      <c r="AJ2" s="34">
        <f t="shared" si="1"/>
        <v>3</v>
      </c>
      <c r="AK2" s="34">
        <f t="shared" si="1"/>
        <v>4</v>
      </c>
      <c r="AL2" s="34">
        <f t="shared" si="1"/>
        <v>5</v>
      </c>
      <c r="AM2" s="34">
        <f t="shared" si="1"/>
        <v>6</v>
      </c>
      <c r="AN2" s="34">
        <f t="shared" si="1"/>
        <v>1</v>
      </c>
      <c r="AO2" s="34">
        <f t="shared" si="1"/>
        <v>2</v>
      </c>
      <c r="AP2" s="34">
        <f t="shared" si="1"/>
        <v>3</v>
      </c>
      <c r="AQ2" s="34">
        <f t="shared" si="1"/>
        <v>4</v>
      </c>
      <c r="AR2" s="34">
        <f t="shared" si="1"/>
        <v>1</v>
      </c>
      <c r="AS2" s="34">
        <f t="shared" si="1"/>
        <v>2</v>
      </c>
      <c r="AT2" s="34">
        <f t="shared" si="1"/>
        <v>3</v>
      </c>
      <c r="AU2" s="34">
        <f t="shared" si="1"/>
        <v>4</v>
      </c>
      <c r="AV2" s="34">
        <f t="shared" si="1"/>
        <v>5</v>
      </c>
      <c r="AW2" s="34">
        <f t="shared" si="1"/>
        <v>6</v>
      </c>
      <c r="AX2" s="34">
        <f t="shared" si="1"/>
        <v>7</v>
      </c>
      <c r="AY2" s="34">
        <f t="shared" si="1"/>
        <v>1</v>
      </c>
      <c r="AZ2" s="34">
        <f t="shared" si="1"/>
        <v>2</v>
      </c>
      <c r="BA2" s="34">
        <f t="shared" si="1"/>
        <v>3</v>
      </c>
      <c r="BB2" s="34">
        <f t="shared" si="1"/>
        <v>1</v>
      </c>
      <c r="BC2" s="34">
        <f t="shared" si="1"/>
        <v>2</v>
      </c>
      <c r="BD2" s="34">
        <f t="shared" si="1"/>
        <v>3</v>
      </c>
      <c r="BE2" s="34">
        <f t="shared" si="1"/>
        <v>4</v>
      </c>
      <c r="BF2" s="34">
        <f t="shared" si="1"/>
        <v>5</v>
      </c>
      <c r="BG2" s="34">
        <f t="shared" si="1"/>
        <v>6</v>
      </c>
      <c r="BH2" s="34">
        <f t="shared" si="1"/>
        <v>7</v>
      </c>
      <c r="BI2" s="34">
        <f t="shared" si="1"/>
        <v>1</v>
      </c>
      <c r="BJ2" s="34">
        <f t="shared" si="1"/>
        <v>2</v>
      </c>
      <c r="BK2" s="34">
        <f t="shared" si="1"/>
        <v>3</v>
      </c>
      <c r="BL2" s="34">
        <f t="shared" si="1"/>
        <v>4</v>
      </c>
      <c r="BM2" s="34" t="str">
        <f t="shared" si="1"/>
        <v>-</v>
      </c>
      <c r="BN2" s="34" t="str">
        <f t="shared" si="1"/>
        <v>-</v>
      </c>
      <c r="BO2" s="34" t="str">
        <f t="shared" si="1"/>
        <v>-</v>
      </c>
      <c r="BP2" s="34" t="str">
        <f t="shared" si="1"/>
        <v>-</v>
      </c>
      <c r="BQ2" s="34" t="str">
        <f t="shared" si="1"/>
        <v>-</v>
      </c>
      <c r="BR2" s="34" t="str">
        <f t="shared" si="1"/>
        <v>-</v>
      </c>
      <c r="BS2" s="34" t="str">
        <f>IF(BS$3="-","-",IF(BS$3=BR$3,BR$2+1,1))</f>
        <v>-</v>
      </c>
      <c r="BT2" s="34" t="str">
        <f>IF(BT$3="-","-",IF(BT$3=BS$3,BS$2+1,1))</f>
        <v>-</v>
      </c>
      <c r="BU2" s="34" t="str">
        <f>IF(BU$3="-","-",IF(BU$3=BT$3,BT$2+1,1))</f>
        <v>-</v>
      </c>
      <c r="BV2" s="34" t="str">
        <f>IF(BV$3="-","-",IF(BV$3=BU$3,BU$2+1,1))</f>
        <v>-</v>
      </c>
      <c r="BW2" s="34" t="str">
        <f>IF(BW$3="-","-",IF(BW$3=BV$3,BV$2+1,1))</f>
        <v>-</v>
      </c>
      <c r="BX2" s="34" t="str">
        <f>IF(BX$3="-","-",IF(BX$3=BR$3,BR$2+1,1))</f>
        <v>-</v>
      </c>
      <c r="BY2" s="34" t="str">
        <f t="shared" si="1"/>
        <v>-</v>
      </c>
      <c r="BZ2" s="34" t="str">
        <f t="shared" si="1"/>
        <v>-</v>
      </c>
      <c r="CA2" s="34" t="str">
        <f t="shared" si="1"/>
        <v>-</v>
      </c>
      <c r="CB2" s="34" t="str">
        <f t="shared" si="1"/>
        <v>-</v>
      </c>
      <c r="CC2" s="34" t="str">
        <f t="shared" si="1"/>
        <v>-</v>
      </c>
      <c r="CD2" s="301"/>
    </row>
    <row r="3" spans="1:82" x14ac:dyDescent="0.3">
      <c r="A3" s="27" t="s">
        <v>902</v>
      </c>
      <c r="B3" s="52" t="str">
        <f t="shared" ref="B3:AG3" si="2">IF(B$5="",A$3,IFERROR(MATCH(B$5,prodArrayNames,0),"-"))</f>
        <v>-</v>
      </c>
      <c r="C3" s="52" t="str">
        <f t="shared" si="2"/>
        <v>-</v>
      </c>
      <c r="D3" s="52" t="str">
        <f t="shared" si="2"/>
        <v>-</v>
      </c>
      <c r="E3" s="52" t="str">
        <f t="shared" si="2"/>
        <v>-</v>
      </c>
      <c r="F3" s="52" t="str">
        <f t="shared" si="2"/>
        <v>-</v>
      </c>
      <c r="G3" s="52" t="str">
        <f t="shared" si="2"/>
        <v>-</v>
      </c>
      <c r="H3" s="52" t="str">
        <f t="shared" si="2"/>
        <v>-</v>
      </c>
      <c r="I3" s="52" t="str">
        <f t="shared" si="2"/>
        <v>-</v>
      </c>
      <c r="J3" s="52" t="str">
        <f t="shared" si="2"/>
        <v>-</v>
      </c>
      <c r="K3" s="52" t="str">
        <f t="shared" si="2"/>
        <v>-</v>
      </c>
      <c r="L3" s="52" t="str">
        <f t="shared" si="2"/>
        <v>-</v>
      </c>
      <c r="M3" s="52" t="str">
        <f t="shared" si="2"/>
        <v>-</v>
      </c>
      <c r="N3" s="52" t="str">
        <f t="shared" si="2"/>
        <v>-</v>
      </c>
      <c r="O3" s="52" t="str">
        <f t="shared" si="2"/>
        <v>-</v>
      </c>
      <c r="P3" s="52" t="str">
        <f t="shared" si="2"/>
        <v>-</v>
      </c>
      <c r="Q3" s="52" t="str">
        <f t="shared" si="2"/>
        <v>-</v>
      </c>
      <c r="R3" s="52" t="str">
        <f t="shared" si="2"/>
        <v>-</v>
      </c>
      <c r="S3" s="52" t="str">
        <f t="shared" si="2"/>
        <v>-</v>
      </c>
      <c r="T3" s="52" t="str">
        <f t="shared" si="2"/>
        <v>-</v>
      </c>
      <c r="U3" s="52" t="str">
        <f t="shared" si="2"/>
        <v>-</v>
      </c>
      <c r="V3" s="52" t="str">
        <f t="shared" si="2"/>
        <v>-</v>
      </c>
      <c r="W3" s="52">
        <f t="shared" si="2"/>
        <v>1</v>
      </c>
      <c r="X3" s="52">
        <f t="shared" si="2"/>
        <v>1</v>
      </c>
      <c r="Y3" s="52">
        <f t="shared" si="2"/>
        <v>2</v>
      </c>
      <c r="Z3" s="52">
        <f t="shared" si="2"/>
        <v>2</v>
      </c>
      <c r="AA3" s="52">
        <f t="shared" si="2"/>
        <v>2</v>
      </c>
      <c r="AB3" s="52">
        <f t="shared" si="2"/>
        <v>2</v>
      </c>
      <c r="AC3" s="52">
        <f t="shared" si="2"/>
        <v>2</v>
      </c>
      <c r="AD3" s="52">
        <f t="shared" si="2"/>
        <v>2</v>
      </c>
      <c r="AE3" s="52">
        <f t="shared" si="2"/>
        <v>3</v>
      </c>
      <c r="AF3" s="52">
        <f t="shared" si="2"/>
        <v>3</v>
      </c>
      <c r="AG3" s="52">
        <f t="shared" si="2"/>
        <v>3</v>
      </c>
      <c r="AH3" s="52">
        <f t="shared" ref="AH3:BM3" si="3">IF(AH$5="",AG$3,IFERROR(MATCH(AH$5,prodArrayNames,0),"-"))</f>
        <v>4</v>
      </c>
      <c r="AI3" s="52">
        <f t="shared" si="3"/>
        <v>4</v>
      </c>
      <c r="AJ3" s="52">
        <f t="shared" si="3"/>
        <v>4</v>
      </c>
      <c r="AK3" s="52">
        <f t="shared" si="3"/>
        <v>4</v>
      </c>
      <c r="AL3" s="52">
        <f t="shared" si="3"/>
        <v>4</v>
      </c>
      <c r="AM3" s="52">
        <f t="shared" si="3"/>
        <v>4</v>
      </c>
      <c r="AN3" s="52">
        <f t="shared" si="3"/>
        <v>5</v>
      </c>
      <c r="AO3" s="52">
        <f t="shared" si="3"/>
        <v>5</v>
      </c>
      <c r="AP3" s="52">
        <f t="shared" si="3"/>
        <v>5</v>
      </c>
      <c r="AQ3" s="52">
        <f t="shared" si="3"/>
        <v>5</v>
      </c>
      <c r="AR3" s="52">
        <f t="shared" si="3"/>
        <v>6</v>
      </c>
      <c r="AS3" s="52">
        <f t="shared" si="3"/>
        <v>6</v>
      </c>
      <c r="AT3" s="52">
        <f t="shared" si="3"/>
        <v>6</v>
      </c>
      <c r="AU3" s="52">
        <f t="shared" si="3"/>
        <v>6</v>
      </c>
      <c r="AV3" s="52">
        <f t="shared" si="3"/>
        <v>6</v>
      </c>
      <c r="AW3" s="52">
        <f t="shared" si="3"/>
        <v>6</v>
      </c>
      <c r="AX3" s="52">
        <f t="shared" si="3"/>
        <v>6</v>
      </c>
      <c r="AY3" s="52">
        <f t="shared" si="3"/>
        <v>7</v>
      </c>
      <c r="AZ3" s="52">
        <f t="shared" si="3"/>
        <v>7</v>
      </c>
      <c r="BA3" s="52">
        <f t="shared" si="3"/>
        <v>7</v>
      </c>
      <c r="BB3" s="52">
        <f t="shared" si="3"/>
        <v>8</v>
      </c>
      <c r="BC3" s="52">
        <f t="shared" si="3"/>
        <v>8</v>
      </c>
      <c r="BD3" s="52">
        <f t="shared" si="3"/>
        <v>8</v>
      </c>
      <c r="BE3" s="52">
        <f t="shared" si="3"/>
        <v>8</v>
      </c>
      <c r="BF3" s="52">
        <f t="shared" si="3"/>
        <v>8</v>
      </c>
      <c r="BG3" s="52">
        <f t="shared" si="3"/>
        <v>8</v>
      </c>
      <c r="BH3" s="52">
        <f t="shared" si="3"/>
        <v>8</v>
      </c>
      <c r="BI3" s="52">
        <f t="shared" si="3"/>
        <v>9</v>
      </c>
      <c r="BJ3" s="52">
        <f t="shared" si="3"/>
        <v>9</v>
      </c>
      <c r="BK3" s="52">
        <f t="shared" si="3"/>
        <v>9</v>
      </c>
      <c r="BL3" s="52">
        <f t="shared" si="3"/>
        <v>9</v>
      </c>
      <c r="BM3" s="52" t="str">
        <f t="shared" si="3"/>
        <v>-</v>
      </c>
      <c r="BN3" s="52" t="str">
        <f t="shared" ref="BN3:CC3" si="4">IF(BN$5="",BM$3,IFERROR(MATCH(BN$5,prodArrayNames,0),"-"))</f>
        <v>-</v>
      </c>
      <c r="BO3" s="52" t="str">
        <f t="shared" si="4"/>
        <v>-</v>
      </c>
      <c r="BP3" s="52" t="str">
        <f t="shared" si="4"/>
        <v>-</v>
      </c>
      <c r="BQ3" s="52" t="str">
        <f t="shared" si="4"/>
        <v>-</v>
      </c>
      <c r="BR3" s="52" t="str">
        <f t="shared" si="4"/>
        <v>-</v>
      </c>
      <c r="BS3" s="52" t="str">
        <f>IF(BS$5="",BR$3,IFERROR(MATCH(BS$5,prodArrayNames,0),"-"))</f>
        <v>-</v>
      </c>
      <c r="BT3" s="52" t="str">
        <f>IF(BT$5="",BS$3,IFERROR(MATCH(BT$5,prodArrayNames,0),"-"))</f>
        <v>-</v>
      </c>
      <c r="BU3" s="52" t="str">
        <f>IF(BU$5="",BT$3,IFERROR(MATCH(BU$5,prodArrayNames,0),"-"))</f>
        <v>-</v>
      </c>
      <c r="BV3" s="52" t="str">
        <f>IF(BV$5="",BU$3,IFERROR(MATCH(BV$5,prodArrayNames,0),"-"))</f>
        <v>-</v>
      </c>
      <c r="BW3" s="52" t="str">
        <f>IF(BW$5="",BV$3,IFERROR(MATCH(BW$5,prodArrayNames,0),"-"))</f>
        <v>-</v>
      </c>
      <c r="BX3" s="52" t="str">
        <f>IF(BX$5="",BR$3,IFERROR(MATCH(BX$5,prodArrayNames,0),"-"))</f>
        <v>-</v>
      </c>
      <c r="BY3" s="52" t="str">
        <f t="shared" si="4"/>
        <v>-</v>
      </c>
      <c r="BZ3" s="52" t="str">
        <f t="shared" si="4"/>
        <v>-</v>
      </c>
      <c r="CA3" s="52" t="str">
        <f t="shared" si="4"/>
        <v>-</v>
      </c>
      <c r="CB3" s="52" t="str">
        <f t="shared" si="4"/>
        <v>-</v>
      </c>
      <c r="CC3" s="52" t="str">
        <f t="shared" si="4"/>
        <v>-</v>
      </c>
      <c r="CD3" s="301"/>
    </row>
    <row r="4" spans="1:82" ht="14.4" thickBot="1" x14ac:dyDescent="0.35">
      <c r="A4" s="27" t="s">
        <v>904</v>
      </c>
      <c r="B4" s="53" t="str">
        <f t="shared" ref="B4:CC4" si="5">IF(OR(B$5="",B$5="empty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3" t="str">
        <f t="shared" si="5"/>
        <v>980ADC01-4814-1486-</v>
      </c>
      <c r="D4" s="53" t="str">
        <f t="shared" si="5"/>
        <v/>
      </c>
      <c r="E4" s="53" t="str">
        <f t="shared" si="5"/>
        <v/>
      </c>
      <c r="F4" s="53" t="str">
        <f t="shared" si="5"/>
        <v>8A44A473-5758-1516-</v>
      </c>
      <c r="G4" s="53" t="str">
        <f t="shared" si="5"/>
        <v>83E61827-5969-1395-</v>
      </c>
      <c r="H4" s="53" t="str">
        <f t="shared" si="5"/>
        <v/>
      </c>
      <c r="I4" s="53" t="str">
        <f t="shared" si="5"/>
        <v/>
      </c>
      <c r="J4" s="53" t="str">
        <f t="shared" si="5"/>
        <v/>
      </c>
      <c r="K4" s="53" t="str">
        <f t="shared" si="5"/>
        <v>83E61827-5969-1395-</v>
      </c>
      <c r="L4" s="53" t="str">
        <f t="shared" si="5"/>
        <v/>
      </c>
      <c r="M4" s="53" t="str">
        <f t="shared" si="5"/>
        <v/>
      </c>
      <c r="N4" s="53" t="str">
        <f t="shared" si="5"/>
        <v/>
      </c>
      <c r="O4" s="53" t="str">
        <f t="shared" si="5"/>
        <v>86281827-4988-1400-</v>
      </c>
      <c r="P4" s="53" t="str">
        <f t="shared" si="5"/>
        <v>8D98F8E9-5020-1272-</v>
      </c>
      <c r="Q4" s="53" t="str">
        <f t="shared" si="5"/>
        <v/>
      </c>
      <c r="R4" s="53" t="str">
        <f t="shared" si="5"/>
        <v/>
      </c>
      <c r="S4" s="53" t="str">
        <f t="shared" si="5"/>
        <v/>
      </c>
      <c r="T4" s="53" t="str">
        <f t="shared" si="5"/>
        <v>87880450-5524-1413-</v>
      </c>
      <c r="U4" s="53" t="str">
        <f t="shared" si="5"/>
        <v>81CC0224-5585-1532-</v>
      </c>
      <c r="V4" s="53" t="str">
        <f t="shared" si="5"/>
        <v/>
      </c>
      <c r="W4" s="53" t="str">
        <f t="shared" si="5"/>
        <v>60BC2BF0-4017-1123-</v>
      </c>
      <c r="X4" s="53" t="str">
        <f t="shared" si="5"/>
        <v/>
      </c>
      <c r="Y4" s="53" t="str">
        <f t="shared" si="5"/>
        <v>850A50AB-5520-1346-</v>
      </c>
      <c r="Z4" s="53" t="str">
        <f t="shared" si="5"/>
        <v/>
      </c>
      <c r="AA4" s="53" t="str">
        <f t="shared" si="5"/>
        <v/>
      </c>
      <c r="AB4" s="53" t="str">
        <f t="shared" si="5"/>
        <v/>
      </c>
      <c r="AC4" s="53" t="str">
        <f t="shared" si="5"/>
        <v/>
      </c>
      <c r="AD4" s="53" t="str">
        <f t="shared" si="5"/>
        <v/>
      </c>
      <c r="AE4" s="53" t="str">
        <f t="shared" si="5"/>
        <v>7B0114BA-4970-1570-</v>
      </c>
      <c r="AF4" s="53" t="str">
        <f t="shared" si="5"/>
        <v/>
      </c>
      <c r="AG4" s="53" t="str">
        <f t="shared" si="5"/>
        <v/>
      </c>
      <c r="AH4" s="53" t="str">
        <f t="shared" si="5"/>
        <v>95B8B5A5-5025-1272-</v>
      </c>
      <c r="AI4" s="53" t="str">
        <f t="shared" si="5"/>
        <v/>
      </c>
      <c r="AJ4" s="53" t="str">
        <f t="shared" si="5"/>
        <v/>
      </c>
      <c r="AK4" s="53" t="str">
        <f t="shared" si="5"/>
        <v/>
      </c>
      <c r="AL4" s="53" t="str">
        <f t="shared" si="5"/>
        <v/>
      </c>
      <c r="AM4" s="53" t="str">
        <f t="shared" si="5"/>
        <v/>
      </c>
      <c r="AN4" s="53" t="str">
        <f t="shared" si="5"/>
        <v>8E1CBDC7-5018-1272-</v>
      </c>
      <c r="AO4" s="53" t="str">
        <f t="shared" si="5"/>
        <v/>
      </c>
      <c r="AP4" s="53" t="str">
        <f t="shared" si="5"/>
        <v/>
      </c>
      <c r="AQ4" s="53" t="str">
        <f t="shared" si="5"/>
        <v/>
      </c>
      <c r="AR4" s="53" t="str">
        <f t="shared" si="5"/>
        <v>600FE533-4017-1123-</v>
      </c>
      <c r="AS4" s="53" t="str">
        <f t="shared" si="5"/>
        <v/>
      </c>
      <c r="AT4" s="53" t="str">
        <f t="shared" si="5"/>
        <v/>
      </c>
      <c r="AU4" s="53" t="str">
        <f t="shared" si="5"/>
        <v/>
      </c>
      <c r="AV4" s="53" t="str">
        <f t="shared" si="5"/>
        <v/>
      </c>
      <c r="AW4" s="53" t="str">
        <f t="shared" si="5"/>
        <v/>
      </c>
      <c r="AX4" s="53" t="str">
        <f t="shared" si="5"/>
        <v/>
      </c>
      <c r="AY4" s="53" t="str">
        <f t="shared" si="5"/>
        <v>6051E533-4017-1123-</v>
      </c>
      <c r="AZ4" s="53" t="str">
        <f t="shared" si="5"/>
        <v/>
      </c>
      <c r="BA4" s="53" t="str">
        <f t="shared" si="5"/>
        <v/>
      </c>
      <c r="BB4" s="53" t="str">
        <f t="shared" si="5"/>
        <v>912FEF2C-4548-1168-</v>
      </c>
      <c r="BC4" s="53" t="str">
        <f t="shared" si="5"/>
        <v/>
      </c>
      <c r="BD4" s="53" t="str">
        <f t="shared" si="5"/>
        <v/>
      </c>
      <c r="BE4" s="53" t="str">
        <f t="shared" si="5"/>
        <v/>
      </c>
      <c r="BF4" s="53" t="str">
        <f t="shared" si="5"/>
        <v/>
      </c>
      <c r="BG4" s="53" t="str">
        <f t="shared" si="5"/>
        <v/>
      </c>
      <c r="BH4" s="53" t="str">
        <f t="shared" si="5"/>
        <v/>
      </c>
      <c r="BI4" s="53" t="str">
        <f t="shared" si="5"/>
        <v>7B0309E1-4970-1570-</v>
      </c>
      <c r="BJ4" s="53" t="str">
        <f t="shared" si="5"/>
        <v/>
      </c>
      <c r="BK4" s="53" t="str">
        <f t="shared" si="5"/>
        <v/>
      </c>
      <c r="BL4" s="53" t="str">
        <f t="shared" si="5"/>
        <v/>
      </c>
      <c r="BM4" s="53" t="str">
        <f t="shared" si="5"/>
        <v/>
      </c>
      <c r="BN4" s="53" t="str">
        <f t="shared" si="5"/>
        <v/>
      </c>
      <c r="BO4" s="53" t="str">
        <f t="shared" si="5"/>
        <v/>
      </c>
      <c r="BP4" s="53" t="str">
        <f t="shared" si="5"/>
        <v/>
      </c>
      <c r="BQ4" s="53" t="str">
        <f t="shared" si="5"/>
        <v/>
      </c>
      <c r="BR4" s="53" t="str">
        <f t="shared" si="5"/>
        <v/>
      </c>
      <c r="BS4" s="53" t="str">
        <f t="shared" si="5"/>
        <v>90547624-3946-1028-</v>
      </c>
      <c r="BT4" s="53" t="str">
        <f t="shared" si="5"/>
        <v>7F28689B-5924-1164-</v>
      </c>
      <c r="BU4" s="53" t="str">
        <f t="shared" si="5"/>
        <v>904BA224-3946-1028-</v>
      </c>
      <c r="BV4" s="53" t="str">
        <f t="shared" si="5"/>
        <v>7F28689B-5924-1164-</v>
      </c>
      <c r="BW4" s="53" t="str">
        <f t="shared" si="5"/>
        <v>97117224-5924-1164-</v>
      </c>
      <c r="BX4" s="53" t="str">
        <f t="shared" si="5"/>
        <v>7F28689B-5924-1164-</v>
      </c>
      <c r="BY4" s="53" t="str">
        <f t="shared" si="5"/>
        <v>60EBA224-4017-1123-</v>
      </c>
      <c r="BZ4" s="53" t="str">
        <f t="shared" si="5"/>
        <v>7F28689B-5924-1164-</v>
      </c>
      <c r="CA4" s="53" t="str">
        <f t="shared" si="5"/>
        <v>8D223E24-3946-1028-</v>
      </c>
      <c r="CB4" s="53" t="str">
        <f t="shared" si="5"/>
        <v>7F28689B-5924-1164-</v>
      </c>
      <c r="CC4" s="53" t="str">
        <f t="shared" si="5"/>
        <v/>
      </c>
      <c r="CD4" s="223"/>
    </row>
    <row r="5" spans="1:82" ht="22.5" customHeight="1" thickTop="1" x14ac:dyDescent="0.3">
      <c r="A5" s="28" t="s">
        <v>87</v>
      </c>
      <c r="B5" s="222" t="s">
        <v>97</v>
      </c>
      <c r="C5" s="222" t="s">
        <v>98</v>
      </c>
      <c r="D5" s="222"/>
      <c r="E5" s="222"/>
      <c r="F5" s="222" t="s">
        <v>112</v>
      </c>
      <c r="G5" s="222" t="s">
        <v>116</v>
      </c>
      <c r="H5" s="222"/>
      <c r="I5" s="222"/>
      <c r="J5" s="222"/>
      <c r="K5" s="222" t="s">
        <v>117</v>
      </c>
      <c r="L5" s="222"/>
      <c r="M5" s="222"/>
      <c r="N5" s="222"/>
      <c r="O5" s="222" t="s">
        <v>394</v>
      </c>
      <c r="P5" s="222" t="s">
        <v>133</v>
      </c>
      <c r="Q5" s="222"/>
      <c r="R5" s="222"/>
      <c r="S5" s="222"/>
      <c r="T5" s="276" t="s">
        <v>182</v>
      </c>
      <c r="U5" s="222" t="s">
        <v>621</v>
      </c>
      <c r="V5" s="222"/>
      <c r="W5" s="222" t="s">
        <v>780</v>
      </c>
      <c r="X5" s="222"/>
      <c r="Y5" s="222" t="s">
        <v>781</v>
      </c>
      <c r="Z5" s="222"/>
      <c r="AA5" s="222"/>
      <c r="AB5" s="222"/>
      <c r="AC5" s="222"/>
      <c r="AD5" s="222"/>
      <c r="AE5" s="222" t="s">
        <v>837</v>
      </c>
      <c r="AF5" s="222"/>
      <c r="AG5" s="222"/>
      <c r="AH5" s="222" t="s">
        <v>782</v>
      </c>
      <c r="AI5" s="222"/>
      <c r="AJ5" s="222"/>
      <c r="AK5" s="222"/>
      <c r="AL5" s="222"/>
      <c r="AM5" s="222"/>
      <c r="AN5" s="222" t="s">
        <v>812</v>
      </c>
      <c r="AO5" s="222"/>
      <c r="AP5" s="222"/>
      <c r="AQ5" s="222"/>
      <c r="AR5" s="222" t="s">
        <v>810</v>
      </c>
      <c r="AS5" s="222"/>
      <c r="AT5" s="222"/>
      <c r="AU5" s="222"/>
      <c r="AV5" s="222"/>
      <c r="AW5" s="222"/>
      <c r="AX5" s="222"/>
      <c r="AY5" s="222" t="s">
        <v>811</v>
      </c>
      <c r="AZ5" s="222"/>
      <c r="BA5" s="222"/>
      <c r="BB5" s="222" t="s">
        <v>816</v>
      </c>
      <c r="BC5" s="222"/>
      <c r="BD5" s="222"/>
      <c r="BE5" s="222"/>
      <c r="BF5" s="222"/>
      <c r="BG5" s="222"/>
      <c r="BH5" s="222"/>
      <c r="BI5" s="222" t="s">
        <v>890</v>
      </c>
      <c r="BJ5" s="222"/>
      <c r="BK5" s="222"/>
      <c r="BL5" s="222"/>
      <c r="BM5" s="222" t="s">
        <v>28</v>
      </c>
      <c r="BN5" s="222" t="s">
        <v>28</v>
      </c>
      <c r="BO5" s="222" t="s">
        <v>28</v>
      </c>
      <c r="BP5" s="222" t="s">
        <v>28</v>
      </c>
      <c r="BQ5" s="222" t="s">
        <v>28</v>
      </c>
      <c r="BR5" s="222" t="s">
        <v>28</v>
      </c>
      <c r="BS5" s="282" t="s">
        <v>853</v>
      </c>
      <c r="BT5" s="282" t="s">
        <v>941</v>
      </c>
      <c r="BU5" s="282" t="s">
        <v>855</v>
      </c>
      <c r="BV5" s="282" t="s">
        <v>941</v>
      </c>
      <c r="BW5" s="282" t="s">
        <v>857</v>
      </c>
      <c r="BX5" s="282" t="s">
        <v>941</v>
      </c>
      <c r="BY5" s="282" t="s">
        <v>849</v>
      </c>
      <c r="BZ5" s="282" t="s">
        <v>941</v>
      </c>
      <c r="CA5" s="282" t="s">
        <v>842</v>
      </c>
      <c r="CB5" s="282" t="s">
        <v>941</v>
      </c>
      <c r="CC5" s="222" t="s">
        <v>28</v>
      </c>
      <c r="CD5" s="223" t="s">
        <v>903</v>
      </c>
    </row>
    <row r="6" spans="1:82" ht="22.5" customHeight="1" x14ac:dyDescent="0.3">
      <c r="A6" s="28" t="s">
        <v>905</v>
      </c>
      <c r="B6" s="17">
        <v>0</v>
      </c>
      <c r="C6" s="17">
        <v>0</v>
      </c>
      <c r="D6" s="17">
        <v>0</v>
      </c>
      <c r="E6" s="17">
        <v>0</v>
      </c>
      <c r="F6" s="17">
        <v>-9999</v>
      </c>
      <c r="G6" s="17">
        <v>17</v>
      </c>
      <c r="H6" s="17">
        <v>1.4999999999999999E-2</v>
      </c>
      <c r="I6" s="17">
        <v>0</v>
      </c>
      <c r="J6" s="17">
        <v>1</v>
      </c>
      <c r="K6" s="17">
        <v>17</v>
      </c>
      <c r="L6" s="17">
        <v>1.4999999999999999E-2</v>
      </c>
      <c r="M6" s="17">
        <v>0</v>
      </c>
      <c r="N6" s="17">
        <v>1</v>
      </c>
      <c r="O6" s="17">
        <v>1</v>
      </c>
      <c r="P6" s="17">
        <v>1</v>
      </c>
      <c r="Q6" s="17">
        <v>1</v>
      </c>
      <c r="R6" s="17">
        <v>1</v>
      </c>
      <c r="S6" s="17">
        <v>1</v>
      </c>
      <c r="T6" s="14" t="s">
        <v>204</v>
      </c>
      <c r="U6" s="17">
        <v>5.0000000000000001E-3</v>
      </c>
      <c r="V6" s="17">
        <v>7.4999999999999997E-3</v>
      </c>
      <c r="W6" s="17" t="str">
        <f t="shared" ref="W6:AF15" ca="1" si="6">IFERROR(INDEX( PRODUKTE,   ROW()-ROW($A$5)+INDEX(prodRowOffset,W$3),  MATCH(W$2,OFFSET(INDEXNAMEN,W$3,0),0)),"")</f>
        <v>OGRO</v>
      </c>
      <c r="X6" s="17">
        <f t="shared" ca="1" si="6"/>
        <v>8016</v>
      </c>
      <c r="Y6" s="17">
        <f t="shared" ca="1" si="6"/>
        <v>0</v>
      </c>
      <c r="Z6" s="17">
        <f t="shared" ca="1" si="6"/>
        <v>0</v>
      </c>
      <c r="AA6" s="17">
        <f t="shared" ca="1" si="6"/>
        <v>0</v>
      </c>
      <c r="AB6" s="17">
        <f t="shared" ca="1" si="6"/>
        <v>0</v>
      </c>
      <c r="AC6" s="17">
        <f t="shared" ca="1" si="6"/>
        <v>1</v>
      </c>
      <c r="AD6" s="17">
        <f t="shared" ca="1" si="6"/>
        <v>0</v>
      </c>
      <c r="AE6" s="17">
        <f t="shared" ca="1" si="6"/>
        <v>1</v>
      </c>
      <c r="AF6" s="17">
        <f t="shared" ca="1" si="6"/>
        <v>1</v>
      </c>
      <c r="AG6" s="17">
        <f t="shared" ref="AG6:AP15" ca="1" si="7">IFERROR(INDEX( PRODUKTE,   ROW()-ROW($A$5)+INDEX(prodRowOffset,AG$3),  MATCH(AG$2,OFFSET(INDEXNAMEN,AG$3,0),0)),"")</f>
        <v>0</v>
      </c>
      <c r="AH6" s="17">
        <f t="shared" ca="1" si="7"/>
        <v>4</v>
      </c>
      <c r="AI6" s="17">
        <f t="shared" ca="1" si="7"/>
        <v>7</v>
      </c>
      <c r="AJ6" s="17">
        <f t="shared" ca="1" si="7"/>
        <v>0</v>
      </c>
      <c r="AK6" s="17">
        <f t="shared" ca="1" si="7"/>
        <v>1</v>
      </c>
      <c r="AL6" s="17">
        <f t="shared" ca="1" si="7"/>
        <v>5</v>
      </c>
      <c r="AM6" s="17">
        <f t="shared" ca="1" si="7"/>
        <v>0</v>
      </c>
      <c r="AN6" s="17">
        <f t="shared" ca="1" si="7"/>
        <v>0</v>
      </c>
      <c r="AO6" s="17">
        <f t="shared" ca="1" si="7"/>
        <v>0</v>
      </c>
      <c r="AP6" s="17">
        <f t="shared" ca="1" si="7"/>
        <v>0</v>
      </c>
      <c r="AQ6" s="17">
        <f t="shared" ref="AQ6:AZ15" ca="1" si="8">IFERROR(INDEX( PRODUKTE,   ROW()-ROW($A$5)+INDEX(prodRowOffset,AQ$3),  MATCH(AQ$2,OFFSET(INDEXNAMEN,AQ$3,0),0)),"")</f>
        <v>1</v>
      </c>
      <c r="AR6" s="17">
        <f t="shared" ca="1" si="8"/>
        <v>1</v>
      </c>
      <c r="AS6" s="17">
        <f t="shared" ca="1" si="8"/>
        <v>1</v>
      </c>
      <c r="AT6" s="17">
        <f t="shared" ca="1" si="8"/>
        <v>1</v>
      </c>
      <c r="AU6" s="17">
        <f t="shared" ca="1" si="8"/>
        <v>1</v>
      </c>
      <c r="AV6" s="17">
        <f t="shared" ca="1" si="8"/>
        <v>1</v>
      </c>
      <c r="AW6" s="17">
        <f t="shared" ca="1" si="8"/>
        <v>1</v>
      </c>
      <c r="AX6" s="17">
        <f t="shared" ca="1" si="8"/>
        <v>0</v>
      </c>
      <c r="AY6" s="17">
        <f t="shared" ca="1" si="8"/>
        <v>1</v>
      </c>
      <c r="AZ6" s="17">
        <f t="shared" ca="1" si="8"/>
        <v>1</v>
      </c>
      <c r="BA6" s="17">
        <f t="shared" ref="BA6:BL15" ca="1" si="9">IFERROR(INDEX( PRODUKTE,   ROW()-ROW($A$5)+INDEX(prodRowOffset,BA$3),  MATCH(BA$2,OFFSET(INDEXNAMEN,BA$3,0),0)),"")</f>
        <v>0</v>
      </c>
      <c r="BB6" s="17">
        <f t="shared" ca="1" si="9"/>
        <v>1</v>
      </c>
      <c r="BC6" s="17">
        <f t="shared" ca="1" si="9"/>
        <v>1</v>
      </c>
      <c r="BD6" s="17">
        <f t="shared" ca="1" si="9"/>
        <v>1</v>
      </c>
      <c r="BE6" s="17">
        <f t="shared" ca="1" si="9"/>
        <v>1</v>
      </c>
      <c r="BF6" s="17">
        <f t="shared" ca="1" si="9"/>
        <v>1</v>
      </c>
      <c r="BG6" s="17">
        <f t="shared" ca="1" si="9"/>
        <v>1</v>
      </c>
      <c r="BH6" s="17">
        <f t="shared" ca="1" si="9"/>
        <v>0</v>
      </c>
      <c r="BI6" s="17">
        <f t="shared" ca="1" si="9"/>
        <v>0.02</v>
      </c>
      <c r="BJ6" s="17">
        <f t="shared" ca="1" si="9"/>
        <v>0.13</v>
      </c>
      <c r="BK6" s="17">
        <f t="shared" ca="1" si="9"/>
        <v>0.06</v>
      </c>
      <c r="BL6" s="17">
        <f t="shared" ca="1" si="9"/>
        <v>0.01</v>
      </c>
      <c r="BS6" s="283">
        <v>96</v>
      </c>
      <c r="BT6" s="284" t="s">
        <v>942</v>
      </c>
      <c r="BU6" s="283">
        <v>104</v>
      </c>
      <c r="BV6" s="284" t="s">
        <v>943</v>
      </c>
      <c r="BW6" s="283">
        <v>91</v>
      </c>
      <c r="BX6" s="284" t="s">
        <v>944</v>
      </c>
      <c r="BY6" s="283">
        <v>64</v>
      </c>
      <c r="BZ6" s="284" t="s">
        <v>945</v>
      </c>
      <c r="CA6" s="283">
        <v>40</v>
      </c>
      <c r="CB6" s="284" t="s">
        <v>946</v>
      </c>
      <c r="CD6" s="223" t="s">
        <v>89</v>
      </c>
    </row>
    <row r="7" spans="1:82" ht="22.5" customHeight="1" x14ac:dyDescent="0.3">
      <c r="A7" s="28"/>
      <c r="B7" s="17">
        <v>0</v>
      </c>
      <c r="F7" s="17">
        <v>0</v>
      </c>
      <c r="G7" s="17">
        <v>3</v>
      </c>
      <c r="H7" s="17">
        <v>0.03</v>
      </c>
      <c r="I7" s="17">
        <v>0</v>
      </c>
      <c r="J7" s="17">
        <v>1</v>
      </c>
      <c r="K7" s="17">
        <v>3</v>
      </c>
      <c r="L7" s="17">
        <v>0.03</v>
      </c>
      <c r="M7" s="17">
        <v>0</v>
      </c>
      <c r="N7" s="17">
        <v>1</v>
      </c>
      <c r="O7" s="17">
        <v>1</v>
      </c>
      <c r="P7" s="17">
        <v>2</v>
      </c>
      <c r="Q7" s="17">
        <v>2</v>
      </c>
      <c r="R7" s="17">
        <v>2</v>
      </c>
      <c r="S7" s="17">
        <v>2</v>
      </c>
      <c r="T7" s="14" t="s">
        <v>183</v>
      </c>
      <c r="U7" s="17">
        <v>5.0000000000000001E-3</v>
      </c>
      <c r="V7" s="17">
        <v>7.4999999999999997E-3</v>
      </c>
      <c r="W7" s="17" t="str">
        <f t="shared" ca="1" si="6"/>
        <v>OGRO</v>
      </c>
      <c r="X7" s="17">
        <f t="shared" ca="1" si="6"/>
        <v>8056</v>
      </c>
      <c r="Y7" s="17">
        <f t="shared" ca="1" si="6"/>
        <v>1</v>
      </c>
      <c r="Z7" s="17">
        <f t="shared" ca="1" si="6"/>
        <v>1</v>
      </c>
      <c r="AA7" s="17">
        <f t="shared" ca="1" si="6"/>
        <v>0</v>
      </c>
      <c r="AB7" s="17">
        <f t="shared" ca="1" si="6"/>
        <v>0</v>
      </c>
      <c r="AC7" s="17">
        <f t="shared" ca="1" si="6"/>
        <v>1</v>
      </c>
      <c r="AD7" s="17">
        <f t="shared" ca="1" si="6"/>
        <v>0</v>
      </c>
      <c r="AE7" s="17">
        <f t="shared" ca="1" si="6"/>
        <v>1</v>
      </c>
      <c r="AF7" s="17">
        <f t="shared" ca="1" si="6"/>
        <v>2</v>
      </c>
      <c r="AG7" s="17">
        <f t="shared" ca="1" si="7"/>
        <v>0</v>
      </c>
      <c r="AH7" s="17">
        <f t="shared" ca="1" si="7"/>
        <v>4</v>
      </c>
      <c r="AI7" s="17">
        <f t="shared" ca="1" si="7"/>
        <v>7</v>
      </c>
      <c r="AJ7" s="17">
        <f t="shared" ca="1" si="7"/>
        <v>4</v>
      </c>
      <c r="AK7" s="17">
        <f t="shared" ca="1" si="7"/>
        <v>1</v>
      </c>
      <c r="AL7" s="17">
        <f t="shared" ca="1" si="7"/>
        <v>5</v>
      </c>
      <c r="AM7" s="17">
        <f t="shared" ca="1" si="7"/>
        <v>1</v>
      </c>
      <c r="AN7" s="17">
        <f t="shared" ca="1" si="7"/>
        <v>0</v>
      </c>
      <c r="AO7" s="17">
        <f t="shared" ca="1" si="7"/>
        <v>0</v>
      </c>
      <c r="AP7" s="17">
        <f t="shared" ca="1" si="7"/>
        <v>0</v>
      </c>
      <c r="AQ7" s="17">
        <f t="shared" ca="1" si="8"/>
        <v>1</v>
      </c>
      <c r="AR7" s="17">
        <f t="shared" ca="1" si="8"/>
        <v>1</v>
      </c>
      <c r="AS7" s="17">
        <f t="shared" ca="1" si="8"/>
        <v>1</v>
      </c>
      <c r="AT7" s="17">
        <f t="shared" ca="1" si="8"/>
        <v>1</v>
      </c>
      <c r="AU7" s="17">
        <f t="shared" ca="1" si="8"/>
        <v>1</v>
      </c>
      <c r="AV7" s="17">
        <f t="shared" ca="1" si="8"/>
        <v>1</v>
      </c>
      <c r="AW7" s="17">
        <f t="shared" ca="1" si="8"/>
        <v>1</v>
      </c>
      <c r="AX7" s="17">
        <f t="shared" ca="1" si="8"/>
        <v>0</v>
      </c>
      <c r="AY7" s="17">
        <f t="shared" ca="1" si="8"/>
        <v>1</v>
      </c>
      <c r="AZ7" s="17">
        <f t="shared" ca="1" si="8"/>
        <v>1</v>
      </c>
      <c r="BA7" s="17">
        <f t="shared" ca="1" si="9"/>
        <v>0</v>
      </c>
      <c r="BB7" s="17">
        <f t="shared" ca="1" si="9"/>
        <v>1</v>
      </c>
      <c r="BC7" s="17">
        <f t="shared" ca="1" si="9"/>
        <v>1</v>
      </c>
      <c r="BD7" s="17">
        <f t="shared" ca="1" si="9"/>
        <v>1</v>
      </c>
      <c r="BE7" s="17">
        <f t="shared" ca="1" si="9"/>
        <v>1</v>
      </c>
      <c r="BF7" s="17">
        <f t="shared" ca="1" si="9"/>
        <v>1</v>
      </c>
      <c r="BG7" s="17">
        <f t="shared" ca="1" si="9"/>
        <v>1</v>
      </c>
      <c r="BH7" s="17">
        <f t="shared" ca="1" si="9"/>
        <v>0</v>
      </c>
      <c r="BI7" s="17">
        <f t="shared" ca="1" si="9"/>
        <v>0.02</v>
      </c>
      <c r="BJ7" s="17">
        <f t="shared" ca="1" si="9"/>
        <v>0.12</v>
      </c>
      <c r="BK7" s="17">
        <f t="shared" ca="1" si="9"/>
        <v>5.8999999999999997E-2</v>
      </c>
      <c r="BL7" s="17">
        <f t="shared" ca="1" si="9"/>
        <v>0.01</v>
      </c>
      <c r="BS7" s="283">
        <v>2</v>
      </c>
      <c r="BT7" s="284" t="s">
        <v>947</v>
      </c>
      <c r="BU7" s="283">
        <v>62</v>
      </c>
      <c r="BV7" s="284" t="s">
        <v>948</v>
      </c>
      <c r="BW7" s="283">
        <v>82</v>
      </c>
      <c r="BX7" s="284" t="s">
        <v>949</v>
      </c>
      <c r="BY7" s="283">
        <v>77</v>
      </c>
      <c r="BZ7" s="284" t="s">
        <v>950</v>
      </c>
      <c r="CA7" s="283">
        <v>40</v>
      </c>
      <c r="CB7" s="284" t="s">
        <v>951</v>
      </c>
    </row>
    <row r="8" spans="1:82" ht="22.5" customHeight="1" x14ac:dyDescent="0.3">
      <c r="B8" s="17">
        <v>0</v>
      </c>
      <c r="F8" s="17">
        <v>-9999</v>
      </c>
      <c r="G8" s="17">
        <v>1</v>
      </c>
      <c r="H8" s="17">
        <v>1.4999999999999999E-2</v>
      </c>
      <c r="I8" s="17">
        <v>0</v>
      </c>
      <c r="J8" s="17">
        <v>1</v>
      </c>
      <c r="K8" s="17">
        <v>1</v>
      </c>
      <c r="L8" s="17">
        <v>1.4999999999999999E-2</v>
      </c>
      <c r="M8" s="17">
        <v>0</v>
      </c>
      <c r="N8" s="17">
        <v>1</v>
      </c>
      <c r="O8" s="17">
        <v>1</v>
      </c>
      <c r="P8" s="17">
        <v>3</v>
      </c>
      <c r="Q8" s="17">
        <v>3</v>
      </c>
      <c r="R8" s="17">
        <v>3</v>
      </c>
      <c r="S8" s="17">
        <v>3</v>
      </c>
      <c r="T8" s="14" t="s">
        <v>203</v>
      </c>
      <c r="U8" s="17">
        <v>5.0000000000000001E-3</v>
      </c>
      <c r="V8" s="17">
        <v>7.4999999999999997E-3</v>
      </c>
      <c r="W8" s="17" t="str">
        <f t="shared" ca="1" si="6"/>
        <v>OGRO</v>
      </c>
      <c r="X8" s="17">
        <f t="shared" ca="1" si="6"/>
        <v>8100</v>
      </c>
      <c r="Y8" s="17">
        <f t="shared" ca="1" si="6"/>
        <v>1</v>
      </c>
      <c r="Z8" s="17">
        <f t="shared" ca="1" si="6"/>
        <v>1</v>
      </c>
      <c r="AA8" s="17">
        <f t="shared" ca="1" si="6"/>
        <v>1</v>
      </c>
      <c r="AB8" s="17">
        <f t="shared" ca="1" si="6"/>
        <v>0</v>
      </c>
      <c r="AC8" s="17">
        <f t="shared" ca="1" si="6"/>
        <v>1</v>
      </c>
      <c r="AD8" s="17">
        <f t="shared" ca="1" si="6"/>
        <v>0</v>
      </c>
      <c r="AE8" s="17">
        <f t="shared" ca="1" si="6"/>
        <v>1</v>
      </c>
      <c r="AF8" s="17">
        <f t="shared" ca="1" si="6"/>
        <v>3</v>
      </c>
      <c r="AG8" s="17">
        <f t="shared" ca="1" si="7"/>
        <v>57</v>
      </c>
      <c r="AH8" s="17">
        <f t="shared" ca="1" si="7"/>
        <v>4</v>
      </c>
      <c r="AI8" s="17">
        <f t="shared" ca="1" si="7"/>
        <v>7</v>
      </c>
      <c r="AJ8" s="17">
        <f t="shared" ca="1" si="7"/>
        <v>4</v>
      </c>
      <c r="AK8" s="17">
        <f t="shared" ca="1" si="7"/>
        <v>1</v>
      </c>
      <c r="AL8" s="17">
        <f t="shared" ca="1" si="7"/>
        <v>5</v>
      </c>
      <c r="AM8" s="17">
        <f t="shared" ca="1" si="7"/>
        <v>1</v>
      </c>
      <c r="AN8" s="17">
        <f t="shared" ca="1" si="7"/>
        <v>1</v>
      </c>
      <c r="AO8" s="17">
        <f t="shared" ca="1" si="7"/>
        <v>1</v>
      </c>
      <c r="AP8" s="17">
        <f t="shared" ca="1" si="7"/>
        <v>1</v>
      </c>
      <c r="AQ8" s="17">
        <f t="shared" ca="1" si="8"/>
        <v>1</v>
      </c>
      <c r="AR8" s="17">
        <f t="shared" ca="1" si="8"/>
        <v>1</v>
      </c>
      <c r="AS8" s="17">
        <f t="shared" ca="1" si="8"/>
        <v>1</v>
      </c>
      <c r="AT8" s="17">
        <f t="shared" ca="1" si="8"/>
        <v>1</v>
      </c>
      <c r="AU8" s="17">
        <f t="shared" ca="1" si="8"/>
        <v>1</v>
      </c>
      <c r="AV8" s="17">
        <f t="shared" ca="1" si="8"/>
        <v>1</v>
      </c>
      <c r="AW8" s="17">
        <f t="shared" ca="1" si="8"/>
        <v>1</v>
      </c>
      <c r="AX8" s="17">
        <f t="shared" ca="1" si="8"/>
        <v>0</v>
      </c>
      <c r="AY8" s="17">
        <f t="shared" ca="1" si="8"/>
        <v>1</v>
      </c>
      <c r="AZ8" s="17">
        <f t="shared" ca="1" si="8"/>
        <v>1</v>
      </c>
      <c r="BA8" s="17">
        <f t="shared" ca="1" si="9"/>
        <v>0</v>
      </c>
      <c r="BB8" s="17">
        <f t="shared" ca="1" si="9"/>
        <v>1</v>
      </c>
      <c r="BC8" s="17">
        <f t="shared" ca="1" si="9"/>
        <v>1</v>
      </c>
      <c r="BD8" s="17">
        <f t="shared" ca="1" si="9"/>
        <v>1</v>
      </c>
      <c r="BE8" s="17">
        <f t="shared" ca="1" si="9"/>
        <v>1</v>
      </c>
      <c r="BF8" s="17">
        <f t="shared" ca="1" si="9"/>
        <v>1</v>
      </c>
      <c r="BG8" s="17">
        <f t="shared" ca="1" si="9"/>
        <v>1</v>
      </c>
      <c r="BH8" s="17">
        <f t="shared" ca="1" si="9"/>
        <v>0</v>
      </c>
      <c r="BI8" s="17">
        <f t="shared" ca="1" si="9"/>
        <v>0.02</v>
      </c>
      <c r="BJ8" s="17">
        <f t="shared" ca="1" si="9"/>
        <v>0.14299999999999999</v>
      </c>
      <c r="BK8" s="17">
        <f t="shared" ca="1" si="9"/>
        <v>6.4000000000000001E-2</v>
      </c>
      <c r="BL8" s="17">
        <f t="shared" ca="1" si="9"/>
        <v>0.01</v>
      </c>
      <c r="BS8" s="283">
        <v>3</v>
      </c>
      <c r="BT8" s="284" t="s">
        <v>952</v>
      </c>
      <c r="BU8" s="283">
        <v>70</v>
      </c>
      <c r="BV8" s="284" t="s">
        <v>953</v>
      </c>
      <c r="BW8" s="283">
        <v>0</v>
      </c>
      <c r="BX8" s="284" t="s">
        <v>954</v>
      </c>
      <c r="BY8" s="283">
        <v>64</v>
      </c>
      <c r="BZ8" s="284" t="s">
        <v>955</v>
      </c>
      <c r="CA8" s="283">
        <v>57</v>
      </c>
      <c r="CB8" s="284" t="s">
        <v>956</v>
      </c>
    </row>
    <row r="9" spans="1:82" ht="22.5" customHeight="1" x14ac:dyDescent="0.3">
      <c r="B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1</v>
      </c>
      <c r="K9" s="17">
        <v>0</v>
      </c>
      <c r="L9" s="17">
        <v>0</v>
      </c>
      <c r="M9" s="17">
        <v>0</v>
      </c>
      <c r="N9" s="17">
        <v>1</v>
      </c>
      <c r="O9" s="17">
        <v>1</v>
      </c>
      <c r="P9" s="17">
        <v>4</v>
      </c>
      <c r="Q9" s="17">
        <v>4</v>
      </c>
      <c r="R9" s="17">
        <v>4</v>
      </c>
      <c r="S9" s="17">
        <v>4</v>
      </c>
      <c r="U9" s="17">
        <v>0</v>
      </c>
      <c r="V9" s="17">
        <v>0</v>
      </c>
      <c r="W9" s="17" t="str">
        <f t="shared" ca="1" si="6"/>
        <v>OGRO</v>
      </c>
      <c r="X9" s="17" t="str">
        <f t="shared" ca="1" si="6"/>
        <v>8100A</v>
      </c>
      <c r="Y9" s="17">
        <f t="shared" ca="1" si="6"/>
        <v>1</v>
      </c>
      <c r="Z9" s="17">
        <f t="shared" ca="1" si="6"/>
        <v>1</v>
      </c>
      <c r="AA9" s="17">
        <f t="shared" ca="1" si="6"/>
        <v>1</v>
      </c>
      <c r="AB9" s="17">
        <f t="shared" ca="1" si="6"/>
        <v>0</v>
      </c>
      <c r="AC9" s="17">
        <f t="shared" ca="1" si="6"/>
        <v>1</v>
      </c>
      <c r="AD9" s="17">
        <f t="shared" ca="1" si="6"/>
        <v>1</v>
      </c>
      <c r="AE9" s="17">
        <f t="shared" ca="1" si="6"/>
        <v>1</v>
      </c>
      <c r="AF9" s="17">
        <f t="shared" ca="1" si="6"/>
        <v>0</v>
      </c>
      <c r="AG9" s="17">
        <f t="shared" ca="1" si="7"/>
        <v>58</v>
      </c>
      <c r="AH9" s="17">
        <f t="shared" ca="1" si="7"/>
        <v>4</v>
      </c>
      <c r="AI9" s="17">
        <f t="shared" ca="1" si="7"/>
        <v>7</v>
      </c>
      <c r="AJ9" s="17">
        <f t="shared" ca="1" si="7"/>
        <v>4</v>
      </c>
      <c r="AK9" s="17">
        <f t="shared" ca="1" si="7"/>
        <v>1</v>
      </c>
      <c r="AL9" s="17">
        <f t="shared" ca="1" si="7"/>
        <v>5</v>
      </c>
      <c r="AM9" s="17">
        <f t="shared" ca="1" si="7"/>
        <v>1</v>
      </c>
      <c r="AN9" s="17">
        <f t="shared" ca="1" si="7"/>
        <v>1</v>
      </c>
      <c r="AO9" s="17">
        <f t="shared" ca="1" si="7"/>
        <v>1</v>
      </c>
      <c r="AP9" s="17">
        <f t="shared" ca="1" si="7"/>
        <v>1</v>
      </c>
      <c r="AQ9" s="17">
        <f t="shared" ca="1" si="8"/>
        <v>1</v>
      </c>
      <c r="AR9" s="17">
        <f t="shared" ca="1" si="8"/>
        <v>0</v>
      </c>
      <c r="AS9" s="17">
        <f t="shared" ca="1" si="8"/>
        <v>0</v>
      </c>
      <c r="AT9" s="17">
        <f t="shared" ca="1" si="8"/>
        <v>0</v>
      </c>
      <c r="AU9" s="17">
        <f t="shared" ca="1" si="8"/>
        <v>0</v>
      </c>
      <c r="AV9" s="17">
        <f t="shared" ca="1" si="8"/>
        <v>0</v>
      </c>
      <c r="AW9" s="17">
        <f t="shared" ca="1" si="8"/>
        <v>0</v>
      </c>
      <c r="AX9" s="17">
        <f t="shared" ca="1" si="8"/>
        <v>0</v>
      </c>
      <c r="AY9" s="17">
        <f t="shared" ca="1" si="8"/>
        <v>1</v>
      </c>
      <c r="AZ9" s="17">
        <f t="shared" ca="1" si="8"/>
        <v>1</v>
      </c>
      <c r="BA9" s="17">
        <f t="shared" ca="1" si="9"/>
        <v>0</v>
      </c>
      <c r="BB9" s="17">
        <f t="shared" ca="1" si="9"/>
        <v>1</v>
      </c>
      <c r="BC9" s="17">
        <f t="shared" ca="1" si="9"/>
        <v>1</v>
      </c>
      <c r="BD9" s="17">
        <f t="shared" ca="1" si="9"/>
        <v>1</v>
      </c>
      <c r="BE9" s="17">
        <f t="shared" ca="1" si="9"/>
        <v>1</v>
      </c>
      <c r="BF9" s="17">
        <f t="shared" ca="1" si="9"/>
        <v>1</v>
      </c>
      <c r="BG9" s="17">
        <f t="shared" ca="1" si="9"/>
        <v>0</v>
      </c>
      <c r="BH9" s="17">
        <f t="shared" ca="1" si="9"/>
        <v>0</v>
      </c>
      <c r="BI9" s="17">
        <f t="shared" ca="1" si="9"/>
        <v>0.02</v>
      </c>
      <c r="BJ9" s="17">
        <f t="shared" ca="1" si="9"/>
        <v>0.16300000000000001</v>
      </c>
      <c r="BK9" s="17">
        <f t="shared" ca="1" si="9"/>
        <v>8.1000000000000003E-2</v>
      </c>
      <c r="BL9" s="17">
        <f t="shared" ca="1" si="9"/>
        <v>0.01</v>
      </c>
      <c r="BS9" s="283">
        <v>96</v>
      </c>
      <c r="BT9" s="284" t="s">
        <v>957</v>
      </c>
      <c r="BU9" s="283">
        <v>70</v>
      </c>
      <c r="BV9" s="284" t="s">
        <v>958</v>
      </c>
      <c r="BW9" s="283">
        <v>0</v>
      </c>
      <c r="BX9" s="284" t="s">
        <v>959</v>
      </c>
      <c r="BY9" s="283">
        <v>64</v>
      </c>
      <c r="BZ9" s="284" t="s">
        <v>960</v>
      </c>
      <c r="CA9" s="283">
        <v>57</v>
      </c>
      <c r="CB9" s="284" t="s">
        <v>961</v>
      </c>
    </row>
    <row r="10" spans="1:82" ht="22.5" customHeight="1" x14ac:dyDescent="0.3">
      <c r="G10" s="17">
        <v>17</v>
      </c>
      <c r="H10" s="17">
        <v>1.4999999999999999E-2</v>
      </c>
      <c r="I10" s="17">
        <v>0</v>
      </c>
      <c r="J10" s="17">
        <v>1</v>
      </c>
      <c r="K10" s="17">
        <v>17</v>
      </c>
      <c r="L10" s="17">
        <v>1.4999999999999999E-2</v>
      </c>
      <c r="M10" s="17">
        <v>0</v>
      </c>
      <c r="N10" s="17">
        <v>1</v>
      </c>
      <c r="O10" s="17">
        <v>1</v>
      </c>
      <c r="P10" s="17">
        <v>5</v>
      </c>
      <c r="Q10" s="17">
        <v>5</v>
      </c>
      <c r="R10" s="17">
        <v>5</v>
      </c>
      <c r="S10" s="17">
        <v>5</v>
      </c>
      <c r="W10" s="17" t="str">
        <f t="shared" ca="1" si="6"/>
        <v>OGRO</v>
      </c>
      <c r="X10" s="17" t="str">
        <f t="shared" ca="1" si="6"/>
        <v>8100V</v>
      </c>
      <c r="Y10" s="17">
        <f t="shared" ca="1" si="6"/>
        <v>1</v>
      </c>
      <c r="Z10" s="17">
        <f t="shared" ca="1" si="6"/>
        <v>1</v>
      </c>
      <c r="AA10" s="17">
        <f t="shared" ca="1" si="6"/>
        <v>1</v>
      </c>
      <c r="AB10" s="17">
        <f t="shared" ca="1" si="6"/>
        <v>0</v>
      </c>
      <c r="AC10" s="17">
        <f t="shared" ca="1" si="6"/>
        <v>1</v>
      </c>
      <c r="AD10" s="17">
        <f t="shared" ca="1" si="6"/>
        <v>1</v>
      </c>
      <c r="AE10" s="17">
        <f t="shared" ca="1" si="6"/>
        <v>1</v>
      </c>
      <c r="AF10" s="17">
        <f t="shared" ca="1" si="6"/>
        <v>0</v>
      </c>
      <c r="AG10" s="17">
        <f t="shared" ca="1" si="7"/>
        <v>59</v>
      </c>
      <c r="AH10" s="17">
        <f t="shared" ca="1" si="7"/>
        <v>4</v>
      </c>
      <c r="AI10" s="17">
        <f t="shared" ca="1" si="7"/>
        <v>7</v>
      </c>
      <c r="AJ10" s="17">
        <f t="shared" ca="1" si="7"/>
        <v>4</v>
      </c>
      <c r="AK10" s="17">
        <f t="shared" ca="1" si="7"/>
        <v>1</v>
      </c>
      <c r="AL10" s="17">
        <f t="shared" ca="1" si="7"/>
        <v>5</v>
      </c>
      <c r="AM10" s="17">
        <f t="shared" ca="1" si="7"/>
        <v>1</v>
      </c>
      <c r="AN10" s="17">
        <f t="shared" ca="1" si="7"/>
        <v>1</v>
      </c>
      <c r="AO10" s="17">
        <f t="shared" ca="1" si="7"/>
        <v>1</v>
      </c>
      <c r="AP10" s="17">
        <f t="shared" ca="1" si="7"/>
        <v>1</v>
      </c>
      <c r="AQ10" s="17">
        <f t="shared" ca="1" si="8"/>
        <v>1</v>
      </c>
      <c r="AR10" s="17">
        <f t="shared" ca="1" si="8"/>
        <v>0</v>
      </c>
      <c r="AS10" s="17">
        <f t="shared" ca="1" si="8"/>
        <v>0</v>
      </c>
      <c r="AT10" s="17">
        <f t="shared" ca="1" si="8"/>
        <v>0</v>
      </c>
      <c r="AU10" s="17">
        <f t="shared" ca="1" si="8"/>
        <v>0</v>
      </c>
      <c r="AV10" s="17">
        <f t="shared" ca="1" si="8"/>
        <v>0</v>
      </c>
      <c r="AW10" s="17">
        <f t="shared" ca="1" si="8"/>
        <v>0</v>
      </c>
      <c r="AX10" s="17">
        <f t="shared" ca="1" si="8"/>
        <v>0</v>
      </c>
      <c r="AY10" s="17">
        <f t="shared" ca="1" si="8"/>
        <v>1</v>
      </c>
      <c r="AZ10" s="17">
        <f t="shared" ca="1" si="8"/>
        <v>1</v>
      </c>
      <c r="BA10" s="17">
        <f t="shared" ca="1" si="9"/>
        <v>0</v>
      </c>
      <c r="BB10" s="17">
        <f t="shared" ca="1" si="9"/>
        <v>1</v>
      </c>
      <c r="BC10" s="17">
        <f t="shared" ca="1" si="9"/>
        <v>1</v>
      </c>
      <c r="BD10" s="17">
        <f t="shared" ca="1" si="9"/>
        <v>1</v>
      </c>
      <c r="BE10" s="17">
        <f t="shared" ca="1" si="9"/>
        <v>1</v>
      </c>
      <c r="BF10" s="17">
        <f t="shared" ca="1" si="9"/>
        <v>1</v>
      </c>
      <c r="BG10" s="17">
        <f t="shared" ca="1" si="9"/>
        <v>0</v>
      </c>
      <c r="BH10" s="17">
        <f t="shared" ca="1" si="9"/>
        <v>0</v>
      </c>
      <c r="BI10" s="17">
        <f t="shared" ca="1" si="9"/>
        <v>0.02</v>
      </c>
      <c r="BJ10" s="17">
        <f t="shared" ca="1" si="9"/>
        <v>0.152</v>
      </c>
      <c r="BK10" s="17">
        <f t="shared" ca="1" si="9"/>
        <v>5.8999999999999997E-2</v>
      </c>
      <c r="BL10" s="17">
        <f t="shared" ca="1" si="9"/>
        <v>0.01</v>
      </c>
      <c r="BS10" s="283">
        <v>3</v>
      </c>
      <c r="BT10" s="284" t="s">
        <v>962</v>
      </c>
      <c r="BU10" s="283">
        <v>62</v>
      </c>
      <c r="BV10" s="284" t="s">
        <v>963</v>
      </c>
      <c r="BW10" s="283">
        <v>82</v>
      </c>
      <c r="BX10" s="284" t="s">
        <v>964</v>
      </c>
      <c r="BY10" s="283">
        <v>71</v>
      </c>
      <c r="BZ10" s="284" t="s">
        <v>965</v>
      </c>
      <c r="CA10" s="283">
        <v>24</v>
      </c>
      <c r="CB10" s="284" t="s">
        <v>966</v>
      </c>
    </row>
    <row r="11" spans="1:82" ht="22.5" customHeight="1" x14ac:dyDescent="0.3">
      <c r="G11" s="17">
        <v>0</v>
      </c>
      <c r="H11" s="17">
        <v>0</v>
      </c>
      <c r="I11" s="17">
        <v>0</v>
      </c>
      <c r="J11" s="17">
        <v>1</v>
      </c>
      <c r="K11" s="17">
        <v>0</v>
      </c>
      <c r="L11" s="17">
        <v>0</v>
      </c>
      <c r="M11" s="17">
        <v>0</v>
      </c>
      <c r="N11" s="17">
        <v>1</v>
      </c>
      <c r="O11" s="17">
        <v>1</v>
      </c>
      <c r="P11" s="17">
        <v>6</v>
      </c>
      <c r="Q11" s="17">
        <v>6</v>
      </c>
      <c r="R11" s="17">
        <v>6</v>
      </c>
      <c r="S11" s="17">
        <v>6</v>
      </c>
      <c r="W11" s="17" t="str">
        <f t="shared" ca="1" si="6"/>
        <v>OGRO</v>
      </c>
      <c r="X11" s="17">
        <f t="shared" ca="1" si="6"/>
        <v>8101</v>
      </c>
      <c r="Y11" s="17">
        <f t="shared" ca="1" si="6"/>
        <v>1</v>
      </c>
      <c r="Z11" s="17">
        <f t="shared" ca="1" si="6"/>
        <v>1</v>
      </c>
      <c r="AA11" s="17">
        <f t="shared" ca="1" si="6"/>
        <v>1</v>
      </c>
      <c r="AB11" s="17">
        <f t="shared" ca="1" si="6"/>
        <v>0</v>
      </c>
      <c r="AC11" s="17">
        <f t="shared" ca="1" si="6"/>
        <v>1</v>
      </c>
      <c r="AD11" s="17">
        <f t="shared" ca="1" si="6"/>
        <v>0</v>
      </c>
      <c r="AE11" s="17">
        <f t="shared" ca="1" si="6"/>
        <v>1</v>
      </c>
      <c r="AF11" s="17">
        <f t="shared" ca="1" si="6"/>
        <v>4</v>
      </c>
      <c r="AG11" s="17">
        <f t="shared" ca="1" si="7"/>
        <v>60</v>
      </c>
      <c r="AH11" s="17">
        <f t="shared" ca="1" si="7"/>
        <v>4</v>
      </c>
      <c r="AI11" s="17">
        <f t="shared" ca="1" si="7"/>
        <v>7</v>
      </c>
      <c r="AJ11" s="17">
        <f t="shared" ca="1" si="7"/>
        <v>4</v>
      </c>
      <c r="AK11" s="17">
        <f t="shared" ca="1" si="7"/>
        <v>1</v>
      </c>
      <c r="AL11" s="17">
        <f t="shared" ca="1" si="7"/>
        <v>5</v>
      </c>
      <c r="AM11" s="17">
        <f t="shared" ca="1" si="7"/>
        <v>1</v>
      </c>
      <c r="AN11" s="17">
        <f t="shared" ca="1" si="7"/>
        <v>1</v>
      </c>
      <c r="AO11" s="17">
        <f t="shared" ca="1" si="7"/>
        <v>1</v>
      </c>
      <c r="AP11" s="17">
        <f t="shared" ca="1" si="7"/>
        <v>1</v>
      </c>
      <c r="AQ11" s="17">
        <f t="shared" ca="1" si="8"/>
        <v>1</v>
      </c>
      <c r="AR11" s="17">
        <f t="shared" ca="1" si="8"/>
        <v>1</v>
      </c>
      <c r="AS11" s="17">
        <f t="shared" ca="1" si="8"/>
        <v>1</v>
      </c>
      <c r="AT11" s="17">
        <f t="shared" ca="1" si="8"/>
        <v>1</v>
      </c>
      <c r="AU11" s="17">
        <f t="shared" ca="1" si="8"/>
        <v>1</v>
      </c>
      <c r="AV11" s="17">
        <f t="shared" ca="1" si="8"/>
        <v>1</v>
      </c>
      <c r="AW11" s="17">
        <f t="shared" ca="1" si="8"/>
        <v>1</v>
      </c>
      <c r="AX11" s="17">
        <f t="shared" ca="1" si="8"/>
        <v>0</v>
      </c>
      <c r="AY11" s="17">
        <f t="shared" ca="1" si="8"/>
        <v>1</v>
      </c>
      <c r="AZ11" s="17">
        <f t="shared" ca="1" si="8"/>
        <v>1</v>
      </c>
      <c r="BA11" s="17">
        <f t="shared" ca="1" si="9"/>
        <v>0</v>
      </c>
      <c r="BB11" s="17">
        <f t="shared" ca="1" si="9"/>
        <v>1</v>
      </c>
      <c r="BC11" s="17">
        <f t="shared" ca="1" si="9"/>
        <v>1</v>
      </c>
      <c r="BD11" s="17">
        <f t="shared" ca="1" si="9"/>
        <v>1</v>
      </c>
      <c r="BE11" s="17">
        <f t="shared" ca="1" si="9"/>
        <v>1</v>
      </c>
      <c r="BF11" s="17">
        <f t="shared" ca="1" si="9"/>
        <v>1</v>
      </c>
      <c r="BG11" s="17">
        <f t="shared" ca="1" si="9"/>
        <v>1</v>
      </c>
      <c r="BH11" s="17">
        <f t="shared" ca="1" si="9"/>
        <v>0</v>
      </c>
      <c r="BI11" s="17">
        <f t="shared" ca="1" si="9"/>
        <v>0.02</v>
      </c>
      <c r="BJ11" s="17">
        <f t="shared" ca="1" si="9"/>
        <v>0.14299999999999999</v>
      </c>
      <c r="BK11" s="17">
        <f t="shared" ca="1" si="9"/>
        <v>6.4000000000000001E-2</v>
      </c>
      <c r="BL11" s="17">
        <f t="shared" ca="1" si="9"/>
        <v>0.01</v>
      </c>
      <c r="BS11" s="283">
        <v>100</v>
      </c>
      <c r="BT11" s="284" t="s">
        <v>967</v>
      </c>
      <c r="BU11" s="283">
        <v>70</v>
      </c>
      <c r="BV11" s="284" t="s">
        <v>968</v>
      </c>
      <c r="BW11" s="283">
        <v>0</v>
      </c>
      <c r="BX11" s="284" t="s">
        <v>969</v>
      </c>
      <c r="BY11" s="283">
        <v>64</v>
      </c>
      <c r="BZ11" s="284" t="s">
        <v>970</v>
      </c>
      <c r="CA11" s="283">
        <v>24</v>
      </c>
      <c r="CB11" s="284" t="s">
        <v>971</v>
      </c>
    </row>
    <row r="12" spans="1:82" ht="22.5" customHeight="1" x14ac:dyDescent="0.3">
      <c r="G12" s="17">
        <v>0</v>
      </c>
      <c r="H12" s="17">
        <v>0</v>
      </c>
      <c r="I12" s="17">
        <v>0</v>
      </c>
      <c r="J12" s="17">
        <v>1</v>
      </c>
      <c r="K12" s="17">
        <v>0</v>
      </c>
      <c r="L12" s="17">
        <v>0</v>
      </c>
      <c r="M12" s="17">
        <v>0</v>
      </c>
      <c r="N12" s="17">
        <v>1</v>
      </c>
      <c r="O12" s="17">
        <v>1</v>
      </c>
      <c r="P12" s="17">
        <v>7</v>
      </c>
      <c r="Q12" s="17">
        <v>7</v>
      </c>
      <c r="R12" s="17">
        <v>7</v>
      </c>
      <c r="S12" s="17">
        <v>7</v>
      </c>
      <c r="W12" s="17" t="str">
        <f t="shared" ca="1" si="6"/>
        <v>OGRO</v>
      </c>
      <c r="X12" s="17" t="str">
        <f t="shared" ca="1" si="6"/>
        <v>8101A</v>
      </c>
      <c r="Y12" s="17">
        <f t="shared" ca="1" si="6"/>
        <v>1</v>
      </c>
      <c r="Z12" s="17">
        <f t="shared" ca="1" si="6"/>
        <v>1</v>
      </c>
      <c r="AA12" s="17">
        <f t="shared" ca="1" si="6"/>
        <v>1</v>
      </c>
      <c r="AB12" s="17">
        <f t="shared" ca="1" si="6"/>
        <v>0</v>
      </c>
      <c r="AC12" s="17">
        <f t="shared" ca="1" si="6"/>
        <v>1</v>
      </c>
      <c r="AD12" s="17">
        <f t="shared" ca="1" si="6"/>
        <v>1</v>
      </c>
      <c r="AE12" s="17">
        <f t="shared" ca="1" si="6"/>
        <v>1</v>
      </c>
      <c r="AF12" s="17">
        <f t="shared" ca="1" si="6"/>
        <v>0</v>
      </c>
      <c r="AG12" s="17">
        <f t="shared" ca="1" si="7"/>
        <v>61</v>
      </c>
      <c r="AH12" s="17">
        <f t="shared" ca="1" si="7"/>
        <v>4</v>
      </c>
      <c r="AI12" s="17">
        <f t="shared" ca="1" si="7"/>
        <v>7</v>
      </c>
      <c r="AJ12" s="17">
        <f t="shared" ca="1" si="7"/>
        <v>4</v>
      </c>
      <c r="AK12" s="17">
        <f t="shared" ca="1" si="7"/>
        <v>1</v>
      </c>
      <c r="AL12" s="17">
        <f t="shared" ca="1" si="7"/>
        <v>5</v>
      </c>
      <c r="AM12" s="17">
        <f t="shared" ca="1" si="7"/>
        <v>1</v>
      </c>
      <c r="AN12" s="17">
        <f t="shared" ca="1" si="7"/>
        <v>1</v>
      </c>
      <c r="AO12" s="17">
        <f t="shared" ca="1" si="7"/>
        <v>1</v>
      </c>
      <c r="AP12" s="17">
        <f t="shared" ca="1" si="7"/>
        <v>1</v>
      </c>
      <c r="AQ12" s="17">
        <f t="shared" ca="1" si="8"/>
        <v>1</v>
      </c>
      <c r="AR12" s="17">
        <f t="shared" ca="1" si="8"/>
        <v>0</v>
      </c>
      <c r="AS12" s="17">
        <f t="shared" ca="1" si="8"/>
        <v>0</v>
      </c>
      <c r="AT12" s="17">
        <f t="shared" ca="1" si="8"/>
        <v>0</v>
      </c>
      <c r="AU12" s="17">
        <f t="shared" ca="1" si="8"/>
        <v>0</v>
      </c>
      <c r="AV12" s="17">
        <f t="shared" ca="1" si="8"/>
        <v>0</v>
      </c>
      <c r="AW12" s="17">
        <f t="shared" ca="1" si="8"/>
        <v>0</v>
      </c>
      <c r="AX12" s="17">
        <f t="shared" ca="1" si="8"/>
        <v>0</v>
      </c>
      <c r="AY12" s="17">
        <f t="shared" ca="1" si="8"/>
        <v>1</v>
      </c>
      <c r="AZ12" s="17">
        <f t="shared" ca="1" si="8"/>
        <v>1</v>
      </c>
      <c r="BA12" s="17">
        <f t="shared" ca="1" si="9"/>
        <v>0</v>
      </c>
      <c r="BB12" s="17">
        <f t="shared" ca="1" si="9"/>
        <v>1</v>
      </c>
      <c r="BC12" s="17">
        <f t="shared" ca="1" si="9"/>
        <v>1</v>
      </c>
      <c r="BD12" s="17">
        <f t="shared" ca="1" si="9"/>
        <v>1</v>
      </c>
      <c r="BE12" s="17">
        <f t="shared" ca="1" si="9"/>
        <v>1</v>
      </c>
      <c r="BF12" s="17">
        <f t="shared" ca="1" si="9"/>
        <v>1</v>
      </c>
      <c r="BG12" s="17">
        <f t="shared" ca="1" si="9"/>
        <v>0</v>
      </c>
      <c r="BH12" s="17">
        <f t="shared" ca="1" si="9"/>
        <v>0</v>
      </c>
      <c r="BI12" s="17">
        <f t="shared" ca="1" si="9"/>
        <v>0.02</v>
      </c>
      <c r="BJ12" s="17">
        <f t="shared" ca="1" si="9"/>
        <v>0.16300000000000001</v>
      </c>
      <c r="BK12" s="17">
        <f t="shared" ca="1" si="9"/>
        <v>8.1000000000000003E-2</v>
      </c>
      <c r="BL12" s="17">
        <f t="shared" ca="1" si="9"/>
        <v>0.01</v>
      </c>
      <c r="BS12" s="283">
        <v>96</v>
      </c>
      <c r="BT12" s="284" t="s">
        <v>1095</v>
      </c>
      <c r="BU12" s="283">
        <v>62</v>
      </c>
      <c r="BV12" s="284" t="s">
        <v>972</v>
      </c>
      <c r="BW12" s="283">
        <v>82</v>
      </c>
      <c r="BX12" s="284" t="s">
        <v>973</v>
      </c>
      <c r="BY12" s="283">
        <v>71</v>
      </c>
      <c r="BZ12" s="284" t="s">
        <v>974</v>
      </c>
      <c r="CA12" s="283">
        <v>24</v>
      </c>
      <c r="CB12" s="284" t="s">
        <v>975</v>
      </c>
    </row>
    <row r="13" spans="1:82" ht="22.5" customHeight="1" x14ac:dyDescent="0.3">
      <c r="G13" s="17">
        <v>0</v>
      </c>
      <c r="H13" s="17">
        <v>0</v>
      </c>
      <c r="I13" s="17">
        <v>0</v>
      </c>
      <c r="J13" s="17">
        <v>1</v>
      </c>
      <c r="K13" s="17">
        <v>0</v>
      </c>
      <c r="L13" s="17">
        <v>0</v>
      </c>
      <c r="M13" s="17">
        <v>0</v>
      </c>
      <c r="N13" s="17">
        <v>1</v>
      </c>
      <c r="O13" s="17">
        <v>1</v>
      </c>
      <c r="W13" s="17" t="str">
        <f t="shared" ca="1" si="6"/>
        <v>OGRO</v>
      </c>
      <c r="X13" s="17">
        <f t="shared" ca="1" si="6"/>
        <v>8103</v>
      </c>
      <c r="Y13" s="17">
        <f t="shared" ca="1" si="6"/>
        <v>1</v>
      </c>
      <c r="Z13" s="17">
        <f t="shared" ca="1" si="6"/>
        <v>1</v>
      </c>
      <c r="AA13" s="17">
        <f t="shared" ca="1" si="6"/>
        <v>1</v>
      </c>
      <c r="AB13" s="17">
        <f t="shared" ca="1" si="6"/>
        <v>1</v>
      </c>
      <c r="AC13" s="17">
        <f t="shared" ca="1" si="6"/>
        <v>1</v>
      </c>
      <c r="AD13" s="17">
        <f t="shared" ca="1" si="6"/>
        <v>0</v>
      </c>
      <c r="AE13" s="17">
        <f t="shared" ca="1" si="6"/>
        <v>1</v>
      </c>
      <c r="AF13" s="17">
        <f t="shared" ca="1" si="6"/>
        <v>5</v>
      </c>
      <c r="AG13" s="17">
        <f t="shared" ca="1" si="7"/>
        <v>0</v>
      </c>
      <c r="AH13" s="17">
        <f t="shared" ca="1" si="7"/>
        <v>4</v>
      </c>
      <c r="AI13" s="17">
        <f t="shared" ca="1" si="7"/>
        <v>7</v>
      </c>
      <c r="AJ13" s="17">
        <f t="shared" ca="1" si="7"/>
        <v>3</v>
      </c>
      <c r="AK13" s="17">
        <f t="shared" ca="1" si="7"/>
        <v>1</v>
      </c>
      <c r="AL13" s="17">
        <f t="shared" ca="1" si="7"/>
        <v>5</v>
      </c>
      <c r="AM13" s="17">
        <f t="shared" ca="1" si="7"/>
        <v>1</v>
      </c>
      <c r="AN13" s="17">
        <f t="shared" ca="1" si="7"/>
        <v>1</v>
      </c>
      <c r="AO13" s="17">
        <f t="shared" ca="1" si="7"/>
        <v>1</v>
      </c>
      <c r="AP13" s="17">
        <f t="shared" ca="1" si="7"/>
        <v>1</v>
      </c>
      <c r="AQ13" s="17">
        <f t="shared" ca="1" si="8"/>
        <v>0</v>
      </c>
      <c r="AR13" s="17">
        <f t="shared" ca="1" si="8"/>
        <v>1</v>
      </c>
      <c r="AS13" s="17">
        <f t="shared" ca="1" si="8"/>
        <v>1</v>
      </c>
      <c r="AT13" s="17">
        <f t="shared" ca="1" si="8"/>
        <v>1</v>
      </c>
      <c r="AU13" s="17">
        <f t="shared" ca="1" si="8"/>
        <v>1</v>
      </c>
      <c r="AV13" s="17">
        <f t="shared" ca="1" si="8"/>
        <v>1</v>
      </c>
      <c r="AW13" s="17">
        <f t="shared" ca="1" si="8"/>
        <v>1</v>
      </c>
      <c r="AX13" s="17">
        <f t="shared" ca="1" si="8"/>
        <v>0</v>
      </c>
      <c r="AY13" s="17">
        <f t="shared" ca="1" si="8"/>
        <v>1</v>
      </c>
      <c r="AZ13" s="17">
        <f t="shared" ca="1" si="8"/>
        <v>1</v>
      </c>
      <c r="BA13" s="17">
        <f t="shared" ca="1" si="9"/>
        <v>0</v>
      </c>
      <c r="BB13" s="17">
        <f t="shared" ca="1" si="9"/>
        <v>1</v>
      </c>
      <c r="BC13" s="17">
        <f t="shared" ca="1" si="9"/>
        <v>1</v>
      </c>
      <c r="BD13" s="17">
        <f t="shared" ca="1" si="9"/>
        <v>1</v>
      </c>
      <c r="BE13" s="17">
        <f t="shared" ca="1" si="9"/>
        <v>1</v>
      </c>
      <c r="BF13" s="17">
        <f t="shared" ca="1" si="9"/>
        <v>1</v>
      </c>
      <c r="BG13" s="17">
        <f t="shared" ca="1" si="9"/>
        <v>1</v>
      </c>
      <c r="BH13" s="17">
        <f t="shared" ca="1" si="9"/>
        <v>0</v>
      </c>
      <c r="BI13" s="17">
        <f t="shared" ca="1" si="9"/>
        <v>0.02</v>
      </c>
      <c r="BJ13" s="17">
        <f t="shared" ca="1" si="9"/>
        <v>0.17499999999999999</v>
      </c>
      <c r="BK13" s="17">
        <f t="shared" ca="1" si="9"/>
        <v>6.5000000000000002E-2</v>
      </c>
      <c r="BL13" s="17">
        <f t="shared" ca="1" si="9"/>
        <v>0.01</v>
      </c>
      <c r="BS13" s="283">
        <v>96</v>
      </c>
      <c r="BT13" s="284" t="s">
        <v>1096</v>
      </c>
      <c r="BU13" s="283">
        <v>62</v>
      </c>
      <c r="BV13" s="284" t="s">
        <v>976</v>
      </c>
      <c r="BW13" s="283">
        <v>82</v>
      </c>
      <c r="BX13" s="284" t="s">
        <v>977</v>
      </c>
      <c r="BY13" s="283">
        <v>71</v>
      </c>
      <c r="BZ13" s="284" t="s">
        <v>978</v>
      </c>
      <c r="CA13" s="283">
        <v>24</v>
      </c>
      <c r="CB13" s="284" t="s">
        <v>979</v>
      </c>
    </row>
    <row r="14" spans="1:82" ht="22.5" customHeight="1" x14ac:dyDescent="0.3">
      <c r="W14" s="17" t="str">
        <f t="shared" ca="1" si="6"/>
        <v>OGRO</v>
      </c>
      <c r="X14" s="17">
        <f t="shared" ca="1" si="6"/>
        <v>8111</v>
      </c>
      <c r="Y14" s="17">
        <f t="shared" ca="1" si="6"/>
        <v>1</v>
      </c>
      <c r="Z14" s="17">
        <f t="shared" ca="1" si="6"/>
        <v>1</v>
      </c>
      <c r="AA14" s="17">
        <f t="shared" ca="1" si="6"/>
        <v>0</v>
      </c>
      <c r="AB14" s="17">
        <f t="shared" ca="1" si="6"/>
        <v>0</v>
      </c>
      <c r="AC14" s="17">
        <f t="shared" ca="1" si="6"/>
        <v>1</v>
      </c>
      <c r="AD14" s="17">
        <f t="shared" ca="1" si="6"/>
        <v>0</v>
      </c>
      <c r="AE14" s="17">
        <f t="shared" ca="1" si="6"/>
        <v>1</v>
      </c>
      <c r="AF14" s="17">
        <f t="shared" ca="1" si="6"/>
        <v>6</v>
      </c>
      <c r="AG14" s="17">
        <f t="shared" ca="1" si="7"/>
        <v>62</v>
      </c>
      <c r="AH14" s="17">
        <f t="shared" ca="1" si="7"/>
        <v>4</v>
      </c>
      <c r="AI14" s="17">
        <f t="shared" ca="1" si="7"/>
        <v>7</v>
      </c>
      <c r="AJ14" s="17">
        <f t="shared" ca="1" si="7"/>
        <v>3</v>
      </c>
      <c r="AK14" s="17">
        <f t="shared" ca="1" si="7"/>
        <v>1</v>
      </c>
      <c r="AL14" s="17">
        <f t="shared" ca="1" si="7"/>
        <v>5</v>
      </c>
      <c r="AM14" s="17">
        <f t="shared" ca="1" si="7"/>
        <v>0</v>
      </c>
      <c r="AN14" s="17">
        <f t="shared" ca="1" si="7"/>
        <v>1</v>
      </c>
      <c r="AO14" s="17">
        <f t="shared" ca="1" si="7"/>
        <v>1</v>
      </c>
      <c r="AP14" s="17">
        <f t="shared" ca="1" si="7"/>
        <v>1</v>
      </c>
      <c r="AQ14" s="17">
        <f t="shared" ca="1" si="8"/>
        <v>0</v>
      </c>
      <c r="AR14" s="17">
        <f t="shared" ca="1" si="8"/>
        <v>1</v>
      </c>
      <c r="AS14" s="17">
        <f t="shared" ca="1" si="8"/>
        <v>1</v>
      </c>
      <c r="AT14" s="17">
        <f t="shared" ca="1" si="8"/>
        <v>1</v>
      </c>
      <c r="AU14" s="17">
        <f t="shared" ca="1" si="8"/>
        <v>1</v>
      </c>
      <c r="AV14" s="17">
        <f t="shared" ca="1" si="8"/>
        <v>1</v>
      </c>
      <c r="AW14" s="17">
        <f t="shared" ca="1" si="8"/>
        <v>1</v>
      </c>
      <c r="AX14" s="17">
        <f t="shared" ca="1" si="8"/>
        <v>0</v>
      </c>
      <c r="AY14" s="17">
        <f t="shared" ca="1" si="8"/>
        <v>1</v>
      </c>
      <c r="AZ14" s="17">
        <f t="shared" ca="1" si="8"/>
        <v>1</v>
      </c>
      <c r="BA14" s="17">
        <f t="shared" ca="1" si="9"/>
        <v>0</v>
      </c>
      <c r="BB14" s="17">
        <f t="shared" ca="1" si="9"/>
        <v>1</v>
      </c>
      <c r="BC14" s="17">
        <f t="shared" ca="1" si="9"/>
        <v>1</v>
      </c>
      <c r="BD14" s="17">
        <f t="shared" ca="1" si="9"/>
        <v>1</v>
      </c>
      <c r="BE14" s="17">
        <f t="shared" ca="1" si="9"/>
        <v>1</v>
      </c>
      <c r="BF14" s="17">
        <f t="shared" ca="1" si="9"/>
        <v>1</v>
      </c>
      <c r="BG14" s="17">
        <f t="shared" ca="1" si="9"/>
        <v>1</v>
      </c>
      <c r="BH14" s="17">
        <f t="shared" ca="1" si="9"/>
        <v>0</v>
      </c>
      <c r="BI14" s="17">
        <f t="shared" ca="1" si="9"/>
        <v>0.02</v>
      </c>
      <c r="BJ14" s="17">
        <f t="shared" ca="1" si="9"/>
        <v>0.14499999999999999</v>
      </c>
      <c r="BK14" s="17">
        <f t="shared" ca="1" si="9"/>
        <v>0.06</v>
      </c>
      <c r="BL14" s="17">
        <f t="shared" ca="1" si="9"/>
        <v>0.01</v>
      </c>
      <c r="BS14" s="283">
        <v>96</v>
      </c>
      <c r="BT14" s="284" t="s">
        <v>1097</v>
      </c>
      <c r="BU14" s="283">
        <v>70</v>
      </c>
      <c r="BV14" s="284" t="s">
        <v>1098</v>
      </c>
      <c r="BW14" s="283">
        <v>91</v>
      </c>
      <c r="BX14" s="284" t="s">
        <v>1099</v>
      </c>
      <c r="BY14" s="283">
        <v>64</v>
      </c>
      <c r="BZ14" s="284" t="s">
        <v>1100</v>
      </c>
      <c r="CA14" s="283">
        <v>24</v>
      </c>
      <c r="CB14" s="284" t="s">
        <v>980</v>
      </c>
    </row>
    <row r="15" spans="1:82" ht="22.5" customHeight="1" x14ac:dyDescent="0.3">
      <c r="W15" s="17" t="str">
        <f t="shared" ca="1" si="6"/>
        <v>OGRO</v>
      </c>
      <c r="X15" s="17">
        <f t="shared" ca="1" si="6"/>
        <v>8112</v>
      </c>
      <c r="Y15" s="17">
        <f t="shared" ca="1" si="6"/>
        <v>1</v>
      </c>
      <c r="Z15" s="17">
        <f t="shared" ca="1" si="6"/>
        <v>1</v>
      </c>
      <c r="AA15" s="17">
        <f t="shared" ca="1" si="6"/>
        <v>1</v>
      </c>
      <c r="AB15" s="17">
        <f t="shared" ca="1" si="6"/>
        <v>0</v>
      </c>
      <c r="AC15" s="17">
        <f t="shared" ca="1" si="6"/>
        <v>1</v>
      </c>
      <c r="AD15" s="17">
        <f t="shared" ca="1" si="6"/>
        <v>0</v>
      </c>
      <c r="AE15" s="17">
        <f t="shared" ca="1" si="6"/>
        <v>1</v>
      </c>
      <c r="AF15" s="17">
        <f t="shared" ca="1" si="6"/>
        <v>7</v>
      </c>
      <c r="AG15" s="17">
        <f t="shared" ca="1" si="7"/>
        <v>63</v>
      </c>
      <c r="AH15" s="17">
        <f t="shared" ca="1" si="7"/>
        <v>4</v>
      </c>
      <c r="AI15" s="17">
        <f t="shared" ca="1" si="7"/>
        <v>7</v>
      </c>
      <c r="AJ15" s="17">
        <f t="shared" ca="1" si="7"/>
        <v>3</v>
      </c>
      <c r="AK15" s="17">
        <f t="shared" ca="1" si="7"/>
        <v>1</v>
      </c>
      <c r="AL15" s="17">
        <f t="shared" ca="1" si="7"/>
        <v>5</v>
      </c>
      <c r="AM15" s="17">
        <f t="shared" ca="1" si="7"/>
        <v>0</v>
      </c>
      <c r="AN15" s="17">
        <f t="shared" ca="1" si="7"/>
        <v>1</v>
      </c>
      <c r="AO15" s="17">
        <f t="shared" ca="1" si="7"/>
        <v>1</v>
      </c>
      <c r="AP15" s="17">
        <f t="shared" ca="1" si="7"/>
        <v>1</v>
      </c>
      <c r="AQ15" s="17">
        <f t="shared" ca="1" si="8"/>
        <v>0</v>
      </c>
      <c r="AR15" s="17">
        <f t="shared" ca="1" si="8"/>
        <v>1</v>
      </c>
      <c r="AS15" s="17">
        <f t="shared" ca="1" si="8"/>
        <v>1</v>
      </c>
      <c r="AT15" s="17">
        <f t="shared" ca="1" si="8"/>
        <v>1</v>
      </c>
      <c r="AU15" s="17">
        <f t="shared" ca="1" si="8"/>
        <v>1</v>
      </c>
      <c r="AV15" s="17">
        <f t="shared" ca="1" si="8"/>
        <v>1</v>
      </c>
      <c r="AW15" s="17">
        <f t="shared" ca="1" si="8"/>
        <v>1</v>
      </c>
      <c r="AX15" s="17">
        <f t="shared" ca="1" si="8"/>
        <v>0</v>
      </c>
      <c r="AY15" s="17">
        <f t="shared" ca="1" si="8"/>
        <v>1</v>
      </c>
      <c r="AZ15" s="17">
        <f t="shared" ca="1" si="8"/>
        <v>1</v>
      </c>
      <c r="BA15" s="17">
        <f t="shared" ca="1" si="9"/>
        <v>0</v>
      </c>
      <c r="BB15" s="17">
        <f t="shared" ca="1" si="9"/>
        <v>1</v>
      </c>
      <c r="BC15" s="17">
        <f t="shared" ca="1" si="9"/>
        <v>1</v>
      </c>
      <c r="BD15" s="17">
        <f t="shared" ca="1" si="9"/>
        <v>1</v>
      </c>
      <c r="BE15" s="17">
        <f t="shared" ca="1" si="9"/>
        <v>1</v>
      </c>
      <c r="BF15" s="17">
        <f t="shared" ca="1" si="9"/>
        <v>1</v>
      </c>
      <c r="BG15" s="17">
        <f t="shared" ca="1" si="9"/>
        <v>1</v>
      </c>
      <c r="BH15" s="17">
        <f t="shared" ca="1" si="9"/>
        <v>0</v>
      </c>
      <c r="BI15" s="17">
        <f t="shared" ca="1" si="9"/>
        <v>0.02</v>
      </c>
      <c r="BJ15" s="17">
        <f t="shared" ca="1" si="9"/>
        <v>0.14199999999999999</v>
      </c>
      <c r="BK15" s="17">
        <f t="shared" ca="1" si="9"/>
        <v>0.06</v>
      </c>
      <c r="BL15" s="17">
        <f t="shared" ca="1" si="9"/>
        <v>0.01</v>
      </c>
      <c r="BS15" s="283">
        <v>2</v>
      </c>
      <c r="BT15" s="284" t="s">
        <v>1101</v>
      </c>
      <c r="BU15" s="283">
        <v>62</v>
      </c>
      <c r="BV15" s="284" t="s">
        <v>1102</v>
      </c>
      <c r="BW15" s="283">
        <v>82</v>
      </c>
      <c r="BX15" s="284" t="s">
        <v>1103</v>
      </c>
      <c r="BY15" s="283">
        <v>71</v>
      </c>
      <c r="BZ15" s="284" t="s">
        <v>1104</v>
      </c>
      <c r="CA15" s="283">
        <v>24</v>
      </c>
      <c r="CB15" s="284" t="s">
        <v>981</v>
      </c>
    </row>
    <row r="16" spans="1:82" ht="22.5" customHeight="1" x14ac:dyDescent="0.3">
      <c r="W16" s="17" t="str">
        <f t="shared" ref="W16:AF25" ca="1" si="10">IFERROR(INDEX( PRODUKTE,   ROW()-ROW($A$5)+INDEX(prodRowOffset,W$3),  MATCH(W$2,OFFSET(INDEXNAMEN,W$3,0),0)),"")</f>
        <v>OGRO</v>
      </c>
      <c r="X16" s="17">
        <f t="shared" ca="1" si="10"/>
        <v>8115</v>
      </c>
      <c r="Y16" s="17">
        <f t="shared" ca="1" si="10"/>
        <v>1</v>
      </c>
      <c r="Z16" s="17">
        <f t="shared" ca="1" si="10"/>
        <v>1</v>
      </c>
      <c r="AA16" s="17">
        <f t="shared" ca="1" si="10"/>
        <v>0</v>
      </c>
      <c r="AB16" s="17">
        <f t="shared" ca="1" si="10"/>
        <v>0</v>
      </c>
      <c r="AC16" s="17">
        <f t="shared" ca="1" si="10"/>
        <v>1</v>
      </c>
      <c r="AD16" s="17">
        <f t="shared" ca="1" si="10"/>
        <v>0</v>
      </c>
      <c r="AE16" s="17">
        <f t="shared" ca="1" si="10"/>
        <v>1</v>
      </c>
      <c r="AF16" s="17">
        <f t="shared" ca="1" si="10"/>
        <v>8</v>
      </c>
      <c r="AG16" s="17">
        <f t="shared" ref="AG16:AP25" ca="1" si="11">IFERROR(INDEX( PRODUKTE,   ROW()-ROW($A$5)+INDEX(prodRowOffset,AG$3),  MATCH(AG$2,OFFSET(INDEXNAMEN,AG$3,0),0)),"")</f>
        <v>0</v>
      </c>
      <c r="AH16" s="17">
        <f t="shared" ca="1" si="11"/>
        <v>4</v>
      </c>
      <c r="AI16" s="17">
        <f t="shared" ca="1" si="11"/>
        <v>7</v>
      </c>
      <c r="AJ16" s="17">
        <f t="shared" ca="1" si="11"/>
        <v>4</v>
      </c>
      <c r="AK16" s="17">
        <f t="shared" ca="1" si="11"/>
        <v>1</v>
      </c>
      <c r="AL16" s="17">
        <f t="shared" ca="1" si="11"/>
        <v>5</v>
      </c>
      <c r="AM16" s="17">
        <f t="shared" ca="1" si="11"/>
        <v>1</v>
      </c>
      <c r="AN16" s="17">
        <f t="shared" ca="1" si="11"/>
        <v>1</v>
      </c>
      <c r="AO16" s="17">
        <f t="shared" ca="1" si="11"/>
        <v>1</v>
      </c>
      <c r="AP16" s="17">
        <f t="shared" ca="1" si="11"/>
        <v>1</v>
      </c>
      <c r="AQ16" s="17">
        <f t="shared" ref="AQ16:AZ25" ca="1" si="12">IFERROR(INDEX( PRODUKTE,   ROW()-ROW($A$5)+INDEX(prodRowOffset,AQ$3),  MATCH(AQ$2,OFFSET(INDEXNAMEN,AQ$3,0),0)),"")</f>
        <v>1</v>
      </c>
      <c r="AR16" s="17">
        <f t="shared" ca="1" si="12"/>
        <v>1</v>
      </c>
      <c r="AS16" s="17">
        <f t="shared" ca="1" si="12"/>
        <v>1</v>
      </c>
      <c r="AT16" s="17">
        <f t="shared" ca="1" si="12"/>
        <v>1</v>
      </c>
      <c r="AU16" s="17">
        <f t="shared" ca="1" si="12"/>
        <v>1</v>
      </c>
      <c r="AV16" s="17">
        <f t="shared" ca="1" si="12"/>
        <v>1</v>
      </c>
      <c r="AW16" s="17">
        <f t="shared" ca="1" si="12"/>
        <v>1</v>
      </c>
      <c r="AX16" s="17">
        <f t="shared" ca="1" si="12"/>
        <v>0</v>
      </c>
      <c r="AY16" s="17">
        <f t="shared" ca="1" si="12"/>
        <v>1</v>
      </c>
      <c r="AZ16" s="17">
        <f t="shared" ca="1" si="12"/>
        <v>1</v>
      </c>
      <c r="BA16" s="17">
        <f t="shared" ref="BA16:BL25" ca="1" si="13">IFERROR(INDEX( PRODUKTE,   ROW()-ROW($A$5)+INDEX(prodRowOffset,BA$3),  MATCH(BA$2,OFFSET(INDEXNAMEN,BA$3,0),0)),"")</f>
        <v>0</v>
      </c>
      <c r="BB16" s="17">
        <f t="shared" ca="1" si="13"/>
        <v>1</v>
      </c>
      <c r="BC16" s="17">
        <f t="shared" ca="1" si="13"/>
        <v>1</v>
      </c>
      <c r="BD16" s="17">
        <f t="shared" ca="1" si="13"/>
        <v>1</v>
      </c>
      <c r="BE16" s="17">
        <f t="shared" ca="1" si="13"/>
        <v>1</v>
      </c>
      <c r="BF16" s="17">
        <f t="shared" ca="1" si="13"/>
        <v>1</v>
      </c>
      <c r="BG16" s="17">
        <f t="shared" ca="1" si="13"/>
        <v>1</v>
      </c>
      <c r="BH16" s="17">
        <f t="shared" ca="1" si="13"/>
        <v>0</v>
      </c>
      <c r="BI16" s="17">
        <f t="shared" ca="1" si="13"/>
        <v>2.35E-2</v>
      </c>
      <c r="BJ16" s="17">
        <f t="shared" ca="1" si="13"/>
        <v>0.14000000000000001</v>
      </c>
      <c r="BK16" s="17">
        <f t="shared" ca="1" si="13"/>
        <v>6.7000000000000004E-2</v>
      </c>
      <c r="BL16" s="17">
        <f t="shared" ca="1" si="13"/>
        <v>1.175E-2</v>
      </c>
      <c r="BS16" s="283">
        <v>1</v>
      </c>
      <c r="BT16" s="284" t="s">
        <v>1105</v>
      </c>
      <c r="BU16" s="283">
        <v>62</v>
      </c>
      <c r="BV16" s="284" t="s">
        <v>1106</v>
      </c>
      <c r="BW16" s="283">
        <v>82</v>
      </c>
      <c r="BX16" s="284" t="s">
        <v>1107</v>
      </c>
      <c r="BY16" s="283">
        <v>71</v>
      </c>
      <c r="BZ16" s="284" t="s">
        <v>1108</v>
      </c>
      <c r="CA16" s="283">
        <v>57</v>
      </c>
      <c r="CB16" s="284" t="s">
        <v>982</v>
      </c>
    </row>
    <row r="17" spans="23:80" ht="22.5" customHeight="1" x14ac:dyDescent="0.3">
      <c r="W17" s="17" t="str">
        <f t="shared" ca="1" si="10"/>
        <v>OGRO</v>
      </c>
      <c r="X17" s="17" t="str">
        <f t="shared" ca="1" si="10"/>
        <v>8115V</v>
      </c>
      <c r="Y17" s="17">
        <f t="shared" ca="1" si="10"/>
        <v>1</v>
      </c>
      <c r="Z17" s="17">
        <f t="shared" ca="1" si="10"/>
        <v>1</v>
      </c>
      <c r="AA17" s="17">
        <f t="shared" ca="1" si="10"/>
        <v>0</v>
      </c>
      <c r="AB17" s="17">
        <f t="shared" ca="1" si="10"/>
        <v>0</v>
      </c>
      <c r="AC17" s="17">
        <f t="shared" ca="1" si="10"/>
        <v>1</v>
      </c>
      <c r="AD17" s="17">
        <f t="shared" ca="1" si="10"/>
        <v>1</v>
      </c>
      <c r="AE17" s="17">
        <f t="shared" ca="1" si="10"/>
        <v>1</v>
      </c>
      <c r="AF17" s="17">
        <f t="shared" ca="1" si="10"/>
        <v>0</v>
      </c>
      <c r="AG17" s="17">
        <f t="shared" ca="1" si="11"/>
        <v>64</v>
      </c>
      <c r="AH17" s="17">
        <f t="shared" ca="1" si="11"/>
        <v>4</v>
      </c>
      <c r="AI17" s="17">
        <f t="shared" ca="1" si="11"/>
        <v>7</v>
      </c>
      <c r="AJ17" s="17">
        <f t="shared" ca="1" si="11"/>
        <v>4</v>
      </c>
      <c r="AK17" s="17">
        <f t="shared" ca="1" si="11"/>
        <v>1</v>
      </c>
      <c r="AL17" s="17">
        <f t="shared" ca="1" si="11"/>
        <v>5</v>
      </c>
      <c r="AM17" s="17">
        <f t="shared" ca="1" si="11"/>
        <v>1</v>
      </c>
      <c r="AN17" s="17">
        <f t="shared" ca="1" si="11"/>
        <v>1</v>
      </c>
      <c r="AO17" s="17">
        <f t="shared" ca="1" si="11"/>
        <v>1</v>
      </c>
      <c r="AP17" s="17">
        <f t="shared" ca="1" si="11"/>
        <v>1</v>
      </c>
      <c r="AQ17" s="17">
        <f t="shared" ca="1" si="12"/>
        <v>1</v>
      </c>
      <c r="AR17" s="17">
        <f t="shared" ca="1" si="12"/>
        <v>0</v>
      </c>
      <c r="AS17" s="17">
        <f t="shared" ca="1" si="12"/>
        <v>0</v>
      </c>
      <c r="AT17" s="17">
        <f t="shared" ca="1" si="12"/>
        <v>0</v>
      </c>
      <c r="AU17" s="17">
        <f t="shared" ca="1" si="12"/>
        <v>0</v>
      </c>
      <c r="AV17" s="17">
        <f t="shared" ca="1" si="12"/>
        <v>0</v>
      </c>
      <c r="AW17" s="17">
        <f t="shared" ca="1" si="12"/>
        <v>0</v>
      </c>
      <c r="AX17" s="17">
        <f t="shared" ca="1" si="12"/>
        <v>0</v>
      </c>
      <c r="AY17" s="17">
        <f t="shared" ca="1" si="12"/>
        <v>1</v>
      </c>
      <c r="AZ17" s="17">
        <f t="shared" ca="1" si="12"/>
        <v>1</v>
      </c>
      <c r="BA17" s="17">
        <f t="shared" ca="1" si="13"/>
        <v>0</v>
      </c>
      <c r="BB17" s="17">
        <f t="shared" ca="1" si="13"/>
        <v>1</v>
      </c>
      <c r="BC17" s="17">
        <f t="shared" ca="1" si="13"/>
        <v>1</v>
      </c>
      <c r="BD17" s="17">
        <f t="shared" ca="1" si="13"/>
        <v>1</v>
      </c>
      <c r="BE17" s="17">
        <f t="shared" ca="1" si="13"/>
        <v>1</v>
      </c>
      <c r="BF17" s="17">
        <f t="shared" ca="1" si="13"/>
        <v>1</v>
      </c>
      <c r="BG17" s="17">
        <f t="shared" ca="1" si="13"/>
        <v>0</v>
      </c>
      <c r="BH17" s="17">
        <f t="shared" ca="1" si="13"/>
        <v>0</v>
      </c>
      <c r="BI17" s="17">
        <f t="shared" ca="1" si="13"/>
        <v>2.35E-2</v>
      </c>
      <c r="BJ17" s="17">
        <f t="shared" ca="1" si="13"/>
        <v>0.155</v>
      </c>
      <c r="BK17" s="17">
        <f t="shared" ca="1" si="13"/>
        <v>6.7000000000000004E-2</v>
      </c>
      <c r="BL17" s="17">
        <f t="shared" ca="1" si="13"/>
        <v>1.175E-2</v>
      </c>
      <c r="BS17" s="283">
        <v>2</v>
      </c>
      <c r="BT17" s="284" t="s">
        <v>1109</v>
      </c>
      <c r="BU17" s="283">
        <v>102</v>
      </c>
      <c r="BV17" s="284" t="s">
        <v>1110</v>
      </c>
      <c r="BW17" s="283">
        <v>102</v>
      </c>
      <c r="BX17" s="284" t="s">
        <v>1111</v>
      </c>
      <c r="BY17" s="283">
        <v>65</v>
      </c>
      <c r="BZ17" s="284" t="s">
        <v>1112</v>
      </c>
      <c r="CA17" s="283">
        <v>57</v>
      </c>
      <c r="CB17" s="284" t="s">
        <v>983</v>
      </c>
    </row>
    <row r="18" spans="23:80" ht="22.5" customHeight="1" x14ac:dyDescent="0.3">
      <c r="W18" s="17" t="str">
        <f t="shared" ca="1" si="10"/>
        <v>OGRO</v>
      </c>
      <c r="X18" s="17">
        <f t="shared" ca="1" si="10"/>
        <v>8116</v>
      </c>
      <c r="Y18" s="17">
        <f t="shared" ca="1" si="10"/>
        <v>1</v>
      </c>
      <c r="Z18" s="17">
        <f t="shared" ca="1" si="10"/>
        <v>1</v>
      </c>
      <c r="AA18" s="17">
        <f t="shared" ca="1" si="10"/>
        <v>1</v>
      </c>
      <c r="AB18" s="17">
        <f t="shared" ca="1" si="10"/>
        <v>0</v>
      </c>
      <c r="AC18" s="17">
        <f t="shared" ca="1" si="10"/>
        <v>1</v>
      </c>
      <c r="AD18" s="17">
        <f t="shared" ca="1" si="10"/>
        <v>0</v>
      </c>
      <c r="AE18" s="17">
        <f t="shared" ca="1" si="10"/>
        <v>1</v>
      </c>
      <c r="AF18" s="17">
        <f t="shared" ca="1" si="10"/>
        <v>9</v>
      </c>
      <c r="AG18" s="17">
        <f t="shared" ca="1" si="11"/>
        <v>0</v>
      </c>
      <c r="AH18" s="17">
        <f t="shared" ca="1" si="11"/>
        <v>4</v>
      </c>
      <c r="AI18" s="17">
        <f t="shared" ca="1" si="11"/>
        <v>7</v>
      </c>
      <c r="AJ18" s="17">
        <f t="shared" ca="1" si="11"/>
        <v>4</v>
      </c>
      <c r="AK18" s="17">
        <f t="shared" ca="1" si="11"/>
        <v>1</v>
      </c>
      <c r="AL18" s="17">
        <f t="shared" ca="1" si="11"/>
        <v>5</v>
      </c>
      <c r="AM18" s="17">
        <f t="shared" ca="1" si="11"/>
        <v>1</v>
      </c>
      <c r="AN18" s="17">
        <f t="shared" ca="1" si="11"/>
        <v>1</v>
      </c>
      <c r="AO18" s="17">
        <f t="shared" ca="1" si="11"/>
        <v>1</v>
      </c>
      <c r="AP18" s="17">
        <f t="shared" ca="1" si="11"/>
        <v>1</v>
      </c>
      <c r="AQ18" s="17">
        <f t="shared" ca="1" si="12"/>
        <v>1</v>
      </c>
      <c r="AR18" s="17">
        <f t="shared" ca="1" si="12"/>
        <v>1</v>
      </c>
      <c r="AS18" s="17">
        <f t="shared" ca="1" si="12"/>
        <v>1</v>
      </c>
      <c r="AT18" s="17">
        <f t="shared" ca="1" si="12"/>
        <v>1</v>
      </c>
      <c r="AU18" s="17">
        <f t="shared" ca="1" si="12"/>
        <v>1</v>
      </c>
      <c r="AV18" s="17">
        <f t="shared" ca="1" si="12"/>
        <v>1</v>
      </c>
      <c r="AW18" s="17">
        <f t="shared" ca="1" si="12"/>
        <v>1</v>
      </c>
      <c r="AX18" s="17">
        <f t="shared" ca="1" si="12"/>
        <v>0</v>
      </c>
      <c r="AY18" s="17">
        <f t="shared" ca="1" si="12"/>
        <v>1</v>
      </c>
      <c r="AZ18" s="17">
        <f t="shared" ca="1" si="12"/>
        <v>1</v>
      </c>
      <c r="BA18" s="17">
        <f t="shared" ca="1" si="13"/>
        <v>0</v>
      </c>
      <c r="BB18" s="17">
        <f t="shared" ca="1" si="13"/>
        <v>1</v>
      </c>
      <c r="BC18" s="17">
        <f t="shared" ca="1" si="13"/>
        <v>1</v>
      </c>
      <c r="BD18" s="17">
        <f t="shared" ca="1" si="13"/>
        <v>1</v>
      </c>
      <c r="BE18" s="17">
        <f t="shared" ca="1" si="13"/>
        <v>1</v>
      </c>
      <c r="BF18" s="17">
        <f t="shared" ca="1" si="13"/>
        <v>1</v>
      </c>
      <c r="BG18" s="17">
        <f t="shared" ca="1" si="13"/>
        <v>1</v>
      </c>
      <c r="BH18" s="17">
        <f t="shared" ca="1" si="13"/>
        <v>0</v>
      </c>
      <c r="BI18" s="17">
        <f t="shared" ca="1" si="13"/>
        <v>2.35E-2</v>
      </c>
      <c r="BJ18" s="17">
        <f t="shared" ca="1" si="13"/>
        <v>0.14899999999999999</v>
      </c>
      <c r="BK18" s="17">
        <f t="shared" ca="1" si="13"/>
        <v>6.7000000000000004E-2</v>
      </c>
      <c r="BL18" s="17">
        <f t="shared" ca="1" si="13"/>
        <v>1.175E-2</v>
      </c>
      <c r="BS18" s="283">
        <v>2</v>
      </c>
      <c r="BT18" s="284" t="s">
        <v>1113</v>
      </c>
      <c r="BU18" s="283">
        <v>70</v>
      </c>
      <c r="BV18" s="284" t="s">
        <v>1114</v>
      </c>
      <c r="BW18" s="283">
        <v>0</v>
      </c>
      <c r="BX18" s="284" t="s">
        <v>1115</v>
      </c>
      <c r="BY18" s="283">
        <v>64</v>
      </c>
      <c r="BZ18" s="284" t="s">
        <v>1116</v>
      </c>
      <c r="CA18" s="283">
        <v>24</v>
      </c>
      <c r="CB18" s="284" t="s">
        <v>984</v>
      </c>
    </row>
    <row r="19" spans="23:80" ht="22.5" customHeight="1" x14ac:dyDescent="0.3">
      <c r="W19" s="17" t="str">
        <f t="shared" ca="1" si="10"/>
        <v>OGRO</v>
      </c>
      <c r="X19" s="17" t="str">
        <f t="shared" ca="1" si="10"/>
        <v>8116V</v>
      </c>
      <c r="Y19" s="17">
        <f t="shared" ca="1" si="10"/>
        <v>1</v>
      </c>
      <c r="Z19" s="17">
        <f t="shared" ca="1" si="10"/>
        <v>1</v>
      </c>
      <c r="AA19" s="17">
        <f t="shared" ca="1" si="10"/>
        <v>1</v>
      </c>
      <c r="AB19" s="17">
        <f t="shared" ca="1" si="10"/>
        <v>0</v>
      </c>
      <c r="AC19" s="17">
        <f t="shared" ca="1" si="10"/>
        <v>1</v>
      </c>
      <c r="AD19" s="17">
        <f t="shared" ca="1" si="10"/>
        <v>1</v>
      </c>
      <c r="AE19" s="17">
        <f t="shared" ca="1" si="10"/>
        <v>1</v>
      </c>
      <c r="AF19" s="17">
        <f t="shared" ca="1" si="10"/>
        <v>0</v>
      </c>
      <c r="AG19" s="17">
        <f t="shared" ca="1" si="11"/>
        <v>65</v>
      </c>
      <c r="AH19" s="17">
        <f t="shared" ca="1" si="11"/>
        <v>4</v>
      </c>
      <c r="AI19" s="17">
        <f t="shared" ca="1" si="11"/>
        <v>7</v>
      </c>
      <c r="AJ19" s="17">
        <f t="shared" ca="1" si="11"/>
        <v>4</v>
      </c>
      <c r="AK19" s="17">
        <f t="shared" ca="1" si="11"/>
        <v>1</v>
      </c>
      <c r="AL19" s="17">
        <f t="shared" ca="1" si="11"/>
        <v>5</v>
      </c>
      <c r="AM19" s="17">
        <f t="shared" ca="1" si="11"/>
        <v>1</v>
      </c>
      <c r="AN19" s="17">
        <f t="shared" ca="1" si="11"/>
        <v>1</v>
      </c>
      <c r="AO19" s="17">
        <f t="shared" ca="1" si="11"/>
        <v>1</v>
      </c>
      <c r="AP19" s="17">
        <f t="shared" ca="1" si="11"/>
        <v>1</v>
      </c>
      <c r="AQ19" s="17">
        <f t="shared" ca="1" si="12"/>
        <v>1</v>
      </c>
      <c r="AR19" s="17">
        <f t="shared" ca="1" si="12"/>
        <v>0</v>
      </c>
      <c r="AS19" s="17">
        <f t="shared" ca="1" si="12"/>
        <v>0</v>
      </c>
      <c r="AT19" s="17">
        <f t="shared" ca="1" si="12"/>
        <v>0</v>
      </c>
      <c r="AU19" s="17">
        <f t="shared" ca="1" si="12"/>
        <v>0</v>
      </c>
      <c r="AV19" s="17">
        <f t="shared" ca="1" si="12"/>
        <v>0</v>
      </c>
      <c r="AW19" s="17">
        <f t="shared" ca="1" si="12"/>
        <v>0</v>
      </c>
      <c r="AX19" s="17">
        <f t="shared" ca="1" si="12"/>
        <v>0</v>
      </c>
      <c r="AY19" s="17">
        <f t="shared" ca="1" si="12"/>
        <v>1</v>
      </c>
      <c r="AZ19" s="17">
        <f t="shared" ca="1" si="12"/>
        <v>1</v>
      </c>
      <c r="BA19" s="17">
        <f t="shared" ca="1" si="13"/>
        <v>0</v>
      </c>
      <c r="BB19" s="17">
        <f t="shared" ca="1" si="13"/>
        <v>1</v>
      </c>
      <c r="BC19" s="17">
        <f t="shared" ca="1" si="13"/>
        <v>1</v>
      </c>
      <c r="BD19" s="17">
        <f t="shared" ca="1" si="13"/>
        <v>1</v>
      </c>
      <c r="BE19" s="17">
        <f t="shared" ca="1" si="13"/>
        <v>1</v>
      </c>
      <c r="BF19" s="17">
        <f t="shared" ca="1" si="13"/>
        <v>1</v>
      </c>
      <c r="BG19" s="17">
        <f t="shared" ca="1" si="13"/>
        <v>0</v>
      </c>
      <c r="BH19" s="17">
        <f t="shared" ca="1" si="13"/>
        <v>0</v>
      </c>
      <c r="BI19" s="17">
        <f t="shared" ca="1" si="13"/>
        <v>2.35E-2</v>
      </c>
      <c r="BJ19" s="17">
        <f t="shared" ca="1" si="13"/>
        <v>0.156</v>
      </c>
      <c r="BK19" s="17">
        <f t="shared" ca="1" si="13"/>
        <v>6.7000000000000004E-2</v>
      </c>
      <c r="BL19" s="17">
        <f t="shared" ca="1" si="13"/>
        <v>1.175E-2</v>
      </c>
      <c r="BS19" s="283">
        <v>1</v>
      </c>
      <c r="BT19" s="284" t="s">
        <v>1117</v>
      </c>
      <c r="BU19" s="283">
        <v>96</v>
      </c>
      <c r="BV19" s="284" t="s">
        <v>1118</v>
      </c>
      <c r="BW19" s="283">
        <v>92</v>
      </c>
      <c r="BX19" s="284" t="s">
        <v>1119</v>
      </c>
      <c r="BY19" s="283">
        <v>64</v>
      </c>
      <c r="BZ19" s="284" t="s">
        <v>1120</v>
      </c>
      <c r="CA19" s="283">
        <v>24</v>
      </c>
      <c r="CB19" s="284" t="s">
        <v>985</v>
      </c>
    </row>
    <row r="20" spans="23:80" ht="22.5" customHeight="1" x14ac:dyDescent="0.3">
      <c r="W20" s="17" t="str">
        <f t="shared" ca="1" si="10"/>
        <v>OGRO</v>
      </c>
      <c r="X20" s="17">
        <f t="shared" ca="1" si="10"/>
        <v>8130</v>
      </c>
      <c r="Y20" s="17">
        <f t="shared" ca="1" si="10"/>
        <v>1</v>
      </c>
      <c r="Z20" s="17">
        <f t="shared" ca="1" si="10"/>
        <v>1</v>
      </c>
      <c r="AA20" s="17">
        <f t="shared" ca="1" si="10"/>
        <v>0</v>
      </c>
      <c r="AB20" s="17">
        <f t="shared" ca="1" si="10"/>
        <v>0</v>
      </c>
      <c r="AC20" s="17">
        <f t="shared" ca="1" si="10"/>
        <v>1</v>
      </c>
      <c r="AD20" s="17">
        <f t="shared" ca="1" si="10"/>
        <v>0</v>
      </c>
      <c r="AE20" s="17">
        <f t="shared" ca="1" si="10"/>
        <v>1</v>
      </c>
      <c r="AF20" s="17">
        <f t="shared" ca="1" si="10"/>
        <v>10</v>
      </c>
      <c r="AG20" s="17">
        <f t="shared" ca="1" si="11"/>
        <v>0</v>
      </c>
      <c r="AH20" s="17">
        <f t="shared" ca="1" si="11"/>
        <v>4</v>
      </c>
      <c r="AI20" s="17">
        <f t="shared" ca="1" si="11"/>
        <v>7</v>
      </c>
      <c r="AJ20" s="17">
        <f t="shared" ca="1" si="11"/>
        <v>4</v>
      </c>
      <c r="AK20" s="17">
        <f t="shared" ca="1" si="11"/>
        <v>1</v>
      </c>
      <c r="AL20" s="17">
        <f t="shared" ca="1" si="11"/>
        <v>5</v>
      </c>
      <c r="AM20" s="17">
        <f t="shared" ca="1" si="11"/>
        <v>0</v>
      </c>
      <c r="AN20" s="17">
        <f t="shared" ca="1" si="11"/>
        <v>1</v>
      </c>
      <c r="AO20" s="17">
        <f t="shared" ca="1" si="11"/>
        <v>1</v>
      </c>
      <c r="AP20" s="17">
        <f t="shared" ca="1" si="11"/>
        <v>1</v>
      </c>
      <c r="AQ20" s="17">
        <f t="shared" ca="1" si="12"/>
        <v>1</v>
      </c>
      <c r="AR20" s="17">
        <f t="shared" ca="1" si="12"/>
        <v>1</v>
      </c>
      <c r="AS20" s="17">
        <f t="shared" ca="1" si="12"/>
        <v>1</v>
      </c>
      <c r="AT20" s="17">
        <f t="shared" ca="1" si="12"/>
        <v>1</v>
      </c>
      <c r="AU20" s="17">
        <f t="shared" ca="1" si="12"/>
        <v>1</v>
      </c>
      <c r="AV20" s="17">
        <f t="shared" ca="1" si="12"/>
        <v>1</v>
      </c>
      <c r="AW20" s="17">
        <f t="shared" ca="1" si="12"/>
        <v>1</v>
      </c>
      <c r="AX20" s="17">
        <f t="shared" ca="1" si="12"/>
        <v>0</v>
      </c>
      <c r="AY20" s="17">
        <f t="shared" ca="1" si="12"/>
        <v>1</v>
      </c>
      <c r="AZ20" s="17">
        <f t="shared" ca="1" si="12"/>
        <v>1</v>
      </c>
      <c r="BA20" s="17">
        <f t="shared" ca="1" si="13"/>
        <v>0</v>
      </c>
      <c r="BB20" s="17">
        <f t="shared" ca="1" si="13"/>
        <v>1</v>
      </c>
      <c r="BC20" s="17">
        <f t="shared" ca="1" si="13"/>
        <v>1</v>
      </c>
      <c r="BD20" s="17">
        <f t="shared" ca="1" si="13"/>
        <v>1</v>
      </c>
      <c r="BE20" s="17">
        <f t="shared" ca="1" si="13"/>
        <v>1</v>
      </c>
      <c r="BF20" s="17">
        <f t="shared" ca="1" si="13"/>
        <v>1</v>
      </c>
      <c r="BG20" s="17">
        <f t="shared" ca="1" si="13"/>
        <v>1</v>
      </c>
      <c r="BH20" s="17">
        <f t="shared" ca="1" si="13"/>
        <v>0</v>
      </c>
      <c r="BI20" s="17">
        <f t="shared" ca="1" si="13"/>
        <v>0.02</v>
      </c>
      <c r="BJ20" s="17">
        <f t="shared" ca="1" si="13"/>
        <v>0.14000000000000001</v>
      </c>
      <c r="BK20" s="17">
        <f t="shared" ca="1" si="13"/>
        <v>0.06</v>
      </c>
      <c r="BL20" s="17">
        <f t="shared" ca="1" si="13"/>
        <v>0.01</v>
      </c>
      <c r="BS20" s="283">
        <v>1</v>
      </c>
      <c r="BT20" s="284" t="s">
        <v>1121</v>
      </c>
      <c r="BU20" s="283">
        <v>1</v>
      </c>
      <c r="BV20" s="284" t="s">
        <v>1122</v>
      </c>
      <c r="BW20" s="283">
        <v>91</v>
      </c>
      <c r="BX20" s="284" t="s">
        <v>1123</v>
      </c>
      <c r="BY20" s="283">
        <v>64</v>
      </c>
      <c r="BZ20" s="284" t="s">
        <v>1124</v>
      </c>
      <c r="CA20" s="283">
        <v>57</v>
      </c>
      <c r="CB20" s="284" t="s">
        <v>986</v>
      </c>
    </row>
    <row r="21" spans="23:80" ht="22.5" customHeight="1" x14ac:dyDescent="0.3">
      <c r="W21" s="17" t="str">
        <f t="shared" ca="1" si="10"/>
        <v>OGRO</v>
      </c>
      <c r="X21" s="17">
        <f t="shared" ca="1" si="10"/>
        <v>8140</v>
      </c>
      <c r="Y21" s="17">
        <f t="shared" ca="1" si="10"/>
        <v>1</v>
      </c>
      <c r="Z21" s="17">
        <f t="shared" ca="1" si="10"/>
        <v>1</v>
      </c>
      <c r="AA21" s="17">
        <f t="shared" ca="1" si="10"/>
        <v>0</v>
      </c>
      <c r="AB21" s="17">
        <f t="shared" ca="1" si="10"/>
        <v>0</v>
      </c>
      <c r="AC21" s="17">
        <f t="shared" ca="1" si="10"/>
        <v>1</v>
      </c>
      <c r="AD21" s="17">
        <f t="shared" ca="1" si="10"/>
        <v>0</v>
      </c>
      <c r="AE21" s="17">
        <f t="shared" ca="1" si="10"/>
        <v>1</v>
      </c>
      <c r="AF21" s="17">
        <f t="shared" ca="1" si="10"/>
        <v>11</v>
      </c>
      <c r="AG21" s="17">
        <f t="shared" ca="1" si="11"/>
        <v>66</v>
      </c>
      <c r="AH21" s="17">
        <f t="shared" ca="1" si="11"/>
        <v>4</v>
      </c>
      <c r="AI21" s="17">
        <f t="shared" ca="1" si="11"/>
        <v>7</v>
      </c>
      <c r="AJ21" s="17">
        <f t="shared" ca="1" si="11"/>
        <v>3</v>
      </c>
      <c r="AK21" s="17">
        <f t="shared" ca="1" si="11"/>
        <v>1</v>
      </c>
      <c r="AL21" s="17">
        <f t="shared" ca="1" si="11"/>
        <v>5</v>
      </c>
      <c r="AM21" s="17">
        <f t="shared" ca="1" si="11"/>
        <v>0</v>
      </c>
      <c r="AN21" s="17">
        <f t="shared" ca="1" si="11"/>
        <v>1</v>
      </c>
      <c r="AO21" s="17">
        <f t="shared" ca="1" si="11"/>
        <v>1</v>
      </c>
      <c r="AP21" s="17">
        <f t="shared" ca="1" si="11"/>
        <v>1</v>
      </c>
      <c r="AQ21" s="17">
        <f t="shared" ca="1" si="12"/>
        <v>0</v>
      </c>
      <c r="AR21" s="17">
        <f t="shared" ca="1" si="12"/>
        <v>1</v>
      </c>
      <c r="AS21" s="17">
        <f t="shared" ca="1" si="12"/>
        <v>1</v>
      </c>
      <c r="AT21" s="17">
        <f t="shared" ca="1" si="12"/>
        <v>1</v>
      </c>
      <c r="AU21" s="17">
        <f t="shared" ca="1" si="12"/>
        <v>1</v>
      </c>
      <c r="AV21" s="17">
        <f t="shared" ca="1" si="12"/>
        <v>1</v>
      </c>
      <c r="AW21" s="17">
        <f t="shared" ca="1" si="12"/>
        <v>1</v>
      </c>
      <c r="AX21" s="17">
        <f t="shared" ca="1" si="12"/>
        <v>0</v>
      </c>
      <c r="AY21" s="17">
        <f t="shared" ca="1" si="12"/>
        <v>1</v>
      </c>
      <c r="AZ21" s="17">
        <f t="shared" ca="1" si="12"/>
        <v>1</v>
      </c>
      <c r="BA21" s="17">
        <f t="shared" ca="1" si="13"/>
        <v>0</v>
      </c>
      <c r="BB21" s="17">
        <f t="shared" ca="1" si="13"/>
        <v>1</v>
      </c>
      <c r="BC21" s="17">
        <f t="shared" ca="1" si="13"/>
        <v>1</v>
      </c>
      <c r="BD21" s="17">
        <f t="shared" ca="1" si="13"/>
        <v>1</v>
      </c>
      <c r="BE21" s="17">
        <f t="shared" ca="1" si="13"/>
        <v>1</v>
      </c>
      <c r="BF21" s="17">
        <f t="shared" ca="1" si="13"/>
        <v>1</v>
      </c>
      <c r="BG21" s="17">
        <f t="shared" ca="1" si="13"/>
        <v>1</v>
      </c>
      <c r="BH21" s="17">
        <f t="shared" ca="1" si="13"/>
        <v>0</v>
      </c>
      <c r="BI21" s="17">
        <f t="shared" ca="1" si="13"/>
        <v>0.02</v>
      </c>
      <c r="BJ21" s="17">
        <f t="shared" ca="1" si="13"/>
        <v>0.14000000000000001</v>
      </c>
      <c r="BK21" s="17">
        <f t="shared" ca="1" si="13"/>
        <v>6.4000000000000001E-2</v>
      </c>
      <c r="BL21" s="17">
        <f t="shared" ca="1" si="13"/>
        <v>0.01</v>
      </c>
      <c r="BS21" s="283"/>
      <c r="BT21" s="283"/>
      <c r="BU21" s="283"/>
      <c r="BV21" s="283"/>
      <c r="BW21" s="283"/>
      <c r="BX21" s="283"/>
      <c r="BY21" s="283"/>
      <c r="BZ21" s="283"/>
      <c r="CA21" s="283">
        <v>57</v>
      </c>
      <c r="CB21" s="284" t="s">
        <v>987</v>
      </c>
    </row>
    <row r="22" spans="23:80" ht="22.5" customHeight="1" x14ac:dyDescent="0.3">
      <c r="W22" s="17" t="str">
        <f t="shared" ca="1" si="10"/>
        <v>OGRO</v>
      </c>
      <c r="X22" s="17" t="str">
        <f t="shared" ca="1" si="10"/>
        <v>8140A</v>
      </c>
      <c r="Y22" s="17">
        <f t="shared" ca="1" si="10"/>
        <v>1</v>
      </c>
      <c r="Z22" s="17">
        <f t="shared" ca="1" si="10"/>
        <v>1</v>
      </c>
      <c r="AA22" s="17">
        <f t="shared" ca="1" si="10"/>
        <v>0</v>
      </c>
      <c r="AB22" s="17">
        <f t="shared" ca="1" si="10"/>
        <v>0</v>
      </c>
      <c r="AC22" s="17">
        <f t="shared" ca="1" si="10"/>
        <v>1</v>
      </c>
      <c r="AD22" s="17">
        <f t="shared" ca="1" si="10"/>
        <v>1</v>
      </c>
      <c r="AE22" s="17">
        <f t="shared" ca="1" si="10"/>
        <v>1</v>
      </c>
      <c r="AF22" s="17">
        <f t="shared" ca="1" si="10"/>
        <v>0</v>
      </c>
      <c r="AG22" s="17">
        <f t="shared" ca="1" si="11"/>
        <v>67</v>
      </c>
      <c r="AH22" s="17">
        <f t="shared" ca="1" si="11"/>
        <v>4</v>
      </c>
      <c r="AI22" s="17">
        <f t="shared" ca="1" si="11"/>
        <v>7</v>
      </c>
      <c r="AJ22" s="17">
        <f t="shared" ca="1" si="11"/>
        <v>3</v>
      </c>
      <c r="AK22" s="17">
        <f t="shared" ca="1" si="11"/>
        <v>1</v>
      </c>
      <c r="AL22" s="17">
        <f t="shared" ca="1" si="11"/>
        <v>5</v>
      </c>
      <c r="AM22" s="17">
        <f t="shared" ca="1" si="11"/>
        <v>0</v>
      </c>
      <c r="AN22" s="17">
        <f t="shared" ca="1" si="11"/>
        <v>1</v>
      </c>
      <c r="AO22" s="17">
        <f t="shared" ca="1" si="11"/>
        <v>1</v>
      </c>
      <c r="AP22" s="17">
        <f t="shared" ca="1" si="11"/>
        <v>1</v>
      </c>
      <c r="AQ22" s="17">
        <f t="shared" ca="1" si="12"/>
        <v>0</v>
      </c>
      <c r="AR22" s="17">
        <f t="shared" ca="1" si="12"/>
        <v>0</v>
      </c>
      <c r="AS22" s="17">
        <f t="shared" ca="1" si="12"/>
        <v>0</v>
      </c>
      <c r="AT22" s="17">
        <f t="shared" ca="1" si="12"/>
        <v>0</v>
      </c>
      <c r="AU22" s="17">
        <f t="shared" ca="1" si="12"/>
        <v>0</v>
      </c>
      <c r="AV22" s="17">
        <f t="shared" ca="1" si="12"/>
        <v>0</v>
      </c>
      <c r="AW22" s="17">
        <f t="shared" ca="1" si="12"/>
        <v>0</v>
      </c>
      <c r="AX22" s="17">
        <f t="shared" ca="1" si="12"/>
        <v>0</v>
      </c>
      <c r="AY22" s="17">
        <f t="shared" ca="1" si="12"/>
        <v>1</v>
      </c>
      <c r="AZ22" s="17">
        <f t="shared" ca="1" si="12"/>
        <v>1</v>
      </c>
      <c r="BA22" s="17">
        <f t="shared" ca="1" si="13"/>
        <v>0</v>
      </c>
      <c r="BB22" s="17">
        <f t="shared" ca="1" si="13"/>
        <v>1</v>
      </c>
      <c r="BC22" s="17">
        <f t="shared" ca="1" si="13"/>
        <v>1</v>
      </c>
      <c r="BD22" s="17">
        <f t="shared" ca="1" si="13"/>
        <v>1</v>
      </c>
      <c r="BE22" s="17">
        <f t="shared" ca="1" si="13"/>
        <v>1</v>
      </c>
      <c r="BF22" s="17">
        <f t="shared" ca="1" si="13"/>
        <v>1</v>
      </c>
      <c r="BG22" s="17">
        <f t="shared" ca="1" si="13"/>
        <v>0</v>
      </c>
      <c r="BH22" s="17">
        <f t="shared" ca="1" si="13"/>
        <v>0</v>
      </c>
      <c r="BI22" s="17">
        <f t="shared" ca="1" si="13"/>
        <v>0.02</v>
      </c>
      <c r="BJ22" s="17">
        <f t="shared" ca="1" si="13"/>
        <v>0.14000000000000001</v>
      </c>
      <c r="BK22" s="17">
        <f t="shared" ca="1" si="13"/>
        <v>6.4000000000000001E-2</v>
      </c>
      <c r="BL22" s="17">
        <f t="shared" ca="1" si="13"/>
        <v>0.01</v>
      </c>
      <c r="BS22" s="283"/>
      <c r="BT22" s="283"/>
      <c r="BU22" s="283"/>
      <c r="BV22" s="283"/>
      <c r="BW22" s="283"/>
      <c r="BX22" s="283"/>
      <c r="BY22" s="283"/>
      <c r="BZ22" s="283"/>
      <c r="CA22" s="283">
        <v>57</v>
      </c>
      <c r="CB22" s="284" t="s">
        <v>988</v>
      </c>
    </row>
    <row r="23" spans="23:80" ht="22.5" customHeight="1" x14ac:dyDescent="0.3">
      <c r="W23" s="17" t="str">
        <f t="shared" ca="1" si="10"/>
        <v>OGRO</v>
      </c>
      <c r="X23" s="17">
        <f t="shared" ca="1" si="10"/>
        <v>8141</v>
      </c>
      <c r="Y23" s="17">
        <f t="shared" ca="1" si="10"/>
        <v>1</v>
      </c>
      <c r="Z23" s="17">
        <f t="shared" ca="1" si="10"/>
        <v>1</v>
      </c>
      <c r="AA23" s="17">
        <f t="shared" ca="1" si="10"/>
        <v>0</v>
      </c>
      <c r="AB23" s="17">
        <f t="shared" ca="1" si="10"/>
        <v>0</v>
      </c>
      <c r="AC23" s="17">
        <f t="shared" ca="1" si="10"/>
        <v>1</v>
      </c>
      <c r="AD23" s="17">
        <f t="shared" ca="1" si="10"/>
        <v>0</v>
      </c>
      <c r="AE23" s="17">
        <f t="shared" ca="1" si="10"/>
        <v>1</v>
      </c>
      <c r="AF23" s="17">
        <f t="shared" ca="1" si="10"/>
        <v>12</v>
      </c>
      <c r="AG23" s="17">
        <f t="shared" ca="1" si="11"/>
        <v>68</v>
      </c>
      <c r="AH23" s="17">
        <f t="shared" ca="1" si="11"/>
        <v>4</v>
      </c>
      <c r="AI23" s="17">
        <f t="shared" ca="1" si="11"/>
        <v>7</v>
      </c>
      <c r="AJ23" s="17">
        <f t="shared" ca="1" si="11"/>
        <v>3</v>
      </c>
      <c r="AK23" s="17">
        <f t="shared" ca="1" si="11"/>
        <v>1</v>
      </c>
      <c r="AL23" s="17">
        <f t="shared" ca="1" si="11"/>
        <v>5</v>
      </c>
      <c r="AM23" s="17">
        <f t="shared" ca="1" si="11"/>
        <v>0</v>
      </c>
      <c r="AN23" s="17">
        <f t="shared" ca="1" si="11"/>
        <v>1</v>
      </c>
      <c r="AO23" s="17">
        <f t="shared" ca="1" si="11"/>
        <v>1</v>
      </c>
      <c r="AP23" s="17">
        <f t="shared" ca="1" si="11"/>
        <v>1</v>
      </c>
      <c r="AQ23" s="17">
        <f t="shared" ca="1" si="12"/>
        <v>0</v>
      </c>
      <c r="AR23" s="17">
        <f t="shared" ca="1" si="12"/>
        <v>1</v>
      </c>
      <c r="AS23" s="17">
        <f t="shared" ca="1" si="12"/>
        <v>1</v>
      </c>
      <c r="AT23" s="17">
        <f t="shared" ca="1" si="12"/>
        <v>1</v>
      </c>
      <c r="AU23" s="17">
        <f t="shared" ca="1" si="12"/>
        <v>1</v>
      </c>
      <c r="AV23" s="17">
        <f t="shared" ca="1" si="12"/>
        <v>1</v>
      </c>
      <c r="AW23" s="17">
        <f t="shared" ca="1" si="12"/>
        <v>1</v>
      </c>
      <c r="AX23" s="17">
        <f t="shared" ca="1" si="12"/>
        <v>0</v>
      </c>
      <c r="AY23" s="17">
        <f t="shared" ca="1" si="12"/>
        <v>1</v>
      </c>
      <c r="AZ23" s="17">
        <f t="shared" ca="1" si="12"/>
        <v>1</v>
      </c>
      <c r="BA23" s="17">
        <f t="shared" ca="1" si="13"/>
        <v>0</v>
      </c>
      <c r="BB23" s="17">
        <f t="shared" ca="1" si="13"/>
        <v>1</v>
      </c>
      <c r="BC23" s="17">
        <f t="shared" ca="1" si="13"/>
        <v>1</v>
      </c>
      <c r="BD23" s="17">
        <f t="shared" ca="1" si="13"/>
        <v>1</v>
      </c>
      <c r="BE23" s="17">
        <f t="shared" ca="1" si="13"/>
        <v>1</v>
      </c>
      <c r="BF23" s="17">
        <f t="shared" ca="1" si="13"/>
        <v>1</v>
      </c>
      <c r="BG23" s="17">
        <f t="shared" ca="1" si="13"/>
        <v>1</v>
      </c>
      <c r="BH23" s="17">
        <f t="shared" ca="1" si="13"/>
        <v>0</v>
      </c>
      <c r="BI23" s="17">
        <f t="shared" ca="1" si="13"/>
        <v>0.02</v>
      </c>
      <c r="BJ23" s="17">
        <f t="shared" ca="1" si="13"/>
        <v>0.14499999999999999</v>
      </c>
      <c r="BK23" s="17">
        <f t="shared" ca="1" si="13"/>
        <v>6.4000000000000001E-2</v>
      </c>
      <c r="BL23" s="17">
        <f t="shared" ca="1" si="13"/>
        <v>0.01</v>
      </c>
      <c r="BS23" s="283"/>
      <c r="BT23" s="283"/>
      <c r="BU23" s="283"/>
      <c r="BV23" s="283"/>
      <c r="BW23" s="283"/>
      <c r="BX23" s="283"/>
      <c r="BY23" s="283"/>
      <c r="BZ23" s="283"/>
      <c r="CA23" s="283">
        <v>57</v>
      </c>
      <c r="CB23" s="284" t="s">
        <v>989</v>
      </c>
    </row>
    <row r="24" spans="23:80" ht="22.5" customHeight="1" x14ac:dyDescent="0.3">
      <c r="W24" s="17" t="str">
        <f t="shared" ca="1" si="10"/>
        <v>OGRO</v>
      </c>
      <c r="X24" s="17" t="str">
        <f t="shared" ca="1" si="10"/>
        <v>8141A</v>
      </c>
      <c r="Y24" s="17">
        <f t="shared" ca="1" si="10"/>
        <v>1</v>
      </c>
      <c r="Z24" s="17">
        <f t="shared" ca="1" si="10"/>
        <v>1</v>
      </c>
      <c r="AA24" s="17">
        <f t="shared" ca="1" si="10"/>
        <v>0</v>
      </c>
      <c r="AB24" s="17">
        <f t="shared" ca="1" si="10"/>
        <v>0</v>
      </c>
      <c r="AC24" s="17">
        <f t="shared" ca="1" si="10"/>
        <v>1</v>
      </c>
      <c r="AD24" s="17">
        <f t="shared" ca="1" si="10"/>
        <v>1</v>
      </c>
      <c r="AE24" s="17">
        <f t="shared" ca="1" si="10"/>
        <v>1</v>
      </c>
      <c r="AF24" s="17">
        <f t="shared" ca="1" si="10"/>
        <v>0</v>
      </c>
      <c r="AG24" s="17">
        <f t="shared" ca="1" si="11"/>
        <v>69</v>
      </c>
      <c r="AH24" s="17">
        <f t="shared" ca="1" si="11"/>
        <v>4</v>
      </c>
      <c r="AI24" s="17">
        <f t="shared" ca="1" si="11"/>
        <v>7</v>
      </c>
      <c r="AJ24" s="17">
        <f t="shared" ca="1" si="11"/>
        <v>3</v>
      </c>
      <c r="AK24" s="17">
        <f t="shared" ca="1" si="11"/>
        <v>1</v>
      </c>
      <c r="AL24" s="17">
        <f t="shared" ca="1" si="11"/>
        <v>5</v>
      </c>
      <c r="AM24" s="17">
        <f t="shared" ca="1" si="11"/>
        <v>0</v>
      </c>
      <c r="AN24" s="17">
        <f t="shared" ca="1" si="11"/>
        <v>1</v>
      </c>
      <c r="AO24" s="17">
        <f t="shared" ca="1" si="11"/>
        <v>1</v>
      </c>
      <c r="AP24" s="17">
        <f t="shared" ca="1" si="11"/>
        <v>1</v>
      </c>
      <c r="AQ24" s="17">
        <f t="shared" ca="1" si="12"/>
        <v>0</v>
      </c>
      <c r="AR24" s="17">
        <f t="shared" ca="1" si="12"/>
        <v>0</v>
      </c>
      <c r="AS24" s="17">
        <f t="shared" ca="1" si="12"/>
        <v>0</v>
      </c>
      <c r="AT24" s="17">
        <f t="shared" ca="1" si="12"/>
        <v>0</v>
      </c>
      <c r="AU24" s="17">
        <f t="shared" ca="1" si="12"/>
        <v>0</v>
      </c>
      <c r="AV24" s="17">
        <f t="shared" ca="1" si="12"/>
        <v>0</v>
      </c>
      <c r="AW24" s="17">
        <f t="shared" ca="1" si="12"/>
        <v>0</v>
      </c>
      <c r="AX24" s="17">
        <f t="shared" ca="1" si="12"/>
        <v>0</v>
      </c>
      <c r="AY24" s="17">
        <f t="shared" ca="1" si="12"/>
        <v>1</v>
      </c>
      <c r="AZ24" s="17">
        <f t="shared" ca="1" si="12"/>
        <v>1</v>
      </c>
      <c r="BA24" s="17">
        <f t="shared" ca="1" si="13"/>
        <v>0</v>
      </c>
      <c r="BB24" s="17">
        <f t="shared" ca="1" si="13"/>
        <v>1</v>
      </c>
      <c r="BC24" s="17">
        <f t="shared" ca="1" si="13"/>
        <v>1</v>
      </c>
      <c r="BD24" s="17">
        <f t="shared" ca="1" si="13"/>
        <v>1</v>
      </c>
      <c r="BE24" s="17">
        <f t="shared" ca="1" si="13"/>
        <v>1</v>
      </c>
      <c r="BF24" s="17">
        <f t="shared" ca="1" si="13"/>
        <v>1</v>
      </c>
      <c r="BG24" s="17">
        <f t="shared" ca="1" si="13"/>
        <v>0</v>
      </c>
      <c r="BH24" s="17">
        <f t="shared" ca="1" si="13"/>
        <v>0</v>
      </c>
      <c r="BI24" s="17">
        <f t="shared" ca="1" si="13"/>
        <v>0.02</v>
      </c>
      <c r="BJ24" s="17">
        <f t="shared" ca="1" si="13"/>
        <v>0.16500000000000001</v>
      </c>
      <c r="BK24" s="17">
        <f t="shared" ca="1" si="13"/>
        <v>8.1000000000000003E-2</v>
      </c>
      <c r="BL24" s="17">
        <f t="shared" ca="1" si="13"/>
        <v>0.01</v>
      </c>
      <c r="CA24" s="283">
        <v>57</v>
      </c>
      <c r="CB24" s="284" t="s">
        <v>993</v>
      </c>
    </row>
    <row r="25" spans="23:80" ht="22.5" customHeight="1" x14ac:dyDescent="0.3">
      <c r="W25" s="17" t="str">
        <f t="shared" ca="1" si="10"/>
        <v>OGRO</v>
      </c>
      <c r="X25" s="17">
        <f t="shared" ca="1" si="10"/>
        <v>8155</v>
      </c>
      <c r="Y25" s="17">
        <f t="shared" ca="1" si="10"/>
        <v>1</v>
      </c>
      <c r="Z25" s="17">
        <f t="shared" ca="1" si="10"/>
        <v>1</v>
      </c>
      <c r="AA25" s="17">
        <f t="shared" ca="1" si="10"/>
        <v>0</v>
      </c>
      <c r="AB25" s="17">
        <f t="shared" ca="1" si="10"/>
        <v>0</v>
      </c>
      <c r="AC25" s="17">
        <f t="shared" ca="1" si="10"/>
        <v>1</v>
      </c>
      <c r="AD25" s="17">
        <f t="shared" ca="1" si="10"/>
        <v>0</v>
      </c>
      <c r="AE25" s="17">
        <f t="shared" ca="1" si="10"/>
        <v>1</v>
      </c>
      <c r="AF25" s="17">
        <f t="shared" ca="1" si="10"/>
        <v>13</v>
      </c>
      <c r="AG25" s="17">
        <f t="shared" ca="1" si="11"/>
        <v>0</v>
      </c>
      <c r="AH25" s="17">
        <f t="shared" ca="1" si="11"/>
        <v>4</v>
      </c>
      <c r="AI25" s="17">
        <f t="shared" ca="1" si="11"/>
        <v>7</v>
      </c>
      <c r="AJ25" s="17">
        <f t="shared" ca="1" si="11"/>
        <v>4</v>
      </c>
      <c r="AK25" s="17">
        <f t="shared" ca="1" si="11"/>
        <v>1</v>
      </c>
      <c r="AL25" s="17">
        <f t="shared" ca="1" si="11"/>
        <v>5</v>
      </c>
      <c r="AM25" s="17">
        <f t="shared" ca="1" si="11"/>
        <v>1</v>
      </c>
      <c r="AN25" s="17">
        <f t="shared" ca="1" si="11"/>
        <v>1</v>
      </c>
      <c r="AO25" s="17">
        <f t="shared" ca="1" si="11"/>
        <v>1</v>
      </c>
      <c r="AP25" s="17">
        <f t="shared" ca="1" si="11"/>
        <v>1</v>
      </c>
      <c r="AQ25" s="17">
        <f t="shared" ca="1" si="12"/>
        <v>1</v>
      </c>
      <c r="AR25" s="17">
        <f t="shared" ca="1" si="12"/>
        <v>1</v>
      </c>
      <c r="AS25" s="17">
        <f t="shared" ca="1" si="12"/>
        <v>1</v>
      </c>
      <c r="AT25" s="17">
        <f t="shared" ca="1" si="12"/>
        <v>1</v>
      </c>
      <c r="AU25" s="17">
        <f t="shared" ca="1" si="12"/>
        <v>1</v>
      </c>
      <c r="AV25" s="17">
        <f t="shared" ca="1" si="12"/>
        <v>1</v>
      </c>
      <c r="AW25" s="17">
        <f t="shared" ca="1" si="12"/>
        <v>1</v>
      </c>
      <c r="AX25" s="17">
        <f t="shared" ca="1" si="12"/>
        <v>0</v>
      </c>
      <c r="AY25" s="17">
        <f t="shared" ca="1" si="12"/>
        <v>1</v>
      </c>
      <c r="AZ25" s="17">
        <f t="shared" ca="1" si="12"/>
        <v>1</v>
      </c>
      <c r="BA25" s="17">
        <f t="shared" ca="1" si="13"/>
        <v>0</v>
      </c>
      <c r="BB25" s="17">
        <f t="shared" ca="1" si="13"/>
        <v>1</v>
      </c>
      <c r="BC25" s="17">
        <f t="shared" ca="1" si="13"/>
        <v>1</v>
      </c>
      <c r="BD25" s="17">
        <f t="shared" ca="1" si="13"/>
        <v>1</v>
      </c>
      <c r="BE25" s="17">
        <f t="shared" ca="1" si="13"/>
        <v>1</v>
      </c>
      <c r="BF25" s="17">
        <f t="shared" ca="1" si="13"/>
        <v>1</v>
      </c>
      <c r="BG25" s="17">
        <f t="shared" ca="1" si="13"/>
        <v>1</v>
      </c>
      <c r="BH25" s="17">
        <f t="shared" ca="1" si="13"/>
        <v>0</v>
      </c>
      <c r="BI25" s="17">
        <f t="shared" ca="1" si="13"/>
        <v>0.02</v>
      </c>
      <c r="BJ25" s="17">
        <f t="shared" ca="1" si="13"/>
        <v>0.13500000000000001</v>
      </c>
      <c r="BK25" s="17">
        <f t="shared" ca="1" si="13"/>
        <v>6.5000000000000002E-2</v>
      </c>
      <c r="BL25" s="17">
        <f t="shared" ca="1" si="13"/>
        <v>0.01</v>
      </c>
      <c r="CA25" s="283">
        <v>57</v>
      </c>
      <c r="CB25" s="284" t="s">
        <v>994</v>
      </c>
    </row>
    <row r="26" spans="23:80" ht="22.5" customHeight="1" x14ac:dyDescent="0.3">
      <c r="W26" s="17" t="str">
        <f t="shared" ref="W26:AF35" ca="1" si="14">IFERROR(INDEX( PRODUKTE,   ROW()-ROW($A$5)+INDEX(prodRowOffset,W$3),  MATCH(W$2,OFFSET(INDEXNAMEN,W$3,0),0)),"")</f>
        <v>OGRO</v>
      </c>
      <c r="X26" s="17" t="str">
        <f t="shared" ca="1" si="14"/>
        <v>8155V</v>
      </c>
      <c r="Y26" s="17">
        <f t="shared" ca="1" si="14"/>
        <v>1</v>
      </c>
      <c r="Z26" s="17">
        <f t="shared" ca="1" si="14"/>
        <v>1</v>
      </c>
      <c r="AA26" s="17">
        <f t="shared" ca="1" si="14"/>
        <v>0</v>
      </c>
      <c r="AB26" s="17">
        <f t="shared" ca="1" si="14"/>
        <v>0</v>
      </c>
      <c r="AC26" s="17">
        <f t="shared" ca="1" si="14"/>
        <v>1</v>
      </c>
      <c r="AD26" s="17">
        <f t="shared" ca="1" si="14"/>
        <v>1</v>
      </c>
      <c r="AE26" s="17">
        <f t="shared" ca="1" si="14"/>
        <v>1</v>
      </c>
      <c r="AF26" s="17">
        <f t="shared" ca="1" si="14"/>
        <v>0</v>
      </c>
      <c r="AG26" s="17">
        <f t="shared" ref="AG26:AP35" ca="1" si="15">IFERROR(INDEX( PRODUKTE,   ROW()-ROW($A$5)+INDEX(prodRowOffset,AG$3),  MATCH(AG$2,OFFSET(INDEXNAMEN,AG$3,0),0)),"")</f>
        <v>70</v>
      </c>
      <c r="AH26" s="17">
        <f t="shared" ca="1" si="15"/>
        <v>4</v>
      </c>
      <c r="AI26" s="17">
        <f t="shared" ca="1" si="15"/>
        <v>7</v>
      </c>
      <c r="AJ26" s="17">
        <f t="shared" ca="1" si="15"/>
        <v>4</v>
      </c>
      <c r="AK26" s="17">
        <f t="shared" ca="1" si="15"/>
        <v>1</v>
      </c>
      <c r="AL26" s="17">
        <f t="shared" ca="1" si="15"/>
        <v>5</v>
      </c>
      <c r="AM26" s="17">
        <f t="shared" ca="1" si="15"/>
        <v>1</v>
      </c>
      <c r="AN26" s="17">
        <f t="shared" ca="1" si="15"/>
        <v>1</v>
      </c>
      <c r="AO26" s="17">
        <f t="shared" ca="1" si="15"/>
        <v>1</v>
      </c>
      <c r="AP26" s="17">
        <f t="shared" ca="1" si="15"/>
        <v>1</v>
      </c>
      <c r="AQ26" s="17">
        <f t="shared" ref="AQ26:AZ35" ca="1" si="16">IFERROR(INDEX( PRODUKTE,   ROW()-ROW($A$5)+INDEX(prodRowOffset,AQ$3),  MATCH(AQ$2,OFFSET(INDEXNAMEN,AQ$3,0),0)),"")</f>
        <v>1</v>
      </c>
      <c r="AR26" s="17">
        <f t="shared" ca="1" si="16"/>
        <v>0</v>
      </c>
      <c r="AS26" s="17">
        <f t="shared" ca="1" si="16"/>
        <v>0</v>
      </c>
      <c r="AT26" s="17">
        <f t="shared" ca="1" si="16"/>
        <v>0</v>
      </c>
      <c r="AU26" s="17">
        <f t="shared" ca="1" si="16"/>
        <v>0</v>
      </c>
      <c r="AV26" s="17">
        <f t="shared" ca="1" si="16"/>
        <v>0</v>
      </c>
      <c r="AW26" s="17">
        <f t="shared" ca="1" si="16"/>
        <v>0</v>
      </c>
      <c r="AX26" s="17">
        <f t="shared" ca="1" si="16"/>
        <v>0</v>
      </c>
      <c r="AY26" s="17">
        <f t="shared" ca="1" si="16"/>
        <v>1</v>
      </c>
      <c r="AZ26" s="17">
        <f t="shared" ca="1" si="16"/>
        <v>1</v>
      </c>
      <c r="BA26" s="17">
        <f t="shared" ref="BA26:BL35" ca="1" si="17">IFERROR(INDEX( PRODUKTE,   ROW()-ROW($A$5)+INDEX(prodRowOffset,BA$3),  MATCH(BA$2,OFFSET(INDEXNAMEN,BA$3,0),0)),"")</f>
        <v>0</v>
      </c>
      <c r="BB26" s="17">
        <f t="shared" ca="1" si="17"/>
        <v>1</v>
      </c>
      <c r="BC26" s="17">
        <f t="shared" ca="1" si="17"/>
        <v>1</v>
      </c>
      <c r="BD26" s="17">
        <f t="shared" ca="1" si="17"/>
        <v>1</v>
      </c>
      <c r="BE26" s="17">
        <f t="shared" ca="1" si="17"/>
        <v>1</v>
      </c>
      <c r="BF26" s="17">
        <f t="shared" ca="1" si="17"/>
        <v>1</v>
      </c>
      <c r="BG26" s="17">
        <f t="shared" ca="1" si="17"/>
        <v>0</v>
      </c>
      <c r="BH26" s="17">
        <f t="shared" ca="1" si="17"/>
        <v>0</v>
      </c>
      <c r="BI26" s="17">
        <f t="shared" ca="1" si="17"/>
        <v>2.1999999999999999E-2</v>
      </c>
      <c r="BJ26" s="17">
        <f t="shared" ca="1" si="17"/>
        <v>0.14000000000000001</v>
      </c>
      <c r="BK26" s="17">
        <f t="shared" ca="1" si="17"/>
        <v>6.0999999999999999E-2</v>
      </c>
      <c r="BL26" s="17">
        <f t="shared" ca="1" si="17"/>
        <v>1.0999999999999999E-2</v>
      </c>
      <c r="CA26" s="283">
        <v>24</v>
      </c>
      <c r="CB26" s="284" t="s">
        <v>995</v>
      </c>
    </row>
    <row r="27" spans="23:80" ht="22.5" customHeight="1" x14ac:dyDescent="0.3">
      <c r="W27" s="17" t="str">
        <f t="shared" ca="1" si="14"/>
        <v>OGRO</v>
      </c>
      <c r="X27" s="17">
        <f t="shared" ca="1" si="14"/>
        <v>8156</v>
      </c>
      <c r="Y27" s="17">
        <f t="shared" ca="1" si="14"/>
        <v>1</v>
      </c>
      <c r="Z27" s="17">
        <f t="shared" ca="1" si="14"/>
        <v>1</v>
      </c>
      <c r="AA27" s="17">
        <f t="shared" ca="1" si="14"/>
        <v>0</v>
      </c>
      <c r="AB27" s="17">
        <f t="shared" ca="1" si="14"/>
        <v>0</v>
      </c>
      <c r="AC27" s="17">
        <f t="shared" ca="1" si="14"/>
        <v>1</v>
      </c>
      <c r="AD27" s="17">
        <f t="shared" ca="1" si="14"/>
        <v>0</v>
      </c>
      <c r="AE27" s="17">
        <f t="shared" ca="1" si="14"/>
        <v>1</v>
      </c>
      <c r="AF27" s="17">
        <f t="shared" ca="1" si="14"/>
        <v>14</v>
      </c>
      <c r="AG27" s="17">
        <f t="shared" ca="1" si="15"/>
        <v>0</v>
      </c>
      <c r="AH27" s="17">
        <f t="shared" ca="1" si="15"/>
        <v>4</v>
      </c>
      <c r="AI27" s="17">
        <f t="shared" ca="1" si="15"/>
        <v>7</v>
      </c>
      <c r="AJ27" s="17">
        <f t="shared" ca="1" si="15"/>
        <v>4</v>
      </c>
      <c r="AK27" s="17">
        <f t="shared" ca="1" si="15"/>
        <v>1</v>
      </c>
      <c r="AL27" s="17">
        <f t="shared" ca="1" si="15"/>
        <v>5</v>
      </c>
      <c r="AM27" s="17">
        <f t="shared" ca="1" si="15"/>
        <v>1</v>
      </c>
      <c r="AN27" s="17">
        <f t="shared" ca="1" si="15"/>
        <v>1</v>
      </c>
      <c r="AO27" s="17">
        <f t="shared" ca="1" si="15"/>
        <v>1</v>
      </c>
      <c r="AP27" s="17">
        <f t="shared" ca="1" si="15"/>
        <v>1</v>
      </c>
      <c r="AQ27" s="17">
        <f t="shared" ca="1" si="16"/>
        <v>1</v>
      </c>
      <c r="AR27" s="17">
        <f t="shared" ca="1" si="16"/>
        <v>1</v>
      </c>
      <c r="AS27" s="17">
        <f t="shared" ca="1" si="16"/>
        <v>1</v>
      </c>
      <c r="AT27" s="17">
        <f t="shared" ca="1" si="16"/>
        <v>1</v>
      </c>
      <c r="AU27" s="17">
        <f t="shared" ca="1" si="16"/>
        <v>1</v>
      </c>
      <c r="AV27" s="17">
        <f t="shared" ca="1" si="16"/>
        <v>1</v>
      </c>
      <c r="AW27" s="17">
        <f t="shared" ca="1" si="16"/>
        <v>1</v>
      </c>
      <c r="AX27" s="17">
        <f t="shared" ca="1" si="16"/>
        <v>0</v>
      </c>
      <c r="AY27" s="17">
        <f t="shared" ca="1" si="16"/>
        <v>1</v>
      </c>
      <c r="AZ27" s="17">
        <f t="shared" ca="1" si="16"/>
        <v>1</v>
      </c>
      <c r="BA27" s="17">
        <f t="shared" ca="1" si="17"/>
        <v>0</v>
      </c>
      <c r="BB27" s="17">
        <f t="shared" ca="1" si="17"/>
        <v>1</v>
      </c>
      <c r="BC27" s="17">
        <f t="shared" ca="1" si="17"/>
        <v>1</v>
      </c>
      <c r="BD27" s="17">
        <f t="shared" ca="1" si="17"/>
        <v>1</v>
      </c>
      <c r="BE27" s="17">
        <f t="shared" ca="1" si="17"/>
        <v>1</v>
      </c>
      <c r="BF27" s="17">
        <f t="shared" ca="1" si="17"/>
        <v>1</v>
      </c>
      <c r="BG27" s="17">
        <f t="shared" ca="1" si="17"/>
        <v>1</v>
      </c>
      <c r="BH27" s="17">
        <f t="shared" ca="1" si="17"/>
        <v>0</v>
      </c>
      <c r="BI27" s="17">
        <f t="shared" ca="1" si="17"/>
        <v>0.02</v>
      </c>
      <c r="BJ27" s="17">
        <f t="shared" ca="1" si="17"/>
        <v>0.14449999999999999</v>
      </c>
      <c r="BK27" s="17">
        <f t="shared" ca="1" si="17"/>
        <v>6.5000000000000002E-2</v>
      </c>
      <c r="BL27" s="17">
        <f t="shared" ca="1" si="17"/>
        <v>0.01</v>
      </c>
      <c r="CA27" s="283">
        <v>24</v>
      </c>
      <c r="CB27" s="284" t="s">
        <v>996</v>
      </c>
    </row>
    <row r="28" spans="23:80" ht="22.5" customHeight="1" x14ac:dyDescent="0.3">
      <c r="W28" s="17" t="str">
        <f t="shared" ca="1" si="14"/>
        <v>OGRO by ARCHITECTS</v>
      </c>
      <c r="X28" s="17" t="str">
        <f t="shared" ca="1" si="14"/>
        <v>8200 Bitch/Neither/Teherani</v>
      </c>
      <c r="Y28" s="17">
        <f t="shared" ca="1" si="14"/>
        <v>1</v>
      </c>
      <c r="Z28" s="17">
        <f t="shared" ca="1" si="14"/>
        <v>1</v>
      </c>
      <c r="AA28" s="17">
        <f t="shared" ca="1" si="14"/>
        <v>0</v>
      </c>
      <c r="AB28" s="17">
        <f t="shared" ca="1" si="14"/>
        <v>0</v>
      </c>
      <c r="AC28" s="17">
        <f t="shared" ca="1" si="14"/>
        <v>1</v>
      </c>
      <c r="AD28" s="17">
        <f t="shared" ca="1" si="14"/>
        <v>0</v>
      </c>
      <c r="AE28" s="17">
        <f t="shared" ca="1" si="14"/>
        <v>1</v>
      </c>
      <c r="AF28" s="17">
        <f t="shared" ca="1" si="14"/>
        <v>15</v>
      </c>
      <c r="AG28" s="17">
        <f t="shared" ca="1" si="15"/>
        <v>0</v>
      </c>
      <c r="AH28" s="17">
        <f t="shared" ca="1" si="15"/>
        <v>4</v>
      </c>
      <c r="AI28" s="17">
        <f t="shared" ca="1" si="15"/>
        <v>7</v>
      </c>
      <c r="AJ28" s="17">
        <f t="shared" ca="1" si="15"/>
        <v>3</v>
      </c>
      <c r="AK28" s="17">
        <f t="shared" ca="1" si="15"/>
        <v>1</v>
      </c>
      <c r="AL28" s="17">
        <f t="shared" ca="1" si="15"/>
        <v>5</v>
      </c>
      <c r="AM28" s="17">
        <f t="shared" ca="1" si="15"/>
        <v>0</v>
      </c>
      <c r="AN28" s="17">
        <f t="shared" ca="1" si="15"/>
        <v>1</v>
      </c>
      <c r="AO28" s="17">
        <f t="shared" ca="1" si="15"/>
        <v>1</v>
      </c>
      <c r="AP28" s="17">
        <f t="shared" ca="1" si="15"/>
        <v>1</v>
      </c>
      <c r="AQ28" s="17">
        <f t="shared" ca="1" si="16"/>
        <v>0</v>
      </c>
      <c r="AR28" s="17">
        <f t="shared" ca="1" si="16"/>
        <v>1</v>
      </c>
      <c r="AS28" s="17">
        <f t="shared" ca="1" si="16"/>
        <v>1</v>
      </c>
      <c r="AT28" s="17">
        <f t="shared" ca="1" si="16"/>
        <v>1</v>
      </c>
      <c r="AU28" s="17">
        <f t="shared" ca="1" si="16"/>
        <v>1</v>
      </c>
      <c r="AV28" s="17">
        <f t="shared" ca="1" si="16"/>
        <v>1</v>
      </c>
      <c r="AW28" s="17">
        <f t="shared" ca="1" si="16"/>
        <v>1</v>
      </c>
      <c r="AX28" s="17">
        <f t="shared" ca="1" si="16"/>
        <v>0</v>
      </c>
      <c r="AY28" s="17">
        <f t="shared" ca="1" si="16"/>
        <v>1</v>
      </c>
      <c r="AZ28" s="17">
        <f t="shared" ca="1" si="16"/>
        <v>1</v>
      </c>
      <c r="BA28" s="17">
        <f t="shared" ca="1" si="17"/>
        <v>0</v>
      </c>
      <c r="BB28" s="17">
        <f t="shared" ca="1" si="17"/>
        <v>1</v>
      </c>
      <c r="BC28" s="17">
        <f t="shared" ca="1" si="17"/>
        <v>1</v>
      </c>
      <c r="BD28" s="17">
        <f t="shared" ca="1" si="17"/>
        <v>1</v>
      </c>
      <c r="BE28" s="17">
        <f t="shared" ca="1" si="17"/>
        <v>1</v>
      </c>
      <c r="BF28" s="17">
        <f t="shared" ca="1" si="17"/>
        <v>1</v>
      </c>
      <c r="BG28" s="17">
        <f t="shared" ca="1" si="17"/>
        <v>1</v>
      </c>
      <c r="BH28" s="17">
        <f t="shared" ca="1" si="17"/>
        <v>0</v>
      </c>
      <c r="BI28" s="17">
        <f t="shared" ca="1" si="17"/>
        <v>0.02</v>
      </c>
      <c r="BJ28" s="17">
        <f t="shared" ca="1" si="17"/>
        <v>0.13200000000000001</v>
      </c>
      <c r="BK28" s="17">
        <f t="shared" ca="1" si="17"/>
        <v>6.3E-2</v>
      </c>
      <c r="BL28" s="17">
        <f t="shared" ca="1" si="17"/>
        <v>0.01</v>
      </c>
      <c r="CA28" s="283">
        <v>57</v>
      </c>
      <c r="CB28" s="284" t="s">
        <v>997</v>
      </c>
    </row>
    <row r="29" spans="23:80" ht="22.5" customHeight="1" x14ac:dyDescent="0.3">
      <c r="W29" s="17" t="str">
        <f t="shared" ca="1" si="14"/>
        <v>OGRO</v>
      </c>
      <c r="X29" s="17">
        <f t="shared" ca="1" si="14"/>
        <v>8350</v>
      </c>
      <c r="Y29" s="17">
        <f t="shared" ca="1" si="14"/>
        <v>1</v>
      </c>
      <c r="Z29" s="17">
        <f t="shared" ca="1" si="14"/>
        <v>1</v>
      </c>
      <c r="AA29" s="17">
        <f t="shared" ca="1" si="14"/>
        <v>1</v>
      </c>
      <c r="AB29" s="17">
        <f t="shared" ca="1" si="14"/>
        <v>0</v>
      </c>
      <c r="AC29" s="17">
        <f t="shared" ca="1" si="14"/>
        <v>1</v>
      </c>
      <c r="AD29" s="17">
        <f t="shared" ca="1" si="14"/>
        <v>0</v>
      </c>
      <c r="AE29" s="17">
        <f t="shared" ca="1" si="14"/>
        <v>1</v>
      </c>
      <c r="AF29" s="17">
        <f t="shared" ca="1" si="14"/>
        <v>16</v>
      </c>
      <c r="AG29" s="17">
        <f t="shared" ca="1" si="15"/>
        <v>0</v>
      </c>
      <c r="AH29" s="17">
        <f t="shared" ca="1" si="15"/>
        <v>4</v>
      </c>
      <c r="AI29" s="17">
        <f t="shared" ca="1" si="15"/>
        <v>7</v>
      </c>
      <c r="AJ29" s="17">
        <f t="shared" ca="1" si="15"/>
        <v>4</v>
      </c>
      <c r="AK29" s="17">
        <f t="shared" ca="1" si="15"/>
        <v>1</v>
      </c>
      <c r="AL29" s="17">
        <f t="shared" ca="1" si="15"/>
        <v>5</v>
      </c>
      <c r="AM29" s="17">
        <f t="shared" ca="1" si="15"/>
        <v>1</v>
      </c>
      <c r="AN29" s="17">
        <f t="shared" ca="1" si="15"/>
        <v>1</v>
      </c>
      <c r="AO29" s="17">
        <f t="shared" ca="1" si="15"/>
        <v>1</v>
      </c>
      <c r="AP29" s="17">
        <f t="shared" ca="1" si="15"/>
        <v>1</v>
      </c>
      <c r="AQ29" s="17">
        <f t="shared" ca="1" si="16"/>
        <v>1</v>
      </c>
      <c r="AR29" s="17">
        <f t="shared" ca="1" si="16"/>
        <v>1</v>
      </c>
      <c r="AS29" s="17">
        <f t="shared" ca="1" si="16"/>
        <v>1</v>
      </c>
      <c r="AT29" s="17">
        <f t="shared" ca="1" si="16"/>
        <v>1</v>
      </c>
      <c r="AU29" s="17">
        <f t="shared" ca="1" si="16"/>
        <v>1</v>
      </c>
      <c r="AV29" s="17">
        <f t="shared" ca="1" si="16"/>
        <v>1</v>
      </c>
      <c r="AW29" s="17">
        <f t="shared" ca="1" si="16"/>
        <v>1</v>
      </c>
      <c r="AX29" s="17">
        <f t="shared" ca="1" si="16"/>
        <v>0</v>
      </c>
      <c r="AY29" s="17">
        <f t="shared" ca="1" si="16"/>
        <v>1</v>
      </c>
      <c r="AZ29" s="17">
        <f t="shared" ca="1" si="16"/>
        <v>1</v>
      </c>
      <c r="BA29" s="17">
        <f t="shared" ca="1" si="17"/>
        <v>0</v>
      </c>
      <c r="BB29" s="17">
        <f t="shared" ca="1" si="17"/>
        <v>1</v>
      </c>
      <c r="BC29" s="17">
        <f t="shared" ca="1" si="17"/>
        <v>1</v>
      </c>
      <c r="BD29" s="17">
        <f t="shared" ca="1" si="17"/>
        <v>1</v>
      </c>
      <c r="BE29" s="17">
        <f t="shared" ca="1" si="17"/>
        <v>1</v>
      </c>
      <c r="BF29" s="17">
        <f t="shared" ca="1" si="17"/>
        <v>1</v>
      </c>
      <c r="BG29" s="17">
        <f t="shared" ca="1" si="17"/>
        <v>1</v>
      </c>
      <c r="BH29" s="17">
        <f t="shared" ca="1" si="17"/>
        <v>0</v>
      </c>
      <c r="BI29" s="17">
        <f t="shared" ca="1" si="17"/>
        <v>2.1999999999999999E-2</v>
      </c>
      <c r="BJ29" s="17">
        <f t="shared" ca="1" si="17"/>
        <v>0.15</v>
      </c>
      <c r="BK29" s="17">
        <f t="shared" ca="1" si="17"/>
        <v>6.5000000000000002E-2</v>
      </c>
      <c r="BL29" s="17">
        <f t="shared" ca="1" si="17"/>
        <v>1.0999999999999999E-2</v>
      </c>
      <c r="CA29" s="283">
        <v>57</v>
      </c>
      <c r="CB29" s="284" t="s">
        <v>998</v>
      </c>
    </row>
    <row r="30" spans="23:80" ht="22.5" customHeight="1" x14ac:dyDescent="0.3">
      <c r="W30" s="17" t="str">
        <f t="shared" ca="1" si="14"/>
        <v>OGRO</v>
      </c>
      <c r="X30" s="17" t="str">
        <f t="shared" ca="1" si="14"/>
        <v>8350A</v>
      </c>
      <c r="Y30" s="17">
        <f t="shared" ca="1" si="14"/>
        <v>1</v>
      </c>
      <c r="Z30" s="17">
        <f t="shared" ca="1" si="14"/>
        <v>1</v>
      </c>
      <c r="AA30" s="17">
        <f t="shared" ca="1" si="14"/>
        <v>1</v>
      </c>
      <c r="AB30" s="17">
        <f t="shared" ca="1" si="14"/>
        <v>0</v>
      </c>
      <c r="AC30" s="17">
        <f t="shared" ca="1" si="14"/>
        <v>1</v>
      </c>
      <c r="AD30" s="17">
        <f t="shared" ca="1" si="14"/>
        <v>1</v>
      </c>
      <c r="AE30" s="17">
        <f t="shared" ca="1" si="14"/>
        <v>1</v>
      </c>
      <c r="AF30" s="17">
        <f t="shared" ca="1" si="14"/>
        <v>0</v>
      </c>
      <c r="AG30" s="17">
        <f t="shared" ca="1" si="15"/>
        <v>71</v>
      </c>
      <c r="AH30" s="17">
        <f t="shared" ca="1" si="15"/>
        <v>4</v>
      </c>
      <c r="AI30" s="17">
        <f t="shared" ca="1" si="15"/>
        <v>7</v>
      </c>
      <c r="AJ30" s="17">
        <f t="shared" ca="1" si="15"/>
        <v>4</v>
      </c>
      <c r="AK30" s="17">
        <f t="shared" ca="1" si="15"/>
        <v>1</v>
      </c>
      <c r="AL30" s="17">
        <f t="shared" ca="1" si="15"/>
        <v>5</v>
      </c>
      <c r="AM30" s="17">
        <f t="shared" ca="1" si="15"/>
        <v>1</v>
      </c>
      <c r="AN30" s="17">
        <f t="shared" ca="1" si="15"/>
        <v>1</v>
      </c>
      <c r="AO30" s="17">
        <f t="shared" ca="1" si="15"/>
        <v>1</v>
      </c>
      <c r="AP30" s="17">
        <f t="shared" ca="1" si="15"/>
        <v>1</v>
      </c>
      <c r="AQ30" s="17">
        <f t="shared" ca="1" si="16"/>
        <v>1</v>
      </c>
      <c r="AR30" s="17">
        <f t="shared" ca="1" si="16"/>
        <v>0</v>
      </c>
      <c r="AS30" s="17">
        <f t="shared" ca="1" si="16"/>
        <v>0</v>
      </c>
      <c r="AT30" s="17">
        <f t="shared" ca="1" si="16"/>
        <v>0</v>
      </c>
      <c r="AU30" s="17">
        <f t="shared" ca="1" si="16"/>
        <v>0</v>
      </c>
      <c r="AV30" s="17">
        <f t="shared" ca="1" si="16"/>
        <v>0</v>
      </c>
      <c r="AW30" s="17">
        <f t="shared" ca="1" si="16"/>
        <v>0</v>
      </c>
      <c r="AX30" s="17">
        <f t="shared" ca="1" si="16"/>
        <v>0</v>
      </c>
      <c r="AY30" s="17">
        <f t="shared" ca="1" si="16"/>
        <v>1</v>
      </c>
      <c r="AZ30" s="17">
        <f t="shared" ca="1" si="16"/>
        <v>1</v>
      </c>
      <c r="BA30" s="17">
        <f t="shared" ca="1" si="17"/>
        <v>0</v>
      </c>
      <c r="BB30" s="17">
        <f t="shared" ca="1" si="17"/>
        <v>1</v>
      </c>
      <c r="BC30" s="17">
        <f t="shared" ca="1" si="17"/>
        <v>1</v>
      </c>
      <c r="BD30" s="17">
        <f t="shared" ca="1" si="17"/>
        <v>1</v>
      </c>
      <c r="BE30" s="17">
        <f t="shared" ca="1" si="17"/>
        <v>1</v>
      </c>
      <c r="BF30" s="17">
        <f t="shared" ca="1" si="17"/>
        <v>1</v>
      </c>
      <c r="BG30" s="17">
        <f t="shared" ca="1" si="17"/>
        <v>0</v>
      </c>
      <c r="BH30" s="17">
        <f t="shared" ca="1" si="17"/>
        <v>0</v>
      </c>
      <c r="BI30" s="17">
        <f t="shared" ca="1" si="17"/>
        <v>2.1999999999999999E-2</v>
      </c>
      <c r="BJ30" s="17">
        <f t="shared" ca="1" si="17"/>
        <v>0.17</v>
      </c>
      <c r="BK30" s="17">
        <f t="shared" ca="1" si="17"/>
        <v>8.5000000000000006E-2</v>
      </c>
      <c r="BL30" s="17">
        <f t="shared" ca="1" si="17"/>
        <v>1.0999999999999999E-2</v>
      </c>
      <c r="CA30" s="283">
        <v>57</v>
      </c>
      <c r="CB30" s="284" t="s">
        <v>999</v>
      </c>
    </row>
    <row r="31" spans="23:80" ht="22.5" customHeight="1" x14ac:dyDescent="0.3">
      <c r="W31" s="17" t="str">
        <f t="shared" ca="1" si="14"/>
        <v>OGRO</v>
      </c>
      <c r="X31" s="17" t="str">
        <f t="shared" ca="1" si="14"/>
        <v>8350V</v>
      </c>
      <c r="Y31" s="17">
        <f t="shared" ca="1" si="14"/>
        <v>1</v>
      </c>
      <c r="Z31" s="17">
        <f t="shared" ca="1" si="14"/>
        <v>1</v>
      </c>
      <c r="AA31" s="17">
        <f t="shared" ca="1" si="14"/>
        <v>1</v>
      </c>
      <c r="AB31" s="17">
        <f t="shared" ca="1" si="14"/>
        <v>0</v>
      </c>
      <c r="AC31" s="17">
        <f t="shared" ca="1" si="14"/>
        <v>1</v>
      </c>
      <c r="AD31" s="17">
        <f t="shared" ca="1" si="14"/>
        <v>1</v>
      </c>
      <c r="AE31" s="17">
        <f t="shared" ca="1" si="14"/>
        <v>1</v>
      </c>
      <c r="AF31" s="17">
        <f t="shared" ca="1" si="14"/>
        <v>0</v>
      </c>
      <c r="AG31" s="17">
        <f t="shared" ca="1" si="15"/>
        <v>72</v>
      </c>
      <c r="AH31" s="17">
        <f t="shared" ca="1" si="15"/>
        <v>4</v>
      </c>
      <c r="AI31" s="17">
        <f t="shared" ca="1" si="15"/>
        <v>7</v>
      </c>
      <c r="AJ31" s="17">
        <f t="shared" ca="1" si="15"/>
        <v>4</v>
      </c>
      <c r="AK31" s="17">
        <f t="shared" ca="1" si="15"/>
        <v>1</v>
      </c>
      <c r="AL31" s="17">
        <f t="shared" ca="1" si="15"/>
        <v>5</v>
      </c>
      <c r="AM31" s="17">
        <f t="shared" ca="1" si="15"/>
        <v>1</v>
      </c>
      <c r="AN31" s="17">
        <f t="shared" ca="1" si="15"/>
        <v>1</v>
      </c>
      <c r="AO31" s="17">
        <f t="shared" ca="1" si="15"/>
        <v>1</v>
      </c>
      <c r="AP31" s="17">
        <f t="shared" ca="1" si="15"/>
        <v>1</v>
      </c>
      <c r="AQ31" s="17">
        <f t="shared" ca="1" si="16"/>
        <v>1</v>
      </c>
      <c r="AR31" s="17">
        <f t="shared" ca="1" si="16"/>
        <v>0</v>
      </c>
      <c r="AS31" s="17">
        <f t="shared" ca="1" si="16"/>
        <v>0</v>
      </c>
      <c r="AT31" s="17">
        <f t="shared" ca="1" si="16"/>
        <v>0</v>
      </c>
      <c r="AU31" s="17">
        <f t="shared" ca="1" si="16"/>
        <v>0</v>
      </c>
      <c r="AV31" s="17">
        <f t="shared" ca="1" si="16"/>
        <v>0</v>
      </c>
      <c r="AW31" s="17">
        <f t="shared" ca="1" si="16"/>
        <v>0</v>
      </c>
      <c r="AX31" s="17">
        <f t="shared" ca="1" si="16"/>
        <v>0</v>
      </c>
      <c r="AY31" s="17">
        <f t="shared" ca="1" si="16"/>
        <v>1</v>
      </c>
      <c r="AZ31" s="17">
        <f t="shared" ca="1" si="16"/>
        <v>1</v>
      </c>
      <c r="BA31" s="17">
        <f t="shared" ca="1" si="17"/>
        <v>0</v>
      </c>
      <c r="BB31" s="17">
        <f t="shared" ca="1" si="17"/>
        <v>1</v>
      </c>
      <c r="BC31" s="17">
        <f t="shared" ca="1" si="17"/>
        <v>1</v>
      </c>
      <c r="BD31" s="17">
        <f t="shared" ca="1" si="17"/>
        <v>1</v>
      </c>
      <c r="BE31" s="17">
        <f t="shared" ca="1" si="17"/>
        <v>1</v>
      </c>
      <c r="BF31" s="17">
        <f t="shared" ca="1" si="17"/>
        <v>1</v>
      </c>
      <c r="BG31" s="17">
        <f t="shared" ca="1" si="17"/>
        <v>0</v>
      </c>
      <c r="BH31" s="17">
        <f t="shared" ca="1" si="17"/>
        <v>0</v>
      </c>
      <c r="BI31" s="17">
        <f t="shared" ca="1" si="17"/>
        <v>2.1999999999999999E-2</v>
      </c>
      <c r="BJ31" s="17">
        <f t="shared" ca="1" si="17"/>
        <v>0.16</v>
      </c>
      <c r="BK31" s="17">
        <f t="shared" ca="1" si="17"/>
        <v>6.0999999999999999E-2</v>
      </c>
      <c r="BL31" s="17">
        <f t="shared" ca="1" si="17"/>
        <v>1.0999999999999999E-2</v>
      </c>
      <c r="CA31" s="283">
        <v>57</v>
      </c>
      <c r="CB31" s="284" t="s">
        <v>1000</v>
      </c>
    </row>
    <row r="32" spans="23:80" ht="22.5" customHeight="1" x14ac:dyDescent="0.3">
      <c r="W32" s="17" t="str">
        <f t="shared" ca="1" si="14"/>
        <v>OGRO</v>
      </c>
      <c r="X32" s="17">
        <f t="shared" ca="1" si="14"/>
        <v>8353</v>
      </c>
      <c r="Y32" s="17">
        <f t="shared" ca="1" si="14"/>
        <v>1</v>
      </c>
      <c r="Z32" s="17">
        <f t="shared" ca="1" si="14"/>
        <v>1</v>
      </c>
      <c r="AA32" s="17">
        <f t="shared" ca="1" si="14"/>
        <v>1</v>
      </c>
      <c r="AB32" s="17">
        <f t="shared" ca="1" si="14"/>
        <v>1</v>
      </c>
      <c r="AC32" s="17">
        <f t="shared" ca="1" si="14"/>
        <v>1</v>
      </c>
      <c r="AD32" s="17">
        <f t="shared" ca="1" si="14"/>
        <v>0</v>
      </c>
      <c r="AE32" s="17">
        <f t="shared" ca="1" si="14"/>
        <v>1</v>
      </c>
      <c r="AF32" s="17">
        <f t="shared" ca="1" si="14"/>
        <v>17</v>
      </c>
      <c r="AG32" s="17">
        <f t="shared" ca="1" si="15"/>
        <v>0</v>
      </c>
      <c r="AH32" s="17">
        <f t="shared" ca="1" si="15"/>
        <v>4</v>
      </c>
      <c r="AI32" s="17">
        <f t="shared" ca="1" si="15"/>
        <v>7</v>
      </c>
      <c r="AJ32" s="17">
        <f t="shared" ca="1" si="15"/>
        <v>3</v>
      </c>
      <c r="AK32" s="17">
        <f t="shared" ca="1" si="15"/>
        <v>1</v>
      </c>
      <c r="AL32" s="17">
        <f t="shared" ca="1" si="15"/>
        <v>5</v>
      </c>
      <c r="AM32" s="17">
        <f t="shared" ca="1" si="15"/>
        <v>1</v>
      </c>
      <c r="AN32" s="17">
        <f t="shared" ca="1" si="15"/>
        <v>1</v>
      </c>
      <c r="AO32" s="17">
        <f t="shared" ca="1" si="15"/>
        <v>1</v>
      </c>
      <c r="AP32" s="17">
        <f t="shared" ca="1" si="15"/>
        <v>1</v>
      </c>
      <c r="AQ32" s="17">
        <f t="shared" ca="1" si="16"/>
        <v>0</v>
      </c>
      <c r="AR32" s="17">
        <f t="shared" ca="1" si="16"/>
        <v>1</v>
      </c>
      <c r="AS32" s="17">
        <f t="shared" ca="1" si="16"/>
        <v>1</v>
      </c>
      <c r="AT32" s="17">
        <f t="shared" ca="1" si="16"/>
        <v>1</v>
      </c>
      <c r="AU32" s="17">
        <f t="shared" ca="1" si="16"/>
        <v>1</v>
      </c>
      <c r="AV32" s="17">
        <f t="shared" ca="1" si="16"/>
        <v>1</v>
      </c>
      <c r="AW32" s="17">
        <f t="shared" ca="1" si="16"/>
        <v>1</v>
      </c>
      <c r="AX32" s="17">
        <f t="shared" ca="1" si="16"/>
        <v>0</v>
      </c>
      <c r="AY32" s="17">
        <f t="shared" ca="1" si="16"/>
        <v>1</v>
      </c>
      <c r="AZ32" s="17">
        <f t="shared" ca="1" si="16"/>
        <v>1</v>
      </c>
      <c r="BA32" s="17">
        <f t="shared" ca="1" si="17"/>
        <v>0</v>
      </c>
      <c r="BB32" s="17">
        <f t="shared" ca="1" si="17"/>
        <v>1</v>
      </c>
      <c r="BC32" s="17">
        <f t="shared" ca="1" si="17"/>
        <v>1</v>
      </c>
      <c r="BD32" s="17">
        <f t="shared" ca="1" si="17"/>
        <v>1</v>
      </c>
      <c r="BE32" s="17">
        <f t="shared" ca="1" si="17"/>
        <v>1</v>
      </c>
      <c r="BF32" s="17">
        <f t="shared" ca="1" si="17"/>
        <v>1</v>
      </c>
      <c r="BG32" s="17">
        <f t="shared" ca="1" si="17"/>
        <v>1</v>
      </c>
      <c r="BH32" s="17">
        <f t="shared" ca="1" si="17"/>
        <v>0</v>
      </c>
      <c r="BI32" s="17">
        <f t="shared" ca="1" si="17"/>
        <v>0.02</v>
      </c>
      <c r="BJ32" s="17">
        <f t="shared" ca="1" si="17"/>
        <v>0.17499999999999999</v>
      </c>
      <c r="BK32" s="17">
        <f t="shared" ca="1" si="17"/>
        <v>6.5000000000000002E-2</v>
      </c>
      <c r="BL32" s="17">
        <f t="shared" ca="1" si="17"/>
        <v>0.01</v>
      </c>
      <c r="CA32" s="283">
        <v>57</v>
      </c>
      <c r="CB32" s="284" t="s">
        <v>1087</v>
      </c>
    </row>
    <row r="33" spans="20:80" ht="22.5" customHeight="1" x14ac:dyDescent="0.3">
      <c r="W33" s="17" t="str">
        <f t="shared" ca="1" si="14"/>
        <v>OGRO</v>
      </c>
      <c r="X33" s="17">
        <f t="shared" ca="1" si="14"/>
        <v>8354</v>
      </c>
      <c r="Y33" s="17">
        <f t="shared" ca="1" si="14"/>
        <v>1</v>
      </c>
      <c r="Z33" s="17">
        <f t="shared" ca="1" si="14"/>
        <v>1</v>
      </c>
      <c r="AA33" s="17">
        <f t="shared" ca="1" si="14"/>
        <v>1</v>
      </c>
      <c r="AB33" s="17">
        <f t="shared" ca="1" si="14"/>
        <v>0</v>
      </c>
      <c r="AC33" s="17">
        <f t="shared" ca="1" si="14"/>
        <v>1</v>
      </c>
      <c r="AD33" s="17">
        <f t="shared" ca="1" si="14"/>
        <v>0</v>
      </c>
      <c r="AE33" s="17">
        <f t="shared" ca="1" si="14"/>
        <v>1</v>
      </c>
      <c r="AF33" s="17">
        <f t="shared" ca="1" si="14"/>
        <v>18</v>
      </c>
      <c r="AG33" s="17">
        <f t="shared" ca="1" si="15"/>
        <v>0</v>
      </c>
      <c r="AH33" s="17">
        <f t="shared" ca="1" si="15"/>
        <v>4</v>
      </c>
      <c r="AI33" s="17">
        <f t="shared" ca="1" si="15"/>
        <v>7</v>
      </c>
      <c r="AJ33" s="17">
        <f t="shared" ca="1" si="15"/>
        <v>4</v>
      </c>
      <c r="AK33" s="17">
        <f t="shared" ca="1" si="15"/>
        <v>1</v>
      </c>
      <c r="AL33" s="17">
        <f t="shared" ca="1" si="15"/>
        <v>5</v>
      </c>
      <c r="AM33" s="17">
        <f t="shared" ca="1" si="15"/>
        <v>0</v>
      </c>
      <c r="AN33" s="17">
        <f t="shared" ca="1" si="15"/>
        <v>1</v>
      </c>
      <c r="AO33" s="17">
        <f t="shared" ca="1" si="15"/>
        <v>1</v>
      </c>
      <c r="AP33" s="17">
        <f t="shared" ca="1" si="15"/>
        <v>1</v>
      </c>
      <c r="AQ33" s="17">
        <f t="shared" ca="1" si="16"/>
        <v>1</v>
      </c>
      <c r="AR33" s="17">
        <f t="shared" ca="1" si="16"/>
        <v>1</v>
      </c>
      <c r="AS33" s="17">
        <f t="shared" ca="1" si="16"/>
        <v>1</v>
      </c>
      <c r="AT33" s="17">
        <f t="shared" ca="1" si="16"/>
        <v>1</v>
      </c>
      <c r="AU33" s="17">
        <f t="shared" ca="1" si="16"/>
        <v>1</v>
      </c>
      <c r="AV33" s="17">
        <f t="shared" ca="1" si="16"/>
        <v>1</v>
      </c>
      <c r="AW33" s="17">
        <f t="shared" ca="1" si="16"/>
        <v>1</v>
      </c>
      <c r="AX33" s="17">
        <f t="shared" ca="1" si="16"/>
        <v>0</v>
      </c>
      <c r="AY33" s="17">
        <f t="shared" ca="1" si="16"/>
        <v>1</v>
      </c>
      <c r="AZ33" s="17">
        <f t="shared" ca="1" si="16"/>
        <v>1</v>
      </c>
      <c r="BA33" s="17">
        <f t="shared" ca="1" si="17"/>
        <v>0</v>
      </c>
      <c r="BB33" s="17">
        <f t="shared" ca="1" si="17"/>
        <v>1</v>
      </c>
      <c r="BC33" s="17">
        <f t="shared" ca="1" si="17"/>
        <v>1</v>
      </c>
      <c r="BD33" s="17">
        <f t="shared" ca="1" si="17"/>
        <v>1</v>
      </c>
      <c r="BE33" s="17">
        <f t="shared" ca="1" si="17"/>
        <v>1</v>
      </c>
      <c r="BF33" s="17">
        <f t="shared" ca="1" si="17"/>
        <v>1</v>
      </c>
      <c r="BG33" s="17">
        <f t="shared" ca="1" si="17"/>
        <v>1</v>
      </c>
      <c r="BH33" s="17">
        <f t="shared" ca="1" si="17"/>
        <v>0</v>
      </c>
      <c r="BI33" s="17">
        <f t="shared" ca="1" si="17"/>
        <v>2.1999999999999999E-2</v>
      </c>
      <c r="BJ33" s="17">
        <f t="shared" ca="1" si="17"/>
        <v>0.13400000000000001</v>
      </c>
      <c r="BK33" s="17">
        <f t="shared" ca="1" si="17"/>
        <v>8.6999999999999994E-2</v>
      </c>
      <c r="BL33" s="17">
        <f t="shared" ca="1" si="17"/>
        <v>1.0999999999999999E-2</v>
      </c>
      <c r="CA33" s="283">
        <v>57</v>
      </c>
      <c r="CB33" s="284" t="s">
        <v>1088</v>
      </c>
    </row>
    <row r="34" spans="20:80" ht="22.5" customHeight="1" x14ac:dyDescent="0.3">
      <c r="W34" s="17" t="str">
        <f t="shared" ca="1" si="14"/>
        <v>OGRO</v>
      </c>
      <c r="X34" s="17">
        <f t="shared" ca="1" si="14"/>
        <v>8437</v>
      </c>
      <c r="Y34" s="17">
        <f t="shared" ca="1" si="14"/>
        <v>0</v>
      </c>
      <c r="Z34" s="17">
        <f t="shared" ca="1" si="14"/>
        <v>0</v>
      </c>
      <c r="AA34" s="17">
        <f t="shared" ca="1" si="14"/>
        <v>0</v>
      </c>
      <c r="AB34" s="17">
        <f t="shared" ca="1" si="14"/>
        <v>0</v>
      </c>
      <c r="AC34" s="17">
        <f t="shared" ca="1" si="14"/>
        <v>1</v>
      </c>
      <c r="AD34" s="17">
        <f t="shared" ca="1" si="14"/>
        <v>0</v>
      </c>
      <c r="AE34" s="17">
        <f t="shared" ca="1" si="14"/>
        <v>1</v>
      </c>
      <c r="AF34" s="17">
        <f t="shared" ca="1" si="14"/>
        <v>19</v>
      </c>
      <c r="AG34" s="17">
        <f t="shared" ca="1" si="15"/>
        <v>0</v>
      </c>
      <c r="AH34" s="17">
        <f t="shared" ca="1" si="15"/>
        <v>4</v>
      </c>
      <c r="AI34" s="17">
        <f t="shared" ca="1" si="15"/>
        <v>7</v>
      </c>
      <c r="AJ34" s="17">
        <f t="shared" ca="1" si="15"/>
        <v>0</v>
      </c>
      <c r="AK34" s="17">
        <f t="shared" ca="1" si="15"/>
        <v>1</v>
      </c>
      <c r="AL34" s="17">
        <f t="shared" ca="1" si="15"/>
        <v>5</v>
      </c>
      <c r="AM34" s="17">
        <f t="shared" ca="1" si="15"/>
        <v>0</v>
      </c>
      <c r="AN34" s="17">
        <f t="shared" ca="1" si="15"/>
        <v>0</v>
      </c>
      <c r="AO34" s="17">
        <f t="shared" ca="1" si="15"/>
        <v>0</v>
      </c>
      <c r="AP34" s="17">
        <f t="shared" ca="1" si="15"/>
        <v>0</v>
      </c>
      <c r="AQ34" s="17">
        <f t="shared" ca="1" si="16"/>
        <v>1</v>
      </c>
      <c r="AR34" s="17">
        <f t="shared" ca="1" si="16"/>
        <v>1</v>
      </c>
      <c r="AS34" s="17">
        <f t="shared" ca="1" si="16"/>
        <v>1</v>
      </c>
      <c r="AT34" s="17">
        <f t="shared" ca="1" si="16"/>
        <v>1</v>
      </c>
      <c r="AU34" s="17">
        <f t="shared" ca="1" si="16"/>
        <v>1</v>
      </c>
      <c r="AV34" s="17">
        <f t="shared" ca="1" si="16"/>
        <v>1</v>
      </c>
      <c r="AW34" s="17">
        <f t="shared" ca="1" si="16"/>
        <v>1</v>
      </c>
      <c r="AX34" s="17">
        <f t="shared" ca="1" si="16"/>
        <v>0</v>
      </c>
      <c r="AY34" s="17">
        <f t="shared" ca="1" si="16"/>
        <v>1</v>
      </c>
      <c r="AZ34" s="17">
        <f t="shared" ca="1" si="16"/>
        <v>1</v>
      </c>
      <c r="BA34" s="17">
        <f t="shared" ca="1" si="17"/>
        <v>0</v>
      </c>
      <c r="BB34" s="17">
        <f t="shared" ca="1" si="17"/>
        <v>1</v>
      </c>
      <c r="BC34" s="17">
        <f t="shared" ca="1" si="17"/>
        <v>1</v>
      </c>
      <c r="BD34" s="17">
        <f t="shared" ca="1" si="17"/>
        <v>1</v>
      </c>
      <c r="BE34" s="17">
        <f t="shared" ca="1" si="17"/>
        <v>1</v>
      </c>
      <c r="BF34" s="17">
        <f t="shared" ca="1" si="17"/>
        <v>1</v>
      </c>
      <c r="BG34" s="17">
        <f t="shared" ca="1" si="17"/>
        <v>1</v>
      </c>
      <c r="BH34" s="17">
        <f t="shared" ca="1" si="17"/>
        <v>0</v>
      </c>
      <c r="BI34" s="17">
        <f t="shared" ca="1" si="17"/>
        <v>2.35E-2</v>
      </c>
      <c r="BJ34" s="17">
        <f t="shared" ca="1" si="17"/>
        <v>0.122</v>
      </c>
      <c r="BK34" s="17">
        <f t="shared" ca="1" si="17"/>
        <v>5.6000000000000001E-2</v>
      </c>
      <c r="BL34" s="17">
        <f t="shared" ca="1" si="17"/>
        <v>1.175E-2</v>
      </c>
      <c r="CA34" s="283">
        <v>40</v>
      </c>
      <c r="CB34" s="284" t="s">
        <v>1001</v>
      </c>
    </row>
    <row r="35" spans="20:80" ht="22.5" customHeight="1" x14ac:dyDescent="0.3">
      <c r="W35" s="17" t="str">
        <f t="shared" ca="1" si="14"/>
        <v>OGRO</v>
      </c>
      <c r="X35" s="17">
        <f t="shared" ca="1" si="14"/>
        <v>8527</v>
      </c>
      <c r="Y35" s="17">
        <f t="shared" ca="1" si="14"/>
        <v>1</v>
      </c>
      <c r="Z35" s="17">
        <f t="shared" ca="1" si="14"/>
        <v>1</v>
      </c>
      <c r="AA35" s="17">
        <f t="shared" ca="1" si="14"/>
        <v>1</v>
      </c>
      <c r="AB35" s="17">
        <f t="shared" ca="1" si="14"/>
        <v>0</v>
      </c>
      <c r="AC35" s="17">
        <f t="shared" ca="1" si="14"/>
        <v>1</v>
      </c>
      <c r="AD35" s="17">
        <f t="shared" ca="1" si="14"/>
        <v>0</v>
      </c>
      <c r="AE35" s="17">
        <f t="shared" ca="1" si="14"/>
        <v>1</v>
      </c>
      <c r="AF35" s="17">
        <f t="shared" ca="1" si="14"/>
        <v>20</v>
      </c>
      <c r="AG35" s="17">
        <f t="shared" ca="1" si="15"/>
        <v>73</v>
      </c>
      <c r="AH35" s="17">
        <f t="shared" ca="1" si="15"/>
        <v>4</v>
      </c>
      <c r="AI35" s="17">
        <f t="shared" ca="1" si="15"/>
        <v>7</v>
      </c>
      <c r="AJ35" s="17">
        <f t="shared" ca="1" si="15"/>
        <v>4</v>
      </c>
      <c r="AK35" s="17">
        <f t="shared" ca="1" si="15"/>
        <v>1</v>
      </c>
      <c r="AL35" s="17">
        <f t="shared" ca="1" si="15"/>
        <v>5</v>
      </c>
      <c r="AM35" s="17">
        <f t="shared" ca="1" si="15"/>
        <v>1</v>
      </c>
      <c r="AN35" s="17">
        <f t="shared" ca="1" si="15"/>
        <v>1</v>
      </c>
      <c r="AO35" s="17">
        <f t="shared" ca="1" si="15"/>
        <v>1</v>
      </c>
      <c r="AP35" s="17">
        <f t="shared" ca="1" si="15"/>
        <v>1</v>
      </c>
      <c r="AQ35" s="17">
        <f t="shared" ca="1" si="16"/>
        <v>1</v>
      </c>
      <c r="AR35" s="17">
        <f t="shared" ca="1" si="16"/>
        <v>1</v>
      </c>
      <c r="AS35" s="17">
        <f t="shared" ca="1" si="16"/>
        <v>1</v>
      </c>
      <c r="AT35" s="17">
        <f t="shared" ca="1" si="16"/>
        <v>1</v>
      </c>
      <c r="AU35" s="17">
        <f t="shared" ca="1" si="16"/>
        <v>1</v>
      </c>
      <c r="AV35" s="17">
        <f t="shared" ca="1" si="16"/>
        <v>1</v>
      </c>
      <c r="AW35" s="17">
        <f t="shared" ca="1" si="16"/>
        <v>1</v>
      </c>
      <c r="AX35" s="17">
        <f t="shared" ca="1" si="16"/>
        <v>0</v>
      </c>
      <c r="AY35" s="17">
        <f t="shared" ca="1" si="16"/>
        <v>1</v>
      </c>
      <c r="AZ35" s="17">
        <f t="shared" ca="1" si="16"/>
        <v>1</v>
      </c>
      <c r="BA35" s="17">
        <f t="shared" ca="1" si="17"/>
        <v>0</v>
      </c>
      <c r="BB35" s="17">
        <f t="shared" ca="1" si="17"/>
        <v>1</v>
      </c>
      <c r="BC35" s="17">
        <f t="shared" ca="1" si="17"/>
        <v>1</v>
      </c>
      <c r="BD35" s="17">
        <f t="shared" ca="1" si="17"/>
        <v>1</v>
      </c>
      <c r="BE35" s="17">
        <f t="shared" ca="1" si="17"/>
        <v>1</v>
      </c>
      <c r="BF35" s="17">
        <f t="shared" ca="1" si="17"/>
        <v>1</v>
      </c>
      <c r="BG35" s="17">
        <f t="shared" ca="1" si="17"/>
        <v>1</v>
      </c>
      <c r="BH35" s="17">
        <f t="shared" ca="1" si="17"/>
        <v>0</v>
      </c>
      <c r="BI35" s="17">
        <f t="shared" ca="1" si="17"/>
        <v>2.35E-2</v>
      </c>
      <c r="BJ35" s="17">
        <f t="shared" ca="1" si="17"/>
        <v>0.13800000000000001</v>
      </c>
      <c r="BK35" s="17">
        <f t="shared" ca="1" si="17"/>
        <v>6.2E-2</v>
      </c>
      <c r="BL35" s="17">
        <f t="shared" ca="1" si="17"/>
        <v>1.175E-2</v>
      </c>
      <c r="CA35" s="283">
        <v>40</v>
      </c>
      <c r="CB35" s="284" t="s">
        <v>1089</v>
      </c>
    </row>
    <row r="36" spans="20:80" ht="22.5" customHeight="1" x14ac:dyDescent="0.3">
      <c r="W36" s="17" t="str">
        <f t="shared" ref="W36:AF45" ca="1" si="18">IFERROR(INDEX( PRODUKTE,   ROW()-ROW($A$5)+INDEX(prodRowOffset,W$3),  MATCH(W$2,OFFSET(INDEXNAMEN,W$3,0),0)),"")</f>
        <v>OGRO</v>
      </c>
      <c r="X36" s="17" t="str">
        <f t="shared" ca="1" si="18"/>
        <v>8527A</v>
      </c>
      <c r="Y36" s="17">
        <f t="shared" ca="1" si="18"/>
        <v>1</v>
      </c>
      <c r="Z36" s="17">
        <f t="shared" ca="1" si="18"/>
        <v>1</v>
      </c>
      <c r="AA36" s="17">
        <f t="shared" ca="1" si="18"/>
        <v>1</v>
      </c>
      <c r="AB36" s="17">
        <f t="shared" ca="1" si="18"/>
        <v>0</v>
      </c>
      <c r="AC36" s="17">
        <f t="shared" ca="1" si="18"/>
        <v>1</v>
      </c>
      <c r="AD36" s="17">
        <f t="shared" ca="1" si="18"/>
        <v>1</v>
      </c>
      <c r="AE36" s="17">
        <f t="shared" ca="1" si="18"/>
        <v>1</v>
      </c>
      <c r="AF36" s="17">
        <f t="shared" ca="1" si="18"/>
        <v>0</v>
      </c>
      <c r="AG36" s="17">
        <f t="shared" ref="AG36:AP45" ca="1" si="19">IFERROR(INDEX( PRODUKTE,   ROW()-ROW($A$5)+INDEX(prodRowOffset,AG$3),  MATCH(AG$2,OFFSET(INDEXNAMEN,AG$3,0),0)),"")</f>
        <v>74</v>
      </c>
      <c r="AH36" s="17">
        <f t="shared" ca="1" si="19"/>
        <v>4</v>
      </c>
      <c r="AI36" s="17">
        <f t="shared" ca="1" si="19"/>
        <v>7</v>
      </c>
      <c r="AJ36" s="17">
        <f t="shared" ca="1" si="19"/>
        <v>4</v>
      </c>
      <c r="AK36" s="17">
        <f t="shared" ca="1" si="19"/>
        <v>1</v>
      </c>
      <c r="AL36" s="17">
        <f t="shared" ca="1" si="19"/>
        <v>5</v>
      </c>
      <c r="AM36" s="17">
        <f t="shared" ca="1" si="19"/>
        <v>1</v>
      </c>
      <c r="AN36" s="17">
        <f t="shared" ca="1" si="19"/>
        <v>1</v>
      </c>
      <c r="AO36" s="17">
        <f t="shared" ca="1" si="19"/>
        <v>1</v>
      </c>
      <c r="AP36" s="17">
        <f t="shared" ca="1" si="19"/>
        <v>1</v>
      </c>
      <c r="AQ36" s="17">
        <f t="shared" ref="AQ36:AZ45" ca="1" si="20">IFERROR(INDEX( PRODUKTE,   ROW()-ROW($A$5)+INDEX(prodRowOffset,AQ$3),  MATCH(AQ$2,OFFSET(INDEXNAMEN,AQ$3,0),0)),"")</f>
        <v>1</v>
      </c>
      <c r="AR36" s="17">
        <f t="shared" ca="1" si="20"/>
        <v>0</v>
      </c>
      <c r="AS36" s="17">
        <f t="shared" ca="1" si="20"/>
        <v>0</v>
      </c>
      <c r="AT36" s="17">
        <f t="shared" ca="1" si="20"/>
        <v>0</v>
      </c>
      <c r="AU36" s="17">
        <f t="shared" ca="1" si="20"/>
        <v>0</v>
      </c>
      <c r="AV36" s="17">
        <f t="shared" ca="1" si="20"/>
        <v>0</v>
      </c>
      <c r="AW36" s="17">
        <f t="shared" ca="1" si="20"/>
        <v>0</v>
      </c>
      <c r="AX36" s="17">
        <f t="shared" ca="1" si="20"/>
        <v>0</v>
      </c>
      <c r="AY36" s="17">
        <f t="shared" ca="1" si="20"/>
        <v>1</v>
      </c>
      <c r="AZ36" s="17">
        <f t="shared" ca="1" si="20"/>
        <v>1</v>
      </c>
      <c r="BA36" s="17">
        <f t="shared" ref="BA36:BL45" ca="1" si="21">IFERROR(INDEX( PRODUKTE,   ROW()-ROW($A$5)+INDEX(prodRowOffset,BA$3),  MATCH(BA$2,OFFSET(INDEXNAMEN,BA$3,0),0)),"")</f>
        <v>0</v>
      </c>
      <c r="BB36" s="17">
        <f t="shared" ca="1" si="21"/>
        <v>1</v>
      </c>
      <c r="BC36" s="17">
        <f t="shared" ca="1" si="21"/>
        <v>1</v>
      </c>
      <c r="BD36" s="17">
        <f t="shared" ca="1" si="21"/>
        <v>1</v>
      </c>
      <c r="BE36" s="17">
        <f t="shared" ca="1" si="21"/>
        <v>1</v>
      </c>
      <c r="BF36" s="17">
        <f t="shared" ca="1" si="21"/>
        <v>1</v>
      </c>
      <c r="BG36" s="17">
        <f t="shared" ca="1" si="21"/>
        <v>0</v>
      </c>
      <c r="BH36" s="17">
        <f t="shared" ca="1" si="21"/>
        <v>0</v>
      </c>
      <c r="BI36" s="17">
        <f t="shared" ca="1" si="21"/>
        <v>2.1999999999999999E-2</v>
      </c>
      <c r="BJ36" s="17">
        <f t="shared" ca="1" si="21"/>
        <v>0.16</v>
      </c>
      <c r="BK36" s="17">
        <f t="shared" ca="1" si="21"/>
        <v>6.0999999999999999E-2</v>
      </c>
      <c r="BL36" s="17">
        <f t="shared" ca="1" si="21"/>
        <v>1.0999999999999999E-2</v>
      </c>
      <c r="CA36" s="283">
        <v>40</v>
      </c>
      <c r="CB36" s="284" t="s">
        <v>1090</v>
      </c>
    </row>
    <row r="37" spans="20:80" ht="22.5" customHeight="1" x14ac:dyDescent="0.3">
      <c r="W37" s="17" t="str">
        <f t="shared" ca="1" si="18"/>
        <v>OGRO</v>
      </c>
      <c r="X37" s="17">
        <f t="shared" ca="1" si="18"/>
        <v>8810</v>
      </c>
      <c r="Y37" s="17">
        <f t="shared" ca="1" si="18"/>
        <v>1</v>
      </c>
      <c r="Z37" s="17">
        <f t="shared" ca="1" si="18"/>
        <v>1</v>
      </c>
      <c r="AA37" s="17">
        <f t="shared" ca="1" si="18"/>
        <v>1</v>
      </c>
      <c r="AB37" s="17">
        <f t="shared" ca="1" si="18"/>
        <v>1</v>
      </c>
      <c r="AC37" s="17">
        <f t="shared" ca="1" si="18"/>
        <v>1</v>
      </c>
      <c r="AD37" s="17">
        <f t="shared" ca="1" si="18"/>
        <v>0</v>
      </c>
      <c r="AE37" s="17">
        <f t="shared" ca="1" si="18"/>
        <v>1</v>
      </c>
      <c r="AF37" s="17">
        <f t="shared" ca="1" si="18"/>
        <v>21</v>
      </c>
      <c r="AG37" s="17">
        <f t="shared" ca="1" si="19"/>
        <v>0</v>
      </c>
      <c r="AH37" s="17">
        <f t="shared" ca="1" si="19"/>
        <v>4</v>
      </c>
      <c r="AI37" s="17">
        <f t="shared" ca="1" si="19"/>
        <v>7</v>
      </c>
      <c r="AJ37" s="17">
        <f t="shared" ca="1" si="19"/>
        <v>4</v>
      </c>
      <c r="AK37" s="17">
        <f t="shared" ca="1" si="19"/>
        <v>1</v>
      </c>
      <c r="AL37" s="17">
        <f t="shared" ca="1" si="19"/>
        <v>5</v>
      </c>
      <c r="AM37" s="17">
        <f t="shared" ca="1" si="19"/>
        <v>0</v>
      </c>
      <c r="AN37" s="17">
        <f t="shared" ca="1" si="19"/>
        <v>1</v>
      </c>
      <c r="AO37" s="17">
        <f t="shared" ca="1" si="19"/>
        <v>1</v>
      </c>
      <c r="AP37" s="17">
        <f t="shared" ca="1" si="19"/>
        <v>1</v>
      </c>
      <c r="AQ37" s="17">
        <f t="shared" ca="1" si="20"/>
        <v>1</v>
      </c>
      <c r="AR37" s="17">
        <f t="shared" ca="1" si="20"/>
        <v>1</v>
      </c>
      <c r="AS37" s="17">
        <f t="shared" ca="1" si="20"/>
        <v>1</v>
      </c>
      <c r="AT37" s="17">
        <f t="shared" ca="1" si="20"/>
        <v>1</v>
      </c>
      <c r="AU37" s="17">
        <f t="shared" ca="1" si="20"/>
        <v>1</v>
      </c>
      <c r="AV37" s="17">
        <f t="shared" ca="1" si="20"/>
        <v>1</v>
      </c>
      <c r="AW37" s="17">
        <f t="shared" ca="1" si="20"/>
        <v>1</v>
      </c>
      <c r="AX37" s="17">
        <f t="shared" ca="1" si="20"/>
        <v>0</v>
      </c>
      <c r="AY37" s="17">
        <f t="shared" ca="1" si="20"/>
        <v>1</v>
      </c>
      <c r="AZ37" s="17">
        <f t="shared" ca="1" si="20"/>
        <v>1</v>
      </c>
      <c r="BA37" s="17">
        <f t="shared" ca="1" si="21"/>
        <v>0</v>
      </c>
      <c r="BB37" s="17">
        <f t="shared" ca="1" si="21"/>
        <v>1</v>
      </c>
      <c r="BC37" s="17">
        <f t="shared" ca="1" si="21"/>
        <v>1</v>
      </c>
      <c r="BD37" s="17">
        <f t="shared" ca="1" si="21"/>
        <v>1</v>
      </c>
      <c r="BE37" s="17">
        <f t="shared" ca="1" si="21"/>
        <v>1</v>
      </c>
      <c r="BF37" s="17">
        <f t="shared" ca="1" si="21"/>
        <v>1</v>
      </c>
      <c r="BG37" s="17">
        <f t="shared" ca="1" si="21"/>
        <v>1</v>
      </c>
      <c r="BH37" s="17">
        <f t="shared" ca="1" si="21"/>
        <v>0</v>
      </c>
      <c r="BI37" s="17">
        <f t="shared" ca="1" si="21"/>
        <v>0.02</v>
      </c>
      <c r="BJ37" s="17">
        <f t="shared" ca="1" si="21"/>
        <v>0.15</v>
      </c>
      <c r="BK37" s="17">
        <f t="shared" ca="1" si="21"/>
        <v>6.5000000000000002E-2</v>
      </c>
      <c r="BL37" s="17">
        <f t="shared" ca="1" si="21"/>
        <v>0.01</v>
      </c>
      <c r="CA37" s="283">
        <v>40</v>
      </c>
      <c r="CB37" s="284" t="s">
        <v>1091</v>
      </c>
    </row>
    <row r="38" spans="20:80" ht="22.5" customHeight="1" x14ac:dyDescent="0.3">
      <c r="W38" s="17" t="str">
        <f t="shared" ca="1" si="18"/>
        <v>OGRO</v>
      </c>
      <c r="X38" s="17">
        <f t="shared" ca="1" si="18"/>
        <v>8811</v>
      </c>
      <c r="Y38" s="17">
        <f t="shared" ca="1" si="18"/>
        <v>1</v>
      </c>
      <c r="Z38" s="17">
        <f t="shared" ca="1" si="18"/>
        <v>1</v>
      </c>
      <c r="AA38" s="17">
        <f t="shared" ca="1" si="18"/>
        <v>1</v>
      </c>
      <c r="AB38" s="17">
        <f t="shared" ca="1" si="18"/>
        <v>0</v>
      </c>
      <c r="AC38" s="17">
        <f t="shared" ca="1" si="18"/>
        <v>1</v>
      </c>
      <c r="AD38" s="17">
        <f t="shared" ca="1" si="18"/>
        <v>0</v>
      </c>
      <c r="AE38" s="17">
        <f t="shared" ca="1" si="18"/>
        <v>1</v>
      </c>
      <c r="AF38" s="17">
        <f t="shared" ca="1" si="18"/>
        <v>22</v>
      </c>
      <c r="AG38" s="17">
        <f t="shared" ca="1" si="19"/>
        <v>0</v>
      </c>
      <c r="AH38" s="17">
        <f t="shared" ca="1" si="19"/>
        <v>4</v>
      </c>
      <c r="AI38" s="17">
        <f t="shared" ca="1" si="19"/>
        <v>7</v>
      </c>
      <c r="AJ38" s="17">
        <f t="shared" ca="1" si="19"/>
        <v>4</v>
      </c>
      <c r="AK38" s="17">
        <f t="shared" ca="1" si="19"/>
        <v>1</v>
      </c>
      <c r="AL38" s="17">
        <f t="shared" ca="1" si="19"/>
        <v>5</v>
      </c>
      <c r="AM38" s="17">
        <f t="shared" ca="1" si="19"/>
        <v>0</v>
      </c>
      <c r="AN38" s="17">
        <f t="shared" ca="1" si="19"/>
        <v>1</v>
      </c>
      <c r="AO38" s="17">
        <f t="shared" ca="1" si="19"/>
        <v>1</v>
      </c>
      <c r="AP38" s="17">
        <f t="shared" ca="1" si="19"/>
        <v>1</v>
      </c>
      <c r="AQ38" s="17">
        <f t="shared" ca="1" si="20"/>
        <v>1</v>
      </c>
      <c r="AR38" s="17">
        <f t="shared" ca="1" si="20"/>
        <v>1</v>
      </c>
      <c r="AS38" s="17">
        <f t="shared" ca="1" si="20"/>
        <v>1</v>
      </c>
      <c r="AT38" s="17">
        <f t="shared" ca="1" si="20"/>
        <v>1</v>
      </c>
      <c r="AU38" s="17">
        <f t="shared" ca="1" si="20"/>
        <v>1</v>
      </c>
      <c r="AV38" s="17">
        <f t="shared" ca="1" si="20"/>
        <v>1</v>
      </c>
      <c r="AW38" s="17">
        <f t="shared" ca="1" si="20"/>
        <v>1</v>
      </c>
      <c r="AX38" s="17">
        <f t="shared" ca="1" si="20"/>
        <v>0</v>
      </c>
      <c r="AY38" s="17">
        <f t="shared" ca="1" si="20"/>
        <v>1</v>
      </c>
      <c r="AZ38" s="17">
        <f t="shared" ca="1" si="20"/>
        <v>1</v>
      </c>
      <c r="BA38" s="17">
        <f t="shared" ca="1" si="21"/>
        <v>0</v>
      </c>
      <c r="BB38" s="17">
        <f t="shared" ca="1" si="21"/>
        <v>1</v>
      </c>
      <c r="BC38" s="17">
        <f t="shared" ca="1" si="21"/>
        <v>1</v>
      </c>
      <c r="BD38" s="17">
        <f t="shared" ca="1" si="21"/>
        <v>1</v>
      </c>
      <c r="BE38" s="17">
        <f t="shared" ca="1" si="21"/>
        <v>1</v>
      </c>
      <c r="BF38" s="17">
        <f t="shared" ca="1" si="21"/>
        <v>1</v>
      </c>
      <c r="BG38" s="17">
        <f t="shared" ca="1" si="21"/>
        <v>1</v>
      </c>
      <c r="BH38" s="17">
        <f t="shared" ca="1" si="21"/>
        <v>0</v>
      </c>
      <c r="BI38" s="17">
        <f t="shared" ca="1" si="21"/>
        <v>0.02</v>
      </c>
      <c r="BJ38" s="17">
        <f t="shared" ca="1" si="21"/>
        <v>0.15</v>
      </c>
      <c r="BK38" s="17">
        <f t="shared" ca="1" si="21"/>
        <v>6.5000000000000002E-2</v>
      </c>
      <c r="BL38" s="17">
        <f t="shared" ca="1" si="21"/>
        <v>0.01</v>
      </c>
      <c r="CA38" s="283">
        <v>40</v>
      </c>
      <c r="CB38" s="284" t="s">
        <v>1092</v>
      </c>
    </row>
    <row r="39" spans="20:80" ht="22.5" customHeight="1" x14ac:dyDescent="0.3">
      <c r="W39" s="17" t="str">
        <f t="shared" ca="1" si="18"/>
        <v>OGRO</v>
      </c>
      <c r="X39" s="17">
        <f t="shared" ca="1" si="18"/>
        <v>8815</v>
      </c>
      <c r="Y39" s="17">
        <f t="shared" ca="1" si="18"/>
        <v>1</v>
      </c>
      <c r="Z39" s="17">
        <f t="shared" ca="1" si="18"/>
        <v>1</v>
      </c>
      <c r="AA39" s="17">
        <f t="shared" ca="1" si="18"/>
        <v>0</v>
      </c>
      <c r="AB39" s="17">
        <f t="shared" ca="1" si="18"/>
        <v>0</v>
      </c>
      <c r="AC39" s="17">
        <f t="shared" ca="1" si="18"/>
        <v>1</v>
      </c>
      <c r="AD39" s="17">
        <f t="shared" ca="1" si="18"/>
        <v>0</v>
      </c>
      <c r="AE39" s="17">
        <f t="shared" ca="1" si="18"/>
        <v>1</v>
      </c>
      <c r="AF39" s="17">
        <f t="shared" ca="1" si="18"/>
        <v>23</v>
      </c>
      <c r="AG39" s="17">
        <f t="shared" ca="1" si="19"/>
        <v>0</v>
      </c>
      <c r="AH39" s="17">
        <f t="shared" ca="1" si="19"/>
        <v>4</v>
      </c>
      <c r="AI39" s="17">
        <f t="shared" ca="1" si="19"/>
        <v>7</v>
      </c>
      <c r="AJ39" s="17">
        <f t="shared" ca="1" si="19"/>
        <v>4</v>
      </c>
      <c r="AK39" s="17">
        <f t="shared" ca="1" si="19"/>
        <v>1</v>
      </c>
      <c r="AL39" s="17">
        <f t="shared" ca="1" si="19"/>
        <v>5</v>
      </c>
      <c r="AM39" s="17">
        <f t="shared" ca="1" si="19"/>
        <v>0</v>
      </c>
      <c r="AN39" s="17">
        <f t="shared" ca="1" si="19"/>
        <v>1</v>
      </c>
      <c r="AO39" s="17">
        <f t="shared" ca="1" si="19"/>
        <v>1</v>
      </c>
      <c r="AP39" s="17">
        <f t="shared" ca="1" si="19"/>
        <v>1</v>
      </c>
      <c r="AQ39" s="17">
        <f t="shared" ca="1" si="20"/>
        <v>1</v>
      </c>
      <c r="AR39" s="17">
        <f t="shared" ca="1" si="20"/>
        <v>1</v>
      </c>
      <c r="AS39" s="17">
        <f t="shared" ca="1" si="20"/>
        <v>1</v>
      </c>
      <c r="AT39" s="17">
        <f t="shared" ca="1" si="20"/>
        <v>1</v>
      </c>
      <c r="AU39" s="17">
        <f t="shared" ca="1" si="20"/>
        <v>1</v>
      </c>
      <c r="AV39" s="17">
        <f t="shared" ca="1" si="20"/>
        <v>1</v>
      </c>
      <c r="AW39" s="17">
        <f t="shared" ca="1" si="20"/>
        <v>1</v>
      </c>
      <c r="AX39" s="17">
        <f t="shared" ca="1" si="20"/>
        <v>0</v>
      </c>
      <c r="AY39" s="17">
        <f t="shared" ca="1" si="20"/>
        <v>1</v>
      </c>
      <c r="AZ39" s="17">
        <f t="shared" ca="1" si="20"/>
        <v>1</v>
      </c>
      <c r="BA39" s="17">
        <f t="shared" ca="1" si="21"/>
        <v>0</v>
      </c>
      <c r="BB39" s="17">
        <f t="shared" ca="1" si="21"/>
        <v>1</v>
      </c>
      <c r="BC39" s="17">
        <f t="shared" ca="1" si="21"/>
        <v>1</v>
      </c>
      <c r="BD39" s="17">
        <f t="shared" ca="1" si="21"/>
        <v>1</v>
      </c>
      <c r="BE39" s="17">
        <f t="shared" ca="1" si="21"/>
        <v>1</v>
      </c>
      <c r="BF39" s="17">
        <f t="shared" ca="1" si="21"/>
        <v>1</v>
      </c>
      <c r="BG39" s="17">
        <f t="shared" ca="1" si="21"/>
        <v>1</v>
      </c>
      <c r="BH39" s="17">
        <f t="shared" ca="1" si="21"/>
        <v>0</v>
      </c>
      <c r="BI39" s="17">
        <f t="shared" ca="1" si="21"/>
        <v>0.02</v>
      </c>
      <c r="BJ39" s="17">
        <f t="shared" ca="1" si="21"/>
        <v>0.14499999999999999</v>
      </c>
      <c r="BK39" s="17">
        <f t="shared" ca="1" si="21"/>
        <v>0.06</v>
      </c>
      <c r="BL39" s="17">
        <f t="shared" ca="1" si="21"/>
        <v>0.01</v>
      </c>
      <c r="CA39" s="283">
        <v>40</v>
      </c>
      <c r="CB39" s="284" t="s">
        <v>1093</v>
      </c>
    </row>
    <row r="40" spans="20:80" ht="22.5" customHeight="1" x14ac:dyDescent="0.3">
      <c r="W40" s="17" t="str">
        <f t="shared" ca="1" si="18"/>
        <v>OGRO</v>
      </c>
      <c r="X40" s="17">
        <f t="shared" ca="1" si="18"/>
        <v>8825</v>
      </c>
      <c r="Y40" s="17">
        <f t="shared" ca="1" si="18"/>
        <v>1</v>
      </c>
      <c r="Z40" s="17">
        <f t="shared" ca="1" si="18"/>
        <v>1</v>
      </c>
      <c r="AA40" s="17">
        <f t="shared" ca="1" si="18"/>
        <v>0</v>
      </c>
      <c r="AB40" s="17">
        <f t="shared" ca="1" si="18"/>
        <v>0</v>
      </c>
      <c r="AC40" s="17">
        <f t="shared" ca="1" si="18"/>
        <v>1</v>
      </c>
      <c r="AD40" s="17">
        <f t="shared" ca="1" si="18"/>
        <v>0</v>
      </c>
      <c r="AE40" s="17">
        <f t="shared" ca="1" si="18"/>
        <v>1</v>
      </c>
      <c r="AF40" s="17">
        <f t="shared" ca="1" si="18"/>
        <v>24</v>
      </c>
      <c r="AG40" s="17">
        <f t="shared" ca="1" si="19"/>
        <v>0</v>
      </c>
      <c r="AH40" s="17">
        <f t="shared" ca="1" si="19"/>
        <v>4</v>
      </c>
      <c r="AI40" s="17">
        <f t="shared" ca="1" si="19"/>
        <v>7</v>
      </c>
      <c r="AJ40" s="17">
        <f t="shared" ca="1" si="19"/>
        <v>4</v>
      </c>
      <c r="AK40" s="17">
        <f t="shared" ca="1" si="19"/>
        <v>1</v>
      </c>
      <c r="AL40" s="17">
        <f t="shared" ca="1" si="19"/>
        <v>5</v>
      </c>
      <c r="AM40" s="17">
        <f t="shared" ca="1" si="19"/>
        <v>0</v>
      </c>
      <c r="AN40" s="17">
        <f t="shared" ca="1" si="19"/>
        <v>1</v>
      </c>
      <c r="AO40" s="17">
        <f t="shared" ca="1" si="19"/>
        <v>1</v>
      </c>
      <c r="AP40" s="17">
        <f t="shared" ca="1" si="19"/>
        <v>1</v>
      </c>
      <c r="AQ40" s="17">
        <f t="shared" ca="1" si="20"/>
        <v>1</v>
      </c>
      <c r="AR40" s="17">
        <f t="shared" ca="1" si="20"/>
        <v>1</v>
      </c>
      <c r="AS40" s="17">
        <f t="shared" ca="1" si="20"/>
        <v>1</v>
      </c>
      <c r="AT40" s="17">
        <f t="shared" ca="1" si="20"/>
        <v>1</v>
      </c>
      <c r="AU40" s="17">
        <f t="shared" ca="1" si="20"/>
        <v>1</v>
      </c>
      <c r="AV40" s="17">
        <f t="shared" ca="1" si="20"/>
        <v>1</v>
      </c>
      <c r="AW40" s="17">
        <f t="shared" ca="1" si="20"/>
        <v>1</v>
      </c>
      <c r="AX40" s="17">
        <f t="shared" ca="1" si="20"/>
        <v>0</v>
      </c>
      <c r="AY40" s="17">
        <f t="shared" ca="1" si="20"/>
        <v>1</v>
      </c>
      <c r="AZ40" s="17">
        <f t="shared" ca="1" si="20"/>
        <v>1</v>
      </c>
      <c r="BA40" s="17">
        <f t="shared" ca="1" si="21"/>
        <v>0</v>
      </c>
      <c r="BB40" s="17">
        <f t="shared" ca="1" si="21"/>
        <v>1</v>
      </c>
      <c r="BC40" s="17">
        <f t="shared" ca="1" si="21"/>
        <v>1</v>
      </c>
      <c r="BD40" s="17">
        <f t="shared" ca="1" si="21"/>
        <v>1</v>
      </c>
      <c r="BE40" s="17">
        <f t="shared" ca="1" si="21"/>
        <v>1</v>
      </c>
      <c r="BF40" s="17">
        <f t="shared" ca="1" si="21"/>
        <v>1</v>
      </c>
      <c r="BG40" s="17">
        <f t="shared" ca="1" si="21"/>
        <v>1</v>
      </c>
      <c r="BH40" s="17">
        <f t="shared" ca="1" si="21"/>
        <v>0</v>
      </c>
      <c r="BI40" s="17">
        <f t="shared" ca="1" si="21"/>
        <v>4.8800000000000003E-2</v>
      </c>
      <c r="BJ40" s="17">
        <f t="shared" ca="1" si="21"/>
        <v>0.14699999999999999</v>
      </c>
      <c r="BK40" s="17">
        <f t="shared" ca="1" si="21"/>
        <v>0.06</v>
      </c>
      <c r="BL40" s="17">
        <f t="shared" ca="1" si="21"/>
        <v>2.4400000000000002E-2</v>
      </c>
      <c r="CA40" s="283">
        <v>40</v>
      </c>
      <c r="CB40" s="284" t="s">
        <v>1094</v>
      </c>
    </row>
    <row r="41" spans="20:80" ht="22.5" customHeight="1" x14ac:dyDescent="0.3">
      <c r="T41" s="14"/>
      <c r="W41" s="17" t="str">
        <f t="shared" ca="1" si="18"/>
        <v>OGRO</v>
      </c>
      <c r="X41" s="17">
        <f t="shared" ca="1" si="18"/>
        <v>8826</v>
      </c>
      <c r="Y41" s="17">
        <f t="shared" ca="1" si="18"/>
        <v>1</v>
      </c>
      <c r="Z41" s="17">
        <f t="shared" ca="1" si="18"/>
        <v>1</v>
      </c>
      <c r="AA41" s="17">
        <f t="shared" ca="1" si="18"/>
        <v>0</v>
      </c>
      <c r="AB41" s="17">
        <f t="shared" ca="1" si="18"/>
        <v>0</v>
      </c>
      <c r="AC41" s="17">
        <f t="shared" ca="1" si="18"/>
        <v>1</v>
      </c>
      <c r="AD41" s="17">
        <f t="shared" ca="1" si="18"/>
        <v>0</v>
      </c>
      <c r="AE41" s="17">
        <f t="shared" ca="1" si="18"/>
        <v>1</v>
      </c>
      <c r="AF41" s="17">
        <f t="shared" ca="1" si="18"/>
        <v>25</v>
      </c>
      <c r="AG41" s="17">
        <f t="shared" ca="1" si="19"/>
        <v>0</v>
      </c>
      <c r="AH41" s="17">
        <f t="shared" ca="1" si="19"/>
        <v>4</v>
      </c>
      <c r="AI41" s="17">
        <f t="shared" ca="1" si="19"/>
        <v>7</v>
      </c>
      <c r="AJ41" s="17">
        <f t="shared" ca="1" si="19"/>
        <v>3</v>
      </c>
      <c r="AK41" s="17">
        <f t="shared" ca="1" si="19"/>
        <v>1</v>
      </c>
      <c r="AL41" s="17">
        <f t="shared" ca="1" si="19"/>
        <v>5</v>
      </c>
      <c r="AM41" s="17">
        <f t="shared" ca="1" si="19"/>
        <v>0</v>
      </c>
      <c r="AN41" s="17">
        <f t="shared" ca="1" si="19"/>
        <v>1</v>
      </c>
      <c r="AO41" s="17">
        <f t="shared" ca="1" si="19"/>
        <v>1</v>
      </c>
      <c r="AP41" s="17">
        <f t="shared" ca="1" si="19"/>
        <v>1</v>
      </c>
      <c r="AQ41" s="17">
        <f t="shared" ca="1" si="20"/>
        <v>0</v>
      </c>
      <c r="AR41" s="17">
        <f t="shared" ca="1" si="20"/>
        <v>1</v>
      </c>
      <c r="AS41" s="17">
        <f t="shared" ca="1" si="20"/>
        <v>1</v>
      </c>
      <c r="AT41" s="17">
        <f t="shared" ca="1" si="20"/>
        <v>1</v>
      </c>
      <c r="AU41" s="17">
        <f t="shared" ca="1" si="20"/>
        <v>1</v>
      </c>
      <c r="AV41" s="17">
        <f t="shared" ca="1" si="20"/>
        <v>1</v>
      </c>
      <c r="AW41" s="17">
        <f t="shared" ca="1" si="20"/>
        <v>1</v>
      </c>
      <c r="AX41" s="17">
        <f t="shared" ca="1" si="20"/>
        <v>0</v>
      </c>
      <c r="AY41" s="17">
        <f t="shared" ca="1" si="20"/>
        <v>1</v>
      </c>
      <c r="AZ41" s="17">
        <f t="shared" ca="1" si="20"/>
        <v>1</v>
      </c>
      <c r="BA41" s="17">
        <f t="shared" ca="1" si="21"/>
        <v>0</v>
      </c>
      <c r="BB41" s="17">
        <f t="shared" ca="1" si="21"/>
        <v>1</v>
      </c>
      <c r="BC41" s="17">
        <f t="shared" ca="1" si="21"/>
        <v>1</v>
      </c>
      <c r="BD41" s="17">
        <f t="shared" ca="1" si="21"/>
        <v>1</v>
      </c>
      <c r="BE41" s="17">
        <f t="shared" ca="1" si="21"/>
        <v>1</v>
      </c>
      <c r="BF41" s="17">
        <f t="shared" ca="1" si="21"/>
        <v>1</v>
      </c>
      <c r="BG41" s="17">
        <f t="shared" ca="1" si="21"/>
        <v>1</v>
      </c>
      <c r="BH41" s="17">
        <f t="shared" ca="1" si="21"/>
        <v>0</v>
      </c>
      <c r="BI41" s="17">
        <f t="shared" ca="1" si="21"/>
        <v>4.8800000000000003E-2</v>
      </c>
      <c r="BJ41" s="17">
        <f t="shared" ca="1" si="21"/>
        <v>0.14699999999999999</v>
      </c>
      <c r="BK41" s="17">
        <f t="shared" ca="1" si="21"/>
        <v>0.06</v>
      </c>
      <c r="BL41" s="17">
        <f t="shared" ca="1" si="21"/>
        <v>2.4E-2</v>
      </c>
    </row>
    <row r="42" spans="20:80" ht="22.5" customHeight="1" x14ac:dyDescent="0.3">
      <c r="W42" s="17" t="str">
        <f t="shared" ca="1" si="18"/>
        <v>OGRO by ARCHITECTS</v>
      </c>
      <c r="X42" s="17" t="str">
        <f t="shared" ca="1" si="18"/>
        <v>8830 Sieger</v>
      </c>
      <c r="Y42" s="17">
        <f t="shared" ca="1" si="18"/>
        <v>1</v>
      </c>
      <c r="Z42" s="17">
        <f t="shared" ca="1" si="18"/>
        <v>1</v>
      </c>
      <c r="AA42" s="17">
        <f t="shared" ca="1" si="18"/>
        <v>1</v>
      </c>
      <c r="AB42" s="17">
        <f t="shared" ca="1" si="18"/>
        <v>0</v>
      </c>
      <c r="AC42" s="17">
        <f t="shared" ca="1" si="18"/>
        <v>1</v>
      </c>
      <c r="AD42" s="17">
        <f t="shared" ca="1" si="18"/>
        <v>0</v>
      </c>
      <c r="AE42" s="17">
        <f t="shared" ca="1" si="18"/>
        <v>1</v>
      </c>
      <c r="AF42" s="17">
        <f t="shared" ca="1" si="18"/>
        <v>26</v>
      </c>
      <c r="AG42" s="17">
        <f t="shared" ca="1" si="19"/>
        <v>75</v>
      </c>
      <c r="AH42" s="17">
        <f t="shared" ca="1" si="19"/>
        <v>4</v>
      </c>
      <c r="AI42" s="17">
        <f t="shared" ca="1" si="19"/>
        <v>7</v>
      </c>
      <c r="AJ42" s="17">
        <f t="shared" ca="1" si="19"/>
        <v>4</v>
      </c>
      <c r="AK42" s="17">
        <f t="shared" ca="1" si="19"/>
        <v>1</v>
      </c>
      <c r="AL42" s="17">
        <f t="shared" ca="1" si="19"/>
        <v>5</v>
      </c>
      <c r="AM42" s="17">
        <f t="shared" ca="1" si="19"/>
        <v>0</v>
      </c>
      <c r="AN42" s="17">
        <f t="shared" ca="1" si="19"/>
        <v>1</v>
      </c>
      <c r="AO42" s="17">
        <f t="shared" ca="1" si="19"/>
        <v>1</v>
      </c>
      <c r="AP42" s="17">
        <f t="shared" ca="1" si="19"/>
        <v>1</v>
      </c>
      <c r="AQ42" s="17">
        <f t="shared" ca="1" si="20"/>
        <v>1</v>
      </c>
      <c r="AR42" s="17">
        <f t="shared" ca="1" si="20"/>
        <v>1</v>
      </c>
      <c r="AS42" s="17">
        <f t="shared" ca="1" si="20"/>
        <v>1</v>
      </c>
      <c r="AT42" s="17">
        <f t="shared" ca="1" si="20"/>
        <v>1</v>
      </c>
      <c r="AU42" s="17">
        <f t="shared" ca="1" si="20"/>
        <v>1</v>
      </c>
      <c r="AV42" s="17">
        <f t="shared" ca="1" si="20"/>
        <v>1</v>
      </c>
      <c r="AW42" s="17">
        <f t="shared" ca="1" si="20"/>
        <v>1</v>
      </c>
      <c r="AX42" s="17">
        <f t="shared" ca="1" si="20"/>
        <v>0</v>
      </c>
      <c r="AY42" s="17">
        <f t="shared" ca="1" si="20"/>
        <v>1</v>
      </c>
      <c r="AZ42" s="17">
        <f t="shared" ca="1" si="20"/>
        <v>1</v>
      </c>
      <c r="BA42" s="17">
        <f t="shared" ca="1" si="21"/>
        <v>0</v>
      </c>
      <c r="BB42" s="17">
        <f t="shared" ca="1" si="21"/>
        <v>1</v>
      </c>
      <c r="BC42" s="17">
        <f t="shared" ca="1" si="21"/>
        <v>1</v>
      </c>
      <c r="BD42" s="17">
        <f t="shared" ca="1" si="21"/>
        <v>1</v>
      </c>
      <c r="BE42" s="17">
        <f t="shared" ca="1" si="21"/>
        <v>1</v>
      </c>
      <c r="BF42" s="17">
        <f t="shared" ca="1" si="21"/>
        <v>1</v>
      </c>
      <c r="BG42" s="17">
        <f t="shared" ca="1" si="21"/>
        <v>1</v>
      </c>
      <c r="BH42" s="17">
        <f t="shared" ca="1" si="21"/>
        <v>0</v>
      </c>
      <c r="BI42" s="17">
        <f t="shared" ca="1" si="21"/>
        <v>2.35E-2</v>
      </c>
      <c r="BJ42" s="17">
        <f t="shared" ca="1" si="21"/>
        <v>0.13600000000000001</v>
      </c>
      <c r="BK42" s="17">
        <f t="shared" ca="1" si="21"/>
        <v>6.9000000000000006E-2</v>
      </c>
      <c r="BL42" s="17">
        <f t="shared" ca="1" si="21"/>
        <v>1.175E-2</v>
      </c>
    </row>
    <row r="43" spans="20:80" ht="22.5" customHeight="1" x14ac:dyDescent="0.3">
      <c r="W43" s="17" t="str">
        <f t="shared" ca="1" si="18"/>
        <v>OGRO by ARCHITECTS</v>
      </c>
      <c r="X43" s="17" t="str">
        <f t="shared" ca="1" si="18"/>
        <v>8830A Sieger</v>
      </c>
      <c r="Y43" s="17">
        <f t="shared" ca="1" si="18"/>
        <v>1</v>
      </c>
      <c r="Z43" s="17">
        <f t="shared" ca="1" si="18"/>
        <v>1</v>
      </c>
      <c r="AA43" s="17">
        <f t="shared" ca="1" si="18"/>
        <v>1</v>
      </c>
      <c r="AB43" s="17">
        <f t="shared" ca="1" si="18"/>
        <v>0</v>
      </c>
      <c r="AC43" s="17">
        <f t="shared" ca="1" si="18"/>
        <v>1</v>
      </c>
      <c r="AD43" s="17">
        <f t="shared" ca="1" si="18"/>
        <v>1</v>
      </c>
      <c r="AE43" s="17">
        <f t="shared" ca="1" si="18"/>
        <v>1</v>
      </c>
      <c r="AF43" s="17">
        <f t="shared" ca="1" si="18"/>
        <v>0</v>
      </c>
      <c r="AG43" s="17">
        <f t="shared" ca="1" si="19"/>
        <v>76</v>
      </c>
      <c r="AH43" s="17">
        <f t="shared" ca="1" si="19"/>
        <v>4</v>
      </c>
      <c r="AI43" s="17">
        <f t="shared" ca="1" si="19"/>
        <v>7</v>
      </c>
      <c r="AJ43" s="17">
        <f t="shared" ca="1" si="19"/>
        <v>3</v>
      </c>
      <c r="AK43" s="17">
        <f t="shared" ca="1" si="19"/>
        <v>1</v>
      </c>
      <c r="AL43" s="17">
        <f t="shared" ca="1" si="19"/>
        <v>5</v>
      </c>
      <c r="AM43" s="17">
        <f t="shared" ca="1" si="19"/>
        <v>0</v>
      </c>
      <c r="AN43" s="17">
        <f t="shared" ca="1" si="19"/>
        <v>1</v>
      </c>
      <c r="AO43" s="17">
        <f t="shared" ca="1" si="19"/>
        <v>1</v>
      </c>
      <c r="AP43" s="17">
        <f t="shared" ca="1" si="19"/>
        <v>1</v>
      </c>
      <c r="AQ43" s="17">
        <f t="shared" ca="1" si="20"/>
        <v>0</v>
      </c>
      <c r="AR43" s="17">
        <f t="shared" ca="1" si="20"/>
        <v>0</v>
      </c>
      <c r="AS43" s="17">
        <f t="shared" ca="1" si="20"/>
        <v>0</v>
      </c>
      <c r="AT43" s="17">
        <f t="shared" ca="1" si="20"/>
        <v>0</v>
      </c>
      <c r="AU43" s="17">
        <f t="shared" ca="1" si="20"/>
        <v>0</v>
      </c>
      <c r="AV43" s="17">
        <f t="shared" ca="1" si="20"/>
        <v>0</v>
      </c>
      <c r="AW43" s="17">
        <f t="shared" ca="1" si="20"/>
        <v>0</v>
      </c>
      <c r="AX43" s="17">
        <f t="shared" ca="1" si="20"/>
        <v>0</v>
      </c>
      <c r="AY43" s="17">
        <f t="shared" ca="1" si="20"/>
        <v>1</v>
      </c>
      <c r="AZ43" s="17">
        <f t="shared" ca="1" si="20"/>
        <v>1</v>
      </c>
      <c r="BA43" s="17">
        <f t="shared" ca="1" si="21"/>
        <v>0</v>
      </c>
      <c r="BB43" s="17">
        <f t="shared" ca="1" si="21"/>
        <v>1</v>
      </c>
      <c r="BC43" s="17">
        <f t="shared" ca="1" si="21"/>
        <v>1</v>
      </c>
      <c r="BD43" s="17">
        <f t="shared" ca="1" si="21"/>
        <v>1</v>
      </c>
      <c r="BE43" s="17">
        <f t="shared" ca="1" si="21"/>
        <v>1</v>
      </c>
      <c r="BF43" s="17">
        <f t="shared" ca="1" si="21"/>
        <v>1</v>
      </c>
      <c r="BG43" s="17">
        <f t="shared" ca="1" si="21"/>
        <v>0</v>
      </c>
      <c r="BH43" s="17">
        <f t="shared" ca="1" si="21"/>
        <v>0</v>
      </c>
      <c r="BI43" s="17">
        <f t="shared" ca="1" si="21"/>
        <v>2.35E-2</v>
      </c>
      <c r="BJ43" s="17">
        <f t="shared" ca="1" si="21"/>
        <v>0.156</v>
      </c>
      <c r="BK43" s="17">
        <f t="shared" ca="1" si="21"/>
        <v>8.5999999999999993E-2</v>
      </c>
      <c r="BL43" s="17">
        <f t="shared" ca="1" si="21"/>
        <v>1.175E-2</v>
      </c>
    </row>
    <row r="44" spans="20:80" ht="22.5" customHeight="1" x14ac:dyDescent="0.3">
      <c r="W44" s="17" t="str">
        <f t="shared" ca="1" si="18"/>
        <v>OGRO</v>
      </c>
      <c r="X44" s="17">
        <f t="shared" ca="1" si="18"/>
        <v>8860</v>
      </c>
      <c r="Y44" s="17">
        <f t="shared" ca="1" si="18"/>
        <v>0</v>
      </c>
      <c r="Z44" s="17">
        <f t="shared" ca="1" si="18"/>
        <v>0</v>
      </c>
      <c r="AA44" s="17">
        <f t="shared" ca="1" si="18"/>
        <v>0</v>
      </c>
      <c r="AB44" s="17">
        <f t="shared" ca="1" si="18"/>
        <v>0</v>
      </c>
      <c r="AC44" s="17">
        <f t="shared" ca="1" si="18"/>
        <v>1</v>
      </c>
      <c r="AD44" s="17">
        <f t="shared" ca="1" si="18"/>
        <v>0</v>
      </c>
      <c r="AE44" s="17">
        <f t="shared" ca="1" si="18"/>
        <v>1</v>
      </c>
      <c r="AF44" s="17">
        <f t="shared" ca="1" si="18"/>
        <v>27</v>
      </c>
      <c r="AG44" s="17">
        <f t="shared" ca="1" si="19"/>
        <v>0</v>
      </c>
      <c r="AH44" s="17">
        <f t="shared" ca="1" si="19"/>
        <v>4</v>
      </c>
      <c r="AI44" s="17">
        <f t="shared" ca="1" si="19"/>
        <v>7</v>
      </c>
      <c r="AJ44" s="17">
        <f t="shared" ca="1" si="19"/>
        <v>0</v>
      </c>
      <c r="AK44" s="17">
        <f t="shared" ca="1" si="19"/>
        <v>1</v>
      </c>
      <c r="AL44" s="17">
        <f t="shared" ca="1" si="19"/>
        <v>5</v>
      </c>
      <c r="AM44" s="17">
        <f t="shared" ca="1" si="19"/>
        <v>0</v>
      </c>
      <c r="AN44" s="17">
        <f t="shared" ca="1" si="19"/>
        <v>0</v>
      </c>
      <c r="AO44" s="17">
        <f t="shared" ca="1" si="19"/>
        <v>0</v>
      </c>
      <c r="AP44" s="17">
        <f t="shared" ca="1" si="19"/>
        <v>0</v>
      </c>
      <c r="AQ44" s="17">
        <f t="shared" ca="1" si="20"/>
        <v>1</v>
      </c>
      <c r="AR44" s="17">
        <f t="shared" ca="1" si="20"/>
        <v>1</v>
      </c>
      <c r="AS44" s="17">
        <f t="shared" ca="1" si="20"/>
        <v>1</v>
      </c>
      <c r="AT44" s="17">
        <f t="shared" ca="1" si="20"/>
        <v>1</v>
      </c>
      <c r="AU44" s="17">
        <f t="shared" ca="1" si="20"/>
        <v>1</v>
      </c>
      <c r="AV44" s="17">
        <f t="shared" ca="1" si="20"/>
        <v>1</v>
      </c>
      <c r="AW44" s="17">
        <f t="shared" ca="1" si="20"/>
        <v>1</v>
      </c>
      <c r="AX44" s="17">
        <f t="shared" ca="1" si="20"/>
        <v>0</v>
      </c>
      <c r="AY44" s="17">
        <f t="shared" ca="1" si="20"/>
        <v>1</v>
      </c>
      <c r="AZ44" s="17">
        <f t="shared" ca="1" si="20"/>
        <v>1</v>
      </c>
      <c r="BA44" s="17">
        <f t="shared" ca="1" si="21"/>
        <v>0</v>
      </c>
      <c r="BB44" s="17">
        <f t="shared" ca="1" si="21"/>
        <v>1</v>
      </c>
      <c r="BC44" s="17">
        <f t="shared" ca="1" si="21"/>
        <v>1</v>
      </c>
      <c r="BD44" s="17">
        <f t="shared" ca="1" si="21"/>
        <v>1</v>
      </c>
      <c r="BE44" s="17">
        <f t="shared" ca="1" si="21"/>
        <v>1</v>
      </c>
      <c r="BF44" s="17">
        <f t="shared" ca="1" si="21"/>
        <v>1</v>
      </c>
      <c r="BG44" s="17">
        <f t="shared" ca="1" si="21"/>
        <v>1</v>
      </c>
      <c r="BH44" s="17">
        <f t="shared" ca="1" si="21"/>
        <v>0</v>
      </c>
      <c r="BI44" s="17">
        <f t="shared" ca="1" si="21"/>
        <v>2.35E-2</v>
      </c>
      <c r="BJ44" s="17">
        <f t="shared" ca="1" si="21"/>
        <v>0.125</v>
      </c>
      <c r="BK44" s="17">
        <f t="shared" ca="1" si="21"/>
        <v>6.0999999999999999E-2</v>
      </c>
      <c r="BL44" s="17">
        <f t="shared" ca="1" si="21"/>
        <v>1.175E-2</v>
      </c>
    </row>
    <row r="45" spans="20:80" ht="22.5" customHeight="1" x14ac:dyDescent="0.3">
      <c r="W45" s="17" t="str">
        <f t="shared" ca="1" si="18"/>
        <v>OGRO</v>
      </c>
      <c r="X45" s="17">
        <f t="shared" ca="1" si="18"/>
        <v>8870</v>
      </c>
      <c r="Y45" s="17">
        <f t="shared" ca="1" si="18"/>
        <v>1</v>
      </c>
      <c r="Z45" s="17">
        <f t="shared" ca="1" si="18"/>
        <v>1</v>
      </c>
      <c r="AA45" s="17">
        <f t="shared" ca="1" si="18"/>
        <v>0</v>
      </c>
      <c r="AB45" s="17">
        <f t="shared" ca="1" si="18"/>
        <v>0</v>
      </c>
      <c r="AC45" s="17">
        <f t="shared" ca="1" si="18"/>
        <v>1</v>
      </c>
      <c r="AD45" s="17">
        <f t="shared" ca="1" si="18"/>
        <v>0</v>
      </c>
      <c r="AE45" s="17">
        <f t="shared" ca="1" si="18"/>
        <v>1</v>
      </c>
      <c r="AF45" s="17">
        <f t="shared" ca="1" si="18"/>
        <v>28</v>
      </c>
      <c r="AG45" s="17">
        <f t="shared" ca="1" si="19"/>
        <v>0</v>
      </c>
      <c r="AH45" s="17">
        <f t="shared" ca="1" si="19"/>
        <v>4</v>
      </c>
      <c r="AI45" s="17">
        <f t="shared" ca="1" si="19"/>
        <v>7</v>
      </c>
      <c r="AJ45" s="17">
        <f t="shared" ca="1" si="19"/>
        <v>3</v>
      </c>
      <c r="AK45" s="17">
        <f t="shared" ca="1" si="19"/>
        <v>1</v>
      </c>
      <c r="AL45" s="17">
        <f t="shared" ca="1" si="19"/>
        <v>5</v>
      </c>
      <c r="AM45" s="17">
        <f t="shared" ca="1" si="19"/>
        <v>0</v>
      </c>
      <c r="AN45" s="17">
        <f t="shared" ca="1" si="19"/>
        <v>1</v>
      </c>
      <c r="AO45" s="17">
        <f t="shared" ca="1" si="19"/>
        <v>1</v>
      </c>
      <c r="AP45" s="17">
        <f t="shared" ca="1" si="19"/>
        <v>1</v>
      </c>
      <c r="AQ45" s="17">
        <f t="shared" ca="1" si="20"/>
        <v>0</v>
      </c>
      <c r="AR45" s="17">
        <f t="shared" ca="1" si="20"/>
        <v>1</v>
      </c>
      <c r="AS45" s="17">
        <f t="shared" ca="1" si="20"/>
        <v>1</v>
      </c>
      <c r="AT45" s="17">
        <f t="shared" ca="1" si="20"/>
        <v>1</v>
      </c>
      <c r="AU45" s="17">
        <f t="shared" ca="1" si="20"/>
        <v>1</v>
      </c>
      <c r="AV45" s="17">
        <f t="shared" ca="1" si="20"/>
        <v>1</v>
      </c>
      <c r="AW45" s="17">
        <f t="shared" ca="1" si="20"/>
        <v>1</v>
      </c>
      <c r="AX45" s="17">
        <f t="shared" ca="1" si="20"/>
        <v>0</v>
      </c>
      <c r="AY45" s="17">
        <f t="shared" ca="1" si="20"/>
        <v>1</v>
      </c>
      <c r="AZ45" s="17">
        <f t="shared" ca="1" si="20"/>
        <v>1</v>
      </c>
      <c r="BA45" s="17">
        <f t="shared" ca="1" si="21"/>
        <v>0</v>
      </c>
      <c r="BB45" s="17">
        <f t="shared" ca="1" si="21"/>
        <v>1</v>
      </c>
      <c r="BC45" s="17">
        <f t="shared" ca="1" si="21"/>
        <v>1</v>
      </c>
      <c r="BD45" s="17">
        <f t="shared" ca="1" si="21"/>
        <v>1</v>
      </c>
      <c r="BE45" s="17">
        <f t="shared" ca="1" si="21"/>
        <v>1</v>
      </c>
      <c r="BF45" s="17">
        <f t="shared" ca="1" si="21"/>
        <v>1</v>
      </c>
      <c r="BG45" s="17">
        <f t="shared" ca="1" si="21"/>
        <v>1</v>
      </c>
      <c r="BH45" s="17">
        <f t="shared" ca="1" si="21"/>
        <v>0</v>
      </c>
      <c r="BI45" s="17">
        <f t="shared" ca="1" si="21"/>
        <v>3.3000000000000002E-2</v>
      </c>
      <c r="BJ45" s="17">
        <f t="shared" ca="1" si="21"/>
        <v>0.13</v>
      </c>
      <c r="BK45" s="17">
        <f t="shared" ca="1" si="21"/>
        <v>5.5E-2</v>
      </c>
      <c r="BL45" s="17">
        <f t="shared" ca="1" si="21"/>
        <v>1.6500000000000001E-2</v>
      </c>
    </row>
    <row r="46" spans="20:80" ht="22.5" customHeight="1" x14ac:dyDescent="0.3">
      <c r="W46" s="17" t="str">
        <f t="shared" ref="W46:AF55" ca="1" si="22">IFERROR(INDEX( PRODUKTE,   ROW()-ROW($A$5)+INDEX(prodRowOffset,W$3),  MATCH(W$2,OFFSET(INDEXNAMEN,W$3,0),0)),"")</f>
        <v>OGRO</v>
      </c>
      <c r="X46" s="17">
        <f t="shared" ca="1" si="22"/>
        <v>8871</v>
      </c>
      <c r="Y46" s="17">
        <f t="shared" ca="1" si="22"/>
        <v>1</v>
      </c>
      <c r="Z46" s="17">
        <f t="shared" ca="1" si="22"/>
        <v>1</v>
      </c>
      <c r="AA46" s="17">
        <f t="shared" ca="1" si="22"/>
        <v>1</v>
      </c>
      <c r="AB46" s="17">
        <f t="shared" ca="1" si="22"/>
        <v>0</v>
      </c>
      <c r="AC46" s="17">
        <f t="shared" ca="1" si="22"/>
        <v>1</v>
      </c>
      <c r="AD46" s="17">
        <f t="shared" ca="1" si="22"/>
        <v>0</v>
      </c>
      <c r="AE46" s="17">
        <f t="shared" ca="1" si="22"/>
        <v>1</v>
      </c>
      <c r="AF46" s="17">
        <f t="shared" ca="1" si="22"/>
        <v>29</v>
      </c>
      <c r="AG46" s="17">
        <f t="shared" ref="AG46:AP55" ca="1" si="23">IFERROR(INDEX( PRODUKTE,   ROW()-ROW($A$5)+INDEX(prodRowOffset,AG$3),  MATCH(AG$2,OFFSET(INDEXNAMEN,AG$3,0),0)),"")</f>
        <v>0</v>
      </c>
      <c r="AH46" s="17">
        <f t="shared" ca="1" si="23"/>
        <v>4</v>
      </c>
      <c r="AI46" s="17">
        <f t="shared" ca="1" si="23"/>
        <v>7</v>
      </c>
      <c r="AJ46" s="17">
        <f t="shared" ca="1" si="23"/>
        <v>3</v>
      </c>
      <c r="AK46" s="17">
        <f t="shared" ca="1" si="23"/>
        <v>1</v>
      </c>
      <c r="AL46" s="17">
        <f t="shared" ca="1" si="23"/>
        <v>5</v>
      </c>
      <c r="AM46" s="17">
        <f t="shared" ca="1" si="23"/>
        <v>1</v>
      </c>
      <c r="AN46" s="17">
        <f t="shared" ca="1" si="23"/>
        <v>1</v>
      </c>
      <c r="AO46" s="17">
        <f t="shared" ca="1" si="23"/>
        <v>1</v>
      </c>
      <c r="AP46" s="17">
        <f t="shared" ca="1" si="23"/>
        <v>1</v>
      </c>
      <c r="AQ46" s="17">
        <f t="shared" ref="AQ46:AZ55" ca="1" si="24">IFERROR(INDEX( PRODUKTE,   ROW()-ROW($A$5)+INDEX(prodRowOffset,AQ$3),  MATCH(AQ$2,OFFSET(INDEXNAMEN,AQ$3,0),0)),"")</f>
        <v>0</v>
      </c>
      <c r="AR46" s="17">
        <f t="shared" ca="1" si="24"/>
        <v>1</v>
      </c>
      <c r="AS46" s="17">
        <f t="shared" ca="1" si="24"/>
        <v>1</v>
      </c>
      <c r="AT46" s="17">
        <f t="shared" ca="1" si="24"/>
        <v>1</v>
      </c>
      <c r="AU46" s="17">
        <f t="shared" ca="1" si="24"/>
        <v>1</v>
      </c>
      <c r="AV46" s="17">
        <f t="shared" ca="1" si="24"/>
        <v>1</v>
      </c>
      <c r="AW46" s="17">
        <f t="shared" ca="1" si="24"/>
        <v>1</v>
      </c>
      <c r="AX46" s="17">
        <f t="shared" ca="1" si="24"/>
        <v>0</v>
      </c>
      <c r="AY46" s="17">
        <f t="shared" ca="1" si="24"/>
        <v>1</v>
      </c>
      <c r="AZ46" s="17">
        <f t="shared" ca="1" si="24"/>
        <v>1</v>
      </c>
      <c r="BA46" s="17">
        <f t="shared" ref="BA46:BL55" ca="1" si="25">IFERROR(INDEX( PRODUKTE,   ROW()-ROW($A$5)+INDEX(prodRowOffset,BA$3),  MATCH(BA$2,OFFSET(INDEXNAMEN,BA$3,0),0)),"")</f>
        <v>0</v>
      </c>
      <c r="BB46" s="17">
        <f t="shared" ca="1" si="25"/>
        <v>1</v>
      </c>
      <c r="BC46" s="17">
        <f t="shared" ca="1" si="25"/>
        <v>1</v>
      </c>
      <c r="BD46" s="17">
        <f t="shared" ca="1" si="25"/>
        <v>1</v>
      </c>
      <c r="BE46" s="17">
        <f t="shared" ca="1" si="25"/>
        <v>1</v>
      </c>
      <c r="BF46" s="17">
        <f t="shared" ca="1" si="25"/>
        <v>1</v>
      </c>
      <c r="BG46" s="17">
        <f t="shared" ca="1" si="25"/>
        <v>1</v>
      </c>
      <c r="BH46" s="17">
        <f t="shared" ca="1" si="25"/>
        <v>0</v>
      </c>
      <c r="BI46" s="17">
        <f t="shared" ca="1" si="25"/>
        <v>0.02</v>
      </c>
      <c r="BJ46" s="17">
        <f t="shared" ca="1" si="25"/>
        <v>0.14000000000000001</v>
      </c>
      <c r="BK46" s="17">
        <f t="shared" ca="1" si="25"/>
        <v>5.5E-2</v>
      </c>
      <c r="BL46" s="17">
        <f t="shared" ca="1" si="25"/>
        <v>1.6500000000000001E-2</v>
      </c>
    </row>
    <row r="47" spans="20:80" ht="22.5" customHeight="1" x14ac:dyDescent="0.3">
      <c r="W47" s="17" t="str">
        <f t="shared" ca="1" si="22"/>
        <v>OGRO</v>
      </c>
      <c r="X47" s="17" t="str">
        <f t="shared" ca="1" si="22"/>
        <v>8871V</v>
      </c>
      <c r="Y47" s="17">
        <f t="shared" ca="1" si="22"/>
        <v>1</v>
      </c>
      <c r="Z47" s="17">
        <f t="shared" ca="1" si="22"/>
        <v>1</v>
      </c>
      <c r="AA47" s="17">
        <f t="shared" ca="1" si="22"/>
        <v>1</v>
      </c>
      <c r="AB47" s="17">
        <f t="shared" ca="1" si="22"/>
        <v>0</v>
      </c>
      <c r="AC47" s="17">
        <f t="shared" ca="1" si="22"/>
        <v>1</v>
      </c>
      <c r="AD47" s="17">
        <f t="shared" ca="1" si="22"/>
        <v>1</v>
      </c>
      <c r="AE47" s="17">
        <f t="shared" ca="1" si="22"/>
        <v>1</v>
      </c>
      <c r="AF47" s="17">
        <f t="shared" ca="1" si="22"/>
        <v>0</v>
      </c>
      <c r="AG47" s="17">
        <f t="shared" ca="1" si="23"/>
        <v>77</v>
      </c>
      <c r="AH47" s="17">
        <f t="shared" ca="1" si="23"/>
        <v>4</v>
      </c>
      <c r="AI47" s="17">
        <f t="shared" ca="1" si="23"/>
        <v>7</v>
      </c>
      <c r="AJ47" s="17">
        <f t="shared" ca="1" si="23"/>
        <v>3</v>
      </c>
      <c r="AK47" s="17">
        <f t="shared" ca="1" si="23"/>
        <v>1</v>
      </c>
      <c r="AL47" s="17">
        <f t="shared" ca="1" si="23"/>
        <v>5</v>
      </c>
      <c r="AM47" s="17">
        <f t="shared" ca="1" si="23"/>
        <v>1</v>
      </c>
      <c r="AN47" s="17">
        <f t="shared" ca="1" si="23"/>
        <v>1</v>
      </c>
      <c r="AO47" s="17">
        <f t="shared" ca="1" si="23"/>
        <v>1</v>
      </c>
      <c r="AP47" s="17">
        <f t="shared" ca="1" si="23"/>
        <v>1</v>
      </c>
      <c r="AQ47" s="17">
        <f t="shared" ca="1" si="24"/>
        <v>0</v>
      </c>
      <c r="AR47" s="17">
        <f t="shared" ca="1" si="24"/>
        <v>0</v>
      </c>
      <c r="AS47" s="17">
        <f t="shared" ca="1" si="24"/>
        <v>0</v>
      </c>
      <c r="AT47" s="17">
        <f t="shared" ca="1" si="24"/>
        <v>0</v>
      </c>
      <c r="AU47" s="17">
        <f t="shared" ca="1" si="24"/>
        <v>0</v>
      </c>
      <c r="AV47" s="17">
        <f t="shared" ca="1" si="24"/>
        <v>0</v>
      </c>
      <c r="AW47" s="17">
        <f t="shared" ca="1" si="24"/>
        <v>0</v>
      </c>
      <c r="AX47" s="17">
        <f t="shared" ca="1" si="24"/>
        <v>0</v>
      </c>
      <c r="AY47" s="17">
        <f t="shared" ca="1" si="24"/>
        <v>1</v>
      </c>
      <c r="AZ47" s="17">
        <f t="shared" ca="1" si="24"/>
        <v>1</v>
      </c>
      <c r="BA47" s="17">
        <f t="shared" ca="1" si="25"/>
        <v>0</v>
      </c>
      <c r="BB47" s="17">
        <f t="shared" ca="1" si="25"/>
        <v>1</v>
      </c>
      <c r="BC47" s="17">
        <f t="shared" ca="1" si="25"/>
        <v>1</v>
      </c>
      <c r="BD47" s="17">
        <f t="shared" ca="1" si="25"/>
        <v>1</v>
      </c>
      <c r="BE47" s="17">
        <f t="shared" ca="1" si="25"/>
        <v>1</v>
      </c>
      <c r="BF47" s="17">
        <f t="shared" ca="1" si="25"/>
        <v>1</v>
      </c>
      <c r="BG47" s="17">
        <f t="shared" ca="1" si="25"/>
        <v>0</v>
      </c>
      <c r="BH47" s="17">
        <f t="shared" ca="1" si="25"/>
        <v>0</v>
      </c>
      <c r="BI47" s="17">
        <f t="shared" ca="1" si="25"/>
        <v>0.02</v>
      </c>
      <c r="BJ47" s="17">
        <f t="shared" ca="1" si="25"/>
        <v>0.157</v>
      </c>
      <c r="BK47" s="17">
        <f t="shared" ca="1" si="25"/>
        <v>5.3999999999999999E-2</v>
      </c>
      <c r="BL47" s="17">
        <f t="shared" ca="1" si="25"/>
        <v>1.2500000000000001E-2</v>
      </c>
    </row>
    <row r="48" spans="20:80" ht="22.5" customHeight="1" x14ac:dyDescent="0.3">
      <c r="W48" s="17" t="str">
        <f t="shared" ca="1" si="22"/>
        <v>OGRO by ARCHITECTS</v>
      </c>
      <c r="X48" s="17" t="str">
        <f t="shared" ca="1" si="22"/>
        <v>8880 Kister</v>
      </c>
      <c r="Y48" s="17">
        <f t="shared" ca="1" si="22"/>
        <v>1</v>
      </c>
      <c r="Z48" s="17">
        <f t="shared" ca="1" si="22"/>
        <v>1</v>
      </c>
      <c r="AA48" s="17">
        <f t="shared" ca="1" si="22"/>
        <v>1</v>
      </c>
      <c r="AB48" s="17">
        <f t="shared" ca="1" si="22"/>
        <v>0</v>
      </c>
      <c r="AC48" s="17">
        <f t="shared" ca="1" si="22"/>
        <v>1</v>
      </c>
      <c r="AD48" s="17">
        <f t="shared" ca="1" si="22"/>
        <v>0</v>
      </c>
      <c r="AE48" s="17">
        <f t="shared" ca="1" si="22"/>
        <v>1</v>
      </c>
      <c r="AF48" s="17">
        <f t="shared" ca="1" si="22"/>
        <v>30</v>
      </c>
      <c r="AG48" s="17">
        <f t="shared" ca="1" si="23"/>
        <v>0</v>
      </c>
      <c r="AH48" s="17">
        <f t="shared" ca="1" si="23"/>
        <v>4</v>
      </c>
      <c r="AI48" s="17">
        <f t="shared" ca="1" si="23"/>
        <v>7</v>
      </c>
      <c r="AJ48" s="17">
        <f t="shared" ca="1" si="23"/>
        <v>3</v>
      </c>
      <c r="AK48" s="17">
        <f t="shared" ca="1" si="23"/>
        <v>1</v>
      </c>
      <c r="AL48" s="17">
        <f t="shared" ca="1" si="23"/>
        <v>5</v>
      </c>
      <c r="AM48" s="17">
        <f t="shared" ca="1" si="23"/>
        <v>0</v>
      </c>
      <c r="AN48" s="17">
        <f t="shared" ca="1" si="23"/>
        <v>1</v>
      </c>
      <c r="AO48" s="17">
        <f t="shared" ca="1" si="23"/>
        <v>1</v>
      </c>
      <c r="AP48" s="17">
        <f t="shared" ca="1" si="23"/>
        <v>1</v>
      </c>
      <c r="AQ48" s="17">
        <f t="shared" ca="1" si="24"/>
        <v>0</v>
      </c>
      <c r="AR48" s="17">
        <f t="shared" ca="1" si="24"/>
        <v>1</v>
      </c>
      <c r="AS48" s="17">
        <f t="shared" ca="1" si="24"/>
        <v>1</v>
      </c>
      <c r="AT48" s="17">
        <f t="shared" ca="1" si="24"/>
        <v>1</v>
      </c>
      <c r="AU48" s="17">
        <f t="shared" ca="1" si="24"/>
        <v>1</v>
      </c>
      <c r="AV48" s="17">
        <f t="shared" ca="1" si="24"/>
        <v>1</v>
      </c>
      <c r="AW48" s="17">
        <f t="shared" ca="1" si="24"/>
        <v>1</v>
      </c>
      <c r="AX48" s="17">
        <f t="shared" ca="1" si="24"/>
        <v>0</v>
      </c>
      <c r="AY48" s="17">
        <f t="shared" ca="1" si="24"/>
        <v>1</v>
      </c>
      <c r="AZ48" s="17">
        <f t="shared" ca="1" si="24"/>
        <v>1</v>
      </c>
      <c r="BA48" s="17">
        <f t="shared" ca="1" si="25"/>
        <v>0</v>
      </c>
      <c r="BB48" s="17">
        <f t="shared" ca="1" si="25"/>
        <v>1</v>
      </c>
      <c r="BC48" s="17">
        <f t="shared" ca="1" si="25"/>
        <v>1</v>
      </c>
      <c r="BD48" s="17">
        <f t="shared" ca="1" si="25"/>
        <v>1</v>
      </c>
      <c r="BE48" s="17">
        <f t="shared" ca="1" si="25"/>
        <v>1</v>
      </c>
      <c r="BF48" s="17">
        <f t="shared" ca="1" si="25"/>
        <v>1</v>
      </c>
      <c r="BG48" s="17">
        <f t="shared" ca="1" si="25"/>
        <v>1</v>
      </c>
      <c r="BH48" s="17">
        <f t="shared" ca="1" si="25"/>
        <v>0</v>
      </c>
      <c r="BI48" s="17">
        <f t="shared" ca="1" si="25"/>
        <v>0.02</v>
      </c>
      <c r="BJ48" s="17">
        <f t="shared" ca="1" si="25"/>
        <v>0.14499999999999999</v>
      </c>
      <c r="BK48" s="17">
        <f t="shared" ca="1" si="25"/>
        <v>7.0000000000000007E-2</v>
      </c>
      <c r="BL48" s="17">
        <f t="shared" ca="1" si="25"/>
        <v>0.01</v>
      </c>
    </row>
    <row r="49" spans="23:64" ht="22.5" customHeight="1" x14ac:dyDescent="0.3">
      <c r="W49" s="17" t="str">
        <f t="shared" ca="1" si="22"/>
        <v>OGRO by ARCHITECTS</v>
      </c>
      <c r="X49" s="17" t="str">
        <f t="shared" ca="1" si="22"/>
        <v>8890 Welter</v>
      </c>
      <c r="Y49" s="17">
        <f t="shared" ca="1" si="22"/>
        <v>1</v>
      </c>
      <c r="Z49" s="17">
        <f t="shared" ca="1" si="22"/>
        <v>1</v>
      </c>
      <c r="AA49" s="17">
        <f t="shared" ca="1" si="22"/>
        <v>0</v>
      </c>
      <c r="AB49" s="17">
        <f t="shared" ca="1" si="22"/>
        <v>0</v>
      </c>
      <c r="AC49" s="17">
        <f t="shared" ca="1" si="22"/>
        <v>1</v>
      </c>
      <c r="AD49" s="17">
        <f t="shared" ca="1" si="22"/>
        <v>0</v>
      </c>
      <c r="AE49" s="17">
        <f t="shared" ca="1" si="22"/>
        <v>1</v>
      </c>
      <c r="AF49" s="17">
        <f t="shared" ca="1" si="22"/>
        <v>31</v>
      </c>
      <c r="AG49" s="17">
        <f t="shared" ca="1" si="23"/>
        <v>0</v>
      </c>
      <c r="AH49" s="17">
        <f t="shared" ca="1" si="23"/>
        <v>4</v>
      </c>
      <c r="AI49" s="17">
        <f t="shared" ca="1" si="23"/>
        <v>7</v>
      </c>
      <c r="AJ49" s="17">
        <f t="shared" ca="1" si="23"/>
        <v>3</v>
      </c>
      <c r="AK49" s="17">
        <f t="shared" ca="1" si="23"/>
        <v>1</v>
      </c>
      <c r="AL49" s="17">
        <f t="shared" ca="1" si="23"/>
        <v>5</v>
      </c>
      <c r="AM49" s="17">
        <f t="shared" ca="1" si="23"/>
        <v>0</v>
      </c>
      <c r="AN49" s="17">
        <f t="shared" ca="1" si="23"/>
        <v>1</v>
      </c>
      <c r="AO49" s="17">
        <f t="shared" ca="1" si="23"/>
        <v>1</v>
      </c>
      <c r="AP49" s="17">
        <f t="shared" ca="1" si="23"/>
        <v>1</v>
      </c>
      <c r="AQ49" s="17">
        <f t="shared" ca="1" si="24"/>
        <v>0</v>
      </c>
      <c r="AR49" s="17">
        <f t="shared" ca="1" si="24"/>
        <v>1</v>
      </c>
      <c r="AS49" s="17">
        <f t="shared" ca="1" si="24"/>
        <v>1</v>
      </c>
      <c r="AT49" s="17">
        <f t="shared" ca="1" si="24"/>
        <v>1</v>
      </c>
      <c r="AU49" s="17">
        <f t="shared" ca="1" si="24"/>
        <v>1</v>
      </c>
      <c r="AV49" s="17">
        <f t="shared" ca="1" si="24"/>
        <v>1</v>
      </c>
      <c r="AW49" s="17">
        <f t="shared" ca="1" si="24"/>
        <v>1</v>
      </c>
      <c r="AX49" s="17">
        <f t="shared" ca="1" si="24"/>
        <v>0</v>
      </c>
      <c r="AY49" s="17">
        <f t="shared" ca="1" si="24"/>
        <v>1</v>
      </c>
      <c r="AZ49" s="17">
        <f t="shared" ca="1" si="24"/>
        <v>1</v>
      </c>
      <c r="BA49" s="17">
        <f t="shared" ca="1" si="25"/>
        <v>0</v>
      </c>
      <c r="BB49" s="17">
        <f t="shared" ca="1" si="25"/>
        <v>1</v>
      </c>
      <c r="BC49" s="17">
        <f t="shared" ca="1" si="25"/>
        <v>1</v>
      </c>
      <c r="BD49" s="17">
        <f t="shared" ca="1" si="25"/>
        <v>1</v>
      </c>
      <c r="BE49" s="17">
        <f t="shared" ca="1" si="25"/>
        <v>1</v>
      </c>
      <c r="BF49" s="17">
        <f t="shared" ca="1" si="25"/>
        <v>1</v>
      </c>
      <c r="BG49" s="17">
        <f t="shared" ca="1" si="25"/>
        <v>1</v>
      </c>
      <c r="BH49" s="17">
        <f t="shared" ca="1" si="25"/>
        <v>0</v>
      </c>
      <c r="BI49" s="17">
        <f t="shared" ca="1" si="25"/>
        <v>0.02</v>
      </c>
      <c r="BJ49" s="17">
        <f t="shared" ca="1" si="25"/>
        <v>0.14499999999999999</v>
      </c>
      <c r="BK49" s="17">
        <f t="shared" ca="1" si="25"/>
        <v>5.6000000000000001E-2</v>
      </c>
      <c r="BL49" s="17">
        <f t="shared" ca="1" si="25"/>
        <v>0.01</v>
      </c>
    </row>
    <row r="50" spans="23:64" ht="22.5" customHeight="1" x14ac:dyDescent="0.3">
      <c r="W50" s="17" t="str">
        <f t="shared" ca="1" si="22"/>
        <v>OGRO</v>
      </c>
      <c r="X50" s="17">
        <f t="shared" ca="1" si="22"/>
        <v>8906</v>
      </c>
      <c r="Y50" s="17">
        <f t="shared" ca="1" si="22"/>
        <v>1</v>
      </c>
      <c r="Z50" s="17">
        <f t="shared" ca="1" si="22"/>
        <v>1</v>
      </c>
      <c r="AA50" s="17">
        <f t="shared" ca="1" si="22"/>
        <v>0</v>
      </c>
      <c r="AB50" s="17">
        <f t="shared" ca="1" si="22"/>
        <v>0</v>
      </c>
      <c r="AC50" s="17">
        <f t="shared" ca="1" si="22"/>
        <v>1</v>
      </c>
      <c r="AD50" s="17">
        <f t="shared" ca="1" si="22"/>
        <v>0</v>
      </c>
      <c r="AE50" s="17">
        <f t="shared" ca="1" si="22"/>
        <v>1</v>
      </c>
      <c r="AF50" s="17">
        <f t="shared" ca="1" si="22"/>
        <v>32</v>
      </c>
      <c r="AG50" s="17">
        <f t="shared" ca="1" si="23"/>
        <v>78</v>
      </c>
      <c r="AH50" s="17">
        <f t="shared" ca="1" si="23"/>
        <v>4</v>
      </c>
      <c r="AI50" s="17">
        <f t="shared" ca="1" si="23"/>
        <v>7</v>
      </c>
      <c r="AJ50" s="17">
        <f t="shared" ca="1" si="23"/>
        <v>4</v>
      </c>
      <c r="AK50" s="17">
        <f t="shared" ca="1" si="23"/>
        <v>1</v>
      </c>
      <c r="AL50" s="17">
        <f t="shared" ca="1" si="23"/>
        <v>5</v>
      </c>
      <c r="AM50" s="17">
        <f t="shared" ca="1" si="23"/>
        <v>1</v>
      </c>
      <c r="AN50" s="17">
        <f t="shared" ca="1" si="23"/>
        <v>1</v>
      </c>
      <c r="AO50" s="17">
        <f t="shared" ca="1" si="23"/>
        <v>1</v>
      </c>
      <c r="AP50" s="17">
        <f t="shared" ca="1" si="23"/>
        <v>1</v>
      </c>
      <c r="AQ50" s="17">
        <f t="shared" ca="1" si="24"/>
        <v>1</v>
      </c>
      <c r="AR50" s="17">
        <f t="shared" ca="1" si="24"/>
        <v>1</v>
      </c>
      <c r="AS50" s="17">
        <f t="shared" ca="1" si="24"/>
        <v>1</v>
      </c>
      <c r="AT50" s="17">
        <f t="shared" ca="1" si="24"/>
        <v>1</v>
      </c>
      <c r="AU50" s="17">
        <f t="shared" ca="1" si="24"/>
        <v>1</v>
      </c>
      <c r="AV50" s="17">
        <f t="shared" ca="1" si="24"/>
        <v>1</v>
      </c>
      <c r="AW50" s="17">
        <f t="shared" ca="1" si="24"/>
        <v>1</v>
      </c>
      <c r="AX50" s="17">
        <f t="shared" ca="1" si="24"/>
        <v>0</v>
      </c>
      <c r="AY50" s="17">
        <f t="shared" ca="1" si="24"/>
        <v>1</v>
      </c>
      <c r="AZ50" s="17">
        <f t="shared" ca="1" si="24"/>
        <v>1</v>
      </c>
      <c r="BA50" s="17">
        <f t="shared" ca="1" si="25"/>
        <v>0</v>
      </c>
      <c r="BB50" s="17">
        <f t="shared" ca="1" si="25"/>
        <v>1</v>
      </c>
      <c r="BC50" s="17">
        <f t="shared" ca="1" si="25"/>
        <v>1</v>
      </c>
      <c r="BD50" s="17">
        <f t="shared" ca="1" si="25"/>
        <v>1</v>
      </c>
      <c r="BE50" s="17">
        <f t="shared" ca="1" si="25"/>
        <v>1</v>
      </c>
      <c r="BF50" s="17">
        <f t="shared" ca="1" si="25"/>
        <v>1</v>
      </c>
      <c r="BG50" s="17">
        <f t="shared" ca="1" si="25"/>
        <v>1</v>
      </c>
      <c r="BH50" s="17">
        <f t="shared" ca="1" si="25"/>
        <v>0</v>
      </c>
      <c r="BI50" s="17">
        <f t="shared" ca="1" si="25"/>
        <v>0.02</v>
      </c>
      <c r="BJ50" s="17">
        <f t="shared" ca="1" si="25"/>
        <v>0.13500000000000001</v>
      </c>
      <c r="BK50" s="17">
        <f t="shared" ca="1" si="25"/>
        <v>5.8999999999999997E-2</v>
      </c>
      <c r="BL50" s="17">
        <f t="shared" ca="1" si="25"/>
        <v>0.01</v>
      </c>
    </row>
    <row r="51" spans="23:64" ht="22.5" customHeight="1" x14ac:dyDescent="0.3">
      <c r="W51" s="17" t="str">
        <f t="shared" ca="1" si="22"/>
        <v>OGRO</v>
      </c>
      <c r="X51" s="17" t="str">
        <f t="shared" ca="1" si="22"/>
        <v>8906A</v>
      </c>
      <c r="Y51" s="17">
        <f t="shared" ca="1" si="22"/>
        <v>1</v>
      </c>
      <c r="Z51" s="17">
        <f t="shared" ca="1" si="22"/>
        <v>1</v>
      </c>
      <c r="AA51" s="17">
        <f t="shared" ca="1" si="22"/>
        <v>0</v>
      </c>
      <c r="AB51" s="17">
        <f t="shared" ca="1" si="22"/>
        <v>0</v>
      </c>
      <c r="AC51" s="17">
        <f t="shared" ca="1" si="22"/>
        <v>1</v>
      </c>
      <c r="AD51" s="17">
        <f t="shared" ca="1" si="22"/>
        <v>1</v>
      </c>
      <c r="AE51" s="17">
        <f t="shared" ca="1" si="22"/>
        <v>1</v>
      </c>
      <c r="AF51" s="17">
        <f t="shared" ca="1" si="22"/>
        <v>0</v>
      </c>
      <c r="AG51" s="17">
        <f t="shared" ca="1" si="23"/>
        <v>79</v>
      </c>
      <c r="AH51" s="17">
        <f t="shared" ca="1" si="23"/>
        <v>4</v>
      </c>
      <c r="AI51" s="17">
        <f t="shared" ca="1" si="23"/>
        <v>7</v>
      </c>
      <c r="AJ51" s="17">
        <f t="shared" ca="1" si="23"/>
        <v>4</v>
      </c>
      <c r="AK51" s="17">
        <f t="shared" ca="1" si="23"/>
        <v>1</v>
      </c>
      <c r="AL51" s="17">
        <f t="shared" ca="1" si="23"/>
        <v>5</v>
      </c>
      <c r="AM51" s="17">
        <f t="shared" ca="1" si="23"/>
        <v>1</v>
      </c>
      <c r="AN51" s="17">
        <f t="shared" ca="1" si="23"/>
        <v>1</v>
      </c>
      <c r="AO51" s="17">
        <f t="shared" ca="1" si="23"/>
        <v>1</v>
      </c>
      <c r="AP51" s="17">
        <f t="shared" ca="1" si="23"/>
        <v>1</v>
      </c>
      <c r="AQ51" s="17">
        <f t="shared" ca="1" si="24"/>
        <v>1</v>
      </c>
      <c r="AR51" s="17">
        <f t="shared" ca="1" si="24"/>
        <v>0</v>
      </c>
      <c r="AS51" s="17">
        <f t="shared" ca="1" si="24"/>
        <v>0</v>
      </c>
      <c r="AT51" s="17">
        <f t="shared" ca="1" si="24"/>
        <v>0</v>
      </c>
      <c r="AU51" s="17">
        <f t="shared" ca="1" si="24"/>
        <v>0</v>
      </c>
      <c r="AV51" s="17">
        <f t="shared" ca="1" si="24"/>
        <v>0</v>
      </c>
      <c r="AW51" s="17">
        <f t="shared" ca="1" si="24"/>
        <v>0</v>
      </c>
      <c r="AX51" s="17">
        <f t="shared" ca="1" si="24"/>
        <v>0</v>
      </c>
      <c r="AY51" s="17">
        <f t="shared" ca="1" si="24"/>
        <v>1</v>
      </c>
      <c r="AZ51" s="17">
        <f t="shared" ca="1" si="24"/>
        <v>1</v>
      </c>
      <c r="BA51" s="17">
        <f t="shared" ca="1" si="25"/>
        <v>0</v>
      </c>
      <c r="BB51" s="17">
        <f t="shared" ca="1" si="25"/>
        <v>1</v>
      </c>
      <c r="BC51" s="17">
        <f t="shared" ca="1" si="25"/>
        <v>1</v>
      </c>
      <c r="BD51" s="17">
        <f t="shared" ca="1" si="25"/>
        <v>1</v>
      </c>
      <c r="BE51" s="17">
        <f t="shared" ca="1" si="25"/>
        <v>1</v>
      </c>
      <c r="BF51" s="17">
        <f t="shared" ca="1" si="25"/>
        <v>1</v>
      </c>
      <c r="BG51" s="17">
        <f t="shared" ca="1" si="25"/>
        <v>0</v>
      </c>
      <c r="BH51" s="17">
        <f t="shared" ca="1" si="25"/>
        <v>0</v>
      </c>
      <c r="BI51" s="17">
        <f t="shared" ca="1" si="25"/>
        <v>0.02</v>
      </c>
      <c r="BJ51" s="17">
        <f t="shared" ca="1" si="25"/>
        <v>0.155</v>
      </c>
      <c r="BK51" s="17">
        <f t="shared" ca="1" si="25"/>
        <v>7.5999999999999998E-2</v>
      </c>
      <c r="BL51" s="17">
        <f t="shared" ca="1" si="25"/>
        <v>0.01</v>
      </c>
    </row>
    <row r="52" spans="23:64" ht="22.5" customHeight="1" x14ac:dyDescent="0.3">
      <c r="W52" s="17" t="str">
        <f t="shared" ca="1" si="22"/>
        <v>OGRO</v>
      </c>
      <c r="X52" s="17" t="str">
        <f t="shared" ca="1" si="22"/>
        <v>8906V</v>
      </c>
      <c r="Y52" s="17">
        <f t="shared" ca="1" si="22"/>
        <v>1</v>
      </c>
      <c r="Z52" s="17">
        <f t="shared" ca="1" si="22"/>
        <v>1</v>
      </c>
      <c r="AA52" s="17">
        <f t="shared" ca="1" si="22"/>
        <v>0</v>
      </c>
      <c r="AB52" s="17">
        <f t="shared" ca="1" si="22"/>
        <v>0</v>
      </c>
      <c r="AC52" s="17">
        <f t="shared" ca="1" si="22"/>
        <v>1</v>
      </c>
      <c r="AD52" s="17">
        <f t="shared" ca="1" si="22"/>
        <v>1</v>
      </c>
      <c r="AE52" s="17">
        <f t="shared" ca="1" si="22"/>
        <v>1</v>
      </c>
      <c r="AF52" s="17">
        <f t="shared" ca="1" si="22"/>
        <v>0</v>
      </c>
      <c r="AG52" s="17">
        <f t="shared" ca="1" si="23"/>
        <v>80</v>
      </c>
      <c r="AH52" s="17">
        <f t="shared" ca="1" si="23"/>
        <v>4</v>
      </c>
      <c r="AI52" s="17">
        <f t="shared" ca="1" si="23"/>
        <v>7</v>
      </c>
      <c r="AJ52" s="17">
        <f t="shared" ca="1" si="23"/>
        <v>3</v>
      </c>
      <c r="AK52" s="17">
        <f t="shared" ca="1" si="23"/>
        <v>1</v>
      </c>
      <c r="AL52" s="17">
        <f t="shared" ca="1" si="23"/>
        <v>5</v>
      </c>
      <c r="AM52" s="17">
        <f t="shared" ca="1" si="23"/>
        <v>1</v>
      </c>
      <c r="AN52" s="17">
        <f t="shared" ca="1" si="23"/>
        <v>1</v>
      </c>
      <c r="AO52" s="17">
        <f t="shared" ca="1" si="23"/>
        <v>1</v>
      </c>
      <c r="AP52" s="17">
        <f t="shared" ca="1" si="23"/>
        <v>1</v>
      </c>
      <c r="AQ52" s="17">
        <f t="shared" ca="1" si="24"/>
        <v>0</v>
      </c>
      <c r="AR52" s="17">
        <f t="shared" ca="1" si="24"/>
        <v>0</v>
      </c>
      <c r="AS52" s="17">
        <f t="shared" ca="1" si="24"/>
        <v>0</v>
      </c>
      <c r="AT52" s="17">
        <f t="shared" ca="1" si="24"/>
        <v>0</v>
      </c>
      <c r="AU52" s="17">
        <f t="shared" ca="1" si="24"/>
        <v>0</v>
      </c>
      <c r="AV52" s="17">
        <f t="shared" ca="1" si="24"/>
        <v>0</v>
      </c>
      <c r="AW52" s="17">
        <f t="shared" ca="1" si="24"/>
        <v>0</v>
      </c>
      <c r="AX52" s="17">
        <f t="shared" ca="1" si="24"/>
        <v>0</v>
      </c>
      <c r="AY52" s="17">
        <f t="shared" ca="1" si="24"/>
        <v>1</v>
      </c>
      <c r="AZ52" s="17">
        <f t="shared" ca="1" si="24"/>
        <v>1</v>
      </c>
      <c r="BA52" s="17">
        <f t="shared" ca="1" si="25"/>
        <v>0</v>
      </c>
      <c r="BB52" s="17">
        <f t="shared" ca="1" si="25"/>
        <v>1</v>
      </c>
      <c r="BC52" s="17">
        <f t="shared" ca="1" si="25"/>
        <v>1</v>
      </c>
      <c r="BD52" s="17">
        <f t="shared" ca="1" si="25"/>
        <v>1</v>
      </c>
      <c r="BE52" s="17">
        <f t="shared" ca="1" si="25"/>
        <v>1</v>
      </c>
      <c r="BF52" s="17">
        <f t="shared" ca="1" si="25"/>
        <v>1</v>
      </c>
      <c r="BG52" s="17">
        <f t="shared" ca="1" si="25"/>
        <v>0</v>
      </c>
      <c r="BH52" s="17">
        <f t="shared" ca="1" si="25"/>
        <v>0</v>
      </c>
      <c r="BI52" s="17">
        <f t="shared" ca="1" si="25"/>
        <v>0.02</v>
      </c>
      <c r="BJ52" s="17">
        <f t="shared" ca="1" si="25"/>
        <v>0.13500000000000001</v>
      </c>
      <c r="BK52" s="17">
        <f t="shared" ca="1" si="25"/>
        <v>5.8999999999999997E-2</v>
      </c>
      <c r="BL52" s="17">
        <f t="shared" ca="1" si="25"/>
        <v>0.01</v>
      </c>
    </row>
    <row r="53" spans="23:64" ht="22.5" customHeight="1" x14ac:dyDescent="0.3">
      <c r="W53" s="17" t="str">
        <f t="shared" ca="1" si="22"/>
        <v>OGRO</v>
      </c>
      <c r="X53" s="17">
        <f t="shared" ca="1" si="22"/>
        <v>8907</v>
      </c>
      <c r="Y53" s="17">
        <f t="shared" ca="1" si="22"/>
        <v>1</v>
      </c>
      <c r="Z53" s="17">
        <f t="shared" ca="1" si="22"/>
        <v>1</v>
      </c>
      <c r="AA53" s="17">
        <f t="shared" ca="1" si="22"/>
        <v>1</v>
      </c>
      <c r="AB53" s="17">
        <f t="shared" ca="1" si="22"/>
        <v>0</v>
      </c>
      <c r="AC53" s="17">
        <f t="shared" ca="1" si="22"/>
        <v>1</v>
      </c>
      <c r="AD53" s="17">
        <f t="shared" ca="1" si="22"/>
        <v>0</v>
      </c>
      <c r="AE53" s="17">
        <f t="shared" ca="1" si="22"/>
        <v>1</v>
      </c>
      <c r="AF53" s="17">
        <f t="shared" ca="1" si="22"/>
        <v>33</v>
      </c>
      <c r="AG53" s="17">
        <f t="shared" ca="1" si="23"/>
        <v>81</v>
      </c>
      <c r="AH53" s="17">
        <f t="shared" ca="1" si="23"/>
        <v>4</v>
      </c>
      <c r="AI53" s="17">
        <f t="shared" ca="1" si="23"/>
        <v>7</v>
      </c>
      <c r="AJ53" s="17">
        <f t="shared" ca="1" si="23"/>
        <v>4</v>
      </c>
      <c r="AK53" s="17">
        <f t="shared" ca="1" si="23"/>
        <v>1</v>
      </c>
      <c r="AL53" s="17">
        <f t="shared" ca="1" si="23"/>
        <v>5</v>
      </c>
      <c r="AM53" s="17">
        <f t="shared" ca="1" si="23"/>
        <v>1</v>
      </c>
      <c r="AN53" s="17">
        <f t="shared" ca="1" si="23"/>
        <v>1</v>
      </c>
      <c r="AO53" s="17">
        <f t="shared" ca="1" si="23"/>
        <v>1</v>
      </c>
      <c r="AP53" s="17">
        <f t="shared" ca="1" si="23"/>
        <v>1</v>
      </c>
      <c r="AQ53" s="17">
        <f t="shared" ca="1" si="24"/>
        <v>1</v>
      </c>
      <c r="AR53" s="17">
        <f t="shared" ca="1" si="24"/>
        <v>1</v>
      </c>
      <c r="AS53" s="17">
        <f t="shared" ca="1" si="24"/>
        <v>1</v>
      </c>
      <c r="AT53" s="17">
        <f t="shared" ca="1" si="24"/>
        <v>1</v>
      </c>
      <c r="AU53" s="17">
        <f t="shared" ca="1" si="24"/>
        <v>1</v>
      </c>
      <c r="AV53" s="17">
        <f t="shared" ca="1" si="24"/>
        <v>1</v>
      </c>
      <c r="AW53" s="17">
        <f t="shared" ca="1" si="24"/>
        <v>1</v>
      </c>
      <c r="AX53" s="17">
        <f t="shared" ca="1" si="24"/>
        <v>0</v>
      </c>
      <c r="AY53" s="17">
        <f t="shared" ca="1" si="24"/>
        <v>1</v>
      </c>
      <c r="AZ53" s="17">
        <f t="shared" ca="1" si="24"/>
        <v>1</v>
      </c>
      <c r="BA53" s="17">
        <f t="shared" ca="1" si="25"/>
        <v>0</v>
      </c>
      <c r="BB53" s="17">
        <f t="shared" ca="1" si="25"/>
        <v>1</v>
      </c>
      <c r="BC53" s="17">
        <f t="shared" ca="1" si="25"/>
        <v>1</v>
      </c>
      <c r="BD53" s="17">
        <f t="shared" ca="1" si="25"/>
        <v>1</v>
      </c>
      <c r="BE53" s="17">
        <f t="shared" ca="1" si="25"/>
        <v>1</v>
      </c>
      <c r="BF53" s="17">
        <f t="shared" ca="1" si="25"/>
        <v>1</v>
      </c>
      <c r="BG53" s="17">
        <f t="shared" ca="1" si="25"/>
        <v>1</v>
      </c>
      <c r="BH53" s="17">
        <f t="shared" ca="1" si="25"/>
        <v>0</v>
      </c>
      <c r="BI53" s="17">
        <f t="shared" ca="1" si="25"/>
        <v>0.02</v>
      </c>
      <c r="BJ53" s="17">
        <f t="shared" ca="1" si="25"/>
        <v>0.14299999999999999</v>
      </c>
      <c r="BK53" s="17">
        <f t="shared" ca="1" si="25"/>
        <v>5.8999999999999997E-2</v>
      </c>
      <c r="BL53" s="17">
        <f t="shared" ca="1" si="25"/>
        <v>0.01</v>
      </c>
    </row>
    <row r="54" spans="23:64" ht="22.5" customHeight="1" x14ac:dyDescent="0.3">
      <c r="W54" s="17" t="str">
        <f t="shared" ca="1" si="22"/>
        <v>OGRO</v>
      </c>
      <c r="X54" s="17" t="str">
        <f t="shared" ca="1" si="22"/>
        <v>8907A</v>
      </c>
      <c r="Y54" s="17">
        <f t="shared" ca="1" si="22"/>
        <v>1</v>
      </c>
      <c r="Z54" s="17">
        <f t="shared" ca="1" si="22"/>
        <v>1</v>
      </c>
      <c r="AA54" s="17">
        <f t="shared" ca="1" si="22"/>
        <v>1</v>
      </c>
      <c r="AB54" s="17">
        <f t="shared" ca="1" si="22"/>
        <v>0</v>
      </c>
      <c r="AC54" s="17">
        <f t="shared" ca="1" si="22"/>
        <v>1</v>
      </c>
      <c r="AD54" s="17">
        <f t="shared" ca="1" si="22"/>
        <v>1</v>
      </c>
      <c r="AE54" s="17">
        <f t="shared" ca="1" si="22"/>
        <v>1</v>
      </c>
      <c r="AF54" s="17">
        <f t="shared" ca="1" si="22"/>
        <v>0</v>
      </c>
      <c r="AG54" s="17">
        <f t="shared" ca="1" si="23"/>
        <v>82</v>
      </c>
      <c r="AH54" s="17">
        <f t="shared" ca="1" si="23"/>
        <v>4</v>
      </c>
      <c r="AI54" s="17">
        <f t="shared" ca="1" si="23"/>
        <v>7</v>
      </c>
      <c r="AJ54" s="17">
        <f t="shared" ca="1" si="23"/>
        <v>4</v>
      </c>
      <c r="AK54" s="17">
        <f t="shared" ca="1" si="23"/>
        <v>1</v>
      </c>
      <c r="AL54" s="17">
        <f t="shared" ca="1" si="23"/>
        <v>5</v>
      </c>
      <c r="AM54" s="17">
        <f t="shared" ca="1" si="23"/>
        <v>1</v>
      </c>
      <c r="AN54" s="17">
        <f t="shared" ca="1" si="23"/>
        <v>1</v>
      </c>
      <c r="AO54" s="17">
        <f t="shared" ca="1" si="23"/>
        <v>1</v>
      </c>
      <c r="AP54" s="17">
        <f t="shared" ca="1" si="23"/>
        <v>1</v>
      </c>
      <c r="AQ54" s="17">
        <f t="shared" ca="1" si="24"/>
        <v>1</v>
      </c>
      <c r="AR54" s="17">
        <f t="shared" ca="1" si="24"/>
        <v>0</v>
      </c>
      <c r="AS54" s="17">
        <f t="shared" ca="1" si="24"/>
        <v>0</v>
      </c>
      <c r="AT54" s="17">
        <f t="shared" ca="1" si="24"/>
        <v>0</v>
      </c>
      <c r="AU54" s="17">
        <f t="shared" ca="1" si="24"/>
        <v>0</v>
      </c>
      <c r="AV54" s="17">
        <f t="shared" ca="1" si="24"/>
        <v>0</v>
      </c>
      <c r="AW54" s="17">
        <f t="shared" ca="1" si="24"/>
        <v>0</v>
      </c>
      <c r="AX54" s="17">
        <f t="shared" ca="1" si="24"/>
        <v>0</v>
      </c>
      <c r="AY54" s="17">
        <f t="shared" ca="1" si="24"/>
        <v>1</v>
      </c>
      <c r="AZ54" s="17">
        <f t="shared" ca="1" si="24"/>
        <v>1</v>
      </c>
      <c r="BA54" s="17">
        <f t="shared" ca="1" si="25"/>
        <v>0</v>
      </c>
      <c r="BB54" s="17">
        <f t="shared" ca="1" si="25"/>
        <v>1</v>
      </c>
      <c r="BC54" s="17">
        <f t="shared" ca="1" si="25"/>
        <v>1</v>
      </c>
      <c r="BD54" s="17">
        <f t="shared" ca="1" si="25"/>
        <v>1</v>
      </c>
      <c r="BE54" s="17">
        <f t="shared" ca="1" si="25"/>
        <v>1</v>
      </c>
      <c r="BF54" s="17">
        <f t="shared" ca="1" si="25"/>
        <v>1</v>
      </c>
      <c r="BG54" s="17">
        <f t="shared" ca="1" si="25"/>
        <v>0</v>
      </c>
      <c r="BH54" s="17">
        <f t="shared" ca="1" si="25"/>
        <v>0</v>
      </c>
      <c r="BI54" s="17">
        <f t="shared" ca="1" si="25"/>
        <v>0.02</v>
      </c>
      <c r="BJ54" s="17">
        <f t="shared" ca="1" si="25"/>
        <v>0.16300000000000001</v>
      </c>
      <c r="BK54" s="17">
        <f t="shared" ca="1" si="25"/>
        <v>7.5999999999999998E-2</v>
      </c>
      <c r="BL54" s="17">
        <f t="shared" ca="1" si="25"/>
        <v>0.01</v>
      </c>
    </row>
    <row r="55" spans="23:64" ht="22.5" customHeight="1" x14ac:dyDescent="0.3">
      <c r="W55" s="17" t="str">
        <f t="shared" ca="1" si="22"/>
        <v>OGRO</v>
      </c>
      <c r="X55" s="17" t="str">
        <f t="shared" ca="1" si="22"/>
        <v>8907V</v>
      </c>
      <c r="Y55" s="17">
        <f t="shared" ca="1" si="22"/>
        <v>1</v>
      </c>
      <c r="Z55" s="17">
        <f t="shared" ca="1" si="22"/>
        <v>1</v>
      </c>
      <c r="AA55" s="17">
        <f t="shared" ca="1" si="22"/>
        <v>1</v>
      </c>
      <c r="AB55" s="17">
        <f t="shared" ca="1" si="22"/>
        <v>0</v>
      </c>
      <c r="AC55" s="17">
        <f t="shared" ca="1" si="22"/>
        <v>1</v>
      </c>
      <c r="AD55" s="17">
        <f t="shared" ca="1" si="22"/>
        <v>1</v>
      </c>
      <c r="AE55" s="17">
        <f t="shared" ca="1" si="22"/>
        <v>1</v>
      </c>
      <c r="AF55" s="17">
        <f t="shared" ca="1" si="22"/>
        <v>0</v>
      </c>
      <c r="AG55" s="17">
        <f t="shared" ca="1" si="23"/>
        <v>83</v>
      </c>
      <c r="AH55" s="17">
        <f t="shared" ca="1" si="23"/>
        <v>4</v>
      </c>
      <c r="AI55" s="17">
        <f t="shared" ca="1" si="23"/>
        <v>7</v>
      </c>
      <c r="AJ55" s="17">
        <f t="shared" ca="1" si="23"/>
        <v>3</v>
      </c>
      <c r="AK55" s="17">
        <f t="shared" ca="1" si="23"/>
        <v>1</v>
      </c>
      <c r="AL55" s="17">
        <f t="shared" ca="1" si="23"/>
        <v>5</v>
      </c>
      <c r="AM55" s="17">
        <f t="shared" ca="1" si="23"/>
        <v>1</v>
      </c>
      <c r="AN55" s="17">
        <f t="shared" ca="1" si="23"/>
        <v>1</v>
      </c>
      <c r="AO55" s="17">
        <f t="shared" ca="1" si="23"/>
        <v>1</v>
      </c>
      <c r="AP55" s="17">
        <f t="shared" ca="1" si="23"/>
        <v>1</v>
      </c>
      <c r="AQ55" s="17">
        <f t="shared" ca="1" si="24"/>
        <v>0</v>
      </c>
      <c r="AR55" s="17">
        <f t="shared" ca="1" si="24"/>
        <v>0</v>
      </c>
      <c r="AS55" s="17">
        <f t="shared" ca="1" si="24"/>
        <v>0</v>
      </c>
      <c r="AT55" s="17">
        <f t="shared" ca="1" si="24"/>
        <v>0</v>
      </c>
      <c r="AU55" s="17">
        <f t="shared" ca="1" si="24"/>
        <v>0</v>
      </c>
      <c r="AV55" s="17">
        <f t="shared" ca="1" si="24"/>
        <v>0</v>
      </c>
      <c r="AW55" s="17">
        <f t="shared" ca="1" si="24"/>
        <v>0</v>
      </c>
      <c r="AX55" s="17">
        <f t="shared" ca="1" si="24"/>
        <v>0</v>
      </c>
      <c r="AY55" s="17">
        <f t="shared" ca="1" si="24"/>
        <v>1</v>
      </c>
      <c r="AZ55" s="17">
        <f t="shared" ca="1" si="24"/>
        <v>1</v>
      </c>
      <c r="BA55" s="17">
        <f t="shared" ca="1" si="25"/>
        <v>0</v>
      </c>
      <c r="BB55" s="17">
        <f t="shared" ca="1" si="25"/>
        <v>1</v>
      </c>
      <c r="BC55" s="17">
        <f t="shared" ca="1" si="25"/>
        <v>1</v>
      </c>
      <c r="BD55" s="17">
        <f t="shared" ca="1" si="25"/>
        <v>1</v>
      </c>
      <c r="BE55" s="17">
        <f t="shared" ca="1" si="25"/>
        <v>1</v>
      </c>
      <c r="BF55" s="17">
        <f t="shared" ca="1" si="25"/>
        <v>1</v>
      </c>
      <c r="BG55" s="17">
        <f t="shared" ca="1" si="25"/>
        <v>0</v>
      </c>
      <c r="BH55" s="17">
        <f t="shared" ca="1" si="25"/>
        <v>0</v>
      </c>
      <c r="BI55" s="17">
        <f t="shared" ca="1" si="25"/>
        <v>0.02</v>
      </c>
      <c r="BJ55" s="17">
        <f t="shared" ca="1" si="25"/>
        <v>0.14499999999999999</v>
      </c>
      <c r="BK55" s="17">
        <f t="shared" ca="1" si="25"/>
        <v>5.8999999999999997E-2</v>
      </c>
      <c r="BL55" s="17">
        <f t="shared" ca="1" si="25"/>
        <v>0.01</v>
      </c>
    </row>
    <row r="56" spans="23:64" ht="22.5" customHeight="1" x14ac:dyDescent="0.3">
      <c r="W56" s="17" t="str">
        <f t="shared" ref="W56:AF65" ca="1" si="26">IFERROR(INDEX( PRODUKTE,   ROW()-ROW($A$5)+INDEX(prodRowOffset,W$3),  MATCH(W$2,OFFSET(INDEXNAMEN,W$3,0),0)),"")</f>
        <v>OGRO</v>
      </c>
      <c r="X56" s="17">
        <f t="shared" ca="1" si="26"/>
        <v>8910</v>
      </c>
      <c r="Y56" s="17">
        <f t="shared" ca="1" si="26"/>
        <v>1</v>
      </c>
      <c r="Z56" s="17">
        <f t="shared" ca="1" si="26"/>
        <v>1</v>
      </c>
      <c r="AA56" s="17">
        <f t="shared" ca="1" si="26"/>
        <v>1</v>
      </c>
      <c r="AB56" s="17">
        <f t="shared" ca="1" si="26"/>
        <v>1</v>
      </c>
      <c r="AC56" s="17">
        <f t="shared" ca="1" si="26"/>
        <v>1</v>
      </c>
      <c r="AD56" s="17">
        <f t="shared" ca="1" si="26"/>
        <v>0</v>
      </c>
      <c r="AE56" s="17">
        <f t="shared" ca="1" si="26"/>
        <v>1</v>
      </c>
      <c r="AF56" s="17">
        <f t="shared" ca="1" si="26"/>
        <v>34</v>
      </c>
      <c r="AG56" s="17">
        <f t="shared" ref="AG56:AP65" ca="1" si="27">IFERROR(INDEX( PRODUKTE,   ROW()-ROW($A$5)+INDEX(prodRowOffset,AG$3),  MATCH(AG$2,OFFSET(INDEXNAMEN,AG$3,0),0)),"")</f>
        <v>0</v>
      </c>
      <c r="AH56" s="17">
        <f t="shared" ca="1" si="27"/>
        <v>4</v>
      </c>
      <c r="AI56" s="17">
        <f t="shared" ca="1" si="27"/>
        <v>7</v>
      </c>
      <c r="AJ56" s="17">
        <f t="shared" ca="1" si="27"/>
        <v>3</v>
      </c>
      <c r="AK56" s="17">
        <f t="shared" ca="1" si="27"/>
        <v>1</v>
      </c>
      <c r="AL56" s="17">
        <f t="shared" ca="1" si="27"/>
        <v>5</v>
      </c>
      <c r="AM56" s="17">
        <f t="shared" ca="1" si="27"/>
        <v>1</v>
      </c>
      <c r="AN56" s="17">
        <f t="shared" ca="1" si="27"/>
        <v>1</v>
      </c>
      <c r="AO56" s="17">
        <f t="shared" ca="1" si="27"/>
        <v>1</v>
      </c>
      <c r="AP56" s="17">
        <f t="shared" ca="1" si="27"/>
        <v>1</v>
      </c>
      <c r="AQ56" s="17">
        <f t="shared" ref="AQ56:AZ65" ca="1" si="28">IFERROR(INDEX( PRODUKTE,   ROW()-ROW($A$5)+INDEX(prodRowOffset,AQ$3),  MATCH(AQ$2,OFFSET(INDEXNAMEN,AQ$3,0),0)),"")</f>
        <v>0</v>
      </c>
      <c r="AR56" s="17">
        <f t="shared" ca="1" si="28"/>
        <v>1</v>
      </c>
      <c r="AS56" s="17">
        <f t="shared" ca="1" si="28"/>
        <v>1</v>
      </c>
      <c r="AT56" s="17">
        <f t="shared" ca="1" si="28"/>
        <v>1</v>
      </c>
      <c r="AU56" s="17">
        <f t="shared" ca="1" si="28"/>
        <v>1</v>
      </c>
      <c r="AV56" s="17">
        <f t="shared" ca="1" si="28"/>
        <v>1</v>
      </c>
      <c r="AW56" s="17">
        <f t="shared" ca="1" si="28"/>
        <v>1</v>
      </c>
      <c r="AX56" s="17">
        <f t="shared" ca="1" si="28"/>
        <v>0</v>
      </c>
      <c r="AY56" s="17">
        <f t="shared" ca="1" si="28"/>
        <v>1</v>
      </c>
      <c r="AZ56" s="17">
        <f t="shared" ca="1" si="28"/>
        <v>1</v>
      </c>
      <c r="BA56" s="17">
        <f t="shared" ref="BA56:BL65" ca="1" si="29">IFERROR(INDEX( PRODUKTE,   ROW()-ROW($A$5)+INDEX(prodRowOffset,BA$3),  MATCH(BA$2,OFFSET(INDEXNAMEN,BA$3,0),0)),"")</f>
        <v>0</v>
      </c>
      <c r="BB56" s="17">
        <f t="shared" ca="1" si="29"/>
        <v>1</v>
      </c>
      <c r="BC56" s="17">
        <f t="shared" ca="1" si="29"/>
        <v>1</v>
      </c>
      <c r="BD56" s="17">
        <f t="shared" ca="1" si="29"/>
        <v>1</v>
      </c>
      <c r="BE56" s="17">
        <f t="shared" ca="1" si="29"/>
        <v>1</v>
      </c>
      <c r="BF56" s="17">
        <f t="shared" ca="1" si="29"/>
        <v>1</v>
      </c>
      <c r="BG56" s="17">
        <f t="shared" ca="1" si="29"/>
        <v>1</v>
      </c>
      <c r="BH56" s="17">
        <f t="shared" ca="1" si="29"/>
        <v>0</v>
      </c>
      <c r="BI56" s="17">
        <f t="shared" ca="1" si="29"/>
        <v>0.02</v>
      </c>
      <c r="BJ56" s="17">
        <f t="shared" ca="1" si="29"/>
        <v>0.17499999999999999</v>
      </c>
      <c r="BK56" s="17">
        <f t="shared" ca="1" si="29"/>
        <v>0.06</v>
      </c>
      <c r="BL56" s="17">
        <f t="shared" ca="1" si="29"/>
        <v>0.01</v>
      </c>
    </row>
    <row r="57" spans="23:64" ht="22.5" customHeight="1" x14ac:dyDescent="0.3">
      <c r="W57" s="17" t="str">
        <f t="shared" ca="1" si="26"/>
        <v>OGRO by ARCHITECTS</v>
      </c>
      <c r="X57" s="17" t="str">
        <f t="shared" ca="1" si="26"/>
        <v>8915 Kleihues</v>
      </c>
      <c r="Y57" s="17">
        <f t="shared" ca="1" si="26"/>
        <v>1</v>
      </c>
      <c r="Z57" s="17">
        <f t="shared" ca="1" si="26"/>
        <v>1</v>
      </c>
      <c r="AA57" s="17">
        <f t="shared" ca="1" si="26"/>
        <v>0</v>
      </c>
      <c r="AB57" s="17">
        <f t="shared" ca="1" si="26"/>
        <v>0</v>
      </c>
      <c r="AC57" s="17">
        <f t="shared" ca="1" si="26"/>
        <v>1</v>
      </c>
      <c r="AD57" s="17">
        <f t="shared" ca="1" si="26"/>
        <v>0</v>
      </c>
      <c r="AE57" s="17">
        <f t="shared" ca="1" si="26"/>
        <v>1</v>
      </c>
      <c r="AF57" s="17">
        <f t="shared" ca="1" si="26"/>
        <v>35</v>
      </c>
      <c r="AG57" s="17">
        <f t="shared" ca="1" si="27"/>
        <v>0</v>
      </c>
      <c r="AH57" s="17">
        <f t="shared" ca="1" si="27"/>
        <v>4</v>
      </c>
      <c r="AI57" s="17">
        <f t="shared" ca="1" si="27"/>
        <v>7</v>
      </c>
      <c r="AJ57" s="17">
        <f t="shared" ca="1" si="27"/>
        <v>4</v>
      </c>
      <c r="AK57" s="17">
        <f t="shared" ca="1" si="27"/>
        <v>1</v>
      </c>
      <c r="AL57" s="17">
        <f t="shared" ca="1" si="27"/>
        <v>5</v>
      </c>
      <c r="AM57" s="17">
        <f t="shared" ca="1" si="27"/>
        <v>1</v>
      </c>
      <c r="AN57" s="17">
        <f t="shared" ca="1" si="27"/>
        <v>1</v>
      </c>
      <c r="AO57" s="17">
        <f t="shared" ca="1" si="27"/>
        <v>1</v>
      </c>
      <c r="AP57" s="17">
        <f t="shared" ca="1" si="27"/>
        <v>1</v>
      </c>
      <c r="AQ57" s="17">
        <f t="shared" ca="1" si="28"/>
        <v>1</v>
      </c>
      <c r="AR57" s="17">
        <f t="shared" ca="1" si="28"/>
        <v>1</v>
      </c>
      <c r="AS57" s="17">
        <f t="shared" ca="1" si="28"/>
        <v>1</v>
      </c>
      <c r="AT57" s="17">
        <f t="shared" ca="1" si="28"/>
        <v>1</v>
      </c>
      <c r="AU57" s="17">
        <f t="shared" ca="1" si="28"/>
        <v>1</v>
      </c>
      <c r="AV57" s="17">
        <f t="shared" ca="1" si="28"/>
        <v>1</v>
      </c>
      <c r="AW57" s="17">
        <f t="shared" ca="1" si="28"/>
        <v>1</v>
      </c>
      <c r="AX57" s="17">
        <f t="shared" ca="1" si="28"/>
        <v>0</v>
      </c>
      <c r="AY57" s="17">
        <f t="shared" ca="1" si="28"/>
        <v>1</v>
      </c>
      <c r="AZ57" s="17">
        <f t="shared" ca="1" si="28"/>
        <v>1</v>
      </c>
      <c r="BA57" s="17">
        <f t="shared" ca="1" si="29"/>
        <v>0</v>
      </c>
      <c r="BB57" s="17">
        <f t="shared" ca="1" si="29"/>
        <v>1</v>
      </c>
      <c r="BC57" s="17">
        <f t="shared" ca="1" si="29"/>
        <v>1</v>
      </c>
      <c r="BD57" s="17">
        <f t="shared" ca="1" si="29"/>
        <v>1</v>
      </c>
      <c r="BE57" s="17">
        <f t="shared" ca="1" si="29"/>
        <v>1</v>
      </c>
      <c r="BF57" s="17">
        <f t="shared" ca="1" si="29"/>
        <v>1</v>
      </c>
      <c r="BG57" s="17">
        <f t="shared" ca="1" si="29"/>
        <v>1</v>
      </c>
      <c r="BH57" s="17">
        <f t="shared" ca="1" si="29"/>
        <v>0</v>
      </c>
      <c r="BI57" s="17">
        <f t="shared" ca="1" si="29"/>
        <v>2.35E-2</v>
      </c>
      <c r="BJ57" s="17">
        <f t="shared" ca="1" si="29"/>
        <v>0.14399999999999999</v>
      </c>
      <c r="BK57" s="17">
        <f t="shared" ca="1" si="29"/>
        <v>6.3E-2</v>
      </c>
      <c r="BL57" s="17">
        <f t="shared" ca="1" si="29"/>
        <v>1.175E-2</v>
      </c>
    </row>
    <row r="58" spans="23:64" ht="22.5" customHeight="1" x14ac:dyDescent="0.3">
      <c r="W58" s="17" t="str">
        <f t="shared" ca="1" si="26"/>
        <v>OGRO by ARCHITECTS</v>
      </c>
      <c r="X58" s="17" t="str">
        <f t="shared" ca="1" si="26"/>
        <v>8916 Kleihues</v>
      </c>
      <c r="Y58" s="17">
        <f t="shared" ca="1" si="26"/>
        <v>1</v>
      </c>
      <c r="Z58" s="17">
        <f t="shared" ca="1" si="26"/>
        <v>1</v>
      </c>
      <c r="AA58" s="17">
        <f t="shared" ca="1" si="26"/>
        <v>1</v>
      </c>
      <c r="AB58" s="17">
        <f t="shared" ca="1" si="26"/>
        <v>0</v>
      </c>
      <c r="AC58" s="17">
        <f t="shared" ca="1" si="26"/>
        <v>1</v>
      </c>
      <c r="AD58" s="17">
        <f t="shared" ca="1" si="26"/>
        <v>0</v>
      </c>
      <c r="AE58" s="17">
        <f t="shared" ca="1" si="26"/>
        <v>1</v>
      </c>
      <c r="AF58" s="17">
        <f t="shared" ca="1" si="26"/>
        <v>36</v>
      </c>
      <c r="AG58" s="17">
        <f t="shared" ca="1" si="27"/>
        <v>84</v>
      </c>
      <c r="AH58" s="17">
        <f t="shared" ca="1" si="27"/>
        <v>4</v>
      </c>
      <c r="AI58" s="17">
        <f t="shared" ca="1" si="27"/>
        <v>7</v>
      </c>
      <c r="AJ58" s="17">
        <f t="shared" ca="1" si="27"/>
        <v>4</v>
      </c>
      <c r="AK58" s="17">
        <f t="shared" ca="1" si="27"/>
        <v>1</v>
      </c>
      <c r="AL58" s="17">
        <f t="shared" ca="1" si="27"/>
        <v>5</v>
      </c>
      <c r="AM58" s="17">
        <f t="shared" ca="1" si="27"/>
        <v>1</v>
      </c>
      <c r="AN58" s="17">
        <f t="shared" ca="1" si="27"/>
        <v>1</v>
      </c>
      <c r="AO58" s="17">
        <f t="shared" ca="1" si="27"/>
        <v>1</v>
      </c>
      <c r="AP58" s="17">
        <f t="shared" ca="1" si="27"/>
        <v>1</v>
      </c>
      <c r="AQ58" s="17">
        <f t="shared" ca="1" si="28"/>
        <v>1</v>
      </c>
      <c r="AR58" s="17">
        <f t="shared" ca="1" si="28"/>
        <v>1</v>
      </c>
      <c r="AS58" s="17">
        <f t="shared" ca="1" si="28"/>
        <v>1</v>
      </c>
      <c r="AT58" s="17">
        <f t="shared" ca="1" si="28"/>
        <v>1</v>
      </c>
      <c r="AU58" s="17">
        <f t="shared" ca="1" si="28"/>
        <v>1</v>
      </c>
      <c r="AV58" s="17">
        <f t="shared" ca="1" si="28"/>
        <v>1</v>
      </c>
      <c r="AW58" s="17">
        <f t="shared" ca="1" si="28"/>
        <v>1</v>
      </c>
      <c r="AX58" s="17">
        <f t="shared" ca="1" si="28"/>
        <v>0</v>
      </c>
      <c r="AY58" s="17">
        <f t="shared" ca="1" si="28"/>
        <v>1</v>
      </c>
      <c r="AZ58" s="17">
        <f t="shared" ca="1" si="28"/>
        <v>1</v>
      </c>
      <c r="BA58" s="17">
        <f t="shared" ca="1" si="29"/>
        <v>0</v>
      </c>
      <c r="BB58" s="17">
        <f t="shared" ca="1" si="29"/>
        <v>1</v>
      </c>
      <c r="BC58" s="17">
        <f t="shared" ca="1" si="29"/>
        <v>1</v>
      </c>
      <c r="BD58" s="17">
        <f t="shared" ca="1" si="29"/>
        <v>1</v>
      </c>
      <c r="BE58" s="17">
        <f t="shared" ca="1" si="29"/>
        <v>1</v>
      </c>
      <c r="BF58" s="17">
        <f t="shared" ca="1" si="29"/>
        <v>1</v>
      </c>
      <c r="BG58" s="17">
        <f t="shared" ca="1" si="29"/>
        <v>1</v>
      </c>
      <c r="BH58" s="17">
        <f t="shared" ca="1" si="29"/>
        <v>0</v>
      </c>
      <c r="BI58" s="17">
        <f t="shared" ca="1" si="29"/>
        <v>2.35E-2</v>
      </c>
      <c r="BJ58" s="17">
        <f t="shared" ca="1" si="29"/>
        <v>0.14399999999999999</v>
      </c>
      <c r="BK58" s="17">
        <f t="shared" ca="1" si="29"/>
        <v>5.6000000000000001E-2</v>
      </c>
      <c r="BL58" s="17">
        <f t="shared" ca="1" si="29"/>
        <v>1.175E-2</v>
      </c>
    </row>
    <row r="59" spans="23:64" ht="22.5" customHeight="1" x14ac:dyDescent="0.3">
      <c r="W59" s="17" t="str">
        <f t="shared" ca="1" si="26"/>
        <v>OGRO by ARCHITECTS</v>
      </c>
      <c r="X59" s="17" t="str">
        <f t="shared" ca="1" si="26"/>
        <v>8916A Kleihues</v>
      </c>
      <c r="Y59" s="17">
        <f t="shared" ca="1" si="26"/>
        <v>1</v>
      </c>
      <c r="Z59" s="17">
        <f t="shared" ca="1" si="26"/>
        <v>1</v>
      </c>
      <c r="AA59" s="17">
        <f t="shared" ca="1" si="26"/>
        <v>1</v>
      </c>
      <c r="AB59" s="17">
        <f t="shared" ca="1" si="26"/>
        <v>0</v>
      </c>
      <c r="AC59" s="17">
        <f t="shared" ca="1" si="26"/>
        <v>1</v>
      </c>
      <c r="AD59" s="17">
        <f t="shared" ca="1" si="26"/>
        <v>1</v>
      </c>
      <c r="AE59" s="17">
        <f t="shared" ca="1" si="26"/>
        <v>1</v>
      </c>
      <c r="AF59" s="17">
        <f t="shared" ca="1" si="26"/>
        <v>0</v>
      </c>
      <c r="AG59" s="17">
        <f t="shared" ca="1" si="27"/>
        <v>85</v>
      </c>
      <c r="AH59" s="17">
        <f t="shared" ca="1" si="27"/>
        <v>4</v>
      </c>
      <c r="AI59" s="17">
        <f t="shared" ca="1" si="27"/>
        <v>7</v>
      </c>
      <c r="AJ59" s="17">
        <f t="shared" ca="1" si="27"/>
        <v>4</v>
      </c>
      <c r="AK59" s="17">
        <f t="shared" ca="1" si="27"/>
        <v>1</v>
      </c>
      <c r="AL59" s="17">
        <f t="shared" ca="1" si="27"/>
        <v>5</v>
      </c>
      <c r="AM59" s="17">
        <f t="shared" ca="1" si="27"/>
        <v>1</v>
      </c>
      <c r="AN59" s="17">
        <f t="shared" ca="1" si="27"/>
        <v>1</v>
      </c>
      <c r="AO59" s="17">
        <f t="shared" ca="1" si="27"/>
        <v>1</v>
      </c>
      <c r="AP59" s="17">
        <f t="shared" ca="1" si="27"/>
        <v>1</v>
      </c>
      <c r="AQ59" s="17">
        <f t="shared" ca="1" si="28"/>
        <v>1</v>
      </c>
      <c r="AR59" s="17">
        <f t="shared" ca="1" si="28"/>
        <v>0</v>
      </c>
      <c r="AS59" s="17">
        <f t="shared" ca="1" si="28"/>
        <v>0</v>
      </c>
      <c r="AT59" s="17">
        <f t="shared" ca="1" si="28"/>
        <v>0</v>
      </c>
      <c r="AU59" s="17">
        <f t="shared" ca="1" si="28"/>
        <v>0</v>
      </c>
      <c r="AV59" s="17">
        <f t="shared" ca="1" si="28"/>
        <v>0</v>
      </c>
      <c r="AW59" s="17">
        <f t="shared" ca="1" si="28"/>
        <v>0</v>
      </c>
      <c r="AX59" s="17">
        <f t="shared" ca="1" si="28"/>
        <v>0</v>
      </c>
      <c r="AY59" s="17">
        <f t="shared" ca="1" si="28"/>
        <v>1</v>
      </c>
      <c r="AZ59" s="17">
        <f t="shared" ca="1" si="28"/>
        <v>1</v>
      </c>
      <c r="BA59" s="17">
        <f t="shared" ca="1" si="29"/>
        <v>0</v>
      </c>
      <c r="BB59" s="17">
        <f t="shared" ca="1" si="29"/>
        <v>1</v>
      </c>
      <c r="BC59" s="17">
        <f t="shared" ca="1" si="29"/>
        <v>1</v>
      </c>
      <c r="BD59" s="17">
        <f t="shared" ca="1" si="29"/>
        <v>1</v>
      </c>
      <c r="BE59" s="17">
        <f t="shared" ca="1" si="29"/>
        <v>1</v>
      </c>
      <c r="BF59" s="17">
        <f t="shared" ca="1" si="29"/>
        <v>1</v>
      </c>
      <c r="BG59" s="17">
        <f t="shared" ca="1" si="29"/>
        <v>0</v>
      </c>
      <c r="BH59" s="17">
        <f t="shared" ca="1" si="29"/>
        <v>0</v>
      </c>
      <c r="BI59" s="17">
        <f t="shared" ca="1" si="29"/>
        <v>2.35E-2</v>
      </c>
      <c r="BJ59" s="17">
        <f t="shared" ca="1" si="29"/>
        <v>0.16800000000000001</v>
      </c>
      <c r="BK59" s="17">
        <f t="shared" ca="1" si="29"/>
        <v>6.5000000000000002E-2</v>
      </c>
      <c r="BL59" s="17">
        <f t="shared" ca="1" si="29"/>
        <v>1.175E-2</v>
      </c>
    </row>
    <row r="60" spans="23:64" ht="22.5" customHeight="1" x14ac:dyDescent="0.3">
      <c r="W60" s="17" t="str">
        <f t="shared" ca="1" si="26"/>
        <v>OGRO by ARCHITECTS</v>
      </c>
      <c r="X60" s="17" t="str">
        <f t="shared" ca="1" si="26"/>
        <v>8920 Tchoban</v>
      </c>
      <c r="Y60" s="17">
        <f t="shared" ca="1" si="26"/>
        <v>1</v>
      </c>
      <c r="Z60" s="17">
        <f t="shared" ca="1" si="26"/>
        <v>1</v>
      </c>
      <c r="AA60" s="17">
        <f t="shared" ca="1" si="26"/>
        <v>0</v>
      </c>
      <c r="AB60" s="17">
        <f t="shared" ca="1" si="26"/>
        <v>0</v>
      </c>
      <c r="AC60" s="17">
        <f t="shared" ca="1" si="26"/>
        <v>1</v>
      </c>
      <c r="AD60" s="17">
        <f t="shared" ca="1" si="26"/>
        <v>0</v>
      </c>
      <c r="AE60" s="17">
        <f t="shared" ca="1" si="26"/>
        <v>1</v>
      </c>
      <c r="AF60" s="17">
        <f t="shared" ca="1" si="26"/>
        <v>37</v>
      </c>
      <c r="AG60" s="17">
        <f t="shared" ca="1" si="27"/>
        <v>0</v>
      </c>
      <c r="AH60" s="17">
        <f t="shared" ca="1" si="27"/>
        <v>4</v>
      </c>
      <c r="AI60" s="17">
        <f t="shared" ca="1" si="27"/>
        <v>7</v>
      </c>
      <c r="AJ60" s="17">
        <f t="shared" ca="1" si="27"/>
        <v>4</v>
      </c>
      <c r="AK60" s="17">
        <f t="shared" ca="1" si="27"/>
        <v>1</v>
      </c>
      <c r="AL60" s="17">
        <f t="shared" ca="1" si="27"/>
        <v>5</v>
      </c>
      <c r="AM60" s="17">
        <f t="shared" ca="1" si="27"/>
        <v>1</v>
      </c>
      <c r="AN60" s="17">
        <f t="shared" ca="1" si="27"/>
        <v>0</v>
      </c>
      <c r="AO60" s="17">
        <f t="shared" ca="1" si="27"/>
        <v>0</v>
      </c>
      <c r="AP60" s="17">
        <f t="shared" ca="1" si="27"/>
        <v>0</v>
      </c>
      <c r="AQ60" s="17">
        <f t="shared" ca="1" si="28"/>
        <v>1</v>
      </c>
      <c r="AR60" s="17">
        <f t="shared" ca="1" si="28"/>
        <v>1</v>
      </c>
      <c r="AS60" s="17">
        <f t="shared" ca="1" si="28"/>
        <v>1</v>
      </c>
      <c r="AT60" s="17">
        <f t="shared" ca="1" si="28"/>
        <v>1</v>
      </c>
      <c r="AU60" s="17">
        <f t="shared" ca="1" si="28"/>
        <v>1</v>
      </c>
      <c r="AV60" s="17">
        <f t="shared" ca="1" si="28"/>
        <v>1</v>
      </c>
      <c r="AW60" s="17">
        <f t="shared" ca="1" si="28"/>
        <v>1</v>
      </c>
      <c r="AX60" s="17">
        <f t="shared" ca="1" si="28"/>
        <v>0</v>
      </c>
      <c r="AY60" s="17">
        <f t="shared" ca="1" si="28"/>
        <v>1</v>
      </c>
      <c r="AZ60" s="17">
        <f t="shared" ca="1" si="28"/>
        <v>1</v>
      </c>
      <c r="BA60" s="17">
        <f t="shared" ca="1" si="29"/>
        <v>0</v>
      </c>
      <c r="BB60" s="17">
        <f t="shared" ca="1" si="29"/>
        <v>1</v>
      </c>
      <c r="BC60" s="17">
        <f t="shared" ca="1" si="29"/>
        <v>1</v>
      </c>
      <c r="BD60" s="17">
        <f t="shared" ca="1" si="29"/>
        <v>1</v>
      </c>
      <c r="BE60" s="17">
        <f t="shared" ca="1" si="29"/>
        <v>1</v>
      </c>
      <c r="BF60" s="17">
        <f t="shared" ca="1" si="29"/>
        <v>1</v>
      </c>
      <c r="BG60" s="17">
        <f t="shared" ca="1" si="29"/>
        <v>1</v>
      </c>
      <c r="BH60" s="17">
        <f t="shared" ca="1" si="29"/>
        <v>0</v>
      </c>
      <c r="BI60" s="17">
        <f t="shared" ca="1" si="29"/>
        <v>2.35E-2</v>
      </c>
      <c r="BJ60" s="17">
        <f t="shared" ca="1" si="29"/>
        <v>0.16</v>
      </c>
      <c r="BK60" s="17">
        <f t="shared" ca="1" si="29"/>
        <v>6.3E-2</v>
      </c>
      <c r="BL60" s="17">
        <f t="shared" ca="1" si="29"/>
        <v>1.7000000000000001E-2</v>
      </c>
    </row>
    <row r="61" spans="23:64" ht="22.5" customHeight="1" x14ac:dyDescent="0.3">
      <c r="W61" s="17" t="str">
        <f t="shared" ca="1" si="26"/>
        <v>OGRO by ARCHITECTS</v>
      </c>
      <c r="X61" s="17" t="str">
        <f t="shared" ca="1" si="26"/>
        <v>8928 Wagenfeld</v>
      </c>
      <c r="Y61" s="17">
        <f t="shared" ca="1" si="26"/>
        <v>1</v>
      </c>
      <c r="Z61" s="17">
        <f t="shared" ca="1" si="26"/>
        <v>1</v>
      </c>
      <c r="AA61" s="17">
        <f t="shared" ca="1" si="26"/>
        <v>0</v>
      </c>
      <c r="AB61" s="17">
        <f t="shared" ca="1" si="26"/>
        <v>0</v>
      </c>
      <c r="AC61" s="17">
        <f t="shared" ca="1" si="26"/>
        <v>1</v>
      </c>
      <c r="AD61" s="17">
        <f t="shared" ca="1" si="26"/>
        <v>0</v>
      </c>
      <c r="AE61" s="17">
        <f t="shared" ca="1" si="26"/>
        <v>1</v>
      </c>
      <c r="AF61" s="17">
        <f t="shared" ca="1" si="26"/>
        <v>38</v>
      </c>
      <c r="AG61" s="17">
        <f t="shared" ca="1" si="27"/>
        <v>86</v>
      </c>
      <c r="AH61" s="17">
        <f t="shared" ca="1" si="27"/>
        <v>4</v>
      </c>
      <c r="AI61" s="17">
        <f t="shared" ca="1" si="27"/>
        <v>7</v>
      </c>
      <c r="AJ61" s="17">
        <f t="shared" ca="1" si="27"/>
        <v>3</v>
      </c>
      <c r="AK61" s="17">
        <f t="shared" ca="1" si="27"/>
        <v>1</v>
      </c>
      <c r="AL61" s="17">
        <f t="shared" ca="1" si="27"/>
        <v>5</v>
      </c>
      <c r="AM61" s="17">
        <f t="shared" ca="1" si="27"/>
        <v>1</v>
      </c>
      <c r="AN61" s="17">
        <f t="shared" ca="1" si="27"/>
        <v>1</v>
      </c>
      <c r="AO61" s="17">
        <f t="shared" ca="1" si="27"/>
        <v>1</v>
      </c>
      <c r="AP61" s="17">
        <f t="shared" ca="1" si="27"/>
        <v>1</v>
      </c>
      <c r="AQ61" s="17">
        <f t="shared" ca="1" si="28"/>
        <v>0</v>
      </c>
      <c r="AR61" s="17">
        <f t="shared" ca="1" si="28"/>
        <v>1</v>
      </c>
      <c r="AS61" s="17">
        <f t="shared" ca="1" si="28"/>
        <v>1</v>
      </c>
      <c r="AT61" s="17">
        <f t="shared" ca="1" si="28"/>
        <v>1</v>
      </c>
      <c r="AU61" s="17">
        <f t="shared" ca="1" si="28"/>
        <v>1</v>
      </c>
      <c r="AV61" s="17">
        <f t="shared" ca="1" si="28"/>
        <v>1</v>
      </c>
      <c r="AW61" s="17">
        <f t="shared" ca="1" si="28"/>
        <v>1</v>
      </c>
      <c r="AX61" s="17">
        <f t="shared" ca="1" si="28"/>
        <v>0</v>
      </c>
      <c r="AY61" s="17">
        <f t="shared" ca="1" si="28"/>
        <v>1</v>
      </c>
      <c r="AZ61" s="17">
        <f t="shared" ca="1" si="28"/>
        <v>1</v>
      </c>
      <c r="BA61" s="17">
        <f t="shared" ca="1" si="29"/>
        <v>0</v>
      </c>
      <c r="BB61" s="17">
        <f t="shared" ca="1" si="29"/>
        <v>1</v>
      </c>
      <c r="BC61" s="17">
        <f t="shared" ca="1" si="29"/>
        <v>1</v>
      </c>
      <c r="BD61" s="17">
        <f t="shared" ca="1" si="29"/>
        <v>1</v>
      </c>
      <c r="BE61" s="17">
        <f t="shared" ca="1" si="29"/>
        <v>1</v>
      </c>
      <c r="BF61" s="17">
        <f t="shared" ca="1" si="29"/>
        <v>1</v>
      </c>
      <c r="BG61" s="17">
        <f t="shared" ca="1" si="29"/>
        <v>1</v>
      </c>
      <c r="BH61" s="17">
        <f t="shared" ca="1" si="29"/>
        <v>0</v>
      </c>
      <c r="BI61" s="17">
        <f t="shared" ca="1" si="29"/>
        <v>0.02</v>
      </c>
      <c r="BJ61" s="17">
        <f t="shared" ca="1" si="29"/>
        <v>0.115</v>
      </c>
      <c r="BK61" s="17">
        <f t="shared" ca="1" si="29"/>
        <v>0.05</v>
      </c>
      <c r="BL61" s="17">
        <f t="shared" ca="1" si="29"/>
        <v>0.01</v>
      </c>
    </row>
    <row r="62" spans="23:64" ht="22.5" customHeight="1" x14ac:dyDescent="0.3">
      <c r="W62" s="17" t="str">
        <f t="shared" ca="1" si="26"/>
        <v>OGRO by ARCHITECTS</v>
      </c>
      <c r="X62" s="17" t="str">
        <f t="shared" ca="1" si="26"/>
        <v>8928A Wagenfeld</v>
      </c>
      <c r="Y62" s="17">
        <f t="shared" ca="1" si="26"/>
        <v>1</v>
      </c>
      <c r="Z62" s="17">
        <f t="shared" ca="1" si="26"/>
        <v>1</v>
      </c>
      <c r="AA62" s="17">
        <f t="shared" ca="1" si="26"/>
        <v>0</v>
      </c>
      <c r="AB62" s="17">
        <f t="shared" ca="1" si="26"/>
        <v>0</v>
      </c>
      <c r="AC62" s="17">
        <f t="shared" ca="1" si="26"/>
        <v>1</v>
      </c>
      <c r="AD62" s="17">
        <f t="shared" ca="1" si="26"/>
        <v>1</v>
      </c>
      <c r="AE62" s="17">
        <f t="shared" ca="1" si="26"/>
        <v>1</v>
      </c>
      <c r="AF62" s="17">
        <f t="shared" ca="1" si="26"/>
        <v>0</v>
      </c>
      <c r="AG62" s="17">
        <f t="shared" ca="1" si="27"/>
        <v>87</v>
      </c>
      <c r="AH62" s="17">
        <f t="shared" ca="1" si="27"/>
        <v>4</v>
      </c>
      <c r="AI62" s="17">
        <f t="shared" ca="1" si="27"/>
        <v>7</v>
      </c>
      <c r="AJ62" s="17">
        <f t="shared" ca="1" si="27"/>
        <v>3</v>
      </c>
      <c r="AK62" s="17">
        <f t="shared" ca="1" si="27"/>
        <v>1</v>
      </c>
      <c r="AL62" s="17">
        <f t="shared" ca="1" si="27"/>
        <v>5</v>
      </c>
      <c r="AM62" s="17">
        <f t="shared" ca="1" si="27"/>
        <v>1</v>
      </c>
      <c r="AN62" s="17">
        <f t="shared" ca="1" si="27"/>
        <v>1</v>
      </c>
      <c r="AO62" s="17">
        <f t="shared" ca="1" si="27"/>
        <v>1</v>
      </c>
      <c r="AP62" s="17">
        <f t="shared" ca="1" si="27"/>
        <v>1</v>
      </c>
      <c r="AQ62" s="17">
        <f t="shared" ca="1" si="28"/>
        <v>0</v>
      </c>
      <c r="AR62" s="17">
        <f t="shared" ca="1" si="28"/>
        <v>0</v>
      </c>
      <c r="AS62" s="17">
        <f t="shared" ca="1" si="28"/>
        <v>0</v>
      </c>
      <c r="AT62" s="17">
        <f t="shared" ca="1" si="28"/>
        <v>0</v>
      </c>
      <c r="AU62" s="17">
        <f t="shared" ca="1" si="28"/>
        <v>0</v>
      </c>
      <c r="AV62" s="17">
        <f t="shared" ca="1" si="28"/>
        <v>0</v>
      </c>
      <c r="AW62" s="17">
        <f t="shared" ca="1" si="28"/>
        <v>0</v>
      </c>
      <c r="AX62" s="17">
        <f t="shared" ca="1" si="28"/>
        <v>0</v>
      </c>
      <c r="AY62" s="17">
        <f t="shared" ca="1" si="28"/>
        <v>1</v>
      </c>
      <c r="AZ62" s="17">
        <f t="shared" ca="1" si="28"/>
        <v>1</v>
      </c>
      <c r="BA62" s="17">
        <f t="shared" ca="1" si="29"/>
        <v>0</v>
      </c>
      <c r="BB62" s="17">
        <f t="shared" ca="1" si="29"/>
        <v>1</v>
      </c>
      <c r="BC62" s="17">
        <f t="shared" ca="1" si="29"/>
        <v>1</v>
      </c>
      <c r="BD62" s="17">
        <f t="shared" ca="1" si="29"/>
        <v>1</v>
      </c>
      <c r="BE62" s="17">
        <f t="shared" ca="1" si="29"/>
        <v>1</v>
      </c>
      <c r="BF62" s="17">
        <f t="shared" ca="1" si="29"/>
        <v>1</v>
      </c>
      <c r="BG62" s="17">
        <f t="shared" ca="1" si="29"/>
        <v>0</v>
      </c>
      <c r="BH62" s="17">
        <f t="shared" ca="1" si="29"/>
        <v>0</v>
      </c>
      <c r="BI62" s="17">
        <f t="shared" ca="1" si="29"/>
        <v>0.02</v>
      </c>
      <c r="BJ62" s="17">
        <f t="shared" ca="1" si="29"/>
        <v>0.13500000000000001</v>
      </c>
      <c r="BK62" s="17">
        <f t="shared" ca="1" si="29"/>
        <v>6.7000000000000004E-2</v>
      </c>
      <c r="BL62" s="17">
        <f t="shared" ca="1" si="29"/>
        <v>0.01</v>
      </c>
    </row>
    <row r="63" spans="23:64" ht="22.5" customHeight="1" x14ac:dyDescent="0.3">
      <c r="W63" s="17" t="str">
        <f t="shared" ca="1" si="26"/>
        <v>OGRO</v>
      </c>
      <c r="X63" s="17">
        <f t="shared" ca="1" si="26"/>
        <v>8940</v>
      </c>
      <c r="Y63" s="17">
        <f t="shared" ca="1" si="26"/>
        <v>1</v>
      </c>
      <c r="Z63" s="17">
        <f t="shared" ca="1" si="26"/>
        <v>1</v>
      </c>
      <c r="AA63" s="17">
        <f t="shared" ca="1" si="26"/>
        <v>0</v>
      </c>
      <c r="AB63" s="17">
        <f t="shared" ca="1" si="26"/>
        <v>0</v>
      </c>
      <c r="AC63" s="17">
        <f t="shared" ca="1" si="26"/>
        <v>1</v>
      </c>
      <c r="AD63" s="17">
        <f t="shared" ca="1" si="26"/>
        <v>0</v>
      </c>
      <c r="AE63" s="17">
        <f t="shared" ca="1" si="26"/>
        <v>1</v>
      </c>
      <c r="AF63" s="17">
        <f t="shared" ca="1" si="26"/>
        <v>39</v>
      </c>
      <c r="AG63" s="17">
        <f t="shared" ca="1" si="27"/>
        <v>88</v>
      </c>
      <c r="AH63" s="17">
        <f t="shared" ca="1" si="27"/>
        <v>4</v>
      </c>
      <c r="AI63" s="17">
        <f t="shared" ca="1" si="27"/>
        <v>7</v>
      </c>
      <c r="AJ63" s="17">
        <f t="shared" ca="1" si="27"/>
        <v>4</v>
      </c>
      <c r="AK63" s="17">
        <f t="shared" ca="1" si="27"/>
        <v>1</v>
      </c>
      <c r="AL63" s="17">
        <f t="shared" ca="1" si="27"/>
        <v>5</v>
      </c>
      <c r="AM63" s="17">
        <f t="shared" ca="1" si="27"/>
        <v>1</v>
      </c>
      <c r="AN63" s="17">
        <f t="shared" ca="1" si="27"/>
        <v>1</v>
      </c>
      <c r="AO63" s="17">
        <f t="shared" ca="1" si="27"/>
        <v>1</v>
      </c>
      <c r="AP63" s="17">
        <f t="shared" ca="1" si="27"/>
        <v>1</v>
      </c>
      <c r="AQ63" s="17">
        <f t="shared" ca="1" si="28"/>
        <v>1</v>
      </c>
      <c r="AR63" s="17">
        <f t="shared" ca="1" si="28"/>
        <v>1</v>
      </c>
      <c r="AS63" s="17">
        <f t="shared" ca="1" si="28"/>
        <v>1</v>
      </c>
      <c r="AT63" s="17">
        <f t="shared" ca="1" si="28"/>
        <v>1</v>
      </c>
      <c r="AU63" s="17">
        <f t="shared" ca="1" si="28"/>
        <v>1</v>
      </c>
      <c r="AV63" s="17">
        <f t="shared" ca="1" si="28"/>
        <v>1</v>
      </c>
      <c r="AW63" s="17">
        <f t="shared" ca="1" si="28"/>
        <v>1</v>
      </c>
      <c r="AX63" s="17">
        <f t="shared" ca="1" si="28"/>
        <v>0</v>
      </c>
      <c r="AY63" s="17">
        <f t="shared" ca="1" si="28"/>
        <v>1</v>
      </c>
      <c r="AZ63" s="17">
        <f t="shared" ca="1" si="28"/>
        <v>1</v>
      </c>
      <c r="BA63" s="17">
        <f t="shared" ca="1" si="29"/>
        <v>0</v>
      </c>
      <c r="BB63" s="17">
        <f t="shared" ca="1" si="29"/>
        <v>1</v>
      </c>
      <c r="BC63" s="17">
        <f t="shared" ca="1" si="29"/>
        <v>1</v>
      </c>
      <c r="BD63" s="17">
        <f t="shared" ca="1" si="29"/>
        <v>1</v>
      </c>
      <c r="BE63" s="17">
        <f t="shared" ca="1" si="29"/>
        <v>1</v>
      </c>
      <c r="BF63" s="17">
        <f t="shared" ca="1" si="29"/>
        <v>1</v>
      </c>
      <c r="BG63" s="17">
        <f t="shared" ca="1" si="29"/>
        <v>1</v>
      </c>
      <c r="BH63" s="17">
        <f t="shared" ca="1" si="29"/>
        <v>0</v>
      </c>
      <c r="BI63" s="17">
        <f t="shared" ca="1" si="29"/>
        <v>2.35E-2</v>
      </c>
      <c r="BJ63" s="17">
        <f t="shared" ca="1" si="29"/>
        <v>0.13500000000000001</v>
      </c>
      <c r="BK63" s="17">
        <f t="shared" ca="1" si="29"/>
        <v>0.06</v>
      </c>
      <c r="BL63" s="17">
        <f t="shared" ca="1" si="29"/>
        <v>1.175E-2</v>
      </c>
    </row>
    <row r="64" spans="23:64" ht="22.5" customHeight="1" x14ac:dyDescent="0.3">
      <c r="W64" s="17" t="str">
        <f t="shared" ca="1" si="26"/>
        <v>OGRO</v>
      </c>
      <c r="X64" s="17" t="str">
        <f t="shared" ca="1" si="26"/>
        <v>8940A</v>
      </c>
      <c r="Y64" s="17">
        <f t="shared" ca="1" si="26"/>
        <v>1</v>
      </c>
      <c r="Z64" s="17">
        <f t="shared" ca="1" si="26"/>
        <v>1</v>
      </c>
      <c r="AA64" s="17">
        <f t="shared" ca="1" si="26"/>
        <v>0</v>
      </c>
      <c r="AB64" s="17">
        <f t="shared" ca="1" si="26"/>
        <v>0</v>
      </c>
      <c r="AC64" s="17">
        <f t="shared" ca="1" si="26"/>
        <v>1</v>
      </c>
      <c r="AD64" s="17">
        <f t="shared" ca="1" si="26"/>
        <v>1</v>
      </c>
      <c r="AE64" s="17">
        <f t="shared" ca="1" si="26"/>
        <v>1</v>
      </c>
      <c r="AF64" s="17">
        <f t="shared" ca="1" si="26"/>
        <v>0</v>
      </c>
      <c r="AG64" s="17">
        <f t="shared" ca="1" si="27"/>
        <v>89</v>
      </c>
      <c r="AH64" s="17">
        <f t="shared" ca="1" si="27"/>
        <v>4</v>
      </c>
      <c r="AI64" s="17">
        <f t="shared" ca="1" si="27"/>
        <v>7</v>
      </c>
      <c r="AJ64" s="17">
        <f t="shared" ca="1" si="27"/>
        <v>3</v>
      </c>
      <c r="AK64" s="17">
        <f t="shared" ca="1" si="27"/>
        <v>1</v>
      </c>
      <c r="AL64" s="17">
        <f t="shared" ca="1" si="27"/>
        <v>5</v>
      </c>
      <c r="AM64" s="17">
        <f t="shared" ca="1" si="27"/>
        <v>0</v>
      </c>
      <c r="AN64" s="17">
        <f t="shared" ca="1" si="27"/>
        <v>1</v>
      </c>
      <c r="AO64" s="17">
        <f t="shared" ca="1" si="27"/>
        <v>1</v>
      </c>
      <c r="AP64" s="17">
        <f t="shared" ca="1" si="27"/>
        <v>1</v>
      </c>
      <c r="AQ64" s="17">
        <f t="shared" ca="1" si="28"/>
        <v>0</v>
      </c>
      <c r="AR64" s="17">
        <f t="shared" ca="1" si="28"/>
        <v>0</v>
      </c>
      <c r="AS64" s="17">
        <f t="shared" ca="1" si="28"/>
        <v>0</v>
      </c>
      <c r="AT64" s="17">
        <f t="shared" ca="1" si="28"/>
        <v>0</v>
      </c>
      <c r="AU64" s="17">
        <f t="shared" ca="1" si="28"/>
        <v>0</v>
      </c>
      <c r="AV64" s="17">
        <f t="shared" ca="1" si="28"/>
        <v>0</v>
      </c>
      <c r="AW64" s="17">
        <f t="shared" ca="1" si="28"/>
        <v>0</v>
      </c>
      <c r="AX64" s="17">
        <f t="shared" ca="1" si="28"/>
        <v>0</v>
      </c>
      <c r="AY64" s="17">
        <f t="shared" ca="1" si="28"/>
        <v>1</v>
      </c>
      <c r="AZ64" s="17">
        <f t="shared" ca="1" si="28"/>
        <v>1</v>
      </c>
      <c r="BA64" s="17">
        <f t="shared" ca="1" si="29"/>
        <v>0</v>
      </c>
      <c r="BB64" s="17">
        <f t="shared" ca="1" si="29"/>
        <v>1</v>
      </c>
      <c r="BC64" s="17">
        <f t="shared" ca="1" si="29"/>
        <v>1</v>
      </c>
      <c r="BD64" s="17">
        <f t="shared" ca="1" si="29"/>
        <v>1</v>
      </c>
      <c r="BE64" s="17">
        <f t="shared" ca="1" si="29"/>
        <v>1</v>
      </c>
      <c r="BF64" s="17">
        <f t="shared" ca="1" si="29"/>
        <v>1</v>
      </c>
      <c r="BG64" s="17">
        <f t="shared" ca="1" si="29"/>
        <v>0</v>
      </c>
      <c r="BH64" s="17">
        <f t="shared" ca="1" si="29"/>
        <v>0</v>
      </c>
      <c r="BI64" s="17">
        <f t="shared" ca="1" si="29"/>
        <v>2.35E-2</v>
      </c>
      <c r="BJ64" s="17">
        <f t="shared" ca="1" si="29"/>
        <v>0.155</v>
      </c>
      <c r="BK64" s="17">
        <f t="shared" ca="1" si="29"/>
        <v>7.5999999999999998E-2</v>
      </c>
      <c r="BL64" s="17">
        <f t="shared" ca="1" si="29"/>
        <v>1.175E-2</v>
      </c>
    </row>
    <row r="65" spans="23:64" ht="22.5" customHeight="1" x14ac:dyDescent="0.3">
      <c r="W65" s="17" t="str">
        <f t="shared" ca="1" si="26"/>
        <v>OGRO by ARCHITECTS</v>
      </c>
      <c r="X65" s="17" t="str">
        <f t="shared" ca="1" si="26"/>
        <v>8960 Forstner</v>
      </c>
      <c r="Y65" s="17">
        <f t="shared" ca="1" si="26"/>
        <v>1</v>
      </c>
      <c r="Z65" s="17">
        <f t="shared" ca="1" si="26"/>
        <v>1</v>
      </c>
      <c r="AA65" s="17">
        <f t="shared" ca="1" si="26"/>
        <v>0</v>
      </c>
      <c r="AB65" s="17">
        <f t="shared" ca="1" si="26"/>
        <v>0</v>
      </c>
      <c r="AC65" s="17">
        <f t="shared" ca="1" si="26"/>
        <v>1</v>
      </c>
      <c r="AD65" s="17">
        <f t="shared" ca="1" si="26"/>
        <v>0</v>
      </c>
      <c r="AE65" s="17">
        <f t="shared" ca="1" si="26"/>
        <v>1</v>
      </c>
      <c r="AF65" s="17">
        <f t="shared" ca="1" si="26"/>
        <v>40</v>
      </c>
      <c r="AG65" s="17">
        <f t="shared" ca="1" si="27"/>
        <v>0</v>
      </c>
      <c r="AH65" s="17">
        <f t="shared" ca="1" si="27"/>
        <v>4</v>
      </c>
      <c r="AI65" s="17">
        <f t="shared" ca="1" si="27"/>
        <v>7</v>
      </c>
      <c r="AJ65" s="17">
        <f t="shared" ca="1" si="27"/>
        <v>3</v>
      </c>
      <c r="AK65" s="17">
        <f t="shared" ca="1" si="27"/>
        <v>1</v>
      </c>
      <c r="AL65" s="17">
        <f t="shared" ca="1" si="27"/>
        <v>5</v>
      </c>
      <c r="AM65" s="17">
        <f t="shared" ca="1" si="27"/>
        <v>1</v>
      </c>
      <c r="AN65" s="17">
        <f t="shared" ca="1" si="27"/>
        <v>1</v>
      </c>
      <c r="AO65" s="17">
        <f t="shared" ca="1" si="27"/>
        <v>1</v>
      </c>
      <c r="AP65" s="17">
        <f t="shared" ca="1" si="27"/>
        <v>1</v>
      </c>
      <c r="AQ65" s="17">
        <f t="shared" ca="1" si="28"/>
        <v>0</v>
      </c>
      <c r="AR65" s="17">
        <f t="shared" ca="1" si="28"/>
        <v>1</v>
      </c>
      <c r="AS65" s="17">
        <f t="shared" ca="1" si="28"/>
        <v>1</v>
      </c>
      <c r="AT65" s="17">
        <f t="shared" ca="1" si="28"/>
        <v>1</v>
      </c>
      <c r="AU65" s="17">
        <f t="shared" ca="1" si="28"/>
        <v>1</v>
      </c>
      <c r="AV65" s="17">
        <f t="shared" ca="1" si="28"/>
        <v>1</v>
      </c>
      <c r="AW65" s="17">
        <f t="shared" ca="1" si="28"/>
        <v>1</v>
      </c>
      <c r="AX65" s="17">
        <f t="shared" ca="1" si="28"/>
        <v>0</v>
      </c>
      <c r="AY65" s="17">
        <f t="shared" ca="1" si="28"/>
        <v>1</v>
      </c>
      <c r="AZ65" s="17">
        <f t="shared" ca="1" si="28"/>
        <v>1</v>
      </c>
      <c r="BA65" s="17">
        <f t="shared" ca="1" si="29"/>
        <v>0</v>
      </c>
      <c r="BB65" s="17">
        <f t="shared" ca="1" si="29"/>
        <v>1</v>
      </c>
      <c r="BC65" s="17">
        <f t="shared" ca="1" si="29"/>
        <v>1</v>
      </c>
      <c r="BD65" s="17">
        <f t="shared" ca="1" si="29"/>
        <v>1</v>
      </c>
      <c r="BE65" s="17">
        <f t="shared" ca="1" si="29"/>
        <v>1</v>
      </c>
      <c r="BF65" s="17">
        <f t="shared" ca="1" si="29"/>
        <v>1</v>
      </c>
      <c r="BG65" s="17">
        <f t="shared" ca="1" si="29"/>
        <v>1</v>
      </c>
      <c r="BH65" s="17">
        <f t="shared" ca="1" si="29"/>
        <v>0</v>
      </c>
      <c r="BI65" s="17">
        <f t="shared" ca="1" si="29"/>
        <v>2.5000000000000001E-2</v>
      </c>
      <c r="BJ65" s="17">
        <f t="shared" ca="1" si="29"/>
        <v>0.13</v>
      </c>
      <c r="BK65" s="17">
        <f t="shared" ca="1" si="29"/>
        <v>0.06</v>
      </c>
      <c r="BL65" s="17">
        <f t="shared" ca="1" si="29"/>
        <v>1.2500000000000001E-2</v>
      </c>
    </row>
    <row r="66" spans="23:64" ht="22.5" customHeight="1" x14ac:dyDescent="0.3">
      <c r="W66" s="17" t="str">
        <f t="shared" ref="W66:AF75" ca="1" si="30">IFERROR(INDEX( PRODUKTE,   ROW()-ROW($A$5)+INDEX(prodRowOffset,W$3),  MATCH(W$2,OFFSET(INDEXNAMEN,W$3,0),0)),"")</f>
        <v>OGRO by ARCHITECTS</v>
      </c>
      <c r="X66" s="17" t="str">
        <f t="shared" ca="1" si="30"/>
        <v>8962 Braun Feldweg</v>
      </c>
      <c r="Y66" s="17">
        <f t="shared" ca="1" si="30"/>
        <v>1</v>
      </c>
      <c r="Z66" s="17">
        <f t="shared" ca="1" si="30"/>
        <v>1</v>
      </c>
      <c r="AA66" s="17">
        <f t="shared" ca="1" si="30"/>
        <v>0</v>
      </c>
      <c r="AB66" s="17">
        <f t="shared" ca="1" si="30"/>
        <v>0</v>
      </c>
      <c r="AC66" s="17">
        <f t="shared" ca="1" si="30"/>
        <v>1</v>
      </c>
      <c r="AD66" s="17">
        <f t="shared" ca="1" si="30"/>
        <v>0</v>
      </c>
      <c r="AE66" s="17">
        <f t="shared" ca="1" si="30"/>
        <v>1</v>
      </c>
      <c r="AF66" s="17">
        <f t="shared" ca="1" si="30"/>
        <v>41</v>
      </c>
      <c r="AG66" s="17">
        <f t="shared" ref="AG66:AP75" ca="1" si="31">IFERROR(INDEX( PRODUKTE,   ROW()-ROW($A$5)+INDEX(prodRowOffset,AG$3),  MATCH(AG$2,OFFSET(INDEXNAMEN,AG$3,0),0)),"")</f>
        <v>0</v>
      </c>
      <c r="AH66" s="17">
        <f t="shared" ca="1" si="31"/>
        <v>4</v>
      </c>
      <c r="AI66" s="17">
        <f t="shared" ca="1" si="31"/>
        <v>7</v>
      </c>
      <c r="AJ66" s="17">
        <f t="shared" ca="1" si="31"/>
        <v>4</v>
      </c>
      <c r="AK66" s="17">
        <f t="shared" ca="1" si="31"/>
        <v>1</v>
      </c>
      <c r="AL66" s="17">
        <f t="shared" ca="1" si="31"/>
        <v>5</v>
      </c>
      <c r="AM66" s="17">
        <f t="shared" ca="1" si="31"/>
        <v>0</v>
      </c>
      <c r="AN66" s="17">
        <f t="shared" ca="1" si="31"/>
        <v>1</v>
      </c>
      <c r="AO66" s="17">
        <f t="shared" ca="1" si="31"/>
        <v>1</v>
      </c>
      <c r="AP66" s="17">
        <f t="shared" ca="1" si="31"/>
        <v>1</v>
      </c>
      <c r="AQ66" s="17">
        <f t="shared" ref="AQ66:AZ75" ca="1" si="32">IFERROR(INDEX( PRODUKTE,   ROW()-ROW($A$5)+INDEX(prodRowOffset,AQ$3),  MATCH(AQ$2,OFFSET(INDEXNAMEN,AQ$3,0),0)),"")</f>
        <v>1</v>
      </c>
      <c r="AR66" s="17">
        <f t="shared" ca="1" si="32"/>
        <v>1</v>
      </c>
      <c r="AS66" s="17">
        <f t="shared" ca="1" si="32"/>
        <v>1</v>
      </c>
      <c r="AT66" s="17">
        <f t="shared" ca="1" si="32"/>
        <v>1</v>
      </c>
      <c r="AU66" s="17">
        <f t="shared" ca="1" si="32"/>
        <v>1</v>
      </c>
      <c r="AV66" s="17">
        <f t="shared" ca="1" si="32"/>
        <v>1</v>
      </c>
      <c r="AW66" s="17">
        <f t="shared" ca="1" si="32"/>
        <v>1</v>
      </c>
      <c r="AX66" s="17">
        <f t="shared" ca="1" si="32"/>
        <v>0</v>
      </c>
      <c r="AY66" s="17">
        <f t="shared" ca="1" si="32"/>
        <v>1</v>
      </c>
      <c r="AZ66" s="17">
        <f t="shared" ca="1" si="32"/>
        <v>1</v>
      </c>
      <c r="BA66" s="17">
        <f t="shared" ref="BA66:BL75" ca="1" si="33">IFERROR(INDEX( PRODUKTE,   ROW()-ROW($A$5)+INDEX(prodRowOffset,BA$3),  MATCH(BA$2,OFFSET(INDEXNAMEN,BA$3,0),0)),"")</f>
        <v>0</v>
      </c>
      <c r="BB66" s="17">
        <f t="shared" ca="1" si="33"/>
        <v>1</v>
      </c>
      <c r="BC66" s="17">
        <f t="shared" ca="1" si="33"/>
        <v>1</v>
      </c>
      <c r="BD66" s="17">
        <f t="shared" ca="1" si="33"/>
        <v>1</v>
      </c>
      <c r="BE66" s="17">
        <f t="shared" ca="1" si="33"/>
        <v>1</v>
      </c>
      <c r="BF66" s="17">
        <f t="shared" ca="1" si="33"/>
        <v>1</v>
      </c>
      <c r="BG66" s="17">
        <f t="shared" ca="1" si="33"/>
        <v>1</v>
      </c>
      <c r="BH66" s="17">
        <f t="shared" ca="1" si="33"/>
        <v>0</v>
      </c>
      <c r="BI66" s="17">
        <f t="shared" ca="1" si="33"/>
        <v>2.4E-2</v>
      </c>
      <c r="BJ66" s="17">
        <f t="shared" ca="1" si="33"/>
        <v>0.1195</v>
      </c>
      <c r="BK66" s="17">
        <f t="shared" ca="1" si="33"/>
        <v>7.2499999999999995E-2</v>
      </c>
      <c r="BL66" s="17">
        <f t="shared" ca="1" si="33"/>
        <v>1.2E-2</v>
      </c>
    </row>
    <row r="67" spans="23:64" ht="22.5" customHeight="1" x14ac:dyDescent="0.3">
      <c r="W67" s="17" t="str">
        <f t="shared" ca="1" si="30"/>
        <v>OGRO</v>
      </c>
      <c r="X67" s="17">
        <f t="shared" ca="1" si="30"/>
        <v>8968</v>
      </c>
      <c r="Y67" s="17">
        <f t="shared" ca="1" si="30"/>
        <v>0</v>
      </c>
      <c r="Z67" s="17">
        <f t="shared" ca="1" si="30"/>
        <v>0</v>
      </c>
      <c r="AA67" s="17">
        <f t="shared" ca="1" si="30"/>
        <v>0</v>
      </c>
      <c r="AB67" s="17">
        <f t="shared" ca="1" si="30"/>
        <v>0</v>
      </c>
      <c r="AC67" s="17">
        <f t="shared" ca="1" si="30"/>
        <v>1</v>
      </c>
      <c r="AD67" s="17">
        <f t="shared" ca="1" si="30"/>
        <v>0</v>
      </c>
      <c r="AE67" s="17">
        <f t="shared" ca="1" si="30"/>
        <v>1</v>
      </c>
      <c r="AF67" s="17">
        <f t="shared" ca="1" si="30"/>
        <v>42</v>
      </c>
      <c r="AG67" s="17">
        <f t="shared" ca="1" si="31"/>
        <v>0</v>
      </c>
      <c r="AH67" s="17">
        <f t="shared" ca="1" si="31"/>
        <v>4</v>
      </c>
      <c r="AI67" s="17">
        <f t="shared" ca="1" si="31"/>
        <v>7</v>
      </c>
      <c r="AJ67" s="17">
        <f t="shared" ca="1" si="31"/>
        <v>0</v>
      </c>
      <c r="AK67" s="17">
        <f t="shared" ca="1" si="31"/>
        <v>1</v>
      </c>
      <c r="AL67" s="17">
        <f t="shared" ca="1" si="31"/>
        <v>5</v>
      </c>
      <c r="AM67" s="17">
        <f t="shared" ca="1" si="31"/>
        <v>0</v>
      </c>
      <c r="AN67" s="17">
        <f t="shared" ca="1" si="31"/>
        <v>0</v>
      </c>
      <c r="AO67" s="17">
        <f t="shared" ca="1" si="31"/>
        <v>0</v>
      </c>
      <c r="AP67" s="17">
        <f t="shared" ca="1" si="31"/>
        <v>0</v>
      </c>
      <c r="AQ67" s="17">
        <f t="shared" ca="1" si="32"/>
        <v>1</v>
      </c>
      <c r="AR67" s="17">
        <f t="shared" ca="1" si="32"/>
        <v>1</v>
      </c>
      <c r="AS67" s="17">
        <f t="shared" ca="1" si="32"/>
        <v>1</v>
      </c>
      <c r="AT67" s="17">
        <f t="shared" ca="1" si="32"/>
        <v>1</v>
      </c>
      <c r="AU67" s="17">
        <f t="shared" ca="1" si="32"/>
        <v>1</v>
      </c>
      <c r="AV67" s="17">
        <f t="shared" ca="1" si="32"/>
        <v>1</v>
      </c>
      <c r="AW67" s="17">
        <f t="shared" ca="1" si="32"/>
        <v>1</v>
      </c>
      <c r="AX67" s="17">
        <f t="shared" ca="1" si="32"/>
        <v>0</v>
      </c>
      <c r="AY67" s="17">
        <f t="shared" ca="1" si="32"/>
        <v>1</v>
      </c>
      <c r="AZ67" s="17">
        <f t="shared" ca="1" si="32"/>
        <v>1</v>
      </c>
      <c r="BA67" s="17">
        <f t="shared" ca="1" si="33"/>
        <v>0</v>
      </c>
      <c r="BB67" s="17">
        <f t="shared" ca="1" si="33"/>
        <v>1</v>
      </c>
      <c r="BC67" s="17">
        <f t="shared" ca="1" si="33"/>
        <v>1</v>
      </c>
      <c r="BD67" s="17">
        <f t="shared" ca="1" si="33"/>
        <v>1</v>
      </c>
      <c r="BE67" s="17">
        <f t="shared" ca="1" si="33"/>
        <v>1</v>
      </c>
      <c r="BF67" s="17">
        <f t="shared" ca="1" si="33"/>
        <v>1</v>
      </c>
      <c r="BG67" s="17">
        <f t="shared" ca="1" si="33"/>
        <v>1</v>
      </c>
      <c r="BH67" s="17">
        <f t="shared" ca="1" si="33"/>
        <v>0</v>
      </c>
      <c r="BI67" s="17">
        <f t="shared" ca="1" si="33"/>
        <v>2.35E-2</v>
      </c>
      <c r="BJ67" s="17">
        <f t="shared" ca="1" si="33"/>
        <v>0.126</v>
      </c>
      <c r="BK67" s="17">
        <f t="shared" ca="1" si="33"/>
        <v>6.4000000000000001E-2</v>
      </c>
      <c r="BL67" s="17">
        <f t="shared" ca="1" si="33"/>
        <v>1.175E-2</v>
      </c>
    </row>
    <row r="68" spans="23:64" ht="22.5" customHeight="1" x14ac:dyDescent="0.3">
      <c r="W68" s="17" t="str">
        <f t="shared" ca="1" si="30"/>
        <v>OGRO by ARCHITECTS</v>
      </c>
      <c r="X68" s="17" t="str">
        <f t="shared" ca="1" si="30"/>
        <v>8972 Wagenfeld</v>
      </c>
      <c r="Y68" s="17">
        <f t="shared" ca="1" si="30"/>
        <v>1</v>
      </c>
      <c r="Z68" s="17">
        <f t="shared" ca="1" si="30"/>
        <v>1</v>
      </c>
      <c r="AA68" s="17">
        <f t="shared" ca="1" si="30"/>
        <v>0</v>
      </c>
      <c r="AB68" s="17">
        <f t="shared" ca="1" si="30"/>
        <v>0</v>
      </c>
      <c r="AC68" s="17">
        <f t="shared" ca="1" si="30"/>
        <v>1</v>
      </c>
      <c r="AD68" s="17">
        <f t="shared" ca="1" si="30"/>
        <v>0</v>
      </c>
      <c r="AE68" s="17">
        <f t="shared" ca="1" si="30"/>
        <v>1</v>
      </c>
      <c r="AF68" s="17">
        <f t="shared" ca="1" si="30"/>
        <v>43</v>
      </c>
      <c r="AG68" s="17">
        <f t="shared" ca="1" si="31"/>
        <v>90</v>
      </c>
      <c r="AH68" s="17">
        <f t="shared" ca="1" si="31"/>
        <v>4</v>
      </c>
      <c r="AI68" s="17">
        <f t="shared" ca="1" si="31"/>
        <v>7</v>
      </c>
      <c r="AJ68" s="17">
        <f t="shared" ca="1" si="31"/>
        <v>4</v>
      </c>
      <c r="AK68" s="17">
        <f t="shared" ca="1" si="31"/>
        <v>1</v>
      </c>
      <c r="AL68" s="17">
        <f t="shared" ca="1" si="31"/>
        <v>5</v>
      </c>
      <c r="AM68" s="17">
        <f t="shared" ca="1" si="31"/>
        <v>1</v>
      </c>
      <c r="AN68" s="17">
        <f t="shared" ca="1" si="31"/>
        <v>1</v>
      </c>
      <c r="AO68" s="17">
        <f t="shared" ca="1" si="31"/>
        <v>1</v>
      </c>
      <c r="AP68" s="17">
        <f t="shared" ca="1" si="31"/>
        <v>1</v>
      </c>
      <c r="AQ68" s="17">
        <f t="shared" ca="1" si="32"/>
        <v>1</v>
      </c>
      <c r="AR68" s="17">
        <f t="shared" ca="1" si="32"/>
        <v>1</v>
      </c>
      <c r="AS68" s="17">
        <f t="shared" ca="1" si="32"/>
        <v>1</v>
      </c>
      <c r="AT68" s="17">
        <f t="shared" ca="1" si="32"/>
        <v>1</v>
      </c>
      <c r="AU68" s="17">
        <f t="shared" ca="1" si="32"/>
        <v>1</v>
      </c>
      <c r="AV68" s="17">
        <f t="shared" ca="1" si="32"/>
        <v>1</v>
      </c>
      <c r="AW68" s="17">
        <f t="shared" ca="1" si="32"/>
        <v>1</v>
      </c>
      <c r="AX68" s="17">
        <f t="shared" ca="1" si="32"/>
        <v>0</v>
      </c>
      <c r="AY68" s="17">
        <f t="shared" ca="1" si="32"/>
        <v>1</v>
      </c>
      <c r="AZ68" s="17">
        <f t="shared" ca="1" si="32"/>
        <v>1</v>
      </c>
      <c r="BA68" s="17">
        <f t="shared" ca="1" si="33"/>
        <v>0</v>
      </c>
      <c r="BB68" s="17">
        <f t="shared" ca="1" si="33"/>
        <v>1</v>
      </c>
      <c r="BC68" s="17">
        <f t="shared" ca="1" si="33"/>
        <v>1</v>
      </c>
      <c r="BD68" s="17">
        <f t="shared" ca="1" si="33"/>
        <v>1</v>
      </c>
      <c r="BE68" s="17">
        <f t="shared" ca="1" si="33"/>
        <v>1</v>
      </c>
      <c r="BF68" s="17">
        <f t="shared" ca="1" si="33"/>
        <v>1</v>
      </c>
      <c r="BG68" s="17">
        <f t="shared" ca="1" si="33"/>
        <v>1</v>
      </c>
      <c r="BH68" s="17">
        <f t="shared" ca="1" si="33"/>
        <v>0</v>
      </c>
      <c r="BI68" s="17">
        <f t="shared" ca="1" si="33"/>
        <v>2.35E-2</v>
      </c>
      <c r="BJ68" s="17">
        <f t="shared" ca="1" si="33"/>
        <v>0.124</v>
      </c>
      <c r="BK68" s="17">
        <f t="shared" ca="1" si="33"/>
        <v>5.3999999999999999E-2</v>
      </c>
      <c r="BL68" s="17">
        <f t="shared" ca="1" si="33"/>
        <v>1.175E-2</v>
      </c>
    </row>
    <row r="69" spans="23:64" ht="22.5" customHeight="1" x14ac:dyDescent="0.3">
      <c r="W69" s="17" t="str">
        <f t="shared" ca="1" si="30"/>
        <v>OGRO by ARCHITECTS</v>
      </c>
      <c r="X69" s="17" t="str">
        <f t="shared" ca="1" si="30"/>
        <v>8972A Wagenfeld</v>
      </c>
      <c r="Y69" s="17">
        <f t="shared" ca="1" si="30"/>
        <v>1</v>
      </c>
      <c r="Z69" s="17">
        <f t="shared" ca="1" si="30"/>
        <v>1</v>
      </c>
      <c r="AA69" s="17">
        <f t="shared" ca="1" si="30"/>
        <v>0</v>
      </c>
      <c r="AB69" s="17">
        <f t="shared" ca="1" si="30"/>
        <v>0</v>
      </c>
      <c r="AC69" s="17">
        <f t="shared" ca="1" si="30"/>
        <v>1</v>
      </c>
      <c r="AD69" s="17">
        <f t="shared" ca="1" si="30"/>
        <v>1</v>
      </c>
      <c r="AE69" s="17">
        <f t="shared" ca="1" si="30"/>
        <v>1</v>
      </c>
      <c r="AF69" s="17">
        <f t="shared" ca="1" si="30"/>
        <v>0</v>
      </c>
      <c r="AG69" s="17">
        <f t="shared" ca="1" si="31"/>
        <v>91</v>
      </c>
      <c r="AH69" s="17">
        <f t="shared" ca="1" si="31"/>
        <v>4</v>
      </c>
      <c r="AI69" s="17">
        <f t="shared" ca="1" si="31"/>
        <v>7</v>
      </c>
      <c r="AJ69" s="17">
        <f t="shared" ca="1" si="31"/>
        <v>3</v>
      </c>
      <c r="AK69" s="17">
        <f t="shared" ca="1" si="31"/>
        <v>1</v>
      </c>
      <c r="AL69" s="17">
        <f t="shared" ca="1" si="31"/>
        <v>5</v>
      </c>
      <c r="AM69" s="17">
        <f t="shared" ca="1" si="31"/>
        <v>1</v>
      </c>
      <c r="AN69" s="17">
        <f t="shared" ca="1" si="31"/>
        <v>1</v>
      </c>
      <c r="AO69" s="17">
        <f t="shared" ca="1" si="31"/>
        <v>1</v>
      </c>
      <c r="AP69" s="17">
        <f t="shared" ca="1" si="31"/>
        <v>1</v>
      </c>
      <c r="AQ69" s="17">
        <f t="shared" ca="1" si="32"/>
        <v>0</v>
      </c>
      <c r="AR69" s="17">
        <f t="shared" ca="1" si="32"/>
        <v>0</v>
      </c>
      <c r="AS69" s="17">
        <f t="shared" ca="1" si="32"/>
        <v>0</v>
      </c>
      <c r="AT69" s="17">
        <f t="shared" ca="1" si="32"/>
        <v>0</v>
      </c>
      <c r="AU69" s="17">
        <f t="shared" ca="1" si="32"/>
        <v>0</v>
      </c>
      <c r="AV69" s="17">
        <f t="shared" ca="1" si="32"/>
        <v>0</v>
      </c>
      <c r="AW69" s="17">
        <f t="shared" ca="1" si="32"/>
        <v>0</v>
      </c>
      <c r="AX69" s="17">
        <f t="shared" ca="1" si="32"/>
        <v>0</v>
      </c>
      <c r="AY69" s="17">
        <f t="shared" ca="1" si="32"/>
        <v>1</v>
      </c>
      <c r="AZ69" s="17">
        <f t="shared" ca="1" si="32"/>
        <v>1</v>
      </c>
      <c r="BA69" s="17">
        <f t="shared" ca="1" si="33"/>
        <v>0</v>
      </c>
      <c r="BB69" s="17">
        <f t="shared" ca="1" si="33"/>
        <v>1</v>
      </c>
      <c r="BC69" s="17">
        <f t="shared" ca="1" si="33"/>
        <v>1</v>
      </c>
      <c r="BD69" s="17">
        <f t="shared" ca="1" si="33"/>
        <v>1</v>
      </c>
      <c r="BE69" s="17">
        <f t="shared" ca="1" si="33"/>
        <v>1</v>
      </c>
      <c r="BF69" s="17">
        <f t="shared" ca="1" si="33"/>
        <v>1</v>
      </c>
      <c r="BG69" s="17">
        <f t="shared" ca="1" si="33"/>
        <v>0</v>
      </c>
      <c r="BH69" s="17">
        <f t="shared" ca="1" si="33"/>
        <v>0</v>
      </c>
      <c r="BI69" s="17">
        <f t="shared" ca="1" si="33"/>
        <v>2.35E-2</v>
      </c>
      <c r="BJ69" s="17">
        <f t="shared" ca="1" si="33"/>
        <v>0.14399999999999999</v>
      </c>
      <c r="BK69" s="17">
        <f t="shared" ca="1" si="33"/>
        <v>7.0999999999999994E-2</v>
      </c>
      <c r="BL69" s="17">
        <f t="shared" ca="1" si="33"/>
        <v>1.175E-2</v>
      </c>
    </row>
    <row r="70" spans="23:64" ht="22.5" customHeight="1" x14ac:dyDescent="0.3">
      <c r="W70" s="17" t="str">
        <f t="shared" ca="1" si="30"/>
        <v>OGRO by ARCHITECTS</v>
      </c>
      <c r="X70" s="17" t="str">
        <f t="shared" ca="1" si="30"/>
        <v>8974 Wagenfeld</v>
      </c>
      <c r="Y70" s="17">
        <f t="shared" ca="1" si="30"/>
        <v>0</v>
      </c>
      <c r="Z70" s="17">
        <f t="shared" ca="1" si="30"/>
        <v>0</v>
      </c>
      <c r="AA70" s="17">
        <f t="shared" ca="1" si="30"/>
        <v>0</v>
      </c>
      <c r="AB70" s="17">
        <f t="shared" ca="1" si="30"/>
        <v>0</v>
      </c>
      <c r="AC70" s="17">
        <f t="shared" ca="1" si="30"/>
        <v>1</v>
      </c>
      <c r="AD70" s="17">
        <f t="shared" ca="1" si="30"/>
        <v>0</v>
      </c>
      <c r="AE70" s="17">
        <f t="shared" ca="1" si="30"/>
        <v>1</v>
      </c>
      <c r="AF70" s="17">
        <f t="shared" ca="1" si="30"/>
        <v>44</v>
      </c>
      <c r="AG70" s="17">
        <f t="shared" ca="1" si="31"/>
        <v>0</v>
      </c>
      <c r="AH70" s="17">
        <f t="shared" ca="1" si="31"/>
        <v>4</v>
      </c>
      <c r="AI70" s="17">
        <f t="shared" ca="1" si="31"/>
        <v>7</v>
      </c>
      <c r="AJ70" s="17">
        <f t="shared" ca="1" si="31"/>
        <v>0</v>
      </c>
      <c r="AK70" s="17">
        <f t="shared" ca="1" si="31"/>
        <v>1</v>
      </c>
      <c r="AL70" s="17">
        <f t="shared" ca="1" si="31"/>
        <v>5</v>
      </c>
      <c r="AM70" s="17">
        <f t="shared" ca="1" si="31"/>
        <v>0</v>
      </c>
      <c r="AN70" s="17">
        <f t="shared" ca="1" si="31"/>
        <v>0</v>
      </c>
      <c r="AO70" s="17">
        <f t="shared" ca="1" si="31"/>
        <v>0</v>
      </c>
      <c r="AP70" s="17">
        <f t="shared" ca="1" si="31"/>
        <v>0</v>
      </c>
      <c r="AQ70" s="17">
        <f t="shared" ca="1" si="32"/>
        <v>1</v>
      </c>
      <c r="AR70" s="17">
        <f t="shared" ca="1" si="32"/>
        <v>1</v>
      </c>
      <c r="AS70" s="17">
        <f t="shared" ca="1" si="32"/>
        <v>1</v>
      </c>
      <c r="AT70" s="17">
        <f t="shared" ca="1" si="32"/>
        <v>1</v>
      </c>
      <c r="AU70" s="17">
        <f t="shared" ca="1" si="32"/>
        <v>1</v>
      </c>
      <c r="AV70" s="17">
        <f t="shared" ca="1" si="32"/>
        <v>1</v>
      </c>
      <c r="AW70" s="17">
        <f t="shared" ca="1" si="32"/>
        <v>1</v>
      </c>
      <c r="AX70" s="17">
        <f t="shared" ca="1" si="32"/>
        <v>0</v>
      </c>
      <c r="AY70" s="17">
        <f t="shared" ca="1" si="32"/>
        <v>1</v>
      </c>
      <c r="AZ70" s="17">
        <f t="shared" ca="1" si="32"/>
        <v>1</v>
      </c>
      <c r="BA70" s="17">
        <f t="shared" ca="1" si="33"/>
        <v>0</v>
      </c>
      <c r="BB70" s="17">
        <f t="shared" ca="1" si="33"/>
        <v>1</v>
      </c>
      <c r="BC70" s="17">
        <f t="shared" ca="1" si="33"/>
        <v>1</v>
      </c>
      <c r="BD70" s="17">
        <f t="shared" ca="1" si="33"/>
        <v>1</v>
      </c>
      <c r="BE70" s="17">
        <f t="shared" ca="1" si="33"/>
        <v>1</v>
      </c>
      <c r="BF70" s="17">
        <f t="shared" ca="1" si="33"/>
        <v>1</v>
      </c>
      <c r="BG70" s="17">
        <f t="shared" ca="1" si="33"/>
        <v>1</v>
      </c>
      <c r="BH70" s="17">
        <f t="shared" ca="1" si="33"/>
        <v>0</v>
      </c>
      <c r="BI70" s="17">
        <f t="shared" ca="1" si="33"/>
        <v>2.35E-2</v>
      </c>
      <c r="BJ70" s="17">
        <f t="shared" ca="1" si="33"/>
        <v>0.12</v>
      </c>
      <c r="BK70" s="17">
        <f t="shared" ca="1" si="33"/>
        <v>5.7000000000000002E-2</v>
      </c>
      <c r="BL70" s="17">
        <f t="shared" ca="1" si="33"/>
        <v>1.175E-2</v>
      </c>
    </row>
    <row r="71" spans="23:64" ht="22.5" customHeight="1" x14ac:dyDescent="0.3">
      <c r="W71" s="17" t="str">
        <f t="shared" ca="1" si="30"/>
        <v>OGRO by ARCHITECTS</v>
      </c>
      <c r="X71" s="17" t="str">
        <f t="shared" ca="1" si="30"/>
        <v>8990 Botti</v>
      </c>
      <c r="Y71" s="17">
        <f t="shared" ca="1" si="30"/>
        <v>1</v>
      </c>
      <c r="Z71" s="17">
        <f t="shared" ca="1" si="30"/>
        <v>1</v>
      </c>
      <c r="AA71" s="17">
        <f t="shared" ca="1" si="30"/>
        <v>0</v>
      </c>
      <c r="AB71" s="17">
        <f t="shared" ca="1" si="30"/>
        <v>0</v>
      </c>
      <c r="AC71" s="17">
        <f t="shared" ca="1" si="30"/>
        <v>1</v>
      </c>
      <c r="AD71" s="17">
        <f t="shared" ca="1" si="30"/>
        <v>0</v>
      </c>
      <c r="AE71" s="17">
        <f t="shared" ca="1" si="30"/>
        <v>1</v>
      </c>
      <c r="AF71" s="17">
        <f t="shared" ca="1" si="30"/>
        <v>45</v>
      </c>
      <c r="AG71" s="17">
        <f t="shared" ca="1" si="31"/>
        <v>0</v>
      </c>
      <c r="AH71" s="17">
        <f t="shared" ca="1" si="31"/>
        <v>4</v>
      </c>
      <c r="AI71" s="17">
        <f t="shared" ca="1" si="31"/>
        <v>7</v>
      </c>
      <c r="AJ71" s="17">
        <f t="shared" ca="1" si="31"/>
        <v>3</v>
      </c>
      <c r="AK71" s="17">
        <f t="shared" ca="1" si="31"/>
        <v>1</v>
      </c>
      <c r="AL71" s="17">
        <f t="shared" ca="1" si="31"/>
        <v>5</v>
      </c>
      <c r="AM71" s="17">
        <f t="shared" ca="1" si="31"/>
        <v>1</v>
      </c>
      <c r="AN71" s="17">
        <f t="shared" ca="1" si="31"/>
        <v>1</v>
      </c>
      <c r="AO71" s="17">
        <f t="shared" ca="1" si="31"/>
        <v>1</v>
      </c>
      <c r="AP71" s="17">
        <f t="shared" ca="1" si="31"/>
        <v>1</v>
      </c>
      <c r="AQ71" s="17">
        <f t="shared" ca="1" si="32"/>
        <v>0</v>
      </c>
      <c r="AR71" s="17">
        <f t="shared" ca="1" si="32"/>
        <v>1</v>
      </c>
      <c r="AS71" s="17">
        <f t="shared" ca="1" si="32"/>
        <v>1</v>
      </c>
      <c r="AT71" s="17">
        <f t="shared" ca="1" si="32"/>
        <v>1</v>
      </c>
      <c r="AU71" s="17">
        <f t="shared" ca="1" si="32"/>
        <v>1</v>
      </c>
      <c r="AV71" s="17">
        <f t="shared" ca="1" si="32"/>
        <v>1</v>
      </c>
      <c r="AW71" s="17">
        <f t="shared" ca="1" si="32"/>
        <v>1</v>
      </c>
      <c r="AX71" s="17">
        <f t="shared" ca="1" si="32"/>
        <v>0</v>
      </c>
      <c r="AY71" s="17">
        <f t="shared" ca="1" si="32"/>
        <v>1</v>
      </c>
      <c r="AZ71" s="17">
        <f t="shared" ca="1" si="32"/>
        <v>1</v>
      </c>
      <c r="BA71" s="17">
        <f t="shared" ca="1" si="33"/>
        <v>0</v>
      </c>
      <c r="BB71" s="17">
        <f t="shared" ca="1" si="33"/>
        <v>1</v>
      </c>
      <c r="BC71" s="17">
        <f t="shared" ca="1" si="33"/>
        <v>1</v>
      </c>
      <c r="BD71" s="17">
        <f t="shared" ca="1" si="33"/>
        <v>1</v>
      </c>
      <c r="BE71" s="17">
        <f t="shared" ca="1" si="33"/>
        <v>1</v>
      </c>
      <c r="BF71" s="17">
        <f t="shared" ca="1" si="33"/>
        <v>1</v>
      </c>
      <c r="BG71" s="17">
        <f t="shared" ca="1" si="33"/>
        <v>1</v>
      </c>
      <c r="BH71" s="17">
        <f t="shared" ca="1" si="33"/>
        <v>0</v>
      </c>
      <c r="BI71" s="17">
        <f t="shared" ca="1" si="33"/>
        <v>2.1999999999999999E-2</v>
      </c>
      <c r="BJ71" s="17">
        <f t="shared" ca="1" si="33"/>
        <v>0.13</v>
      </c>
      <c r="BK71" s="17">
        <f t="shared" ca="1" si="33"/>
        <v>5.1999999999999998E-2</v>
      </c>
      <c r="BL71" s="17">
        <f t="shared" ca="1" si="33"/>
        <v>1.0999999999999999E-2</v>
      </c>
    </row>
    <row r="72" spans="23:64" ht="22.5" customHeight="1" x14ac:dyDescent="0.3">
      <c r="W72" s="17" t="str">
        <f t="shared" ca="1" si="30"/>
        <v>OGRO by ARCHITECTS</v>
      </c>
      <c r="X72" s="17" t="str">
        <f t="shared" ca="1" si="30"/>
        <v>8991 Botti</v>
      </c>
      <c r="Y72" s="17">
        <f t="shared" ca="1" si="30"/>
        <v>1</v>
      </c>
      <c r="Z72" s="17">
        <f t="shared" ca="1" si="30"/>
        <v>1</v>
      </c>
      <c r="AA72" s="17">
        <f t="shared" ca="1" si="30"/>
        <v>1</v>
      </c>
      <c r="AB72" s="17">
        <f t="shared" ca="1" si="30"/>
        <v>0</v>
      </c>
      <c r="AC72" s="17">
        <f t="shared" ca="1" si="30"/>
        <v>1</v>
      </c>
      <c r="AD72" s="17">
        <f t="shared" ca="1" si="30"/>
        <v>0</v>
      </c>
      <c r="AE72" s="17">
        <f t="shared" ca="1" si="30"/>
        <v>1</v>
      </c>
      <c r="AF72" s="17">
        <f t="shared" ca="1" si="30"/>
        <v>46</v>
      </c>
      <c r="AG72" s="17">
        <f t="shared" ca="1" si="31"/>
        <v>92</v>
      </c>
      <c r="AH72" s="17">
        <f t="shared" ca="1" si="31"/>
        <v>4</v>
      </c>
      <c r="AI72" s="17">
        <f t="shared" ca="1" si="31"/>
        <v>7</v>
      </c>
      <c r="AJ72" s="17">
        <f t="shared" ca="1" si="31"/>
        <v>3</v>
      </c>
      <c r="AK72" s="17">
        <f t="shared" ca="1" si="31"/>
        <v>1</v>
      </c>
      <c r="AL72" s="17">
        <f t="shared" ca="1" si="31"/>
        <v>5</v>
      </c>
      <c r="AM72" s="17">
        <f t="shared" ca="1" si="31"/>
        <v>1</v>
      </c>
      <c r="AN72" s="17">
        <f t="shared" ca="1" si="31"/>
        <v>1</v>
      </c>
      <c r="AO72" s="17">
        <f t="shared" ca="1" si="31"/>
        <v>1</v>
      </c>
      <c r="AP72" s="17">
        <f t="shared" ca="1" si="31"/>
        <v>1</v>
      </c>
      <c r="AQ72" s="17">
        <f t="shared" ca="1" si="32"/>
        <v>0</v>
      </c>
      <c r="AR72" s="17">
        <f t="shared" ca="1" si="32"/>
        <v>1</v>
      </c>
      <c r="AS72" s="17">
        <f t="shared" ca="1" si="32"/>
        <v>1</v>
      </c>
      <c r="AT72" s="17">
        <f t="shared" ca="1" si="32"/>
        <v>1</v>
      </c>
      <c r="AU72" s="17">
        <f t="shared" ca="1" si="32"/>
        <v>1</v>
      </c>
      <c r="AV72" s="17">
        <f t="shared" ca="1" si="32"/>
        <v>1</v>
      </c>
      <c r="AW72" s="17">
        <f t="shared" ca="1" si="32"/>
        <v>1</v>
      </c>
      <c r="AX72" s="17">
        <f t="shared" ca="1" si="32"/>
        <v>0</v>
      </c>
      <c r="AY72" s="17">
        <f t="shared" ca="1" si="32"/>
        <v>1</v>
      </c>
      <c r="AZ72" s="17">
        <f t="shared" ca="1" si="32"/>
        <v>1</v>
      </c>
      <c r="BA72" s="17">
        <f t="shared" ca="1" si="33"/>
        <v>0</v>
      </c>
      <c r="BB72" s="17">
        <f t="shared" ca="1" si="33"/>
        <v>1</v>
      </c>
      <c r="BC72" s="17">
        <f t="shared" ca="1" si="33"/>
        <v>1</v>
      </c>
      <c r="BD72" s="17">
        <f t="shared" ca="1" si="33"/>
        <v>1</v>
      </c>
      <c r="BE72" s="17">
        <f t="shared" ca="1" si="33"/>
        <v>1</v>
      </c>
      <c r="BF72" s="17">
        <f t="shared" ca="1" si="33"/>
        <v>1</v>
      </c>
      <c r="BG72" s="17">
        <f t="shared" ca="1" si="33"/>
        <v>1</v>
      </c>
      <c r="BH72" s="17">
        <f t="shared" ca="1" si="33"/>
        <v>0</v>
      </c>
      <c r="BI72" s="17">
        <f t="shared" ca="1" si="33"/>
        <v>2.1999999999999999E-2</v>
      </c>
      <c r="BJ72" s="17">
        <f t="shared" ca="1" si="33"/>
        <v>0.13600000000000001</v>
      </c>
      <c r="BK72" s="17">
        <f t="shared" ca="1" si="33"/>
        <v>5.0999999999999997E-2</v>
      </c>
      <c r="BL72" s="17">
        <f t="shared" ca="1" si="33"/>
        <v>1.0999999999999999E-2</v>
      </c>
    </row>
    <row r="73" spans="23:64" ht="22.5" customHeight="1" x14ac:dyDescent="0.3">
      <c r="W73" s="17" t="str">
        <f t="shared" ca="1" si="30"/>
        <v>OGRO by ARCHITECTS</v>
      </c>
      <c r="X73" s="17" t="str">
        <f t="shared" ca="1" si="30"/>
        <v>8991A Botti</v>
      </c>
      <c r="Y73" s="17">
        <f t="shared" ca="1" si="30"/>
        <v>1</v>
      </c>
      <c r="Z73" s="17">
        <f t="shared" ca="1" si="30"/>
        <v>1</v>
      </c>
      <c r="AA73" s="17">
        <f t="shared" ca="1" si="30"/>
        <v>1</v>
      </c>
      <c r="AB73" s="17">
        <f t="shared" ca="1" si="30"/>
        <v>0</v>
      </c>
      <c r="AC73" s="17">
        <f t="shared" ca="1" si="30"/>
        <v>1</v>
      </c>
      <c r="AD73" s="17">
        <f t="shared" ca="1" si="30"/>
        <v>1</v>
      </c>
      <c r="AE73" s="17">
        <f t="shared" ca="1" si="30"/>
        <v>1</v>
      </c>
      <c r="AF73" s="17">
        <f t="shared" ca="1" si="30"/>
        <v>0</v>
      </c>
      <c r="AG73" s="17">
        <f t="shared" ca="1" si="31"/>
        <v>93</v>
      </c>
      <c r="AH73" s="17">
        <f t="shared" ca="1" si="31"/>
        <v>4</v>
      </c>
      <c r="AI73" s="17">
        <f t="shared" ca="1" si="31"/>
        <v>7</v>
      </c>
      <c r="AJ73" s="17">
        <f t="shared" ca="1" si="31"/>
        <v>3</v>
      </c>
      <c r="AK73" s="17">
        <f t="shared" ca="1" si="31"/>
        <v>1</v>
      </c>
      <c r="AL73" s="17">
        <f t="shared" ca="1" si="31"/>
        <v>5</v>
      </c>
      <c r="AM73" s="17">
        <f t="shared" ca="1" si="31"/>
        <v>1</v>
      </c>
      <c r="AN73" s="17">
        <f t="shared" ca="1" si="31"/>
        <v>1</v>
      </c>
      <c r="AO73" s="17">
        <f t="shared" ca="1" si="31"/>
        <v>1</v>
      </c>
      <c r="AP73" s="17">
        <f t="shared" ca="1" si="31"/>
        <v>1</v>
      </c>
      <c r="AQ73" s="17">
        <f t="shared" ca="1" si="32"/>
        <v>0</v>
      </c>
      <c r="AR73" s="17">
        <f t="shared" ca="1" si="32"/>
        <v>0</v>
      </c>
      <c r="AS73" s="17">
        <f t="shared" ca="1" si="32"/>
        <v>0</v>
      </c>
      <c r="AT73" s="17">
        <f t="shared" ca="1" si="32"/>
        <v>0</v>
      </c>
      <c r="AU73" s="17">
        <f t="shared" ca="1" si="32"/>
        <v>0</v>
      </c>
      <c r="AV73" s="17">
        <f t="shared" ca="1" si="32"/>
        <v>0</v>
      </c>
      <c r="AW73" s="17">
        <f t="shared" ca="1" si="32"/>
        <v>0</v>
      </c>
      <c r="AX73" s="17">
        <f t="shared" ca="1" si="32"/>
        <v>0</v>
      </c>
      <c r="AY73" s="17">
        <f t="shared" ca="1" si="32"/>
        <v>1</v>
      </c>
      <c r="AZ73" s="17">
        <f t="shared" ca="1" si="32"/>
        <v>1</v>
      </c>
      <c r="BA73" s="17">
        <f t="shared" ca="1" si="33"/>
        <v>0</v>
      </c>
      <c r="BB73" s="17">
        <f t="shared" ca="1" si="33"/>
        <v>1</v>
      </c>
      <c r="BC73" s="17">
        <f t="shared" ca="1" si="33"/>
        <v>1</v>
      </c>
      <c r="BD73" s="17">
        <f t="shared" ca="1" si="33"/>
        <v>1</v>
      </c>
      <c r="BE73" s="17">
        <f t="shared" ca="1" si="33"/>
        <v>1</v>
      </c>
      <c r="BF73" s="17">
        <f t="shared" ca="1" si="33"/>
        <v>1</v>
      </c>
      <c r="BG73" s="17">
        <f t="shared" ca="1" si="33"/>
        <v>0</v>
      </c>
      <c r="BH73" s="17">
        <f t="shared" ca="1" si="33"/>
        <v>0</v>
      </c>
      <c r="BI73" s="17">
        <f t="shared" ca="1" si="33"/>
        <v>2.35E-2</v>
      </c>
      <c r="BJ73" s="17">
        <f t="shared" ca="1" si="33"/>
        <v>0.156</v>
      </c>
      <c r="BK73" s="17">
        <f t="shared" ca="1" si="33"/>
        <v>5.0999999999999997E-2</v>
      </c>
      <c r="BL73" s="17">
        <f t="shared" ca="1" si="33"/>
        <v>1.175E-2</v>
      </c>
    </row>
    <row r="74" spans="23:64" ht="22.5" customHeight="1" x14ac:dyDescent="0.3">
      <c r="W74" s="17" t="str">
        <f t="shared" ca="1" si="30"/>
        <v>OGRO</v>
      </c>
      <c r="X74" s="17">
        <f t="shared" ca="1" si="30"/>
        <v>8998</v>
      </c>
      <c r="Y74" s="17">
        <f t="shared" ca="1" si="30"/>
        <v>1</v>
      </c>
      <c r="Z74" s="17">
        <f t="shared" ca="1" si="30"/>
        <v>1</v>
      </c>
      <c r="AA74" s="17">
        <f t="shared" ca="1" si="30"/>
        <v>0</v>
      </c>
      <c r="AB74" s="17">
        <f t="shared" ca="1" si="30"/>
        <v>0</v>
      </c>
      <c r="AC74" s="17">
        <f t="shared" ca="1" si="30"/>
        <v>1</v>
      </c>
      <c r="AD74" s="17">
        <f t="shared" ca="1" si="30"/>
        <v>0</v>
      </c>
      <c r="AE74" s="17">
        <f t="shared" ca="1" si="30"/>
        <v>1</v>
      </c>
      <c r="AF74" s="17">
        <f t="shared" ca="1" si="30"/>
        <v>47</v>
      </c>
      <c r="AG74" s="17">
        <f t="shared" ca="1" si="31"/>
        <v>94</v>
      </c>
      <c r="AH74" s="17">
        <f t="shared" ca="1" si="31"/>
        <v>4</v>
      </c>
      <c r="AI74" s="17">
        <f t="shared" ca="1" si="31"/>
        <v>7</v>
      </c>
      <c r="AJ74" s="17">
        <f t="shared" ca="1" si="31"/>
        <v>4</v>
      </c>
      <c r="AK74" s="17">
        <f t="shared" ca="1" si="31"/>
        <v>1</v>
      </c>
      <c r="AL74" s="17">
        <f t="shared" ca="1" si="31"/>
        <v>5</v>
      </c>
      <c r="AM74" s="17">
        <f t="shared" ca="1" si="31"/>
        <v>0</v>
      </c>
      <c r="AN74" s="17">
        <f t="shared" ca="1" si="31"/>
        <v>1</v>
      </c>
      <c r="AO74" s="17">
        <f t="shared" ca="1" si="31"/>
        <v>1</v>
      </c>
      <c r="AP74" s="17">
        <f t="shared" ca="1" si="31"/>
        <v>1</v>
      </c>
      <c r="AQ74" s="17">
        <f t="shared" ca="1" si="32"/>
        <v>1</v>
      </c>
      <c r="AR74" s="17">
        <f t="shared" ca="1" si="32"/>
        <v>1</v>
      </c>
      <c r="AS74" s="17">
        <f t="shared" ca="1" si="32"/>
        <v>1</v>
      </c>
      <c r="AT74" s="17">
        <f t="shared" ca="1" si="32"/>
        <v>1</v>
      </c>
      <c r="AU74" s="17">
        <f t="shared" ca="1" si="32"/>
        <v>1</v>
      </c>
      <c r="AV74" s="17">
        <f t="shared" ca="1" si="32"/>
        <v>1</v>
      </c>
      <c r="AW74" s="17">
        <f t="shared" ca="1" si="32"/>
        <v>1</v>
      </c>
      <c r="AX74" s="17">
        <f t="shared" ca="1" si="32"/>
        <v>0</v>
      </c>
      <c r="AY74" s="17">
        <f t="shared" ca="1" si="32"/>
        <v>1</v>
      </c>
      <c r="AZ74" s="17">
        <f t="shared" ca="1" si="32"/>
        <v>1</v>
      </c>
      <c r="BA74" s="17">
        <f t="shared" ca="1" si="33"/>
        <v>0</v>
      </c>
      <c r="BB74" s="17">
        <f t="shared" ca="1" si="33"/>
        <v>1</v>
      </c>
      <c r="BC74" s="17">
        <f t="shared" ca="1" si="33"/>
        <v>1</v>
      </c>
      <c r="BD74" s="17">
        <f t="shared" ca="1" si="33"/>
        <v>1</v>
      </c>
      <c r="BE74" s="17">
        <f t="shared" ca="1" si="33"/>
        <v>1</v>
      </c>
      <c r="BF74" s="17">
        <f t="shared" ca="1" si="33"/>
        <v>1</v>
      </c>
      <c r="BG74" s="17">
        <f t="shared" ca="1" si="33"/>
        <v>1</v>
      </c>
      <c r="BH74" s="17">
        <f t="shared" ca="1" si="33"/>
        <v>0</v>
      </c>
      <c r="BI74" s="17">
        <f t="shared" ca="1" si="33"/>
        <v>2.35E-2</v>
      </c>
      <c r="BJ74" s="17">
        <f t="shared" ca="1" si="33"/>
        <v>0.126</v>
      </c>
      <c r="BK74" s="17">
        <f t="shared" ca="1" si="33"/>
        <v>6.2E-2</v>
      </c>
      <c r="BL74" s="17">
        <f t="shared" ca="1" si="33"/>
        <v>1.175E-2</v>
      </c>
    </row>
    <row r="75" spans="23:64" ht="22.5" customHeight="1" x14ac:dyDescent="0.3">
      <c r="W75" s="17" t="str">
        <f t="shared" ca="1" si="30"/>
        <v>OGRO</v>
      </c>
      <c r="X75" s="17" t="str">
        <f t="shared" ca="1" si="30"/>
        <v>8998A</v>
      </c>
      <c r="Y75" s="17">
        <f t="shared" ca="1" si="30"/>
        <v>1</v>
      </c>
      <c r="Z75" s="17">
        <f t="shared" ca="1" si="30"/>
        <v>1</v>
      </c>
      <c r="AA75" s="17">
        <f t="shared" ca="1" si="30"/>
        <v>0</v>
      </c>
      <c r="AB75" s="17">
        <f t="shared" ca="1" si="30"/>
        <v>0</v>
      </c>
      <c r="AC75" s="17">
        <f t="shared" ca="1" si="30"/>
        <v>1</v>
      </c>
      <c r="AD75" s="17">
        <f t="shared" ca="1" si="30"/>
        <v>1</v>
      </c>
      <c r="AE75" s="17">
        <f t="shared" ca="1" si="30"/>
        <v>1</v>
      </c>
      <c r="AF75" s="17">
        <f t="shared" ca="1" si="30"/>
        <v>0</v>
      </c>
      <c r="AG75" s="17">
        <f t="shared" ca="1" si="31"/>
        <v>95</v>
      </c>
      <c r="AH75" s="17">
        <f t="shared" ca="1" si="31"/>
        <v>4</v>
      </c>
      <c r="AI75" s="17">
        <f t="shared" ca="1" si="31"/>
        <v>7</v>
      </c>
      <c r="AJ75" s="17">
        <f t="shared" ca="1" si="31"/>
        <v>4</v>
      </c>
      <c r="AK75" s="17">
        <f t="shared" ca="1" si="31"/>
        <v>1</v>
      </c>
      <c r="AL75" s="17">
        <f t="shared" ca="1" si="31"/>
        <v>5</v>
      </c>
      <c r="AM75" s="17">
        <f t="shared" ca="1" si="31"/>
        <v>0</v>
      </c>
      <c r="AN75" s="17">
        <f t="shared" ca="1" si="31"/>
        <v>1</v>
      </c>
      <c r="AO75" s="17">
        <f t="shared" ca="1" si="31"/>
        <v>1</v>
      </c>
      <c r="AP75" s="17">
        <f t="shared" ca="1" si="31"/>
        <v>1</v>
      </c>
      <c r="AQ75" s="17">
        <f t="shared" ca="1" si="32"/>
        <v>1</v>
      </c>
      <c r="AR75" s="17">
        <f t="shared" ca="1" si="32"/>
        <v>0</v>
      </c>
      <c r="AS75" s="17">
        <f t="shared" ca="1" si="32"/>
        <v>0</v>
      </c>
      <c r="AT75" s="17">
        <f t="shared" ca="1" si="32"/>
        <v>0</v>
      </c>
      <c r="AU75" s="17">
        <f t="shared" ca="1" si="32"/>
        <v>0</v>
      </c>
      <c r="AV75" s="17">
        <f t="shared" ca="1" si="32"/>
        <v>0</v>
      </c>
      <c r="AW75" s="17">
        <f t="shared" ca="1" si="32"/>
        <v>0</v>
      </c>
      <c r="AX75" s="17">
        <f t="shared" ca="1" si="32"/>
        <v>0</v>
      </c>
      <c r="AY75" s="17">
        <f t="shared" ca="1" si="32"/>
        <v>1</v>
      </c>
      <c r="AZ75" s="17">
        <f t="shared" ca="1" si="32"/>
        <v>1</v>
      </c>
      <c r="BA75" s="17">
        <f t="shared" ca="1" si="33"/>
        <v>0</v>
      </c>
      <c r="BB75" s="17">
        <f t="shared" ca="1" si="33"/>
        <v>1</v>
      </c>
      <c r="BC75" s="17">
        <f t="shared" ca="1" si="33"/>
        <v>1</v>
      </c>
      <c r="BD75" s="17">
        <f t="shared" ca="1" si="33"/>
        <v>1</v>
      </c>
      <c r="BE75" s="17">
        <f t="shared" ca="1" si="33"/>
        <v>1</v>
      </c>
      <c r="BF75" s="17">
        <f t="shared" ca="1" si="33"/>
        <v>1</v>
      </c>
      <c r="BG75" s="17">
        <f t="shared" ca="1" si="33"/>
        <v>0</v>
      </c>
      <c r="BH75" s="17">
        <f t="shared" ca="1" si="33"/>
        <v>0</v>
      </c>
      <c r="BI75" s="17">
        <f t="shared" ca="1" si="33"/>
        <v>2.35E-2</v>
      </c>
      <c r="BJ75" s="17">
        <f t="shared" ca="1" si="33"/>
        <v>0.14599999999999999</v>
      </c>
      <c r="BK75" s="17">
        <f t="shared" ca="1" si="33"/>
        <v>8.1000000000000003E-2</v>
      </c>
      <c r="BL75" s="17">
        <f t="shared" ca="1" si="33"/>
        <v>1.175E-2</v>
      </c>
    </row>
    <row r="76" spans="23:64" ht="22.5" customHeight="1" x14ac:dyDescent="0.3">
      <c r="W76" s="17" t="str">
        <f t="shared" ref="W76:AF85" ca="1" si="34">IFERROR(INDEX( PRODUKTE,   ROW()-ROW($A$5)+INDEX(prodRowOffset,W$3),  MATCH(W$2,OFFSET(INDEXNAMEN,W$3,0),0)),"")</f>
        <v>OGRO</v>
      </c>
      <c r="X76" s="17">
        <f t="shared" ca="1" si="34"/>
        <v>8999</v>
      </c>
      <c r="Y76" s="17">
        <f t="shared" ca="1" si="34"/>
        <v>1</v>
      </c>
      <c r="Z76" s="17">
        <f t="shared" ca="1" si="34"/>
        <v>1</v>
      </c>
      <c r="AA76" s="17">
        <f t="shared" ca="1" si="34"/>
        <v>1</v>
      </c>
      <c r="AB76" s="17">
        <f t="shared" ca="1" si="34"/>
        <v>0</v>
      </c>
      <c r="AC76" s="17">
        <f t="shared" ca="1" si="34"/>
        <v>1</v>
      </c>
      <c r="AD76" s="17">
        <f t="shared" ca="1" si="34"/>
        <v>0</v>
      </c>
      <c r="AE76" s="17">
        <f t="shared" ca="1" si="34"/>
        <v>1</v>
      </c>
      <c r="AF76" s="17">
        <f t="shared" ca="1" si="34"/>
        <v>48</v>
      </c>
      <c r="AG76" s="17">
        <f t="shared" ref="AG76:AP85" ca="1" si="35">IFERROR(INDEX( PRODUKTE,   ROW()-ROW($A$5)+INDEX(prodRowOffset,AG$3),  MATCH(AG$2,OFFSET(INDEXNAMEN,AG$3,0),0)),"")</f>
        <v>96</v>
      </c>
      <c r="AH76" s="17">
        <f t="shared" ca="1" si="35"/>
        <v>4</v>
      </c>
      <c r="AI76" s="17">
        <f t="shared" ca="1" si="35"/>
        <v>7</v>
      </c>
      <c r="AJ76" s="17">
        <f t="shared" ca="1" si="35"/>
        <v>4</v>
      </c>
      <c r="AK76" s="17">
        <f t="shared" ca="1" si="35"/>
        <v>1</v>
      </c>
      <c r="AL76" s="17">
        <f t="shared" ca="1" si="35"/>
        <v>5</v>
      </c>
      <c r="AM76" s="17">
        <f t="shared" ca="1" si="35"/>
        <v>0</v>
      </c>
      <c r="AN76" s="17">
        <f t="shared" ca="1" si="35"/>
        <v>1</v>
      </c>
      <c r="AO76" s="17">
        <f t="shared" ca="1" si="35"/>
        <v>1</v>
      </c>
      <c r="AP76" s="17">
        <f t="shared" ca="1" si="35"/>
        <v>1</v>
      </c>
      <c r="AQ76" s="17">
        <f t="shared" ref="AQ76:AZ85" ca="1" si="36">IFERROR(INDEX( PRODUKTE,   ROW()-ROW($A$5)+INDEX(prodRowOffset,AQ$3),  MATCH(AQ$2,OFFSET(INDEXNAMEN,AQ$3,0),0)),"")</f>
        <v>1</v>
      </c>
      <c r="AR76" s="17">
        <f t="shared" ca="1" si="36"/>
        <v>1</v>
      </c>
      <c r="AS76" s="17">
        <f t="shared" ca="1" si="36"/>
        <v>1</v>
      </c>
      <c r="AT76" s="17">
        <f t="shared" ca="1" si="36"/>
        <v>1</v>
      </c>
      <c r="AU76" s="17">
        <f t="shared" ca="1" si="36"/>
        <v>1</v>
      </c>
      <c r="AV76" s="17">
        <f t="shared" ca="1" si="36"/>
        <v>1</v>
      </c>
      <c r="AW76" s="17">
        <f t="shared" ca="1" si="36"/>
        <v>1</v>
      </c>
      <c r="AX76" s="17">
        <f t="shared" ca="1" si="36"/>
        <v>0</v>
      </c>
      <c r="AY76" s="17">
        <f t="shared" ca="1" si="36"/>
        <v>1</v>
      </c>
      <c r="AZ76" s="17">
        <f t="shared" ca="1" si="36"/>
        <v>1</v>
      </c>
      <c r="BA76" s="17">
        <f t="shared" ref="BA76:BL85" ca="1" si="37">IFERROR(INDEX( PRODUKTE,   ROW()-ROW($A$5)+INDEX(prodRowOffset,BA$3),  MATCH(BA$2,OFFSET(INDEXNAMEN,BA$3,0),0)),"")</f>
        <v>0</v>
      </c>
      <c r="BB76" s="17">
        <f t="shared" ca="1" si="37"/>
        <v>1</v>
      </c>
      <c r="BC76" s="17">
        <f t="shared" ca="1" si="37"/>
        <v>1</v>
      </c>
      <c r="BD76" s="17">
        <f t="shared" ca="1" si="37"/>
        <v>1</v>
      </c>
      <c r="BE76" s="17">
        <f t="shared" ca="1" si="37"/>
        <v>1</v>
      </c>
      <c r="BF76" s="17">
        <f t="shared" ca="1" si="37"/>
        <v>1</v>
      </c>
      <c r="BG76" s="17">
        <f t="shared" ca="1" si="37"/>
        <v>1</v>
      </c>
      <c r="BH76" s="17">
        <f t="shared" ca="1" si="37"/>
        <v>0</v>
      </c>
      <c r="BI76" s="17">
        <f t="shared" ca="1" si="37"/>
        <v>2.35E-2</v>
      </c>
      <c r="BJ76" s="17">
        <f t="shared" ca="1" si="37"/>
        <v>0.13800000000000001</v>
      </c>
      <c r="BK76" s="17">
        <f t="shared" ca="1" si="37"/>
        <v>6.2E-2</v>
      </c>
      <c r="BL76" s="17">
        <f t="shared" ca="1" si="37"/>
        <v>1.175E-2</v>
      </c>
    </row>
    <row r="77" spans="23:64" ht="22.5" customHeight="1" x14ac:dyDescent="0.3">
      <c r="W77" s="17" t="str">
        <f t="shared" ca="1" si="34"/>
        <v>OGRO</v>
      </c>
      <c r="X77" s="17" t="str">
        <f t="shared" ca="1" si="34"/>
        <v>8999A</v>
      </c>
      <c r="Y77" s="17">
        <f t="shared" ca="1" si="34"/>
        <v>1</v>
      </c>
      <c r="Z77" s="17">
        <f t="shared" ca="1" si="34"/>
        <v>1</v>
      </c>
      <c r="AA77" s="17">
        <f t="shared" ca="1" si="34"/>
        <v>1</v>
      </c>
      <c r="AB77" s="17">
        <f t="shared" ca="1" si="34"/>
        <v>0</v>
      </c>
      <c r="AC77" s="17">
        <f t="shared" ca="1" si="34"/>
        <v>1</v>
      </c>
      <c r="AD77" s="17">
        <f t="shared" ca="1" si="34"/>
        <v>1</v>
      </c>
      <c r="AE77" s="17">
        <f t="shared" ca="1" si="34"/>
        <v>1</v>
      </c>
      <c r="AF77" s="17">
        <f t="shared" ca="1" si="34"/>
        <v>0</v>
      </c>
      <c r="AG77" s="17">
        <f t="shared" ca="1" si="35"/>
        <v>97</v>
      </c>
      <c r="AH77" s="17">
        <f t="shared" ca="1" si="35"/>
        <v>4</v>
      </c>
      <c r="AI77" s="17">
        <f t="shared" ca="1" si="35"/>
        <v>7</v>
      </c>
      <c r="AJ77" s="17">
        <f t="shared" ca="1" si="35"/>
        <v>4</v>
      </c>
      <c r="AK77" s="17">
        <f t="shared" ca="1" si="35"/>
        <v>1</v>
      </c>
      <c r="AL77" s="17">
        <f t="shared" ca="1" si="35"/>
        <v>5</v>
      </c>
      <c r="AM77" s="17">
        <f t="shared" ca="1" si="35"/>
        <v>0</v>
      </c>
      <c r="AN77" s="17">
        <f t="shared" ca="1" si="35"/>
        <v>1</v>
      </c>
      <c r="AO77" s="17">
        <f t="shared" ca="1" si="35"/>
        <v>1</v>
      </c>
      <c r="AP77" s="17">
        <f t="shared" ca="1" si="35"/>
        <v>1</v>
      </c>
      <c r="AQ77" s="17">
        <f t="shared" ca="1" si="36"/>
        <v>1</v>
      </c>
      <c r="AR77" s="17">
        <f t="shared" ca="1" si="36"/>
        <v>0</v>
      </c>
      <c r="AS77" s="17">
        <f t="shared" ca="1" si="36"/>
        <v>0</v>
      </c>
      <c r="AT77" s="17">
        <f t="shared" ca="1" si="36"/>
        <v>0</v>
      </c>
      <c r="AU77" s="17">
        <f t="shared" ca="1" si="36"/>
        <v>0</v>
      </c>
      <c r="AV77" s="17">
        <f t="shared" ca="1" si="36"/>
        <v>0</v>
      </c>
      <c r="AW77" s="17">
        <f t="shared" ca="1" si="36"/>
        <v>0</v>
      </c>
      <c r="AX77" s="17">
        <f t="shared" ca="1" si="36"/>
        <v>0</v>
      </c>
      <c r="AY77" s="17">
        <f t="shared" ca="1" si="36"/>
        <v>1</v>
      </c>
      <c r="AZ77" s="17">
        <f t="shared" ca="1" si="36"/>
        <v>1</v>
      </c>
      <c r="BA77" s="17">
        <f t="shared" ca="1" si="37"/>
        <v>0</v>
      </c>
      <c r="BB77" s="17">
        <f t="shared" ca="1" si="37"/>
        <v>1</v>
      </c>
      <c r="BC77" s="17">
        <f t="shared" ca="1" si="37"/>
        <v>1</v>
      </c>
      <c r="BD77" s="17">
        <f t="shared" ca="1" si="37"/>
        <v>1</v>
      </c>
      <c r="BE77" s="17">
        <f t="shared" ca="1" si="37"/>
        <v>1</v>
      </c>
      <c r="BF77" s="17">
        <f t="shared" ca="1" si="37"/>
        <v>1</v>
      </c>
      <c r="BG77" s="17">
        <f t="shared" ca="1" si="37"/>
        <v>0</v>
      </c>
      <c r="BH77" s="17">
        <f t="shared" ca="1" si="37"/>
        <v>0</v>
      </c>
      <c r="BI77" s="17">
        <f t="shared" ca="1" si="37"/>
        <v>2.35E-2</v>
      </c>
      <c r="BJ77" s="17">
        <f t="shared" ca="1" si="37"/>
        <v>0.158</v>
      </c>
      <c r="BK77" s="17">
        <f t="shared" ca="1" si="37"/>
        <v>8.1000000000000003E-2</v>
      </c>
      <c r="BL77" s="17">
        <f t="shared" ca="1" si="37"/>
        <v>1.175E-2</v>
      </c>
    </row>
    <row r="78" spans="23:64" ht="22.5" customHeight="1" x14ac:dyDescent="0.3">
      <c r="W78" s="17" t="str">
        <f t="shared" ca="1" si="34"/>
        <v>OGRO</v>
      </c>
      <c r="X78" s="17">
        <f t="shared" ca="1" si="34"/>
        <v>8020</v>
      </c>
      <c r="Y78" s="17">
        <f t="shared" ca="1" si="34"/>
        <v>1</v>
      </c>
      <c r="Z78" s="17">
        <f t="shared" ca="1" si="34"/>
        <v>1</v>
      </c>
      <c r="AA78" s="17">
        <f t="shared" ca="1" si="34"/>
        <v>0</v>
      </c>
      <c r="AB78" s="17">
        <f t="shared" ca="1" si="34"/>
        <v>0</v>
      </c>
      <c r="AC78" s="17">
        <f t="shared" ca="1" si="34"/>
        <v>0</v>
      </c>
      <c r="AD78" s="17">
        <f t="shared" ca="1" si="34"/>
        <v>0</v>
      </c>
      <c r="AE78" s="17">
        <f t="shared" ca="1" si="34"/>
        <v>3</v>
      </c>
      <c r="AF78" s="17">
        <f t="shared" ca="1" si="34"/>
        <v>49</v>
      </c>
      <c r="AG78" s="17">
        <f t="shared" ca="1" si="35"/>
        <v>49</v>
      </c>
      <c r="AH78" s="17">
        <f t="shared" ca="1" si="35"/>
        <v>4</v>
      </c>
      <c r="AI78" s="17">
        <f t="shared" ca="1" si="35"/>
        <v>7</v>
      </c>
      <c r="AJ78" s="17">
        <f t="shared" ca="1" si="35"/>
        <v>4</v>
      </c>
      <c r="AK78" s="17">
        <f t="shared" ca="1" si="35"/>
        <v>1</v>
      </c>
      <c r="AL78" s="17">
        <f t="shared" ca="1" si="35"/>
        <v>5</v>
      </c>
      <c r="AM78" s="17">
        <f t="shared" ca="1" si="35"/>
        <v>0</v>
      </c>
      <c r="AN78" s="17">
        <f t="shared" ca="1" si="35"/>
        <v>1</v>
      </c>
      <c r="AO78" s="17">
        <f t="shared" ca="1" si="35"/>
        <v>1</v>
      </c>
      <c r="AP78" s="17">
        <f t="shared" ca="1" si="35"/>
        <v>1</v>
      </c>
      <c r="AQ78" s="17">
        <f t="shared" ca="1" si="36"/>
        <v>1</v>
      </c>
      <c r="AR78" s="17">
        <f t="shared" ca="1" si="36"/>
        <v>1</v>
      </c>
      <c r="AS78" s="17">
        <f t="shared" ca="1" si="36"/>
        <v>1</v>
      </c>
      <c r="AT78" s="17">
        <f t="shared" ca="1" si="36"/>
        <v>1</v>
      </c>
      <c r="AU78" s="17">
        <f t="shared" ca="1" si="36"/>
        <v>1</v>
      </c>
      <c r="AV78" s="17">
        <f t="shared" ca="1" si="36"/>
        <v>1</v>
      </c>
      <c r="AW78" s="17">
        <f t="shared" ca="1" si="36"/>
        <v>1</v>
      </c>
      <c r="AX78" s="17">
        <f t="shared" ca="1" si="36"/>
        <v>0</v>
      </c>
      <c r="AY78" s="17">
        <f t="shared" ca="1" si="36"/>
        <v>1</v>
      </c>
      <c r="AZ78" s="17">
        <f t="shared" ca="1" si="36"/>
        <v>1</v>
      </c>
      <c r="BA78" s="17">
        <f t="shared" ca="1" si="37"/>
        <v>0</v>
      </c>
      <c r="BB78" s="17">
        <f t="shared" ca="1" si="37"/>
        <v>1</v>
      </c>
      <c r="BC78" s="17">
        <f t="shared" ca="1" si="37"/>
        <v>1</v>
      </c>
      <c r="BD78" s="17">
        <f t="shared" ca="1" si="37"/>
        <v>1</v>
      </c>
      <c r="BE78" s="17">
        <f t="shared" ca="1" si="37"/>
        <v>1</v>
      </c>
      <c r="BF78" s="17">
        <f t="shared" ca="1" si="37"/>
        <v>1</v>
      </c>
      <c r="BG78" s="17">
        <f t="shared" ca="1" si="37"/>
        <v>0</v>
      </c>
      <c r="BH78" s="17">
        <f t="shared" ca="1" si="37"/>
        <v>0</v>
      </c>
      <c r="BI78" s="17">
        <f t="shared" ca="1" si="37"/>
        <v>2.1000000000000001E-2</v>
      </c>
      <c r="BJ78" s="17">
        <f t="shared" ca="1" si="37"/>
        <v>0.05</v>
      </c>
      <c r="BK78" s="17">
        <f t="shared" ca="1" si="37"/>
        <v>4.2999999999999997E-2</v>
      </c>
      <c r="BL78" s="17">
        <f t="shared" ca="1" si="37"/>
        <v>2.5000000000000001E-2</v>
      </c>
    </row>
    <row r="79" spans="23:64" ht="22.5" customHeight="1" x14ac:dyDescent="0.3">
      <c r="W79" s="17" t="str">
        <f t="shared" ca="1" si="34"/>
        <v>OGRO</v>
      </c>
      <c r="X79" s="17" t="str">
        <f t="shared" ca="1" si="34"/>
        <v>8020A</v>
      </c>
      <c r="Y79" s="17">
        <f t="shared" ca="1" si="34"/>
        <v>1</v>
      </c>
      <c r="Z79" s="17">
        <f t="shared" ca="1" si="34"/>
        <v>1</v>
      </c>
      <c r="AA79" s="17">
        <f t="shared" ca="1" si="34"/>
        <v>0</v>
      </c>
      <c r="AB79" s="17">
        <f t="shared" ca="1" si="34"/>
        <v>0</v>
      </c>
      <c r="AC79" s="17">
        <f t="shared" ca="1" si="34"/>
        <v>0</v>
      </c>
      <c r="AD79" s="17">
        <f t="shared" ca="1" si="34"/>
        <v>1</v>
      </c>
      <c r="AE79" s="17">
        <f t="shared" ca="1" si="34"/>
        <v>3</v>
      </c>
      <c r="AF79" s="17">
        <f t="shared" ca="1" si="34"/>
        <v>50</v>
      </c>
      <c r="AG79" s="17">
        <f t="shared" ca="1" si="35"/>
        <v>50</v>
      </c>
      <c r="AH79" s="17">
        <f t="shared" ca="1" si="35"/>
        <v>4</v>
      </c>
      <c r="AI79" s="17">
        <f t="shared" ca="1" si="35"/>
        <v>7</v>
      </c>
      <c r="AJ79" s="17">
        <f t="shared" ca="1" si="35"/>
        <v>3</v>
      </c>
      <c r="AK79" s="17">
        <f t="shared" ca="1" si="35"/>
        <v>1</v>
      </c>
      <c r="AL79" s="17">
        <f t="shared" ca="1" si="35"/>
        <v>5</v>
      </c>
      <c r="AM79" s="17">
        <f t="shared" ca="1" si="35"/>
        <v>0</v>
      </c>
      <c r="AN79" s="17">
        <f t="shared" ca="1" si="35"/>
        <v>1</v>
      </c>
      <c r="AO79" s="17">
        <f t="shared" ca="1" si="35"/>
        <v>1</v>
      </c>
      <c r="AP79" s="17">
        <f t="shared" ca="1" si="35"/>
        <v>1</v>
      </c>
      <c r="AQ79" s="17">
        <f t="shared" ca="1" si="36"/>
        <v>0</v>
      </c>
      <c r="AR79" s="17">
        <f t="shared" ca="1" si="36"/>
        <v>1</v>
      </c>
      <c r="AS79" s="17">
        <f t="shared" ca="1" si="36"/>
        <v>1</v>
      </c>
      <c r="AT79" s="17">
        <f t="shared" ca="1" si="36"/>
        <v>1</v>
      </c>
      <c r="AU79" s="17">
        <f t="shared" ca="1" si="36"/>
        <v>1</v>
      </c>
      <c r="AV79" s="17">
        <f t="shared" ca="1" si="36"/>
        <v>1</v>
      </c>
      <c r="AW79" s="17">
        <f t="shared" ca="1" si="36"/>
        <v>0</v>
      </c>
      <c r="AX79" s="17">
        <f t="shared" ca="1" si="36"/>
        <v>0</v>
      </c>
      <c r="AY79" s="17">
        <f t="shared" ca="1" si="36"/>
        <v>1</v>
      </c>
      <c r="AZ79" s="17">
        <f t="shared" ca="1" si="36"/>
        <v>1</v>
      </c>
      <c r="BA79" s="17">
        <f t="shared" ca="1" si="37"/>
        <v>0</v>
      </c>
      <c r="BB79" s="17">
        <f t="shared" ca="1" si="37"/>
        <v>1</v>
      </c>
      <c r="BC79" s="17">
        <f t="shared" ca="1" si="37"/>
        <v>1</v>
      </c>
      <c r="BD79" s="17">
        <f t="shared" ca="1" si="37"/>
        <v>1</v>
      </c>
      <c r="BE79" s="17">
        <f t="shared" ca="1" si="37"/>
        <v>1</v>
      </c>
      <c r="BF79" s="17">
        <f t="shared" ca="1" si="37"/>
        <v>1</v>
      </c>
      <c r="BG79" s="17">
        <f t="shared" ca="1" si="37"/>
        <v>0</v>
      </c>
      <c r="BH79" s="17">
        <f t="shared" ca="1" si="37"/>
        <v>0</v>
      </c>
      <c r="BI79" s="17">
        <f t="shared" ca="1" si="37"/>
        <v>2.1000000000000001E-2</v>
      </c>
      <c r="BJ79" s="17">
        <f t="shared" ca="1" si="37"/>
        <v>7.0000000000000007E-2</v>
      </c>
      <c r="BK79" s="17">
        <f t="shared" ca="1" si="37"/>
        <v>0.05</v>
      </c>
      <c r="BL79" s="17">
        <f t="shared" ca="1" si="37"/>
        <v>1.0500000000000001E-2</v>
      </c>
    </row>
    <row r="80" spans="23:64" ht="22.5" customHeight="1" x14ac:dyDescent="0.3">
      <c r="W80" s="17" t="str">
        <f t="shared" ca="1" si="34"/>
        <v>OGRO</v>
      </c>
      <c r="X80" s="17">
        <f t="shared" ca="1" si="34"/>
        <v>8025</v>
      </c>
      <c r="Y80" s="17">
        <f t="shared" ca="1" si="34"/>
        <v>1</v>
      </c>
      <c r="Z80" s="17">
        <f t="shared" ca="1" si="34"/>
        <v>1</v>
      </c>
      <c r="AA80" s="17">
        <f t="shared" ca="1" si="34"/>
        <v>0</v>
      </c>
      <c r="AB80" s="17">
        <f t="shared" ca="1" si="34"/>
        <v>0</v>
      </c>
      <c r="AC80" s="17">
        <f t="shared" ca="1" si="34"/>
        <v>0</v>
      </c>
      <c r="AD80" s="17">
        <f t="shared" ca="1" si="34"/>
        <v>0</v>
      </c>
      <c r="AE80" s="17">
        <f t="shared" ca="1" si="34"/>
        <v>3</v>
      </c>
      <c r="AF80" s="17">
        <f t="shared" ca="1" si="34"/>
        <v>51</v>
      </c>
      <c r="AG80" s="17">
        <f t="shared" ca="1" si="35"/>
        <v>51</v>
      </c>
      <c r="AH80" s="17">
        <f t="shared" ca="1" si="35"/>
        <v>4</v>
      </c>
      <c r="AI80" s="17">
        <f t="shared" ca="1" si="35"/>
        <v>7</v>
      </c>
      <c r="AJ80" s="17">
        <f t="shared" ca="1" si="35"/>
        <v>4</v>
      </c>
      <c r="AK80" s="17">
        <f t="shared" ca="1" si="35"/>
        <v>1</v>
      </c>
      <c r="AL80" s="17">
        <f t="shared" ca="1" si="35"/>
        <v>5</v>
      </c>
      <c r="AM80" s="17">
        <f t="shared" ca="1" si="35"/>
        <v>0</v>
      </c>
      <c r="AN80" s="17">
        <f t="shared" ca="1" si="35"/>
        <v>1</v>
      </c>
      <c r="AO80" s="17">
        <f t="shared" ca="1" si="35"/>
        <v>1</v>
      </c>
      <c r="AP80" s="17">
        <f t="shared" ca="1" si="35"/>
        <v>1</v>
      </c>
      <c r="AQ80" s="17">
        <f t="shared" ca="1" si="36"/>
        <v>1</v>
      </c>
      <c r="AR80" s="17">
        <f t="shared" ca="1" si="36"/>
        <v>1</v>
      </c>
      <c r="AS80" s="17">
        <f t="shared" ca="1" si="36"/>
        <v>1</v>
      </c>
      <c r="AT80" s="17">
        <f t="shared" ca="1" si="36"/>
        <v>1</v>
      </c>
      <c r="AU80" s="17">
        <f t="shared" ca="1" si="36"/>
        <v>1</v>
      </c>
      <c r="AV80" s="17">
        <f t="shared" ca="1" si="36"/>
        <v>1</v>
      </c>
      <c r="AW80" s="17">
        <f t="shared" ca="1" si="36"/>
        <v>1</v>
      </c>
      <c r="AX80" s="17">
        <f t="shared" ca="1" si="36"/>
        <v>0</v>
      </c>
      <c r="AY80" s="17">
        <f t="shared" ca="1" si="36"/>
        <v>1</v>
      </c>
      <c r="AZ80" s="17">
        <f t="shared" ca="1" si="36"/>
        <v>1</v>
      </c>
      <c r="BA80" s="17">
        <f t="shared" ca="1" si="37"/>
        <v>0</v>
      </c>
      <c r="BB80" s="17">
        <f t="shared" ca="1" si="37"/>
        <v>1</v>
      </c>
      <c r="BC80" s="17">
        <f t="shared" ca="1" si="37"/>
        <v>1</v>
      </c>
      <c r="BD80" s="17">
        <f t="shared" ca="1" si="37"/>
        <v>1</v>
      </c>
      <c r="BE80" s="17">
        <f t="shared" ca="1" si="37"/>
        <v>1</v>
      </c>
      <c r="BF80" s="17">
        <f t="shared" ca="1" si="37"/>
        <v>1</v>
      </c>
      <c r="BG80" s="17">
        <f t="shared" ca="1" si="37"/>
        <v>0</v>
      </c>
      <c r="BH80" s="17">
        <f t="shared" ca="1" si="37"/>
        <v>0</v>
      </c>
      <c r="BI80" s="17">
        <f t="shared" ca="1" si="37"/>
        <v>2.1000000000000001E-2</v>
      </c>
      <c r="BJ80" s="17">
        <f t="shared" ca="1" si="37"/>
        <v>0.05</v>
      </c>
      <c r="BK80" s="17">
        <f t="shared" ca="1" si="37"/>
        <v>6.25E-2</v>
      </c>
      <c r="BL80" s="17">
        <f t="shared" ca="1" si="37"/>
        <v>2.5000000000000001E-2</v>
      </c>
    </row>
    <row r="81" spans="23:64" ht="22.5" customHeight="1" x14ac:dyDescent="0.3">
      <c r="W81" s="17" t="str">
        <f t="shared" ca="1" si="34"/>
        <v>OGRO</v>
      </c>
      <c r="X81" s="17" t="str">
        <f t="shared" ca="1" si="34"/>
        <v>8025V</v>
      </c>
      <c r="Y81" s="17">
        <f t="shared" ca="1" si="34"/>
        <v>1</v>
      </c>
      <c r="Z81" s="17">
        <f t="shared" ca="1" si="34"/>
        <v>1</v>
      </c>
      <c r="AA81" s="17">
        <f t="shared" ca="1" si="34"/>
        <v>0</v>
      </c>
      <c r="AB81" s="17">
        <f t="shared" ca="1" si="34"/>
        <v>0</v>
      </c>
      <c r="AC81" s="17">
        <f t="shared" ca="1" si="34"/>
        <v>0</v>
      </c>
      <c r="AD81" s="17">
        <f t="shared" ca="1" si="34"/>
        <v>1</v>
      </c>
      <c r="AE81" s="17">
        <f t="shared" ca="1" si="34"/>
        <v>3</v>
      </c>
      <c r="AF81" s="17">
        <f t="shared" ca="1" si="34"/>
        <v>52</v>
      </c>
      <c r="AG81" s="17">
        <f t="shared" ca="1" si="35"/>
        <v>52</v>
      </c>
      <c r="AH81" s="17">
        <f t="shared" ca="1" si="35"/>
        <v>4</v>
      </c>
      <c r="AI81" s="17">
        <f t="shared" ca="1" si="35"/>
        <v>7</v>
      </c>
      <c r="AJ81" s="17">
        <f t="shared" ca="1" si="35"/>
        <v>4</v>
      </c>
      <c r="AK81" s="17">
        <f t="shared" ca="1" si="35"/>
        <v>1</v>
      </c>
      <c r="AL81" s="17">
        <f t="shared" ca="1" si="35"/>
        <v>5</v>
      </c>
      <c r="AM81" s="17">
        <f t="shared" ca="1" si="35"/>
        <v>0</v>
      </c>
      <c r="AN81" s="17">
        <f t="shared" ca="1" si="35"/>
        <v>1</v>
      </c>
      <c r="AO81" s="17">
        <f t="shared" ca="1" si="35"/>
        <v>1</v>
      </c>
      <c r="AP81" s="17">
        <f t="shared" ca="1" si="35"/>
        <v>1</v>
      </c>
      <c r="AQ81" s="17">
        <f t="shared" ca="1" si="36"/>
        <v>1</v>
      </c>
      <c r="AR81" s="17">
        <f t="shared" ca="1" si="36"/>
        <v>1</v>
      </c>
      <c r="AS81" s="17">
        <f t="shared" ca="1" si="36"/>
        <v>1</v>
      </c>
      <c r="AT81" s="17">
        <f t="shared" ca="1" si="36"/>
        <v>1</v>
      </c>
      <c r="AU81" s="17">
        <f t="shared" ca="1" si="36"/>
        <v>1</v>
      </c>
      <c r="AV81" s="17">
        <f t="shared" ca="1" si="36"/>
        <v>1</v>
      </c>
      <c r="AW81" s="17">
        <f t="shared" ca="1" si="36"/>
        <v>0</v>
      </c>
      <c r="AX81" s="17">
        <f t="shared" ca="1" si="36"/>
        <v>0</v>
      </c>
      <c r="AY81" s="17">
        <f t="shared" ca="1" si="36"/>
        <v>1</v>
      </c>
      <c r="AZ81" s="17">
        <f t="shared" ca="1" si="36"/>
        <v>1</v>
      </c>
      <c r="BA81" s="17">
        <f t="shared" ca="1" si="37"/>
        <v>0</v>
      </c>
      <c r="BB81" s="17">
        <f t="shared" ca="1" si="37"/>
        <v>1</v>
      </c>
      <c r="BC81" s="17">
        <f t="shared" ca="1" si="37"/>
        <v>1</v>
      </c>
      <c r="BD81" s="17">
        <f t="shared" ca="1" si="37"/>
        <v>1</v>
      </c>
      <c r="BE81" s="17">
        <f t="shared" ca="1" si="37"/>
        <v>1</v>
      </c>
      <c r="BF81" s="17">
        <f t="shared" ca="1" si="37"/>
        <v>1</v>
      </c>
      <c r="BG81" s="17">
        <f t="shared" ca="1" si="37"/>
        <v>0</v>
      </c>
      <c r="BH81" s="17">
        <f t="shared" ca="1" si="37"/>
        <v>0</v>
      </c>
      <c r="BI81" s="17">
        <f t="shared" ca="1" si="37"/>
        <v>2.1000000000000001E-2</v>
      </c>
      <c r="BJ81" s="17">
        <f t="shared" ca="1" si="37"/>
        <v>0.08</v>
      </c>
      <c r="BK81" s="17">
        <f t="shared" ca="1" si="37"/>
        <v>6.6500000000000004E-2</v>
      </c>
      <c r="BL81" s="17">
        <f t="shared" ca="1" si="37"/>
        <v>1.0500000000000001E-2</v>
      </c>
    </row>
    <row r="82" spans="23:64" ht="22.5" customHeight="1" x14ac:dyDescent="0.3">
      <c r="W82" s="17" t="str">
        <f t="shared" ca="1" si="34"/>
        <v>OGRO</v>
      </c>
      <c r="X82" s="17">
        <f t="shared" ca="1" si="34"/>
        <v>8030</v>
      </c>
      <c r="Y82" s="17">
        <f t="shared" ca="1" si="34"/>
        <v>1</v>
      </c>
      <c r="Z82" s="17">
        <f t="shared" ca="1" si="34"/>
        <v>1</v>
      </c>
      <c r="AA82" s="17">
        <f t="shared" ca="1" si="34"/>
        <v>0</v>
      </c>
      <c r="AB82" s="17">
        <f t="shared" ca="1" si="34"/>
        <v>0</v>
      </c>
      <c r="AC82" s="17">
        <f t="shared" ca="1" si="34"/>
        <v>0</v>
      </c>
      <c r="AD82" s="17">
        <f t="shared" ca="1" si="34"/>
        <v>0</v>
      </c>
      <c r="AE82" s="17">
        <f t="shared" ca="1" si="34"/>
        <v>3</v>
      </c>
      <c r="AF82" s="17">
        <f t="shared" ca="1" si="34"/>
        <v>53</v>
      </c>
      <c r="AG82" s="17">
        <f t="shared" ca="1" si="35"/>
        <v>53</v>
      </c>
      <c r="AH82" s="17">
        <f t="shared" ca="1" si="35"/>
        <v>4</v>
      </c>
      <c r="AI82" s="17">
        <f t="shared" ca="1" si="35"/>
        <v>7</v>
      </c>
      <c r="AJ82" s="17">
        <f t="shared" ca="1" si="35"/>
        <v>4</v>
      </c>
      <c r="AK82" s="17">
        <f t="shared" ca="1" si="35"/>
        <v>1</v>
      </c>
      <c r="AL82" s="17">
        <f t="shared" ca="1" si="35"/>
        <v>5</v>
      </c>
      <c r="AM82" s="17">
        <f t="shared" ca="1" si="35"/>
        <v>0</v>
      </c>
      <c r="AN82" s="17">
        <f t="shared" ca="1" si="35"/>
        <v>1</v>
      </c>
      <c r="AO82" s="17">
        <f t="shared" ca="1" si="35"/>
        <v>1</v>
      </c>
      <c r="AP82" s="17">
        <f t="shared" ca="1" si="35"/>
        <v>1</v>
      </c>
      <c r="AQ82" s="17">
        <f t="shared" ca="1" si="36"/>
        <v>1</v>
      </c>
      <c r="AR82" s="17">
        <f t="shared" ca="1" si="36"/>
        <v>1</v>
      </c>
      <c r="AS82" s="17">
        <f t="shared" ca="1" si="36"/>
        <v>1</v>
      </c>
      <c r="AT82" s="17">
        <f t="shared" ca="1" si="36"/>
        <v>1</v>
      </c>
      <c r="AU82" s="17">
        <f t="shared" ca="1" si="36"/>
        <v>1</v>
      </c>
      <c r="AV82" s="17">
        <f t="shared" ca="1" si="36"/>
        <v>1</v>
      </c>
      <c r="AW82" s="17">
        <f t="shared" ca="1" si="36"/>
        <v>1</v>
      </c>
      <c r="AX82" s="17">
        <f t="shared" ca="1" si="36"/>
        <v>0</v>
      </c>
      <c r="AY82" s="17">
        <f t="shared" ca="1" si="36"/>
        <v>1</v>
      </c>
      <c r="AZ82" s="17">
        <f t="shared" ca="1" si="36"/>
        <v>1</v>
      </c>
      <c r="BA82" s="17">
        <f t="shared" ca="1" si="37"/>
        <v>0</v>
      </c>
      <c r="BB82" s="17">
        <f t="shared" ca="1" si="37"/>
        <v>1</v>
      </c>
      <c r="BC82" s="17">
        <f t="shared" ca="1" si="37"/>
        <v>1</v>
      </c>
      <c r="BD82" s="17">
        <f t="shared" ca="1" si="37"/>
        <v>1</v>
      </c>
      <c r="BE82" s="17">
        <f t="shared" ca="1" si="37"/>
        <v>1</v>
      </c>
      <c r="BF82" s="17">
        <f t="shared" ca="1" si="37"/>
        <v>1</v>
      </c>
      <c r="BG82" s="17">
        <f t="shared" ca="1" si="37"/>
        <v>0</v>
      </c>
      <c r="BH82" s="17">
        <f t="shared" ca="1" si="37"/>
        <v>0</v>
      </c>
      <c r="BI82" s="17">
        <f t="shared" ca="1" si="37"/>
        <v>2.1000000000000001E-2</v>
      </c>
      <c r="BJ82" s="17">
        <f t="shared" ca="1" si="37"/>
        <v>0.05</v>
      </c>
      <c r="BK82" s="17">
        <f t="shared" ca="1" si="37"/>
        <v>6.25E-2</v>
      </c>
      <c r="BL82" s="17">
        <f t="shared" ca="1" si="37"/>
        <v>2.5000000000000001E-2</v>
      </c>
    </row>
    <row r="83" spans="23:64" ht="22.5" customHeight="1" x14ac:dyDescent="0.3">
      <c r="W83" s="17" t="str">
        <f t="shared" ca="1" si="34"/>
        <v>OGRO</v>
      </c>
      <c r="X83" s="17" t="str">
        <f t="shared" ca="1" si="34"/>
        <v>8030V</v>
      </c>
      <c r="Y83" s="17">
        <f t="shared" ca="1" si="34"/>
        <v>1</v>
      </c>
      <c r="Z83" s="17">
        <f t="shared" ca="1" si="34"/>
        <v>1</v>
      </c>
      <c r="AA83" s="17">
        <f t="shared" ca="1" si="34"/>
        <v>0</v>
      </c>
      <c r="AB83" s="17">
        <f t="shared" ca="1" si="34"/>
        <v>0</v>
      </c>
      <c r="AC83" s="17">
        <f t="shared" ca="1" si="34"/>
        <v>0</v>
      </c>
      <c r="AD83" s="17">
        <f t="shared" ca="1" si="34"/>
        <v>1</v>
      </c>
      <c r="AE83" s="17">
        <f t="shared" ca="1" si="34"/>
        <v>3</v>
      </c>
      <c r="AF83" s="17">
        <f t="shared" ca="1" si="34"/>
        <v>54</v>
      </c>
      <c r="AG83" s="17">
        <f t="shared" ca="1" si="35"/>
        <v>54</v>
      </c>
      <c r="AH83" s="17">
        <f t="shared" ca="1" si="35"/>
        <v>4</v>
      </c>
      <c r="AI83" s="17">
        <f t="shared" ca="1" si="35"/>
        <v>7</v>
      </c>
      <c r="AJ83" s="17">
        <f t="shared" ca="1" si="35"/>
        <v>4</v>
      </c>
      <c r="AK83" s="17">
        <f t="shared" ca="1" si="35"/>
        <v>1</v>
      </c>
      <c r="AL83" s="17">
        <f t="shared" ca="1" si="35"/>
        <v>5</v>
      </c>
      <c r="AM83" s="17">
        <f t="shared" ca="1" si="35"/>
        <v>0</v>
      </c>
      <c r="AN83" s="17">
        <f t="shared" ca="1" si="35"/>
        <v>1</v>
      </c>
      <c r="AO83" s="17">
        <f t="shared" ca="1" si="35"/>
        <v>1</v>
      </c>
      <c r="AP83" s="17">
        <f t="shared" ca="1" si="35"/>
        <v>1</v>
      </c>
      <c r="AQ83" s="17">
        <f t="shared" ca="1" si="36"/>
        <v>1</v>
      </c>
      <c r="AR83" s="17">
        <f t="shared" ca="1" si="36"/>
        <v>1</v>
      </c>
      <c r="AS83" s="17">
        <f t="shared" ca="1" si="36"/>
        <v>1</v>
      </c>
      <c r="AT83" s="17">
        <f t="shared" ca="1" si="36"/>
        <v>1</v>
      </c>
      <c r="AU83" s="17">
        <f t="shared" ca="1" si="36"/>
        <v>1</v>
      </c>
      <c r="AV83" s="17">
        <f t="shared" ca="1" si="36"/>
        <v>1</v>
      </c>
      <c r="AW83" s="17">
        <f t="shared" ca="1" si="36"/>
        <v>0</v>
      </c>
      <c r="AX83" s="17">
        <f t="shared" ca="1" si="36"/>
        <v>0</v>
      </c>
      <c r="AY83" s="17">
        <f t="shared" ca="1" si="36"/>
        <v>1</v>
      </c>
      <c r="AZ83" s="17">
        <f t="shared" ca="1" si="36"/>
        <v>1</v>
      </c>
      <c r="BA83" s="17">
        <f t="shared" ca="1" si="37"/>
        <v>0</v>
      </c>
      <c r="BB83" s="17">
        <f t="shared" ca="1" si="37"/>
        <v>1</v>
      </c>
      <c r="BC83" s="17">
        <f t="shared" ca="1" si="37"/>
        <v>1</v>
      </c>
      <c r="BD83" s="17">
        <f t="shared" ca="1" si="37"/>
        <v>1</v>
      </c>
      <c r="BE83" s="17">
        <f t="shared" ca="1" si="37"/>
        <v>1</v>
      </c>
      <c r="BF83" s="17">
        <f t="shared" ca="1" si="37"/>
        <v>1</v>
      </c>
      <c r="BG83" s="17">
        <f t="shared" ca="1" si="37"/>
        <v>0</v>
      </c>
      <c r="BH83" s="17">
        <f t="shared" ca="1" si="37"/>
        <v>0</v>
      </c>
      <c r="BI83" s="17">
        <f t="shared" ca="1" si="37"/>
        <v>2.1000000000000001E-2</v>
      </c>
      <c r="BJ83" s="17">
        <f t="shared" ca="1" si="37"/>
        <v>8.1000000000000003E-2</v>
      </c>
      <c r="BK83" s="17">
        <f t="shared" ca="1" si="37"/>
        <v>6.6500000000000004E-2</v>
      </c>
      <c r="BL83" s="17">
        <f t="shared" ca="1" si="37"/>
        <v>1.0500000000000001E-2</v>
      </c>
    </row>
    <row r="84" spans="23:64" ht="22.5" customHeight="1" x14ac:dyDescent="0.3">
      <c r="W84" s="17" t="str">
        <f t="shared" ca="1" si="34"/>
        <v>OGRO</v>
      </c>
      <c r="X84" s="17">
        <f t="shared" ca="1" si="34"/>
        <v>8548</v>
      </c>
      <c r="Y84" s="17">
        <f t="shared" ca="1" si="34"/>
        <v>1</v>
      </c>
      <c r="Z84" s="17">
        <f t="shared" ca="1" si="34"/>
        <v>1</v>
      </c>
      <c r="AA84" s="17">
        <f t="shared" ca="1" si="34"/>
        <v>0</v>
      </c>
      <c r="AB84" s="17">
        <f t="shared" ca="1" si="34"/>
        <v>0</v>
      </c>
      <c r="AC84" s="17">
        <f t="shared" ca="1" si="34"/>
        <v>0</v>
      </c>
      <c r="AD84" s="17">
        <f t="shared" ca="1" si="34"/>
        <v>0</v>
      </c>
      <c r="AE84" s="17">
        <f t="shared" ca="1" si="34"/>
        <v>3</v>
      </c>
      <c r="AF84" s="17">
        <f t="shared" ca="1" si="34"/>
        <v>55</v>
      </c>
      <c r="AG84" s="17">
        <f t="shared" ca="1" si="35"/>
        <v>55</v>
      </c>
      <c r="AH84" s="17">
        <f t="shared" ca="1" si="35"/>
        <v>4</v>
      </c>
      <c r="AI84" s="17">
        <f t="shared" ca="1" si="35"/>
        <v>7</v>
      </c>
      <c r="AJ84" s="17">
        <f t="shared" ca="1" si="35"/>
        <v>4</v>
      </c>
      <c r="AK84" s="17">
        <f t="shared" ca="1" si="35"/>
        <v>1</v>
      </c>
      <c r="AL84" s="17">
        <f t="shared" ca="1" si="35"/>
        <v>5</v>
      </c>
      <c r="AM84" s="17">
        <f t="shared" ca="1" si="35"/>
        <v>0</v>
      </c>
      <c r="AN84" s="17">
        <f t="shared" ca="1" si="35"/>
        <v>1</v>
      </c>
      <c r="AO84" s="17">
        <f t="shared" ca="1" si="35"/>
        <v>1</v>
      </c>
      <c r="AP84" s="17">
        <f t="shared" ca="1" si="35"/>
        <v>1</v>
      </c>
      <c r="AQ84" s="17">
        <f t="shared" ca="1" si="36"/>
        <v>1</v>
      </c>
      <c r="AR84" s="17">
        <f t="shared" ca="1" si="36"/>
        <v>1</v>
      </c>
      <c r="AS84" s="17">
        <f t="shared" ca="1" si="36"/>
        <v>1</v>
      </c>
      <c r="AT84" s="17">
        <f t="shared" ca="1" si="36"/>
        <v>1</v>
      </c>
      <c r="AU84" s="17">
        <f t="shared" ca="1" si="36"/>
        <v>1</v>
      </c>
      <c r="AV84" s="17">
        <f t="shared" ca="1" si="36"/>
        <v>1</v>
      </c>
      <c r="AW84" s="17">
        <f t="shared" ca="1" si="36"/>
        <v>1</v>
      </c>
      <c r="AX84" s="17">
        <f t="shared" ca="1" si="36"/>
        <v>0</v>
      </c>
      <c r="AY84" s="17">
        <f t="shared" ca="1" si="36"/>
        <v>1</v>
      </c>
      <c r="AZ84" s="17">
        <f t="shared" ca="1" si="36"/>
        <v>1</v>
      </c>
      <c r="BA84" s="17">
        <f t="shared" ca="1" si="37"/>
        <v>0</v>
      </c>
      <c r="BB84" s="17">
        <f t="shared" ca="1" si="37"/>
        <v>1</v>
      </c>
      <c r="BC84" s="17">
        <f t="shared" ca="1" si="37"/>
        <v>1</v>
      </c>
      <c r="BD84" s="17">
        <f t="shared" ca="1" si="37"/>
        <v>1</v>
      </c>
      <c r="BE84" s="17">
        <f t="shared" ca="1" si="37"/>
        <v>1</v>
      </c>
      <c r="BF84" s="17">
        <f t="shared" ca="1" si="37"/>
        <v>1</v>
      </c>
      <c r="BG84" s="17">
        <f t="shared" ca="1" si="37"/>
        <v>0</v>
      </c>
      <c r="BH84" s="17">
        <f t="shared" ca="1" si="37"/>
        <v>0</v>
      </c>
      <c r="BI84" s="17">
        <f t="shared" ca="1" si="37"/>
        <v>2.1000000000000001E-2</v>
      </c>
      <c r="BJ84" s="17">
        <f t="shared" ca="1" si="37"/>
        <v>0.05</v>
      </c>
      <c r="BK84" s="17">
        <f t="shared" ca="1" si="37"/>
        <v>7.4999999999999997E-2</v>
      </c>
      <c r="BL84" s="17">
        <f t="shared" ca="1" si="37"/>
        <v>2.5000000000000001E-2</v>
      </c>
    </row>
    <row r="85" spans="23:64" ht="22.5" customHeight="1" x14ac:dyDescent="0.3">
      <c r="W85" s="17" t="str">
        <f t="shared" ca="1" si="34"/>
        <v>OGRO</v>
      </c>
      <c r="X85" s="17" t="str">
        <f t="shared" ca="1" si="34"/>
        <v>8548V</v>
      </c>
      <c r="Y85" s="17">
        <f t="shared" ca="1" si="34"/>
        <v>1</v>
      </c>
      <c r="Z85" s="17">
        <f t="shared" ca="1" si="34"/>
        <v>1</v>
      </c>
      <c r="AA85" s="17">
        <f t="shared" ca="1" si="34"/>
        <v>0</v>
      </c>
      <c r="AB85" s="17">
        <f t="shared" ca="1" si="34"/>
        <v>0</v>
      </c>
      <c r="AC85" s="17">
        <f t="shared" ca="1" si="34"/>
        <v>0</v>
      </c>
      <c r="AD85" s="17">
        <f t="shared" ca="1" si="34"/>
        <v>1</v>
      </c>
      <c r="AE85" s="17">
        <f t="shared" ca="1" si="34"/>
        <v>3</v>
      </c>
      <c r="AF85" s="17">
        <f t="shared" ca="1" si="34"/>
        <v>56</v>
      </c>
      <c r="AG85" s="17">
        <f t="shared" ca="1" si="35"/>
        <v>56</v>
      </c>
      <c r="AH85" s="17">
        <f t="shared" ca="1" si="35"/>
        <v>4</v>
      </c>
      <c r="AI85" s="17">
        <f t="shared" ca="1" si="35"/>
        <v>7</v>
      </c>
      <c r="AJ85" s="17">
        <f t="shared" ca="1" si="35"/>
        <v>4</v>
      </c>
      <c r="AK85" s="17">
        <f t="shared" ca="1" si="35"/>
        <v>1</v>
      </c>
      <c r="AL85" s="17">
        <f t="shared" ca="1" si="35"/>
        <v>5</v>
      </c>
      <c r="AM85" s="17">
        <f t="shared" ca="1" si="35"/>
        <v>0</v>
      </c>
      <c r="AN85" s="17">
        <f t="shared" ca="1" si="35"/>
        <v>1</v>
      </c>
      <c r="AO85" s="17">
        <f t="shared" ca="1" si="35"/>
        <v>1</v>
      </c>
      <c r="AP85" s="17">
        <f t="shared" ca="1" si="35"/>
        <v>1</v>
      </c>
      <c r="AQ85" s="17">
        <f t="shared" ca="1" si="36"/>
        <v>1</v>
      </c>
      <c r="AR85" s="17">
        <f t="shared" ca="1" si="36"/>
        <v>1</v>
      </c>
      <c r="AS85" s="17">
        <f t="shared" ca="1" si="36"/>
        <v>0</v>
      </c>
      <c r="AT85" s="17">
        <f t="shared" ca="1" si="36"/>
        <v>0</v>
      </c>
      <c r="AU85" s="17">
        <f t="shared" ca="1" si="36"/>
        <v>0</v>
      </c>
      <c r="AV85" s="17">
        <f t="shared" ca="1" si="36"/>
        <v>0</v>
      </c>
      <c r="AW85" s="17">
        <f t="shared" ca="1" si="36"/>
        <v>0</v>
      </c>
      <c r="AX85" s="17">
        <f t="shared" ca="1" si="36"/>
        <v>0</v>
      </c>
      <c r="AY85" s="17">
        <f t="shared" ca="1" si="36"/>
        <v>1</v>
      </c>
      <c r="AZ85" s="17">
        <f t="shared" ca="1" si="36"/>
        <v>1</v>
      </c>
      <c r="BA85" s="17">
        <f t="shared" ca="1" si="37"/>
        <v>0</v>
      </c>
      <c r="BB85" s="17">
        <f t="shared" ca="1" si="37"/>
        <v>1</v>
      </c>
      <c r="BC85" s="17">
        <f t="shared" ca="1" si="37"/>
        <v>1</v>
      </c>
      <c r="BD85" s="17">
        <f t="shared" ca="1" si="37"/>
        <v>1</v>
      </c>
      <c r="BE85" s="17">
        <f t="shared" ca="1" si="37"/>
        <v>1</v>
      </c>
      <c r="BF85" s="17">
        <f t="shared" ca="1" si="37"/>
        <v>1</v>
      </c>
      <c r="BG85" s="17">
        <f t="shared" ca="1" si="37"/>
        <v>0</v>
      </c>
      <c r="BH85" s="17">
        <f t="shared" ca="1" si="37"/>
        <v>0</v>
      </c>
      <c r="BI85" s="17">
        <f t="shared" ca="1" si="37"/>
        <v>0.02</v>
      </c>
      <c r="BJ85" s="17">
        <f t="shared" ca="1" si="37"/>
        <v>7.5999999999999998E-2</v>
      </c>
      <c r="BK85" s="17">
        <f t="shared" ca="1" si="37"/>
        <v>0.08</v>
      </c>
      <c r="BL85" s="17">
        <f t="shared" ca="1" si="37"/>
        <v>0.01</v>
      </c>
    </row>
    <row r="86" spans="23:64" ht="22.5" customHeight="1" x14ac:dyDescent="0.3">
      <c r="W86" s="17" t="str">
        <f t="shared" ref="W86:AF93" ca="1" si="38">IFERROR(INDEX( PRODUKTE,   ROW()-ROW($A$5)+INDEX(prodRowOffset,W$3),  MATCH(W$2,OFFSET(INDEXNAMEN,W$3,0),0)),"")</f>
        <v>OGRO</v>
      </c>
      <c r="X86" s="17">
        <f t="shared" ca="1" si="38"/>
        <v>3020</v>
      </c>
      <c r="Y86" s="17">
        <f t="shared" ca="1" si="38"/>
        <v>1</v>
      </c>
      <c r="Z86" s="17">
        <f t="shared" ca="1" si="38"/>
        <v>1</v>
      </c>
      <c r="AA86" s="17">
        <f t="shared" ca="1" si="38"/>
        <v>0</v>
      </c>
      <c r="AB86" s="17">
        <f t="shared" ca="1" si="38"/>
        <v>0</v>
      </c>
      <c r="AC86" s="17">
        <f t="shared" ca="1" si="38"/>
        <v>0</v>
      </c>
      <c r="AD86" s="17">
        <f t="shared" ca="1" si="38"/>
        <v>0</v>
      </c>
      <c r="AE86" s="17">
        <f t="shared" ca="1" si="38"/>
        <v>2</v>
      </c>
      <c r="AF86" s="17">
        <f t="shared" ca="1" si="38"/>
        <v>49</v>
      </c>
      <c r="AG86" s="17">
        <f t="shared" ref="AG86:AP93" ca="1" si="39">IFERROR(INDEX( PRODUKTE,   ROW()-ROW($A$5)+INDEX(prodRowOffset,AG$3),  MATCH(AG$2,OFFSET(INDEXNAMEN,AG$3,0),0)),"")</f>
        <v>49</v>
      </c>
      <c r="AH86" s="17">
        <f t="shared" ca="1" si="39"/>
        <v>4</v>
      </c>
      <c r="AI86" s="17">
        <f t="shared" ca="1" si="39"/>
        <v>7</v>
      </c>
      <c r="AJ86" s="17">
        <f t="shared" ca="1" si="39"/>
        <v>4</v>
      </c>
      <c r="AK86" s="17">
        <f t="shared" ca="1" si="39"/>
        <v>1</v>
      </c>
      <c r="AL86" s="17">
        <f t="shared" ca="1" si="39"/>
        <v>5</v>
      </c>
      <c r="AM86" s="17">
        <f t="shared" ca="1" si="39"/>
        <v>0</v>
      </c>
      <c r="AN86" s="17">
        <f t="shared" ca="1" si="39"/>
        <v>1</v>
      </c>
      <c r="AO86" s="17">
        <f t="shared" ca="1" si="39"/>
        <v>1</v>
      </c>
      <c r="AP86" s="17">
        <f t="shared" ca="1" si="39"/>
        <v>1</v>
      </c>
      <c r="AQ86" s="17">
        <f t="shared" ref="AQ86:AZ93" ca="1" si="40">IFERROR(INDEX( PRODUKTE,   ROW()-ROW($A$5)+INDEX(prodRowOffset,AQ$3),  MATCH(AQ$2,OFFSET(INDEXNAMEN,AQ$3,0),0)),"")</f>
        <v>1</v>
      </c>
      <c r="AR86" s="17">
        <f t="shared" ca="1" si="40"/>
        <v>1</v>
      </c>
      <c r="AS86" s="17">
        <f t="shared" ca="1" si="40"/>
        <v>0</v>
      </c>
      <c r="AT86" s="17">
        <f t="shared" ca="1" si="40"/>
        <v>0</v>
      </c>
      <c r="AU86" s="17">
        <f t="shared" ca="1" si="40"/>
        <v>0</v>
      </c>
      <c r="AV86" s="17">
        <f t="shared" ca="1" si="40"/>
        <v>0</v>
      </c>
      <c r="AW86" s="17">
        <f t="shared" ca="1" si="40"/>
        <v>0</v>
      </c>
      <c r="AX86" s="17">
        <f t="shared" ca="1" si="40"/>
        <v>0</v>
      </c>
      <c r="AY86" s="17">
        <f t="shared" ca="1" si="40"/>
        <v>1</v>
      </c>
      <c r="AZ86" s="17">
        <f t="shared" ca="1" si="40"/>
        <v>1</v>
      </c>
      <c r="BA86" s="17">
        <f t="shared" ref="BA86:BL93" ca="1" si="41">IFERROR(INDEX( PRODUKTE,   ROW()-ROW($A$5)+INDEX(prodRowOffset,BA$3),  MATCH(BA$2,OFFSET(INDEXNAMEN,BA$3,0),0)),"")</f>
        <v>0</v>
      </c>
      <c r="BB86" s="17">
        <f t="shared" ca="1" si="41"/>
        <v>1</v>
      </c>
      <c r="BC86" s="17">
        <f t="shared" ca="1" si="41"/>
        <v>1</v>
      </c>
      <c r="BD86" s="17">
        <f t="shared" ca="1" si="41"/>
        <v>1</v>
      </c>
      <c r="BE86" s="17">
        <f t="shared" ca="1" si="41"/>
        <v>1</v>
      </c>
      <c r="BF86" s="17">
        <f t="shared" ca="1" si="41"/>
        <v>1</v>
      </c>
      <c r="BG86" s="17">
        <f t="shared" ca="1" si="41"/>
        <v>0</v>
      </c>
      <c r="BH86" s="17">
        <f t="shared" ca="1" si="41"/>
        <v>0</v>
      </c>
      <c r="BI86" s="17">
        <f t="shared" ca="1" si="41"/>
        <v>2.1000000000000001E-2</v>
      </c>
      <c r="BJ86" s="17">
        <f t="shared" ca="1" si="41"/>
        <v>0.05</v>
      </c>
      <c r="BK86" s="17">
        <f t="shared" ca="1" si="41"/>
        <v>4.2999999999999997E-2</v>
      </c>
      <c r="BL86" s="17">
        <f t="shared" ca="1" si="41"/>
        <v>2.5000000000000001E-2</v>
      </c>
    </row>
    <row r="87" spans="23:64" ht="22.5" customHeight="1" x14ac:dyDescent="0.3">
      <c r="W87" s="17" t="str">
        <f t="shared" ca="1" si="38"/>
        <v>OGRO</v>
      </c>
      <c r="X87" s="17" t="str">
        <f t="shared" ca="1" si="38"/>
        <v>3020A</v>
      </c>
      <c r="Y87" s="17">
        <f t="shared" ca="1" si="38"/>
        <v>1</v>
      </c>
      <c r="Z87" s="17">
        <f t="shared" ca="1" si="38"/>
        <v>1</v>
      </c>
      <c r="AA87" s="17">
        <f t="shared" ca="1" si="38"/>
        <v>0</v>
      </c>
      <c r="AB87" s="17">
        <f t="shared" ca="1" si="38"/>
        <v>0</v>
      </c>
      <c r="AC87" s="17">
        <f t="shared" ca="1" si="38"/>
        <v>0</v>
      </c>
      <c r="AD87" s="17">
        <f t="shared" ca="1" si="38"/>
        <v>1</v>
      </c>
      <c r="AE87" s="17">
        <f t="shared" ca="1" si="38"/>
        <v>2</v>
      </c>
      <c r="AF87" s="17">
        <f t="shared" ca="1" si="38"/>
        <v>50</v>
      </c>
      <c r="AG87" s="17">
        <f t="shared" ca="1" si="39"/>
        <v>50</v>
      </c>
      <c r="AH87" s="17">
        <f t="shared" ca="1" si="39"/>
        <v>4</v>
      </c>
      <c r="AI87" s="17">
        <f t="shared" ca="1" si="39"/>
        <v>7</v>
      </c>
      <c r="AJ87" s="17">
        <f t="shared" ca="1" si="39"/>
        <v>3</v>
      </c>
      <c r="AK87" s="17">
        <f t="shared" ca="1" si="39"/>
        <v>1</v>
      </c>
      <c r="AL87" s="17">
        <f t="shared" ca="1" si="39"/>
        <v>5</v>
      </c>
      <c r="AM87" s="17">
        <f t="shared" ca="1" si="39"/>
        <v>0</v>
      </c>
      <c r="AN87" s="17">
        <f t="shared" ca="1" si="39"/>
        <v>1</v>
      </c>
      <c r="AO87" s="17">
        <f t="shared" ca="1" si="39"/>
        <v>1</v>
      </c>
      <c r="AP87" s="17">
        <f t="shared" ca="1" si="39"/>
        <v>1</v>
      </c>
      <c r="AQ87" s="17">
        <f t="shared" ca="1" si="40"/>
        <v>0</v>
      </c>
      <c r="AR87" s="17">
        <f t="shared" ca="1" si="40"/>
        <v>1</v>
      </c>
      <c r="AS87" s="17">
        <f t="shared" ca="1" si="40"/>
        <v>0</v>
      </c>
      <c r="AT87" s="17">
        <f t="shared" ca="1" si="40"/>
        <v>0</v>
      </c>
      <c r="AU87" s="17">
        <f t="shared" ca="1" si="40"/>
        <v>0</v>
      </c>
      <c r="AV87" s="17">
        <f t="shared" ca="1" si="40"/>
        <v>0</v>
      </c>
      <c r="AW87" s="17">
        <f t="shared" ca="1" si="40"/>
        <v>0</v>
      </c>
      <c r="AX87" s="17">
        <f t="shared" ca="1" si="40"/>
        <v>0</v>
      </c>
      <c r="AY87" s="17">
        <f t="shared" ca="1" si="40"/>
        <v>1</v>
      </c>
      <c r="AZ87" s="17">
        <f t="shared" ca="1" si="40"/>
        <v>1</v>
      </c>
      <c r="BA87" s="17">
        <f t="shared" ca="1" si="41"/>
        <v>0</v>
      </c>
      <c r="BB87" s="17">
        <f t="shared" ca="1" si="41"/>
        <v>1</v>
      </c>
      <c r="BC87" s="17">
        <f t="shared" ca="1" si="41"/>
        <v>1</v>
      </c>
      <c r="BD87" s="17">
        <f t="shared" ca="1" si="41"/>
        <v>1</v>
      </c>
      <c r="BE87" s="17">
        <f t="shared" ca="1" si="41"/>
        <v>1</v>
      </c>
      <c r="BF87" s="17">
        <f t="shared" ca="1" si="41"/>
        <v>1</v>
      </c>
      <c r="BG87" s="17">
        <f t="shared" ca="1" si="41"/>
        <v>0</v>
      </c>
      <c r="BH87" s="17">
        <f t="shared" ca="1" si="41"/>
        <v>0</v>
      </c>
      <c r="BI87" s="17">
        <f t="shared" ca="1" si="41"/>
        <v>2.1000000000000001E-2</v>
      </c>
      <c r="BJ87" s="17">
        <f t="shared" ca="1" si="41"/>
        <v>7.0000000000000007E-2</v>
      </c>
      <c r="BK87" s="17">
        <f t="shared" ca="1" si="41"/>
        <v>0.05</v>
      </c>
      <c r="BL87" s="17">
        <f t="shared" ca="1" si="41"/>
        <v>1.0500000000000001E-2</v>
      </c>
    </row>
    <row r="88" spans="23:64" ht="22.5" customHeight="1" x14ac:dyDescent="0.3">
      <c r="W88" s="17" t="str">
        <f t="shared" ca="1" si="38"/>
        <v>OGRO</v>
      </c>
      <c r="X88" s="17">
        <f t="shared" ca="1" si="38"/>
        <v>3025</v>
      </c>
      <c r="Y88" s="17">
        <f t="shared" ca="1" si="38"/>
        <v>1</v>
      </c>
      <c r="Z88" s="17">
        <f t="shared" ca="1" si="38"/>
        <v>1</v>
      </c>
      <c r="AA88" s="17">
        <f t="shared" ca="1" si="38"/>
        <v>0</v>
      </c>
      <c r="AB88" s="17">
        <f t="shared" ca="1" si="38"/>
        <v>0</v>
      </c>
      <c r="AC88" s="17">
        <f t="shared" ca="1" si="38"/>
        <v>0</v>
      </c>
      <c r="AD88" s="17">
        <f t="shared" ca="1" si="38"/>
        <v>0</v>
      </c>
      <c r="AE88" s="17">
        <f t="shared" ca="1" si="38"/>
        <v>2</v>
      </c>
      <c r="AF88" s="17">
        <f t="shared" ca="1" si="38"/>
        <v>51</v>
      </c>
      <c r="AG88" s="17">
        <f t="shared" ca="1" si="39"/>
        <v>51</v>
      </c>
      <c r="AH88" s="17">
        <f t="shared" ca="1" si="39"/>
        <v>4</v>
      </c>
      <c r="AI88" s="17">
        <f t="shared" ca="1" si="39"/>
        <v>7</v>
      </c>
      <c r="AJ88" s="17">
        <f t="shared" ca="1" si="39"/>
        <v>4</v>
      </c>
      <c r="AK88" s="17">
        <f t="shared" ca="1" si="39"/>
        <v>1</v>
      </c>
      <c r="AL88" s="17">
        <f t="shared" ca="1" si="39"/>
        <v>5</v>
      </c>
      <c r="AM88" s="17">
        <f t="shared" ca="1" si="39"/>
        <v>0</v>
      </c>
      <c r="AN88" s="17">
        <f t="shared" ca="1" si="39"/>
        <v>1</v>
      </c>
      <c r="AO88" s="17">
        <f t="shared" ca="1" si="39"/>
        <v>1</v>
      </c>
      <c r="AP88" s="17">
        <f t="shared" ca="1" si="39"/>
        <v>1</v>
      </c>
      <c r="AQ88" s="17">
        <f t="shared" ca="1" si="40"/>
        <v>1</v>
      </c>
      <c r="AR88" s="17">
        <f t="shared" ca="1" si="40"/>
        <v>1</v>
      </c>
      <c r="AS88" s="17">
        <f t="shared" ca="1" si="40"/>
        <v>1</v>
      </c>
      <c r="AT88" s="17">
        <f t="shared" ca="1" si="40"/>
        <v>1</v>
      </c>
      <c r="AU88" s="17">
        <f t="shared" ca="1" si="40"/>
        <v>1</v>
      </c>
      <c r="AV88" s="17">
        <f t="shared" ca="1" si="40"/>
        <v>1</v>
      </c>
      <c r="AW88" s="17">
        <f t="shared" ca="1" si="40"/>
        <v>1</v>
      </c>
      <c r="AX88" s="17">
        <f t="shared" ca="1" si="40"/>
        <v>0</v>
      </c>
      <c r="AY88" s="17">
        <f t="shared" ca="1" si="40"/>
        <v>1</v>
      </c>
      <c r="AZ88" s="17">
        <f t="shared" ca="1" si="40"/>
        <v>1</v>
      </c>
      <c r="BA88" s="17">
        <f t="shared" ca="1" si="41"/>
        <v>0</v>
      </c>
      <c r="BB88" s="17">
        <f t="shared" ca="1" si="41"/>
        <v>1</v>
      </c>
      <c r="BC88" s="17">
        <f t="shared" ca="1" si="41"/>
        <v>1</v>
      </c>
      <c r="BD88" s="17">
        <f t="shared" ca="1" si="41"/>
        <v>1</v>
      </c>
      <c r="BE88" s="17">
        <f t="shared" ca="1" si="41"/>
        <v>1</v>
      </c>
      <c r="BF88" s="17">
        <f t="shared" ca="1" si="41"/>
        <v>1</v>
      </c>
      <c r="BG88" s="17">
        <f t="shared" ca="1" si="41"/>
        <v>0</v>
      </c>
      <c r="BH88" s="17">
        <f t="shared" ca="1" si="41"/>
        <v>0</v>
      </c>
      <c r="BI88" s="17">
        <f t="shared" ca="1" si="41"/>
        <v>2.1000000000000001E-2</v>
      </c>
      <c r="BJ88" s="17">
        <f t="shared" ca="1" si="41"/>
        <v>0.05</v>
      </c>
      <c r="BK88" s="17">
        <f t="shared" ca="1" si="41"/>
        <v>6.25E-2</v>
      </c>
      <c r="BL88" s="17">
        <f t="shared" ca="1" si="41"/>
        <v>2.5000000000000001E-2</v>
      </c>
    </row>
    <row r="89" spans="23:64" ht="22.5" customHeight="1" x14ac:dyDescent="0.3">
      <c r="W89" s="17" t="str">
        <f t="shared" ca="1" si="38"/>
        <v>OGRO</v>
      </c>
      <c r="X89" s="17" t="str">
        <f t="shared" ca="1" si="38"/>
        <v>3025V</v>
      </c>
      <c r="Y89" s="17">
        <f t="shared" ca="1" si="38"/>
        <v>1</v>
      </c>
      <c r="Z89" s="17">
        <f t="shared" ca="1" si="38"/>
        <v>1</v>
      </c>
      <c r="AA89" s="17">
        <f t="shared" ca="1" si="38"/>
        <v>0</v>
      </c>
      <c r="AB89" s="17">
        <f t="shared" ca="1" si="38"/>
        <v>0</v>
      </c>
      <c r="AC89" s="17">
        <f t="shared" ca="1" si="38"/>
        <v>0</v>
      </c>
      <c r="AD89" s="17">
        <f t="shared" ca="1" si="38"/>
        <v>1</v>
      </c>
      <c r="AE89" s="17">
        <f t="shared" ca="1" si="38"/>
        <v>2</v>
      </c>
      <c r="AF89" s="17">
        <f t="shared" ca="1" si="38"/>
        <v>52</v>
      </c>
      <c r="AG89" s="17">
        <f t="shared" ca="1" si="39"/>
        <v>52</v>
      </c>
      <c r="AH89" s="17">
        <f t="shared" ca="1" si="39"/>
        <v>4</v>
      </c>
      <c r="AI89" s="17">
        <f t="shared" ca="1" si="39"/>
        <v>7</v>
      </c>
      <c r="AJ89" s="17">
        <f t="shared" ca="1" si="39"/>
        <v>4</v>
      </c>
      <c r="AK89" s="17">
        <f t="shared" ca="1" si="39"/>
        <v>1</v>
      </c>
      <c r="AL89" s="17">
        <f t="shared" ca="1" si="39"/>
        <v>5</v>
      </c>
      <c r="AM89" s="17">
        <f t="shared" ca="1" si="39"/>
        <v>0</v>
      </c>
      <c r="AN89" s="17">
        <f t="shared" ca="1" si="39"/>
        <v>1</v>
      </c>
      <c r="AO89" s="17">
        <f t="shared" ca="1" si="39"/>
        <v>1</v>
      </c>
      <c r="AP89" s="17">
        <f t="shared" ca="1" si="39"/>
        <v>1</v>
      </c>
      <c r="AQ89" s="17">
        <f t="shared" ca="1" si="40"/>
        <v>1</v>
      </c>
      <c r="AR89" s="17">
        <f t="shared" ca="1" si="40"/>
        <v>1</v>
      </c>
      <c r="AS89" s="17">
        <f t="shared" ca="1" si="40"/>
        <v>1</v>
      </c>
      <c r="AT89" s="17">
        <f t="shared" ca="1" si="40"/>
        <v>1</v>
      </c>
      <c r="AU89" s="17">
        <f t="shared" ca="1" si="40"/>
        <v>1</v>
      </c>
      <c r="AV89" s="17">
        <f t="shared" ca="1" si="40"/>
        <v>1</v>
      </c>
      <c r="AW89" s="17">
        <f t="shared" ca="1" si="40"/>
        <v>0</v>
      </c>
      <c r="AX89" s="17">
        <f t="shared" ca="1" si="40"/>
        <v>0</v>
      </c>
      <c r="AY89" s="17">
        <f t="shared" ca="1" si="40"/>
        <v>1</v>
      </c>
      <c r="AZ89" s="17">
        <f t="shared" ca="1" si="40"/>
        <v>1</v>
      </c>
      <c r="BA89" s="17">
        <f t="shared" ca="1" si="41"/>
        <v>0</v>
      </c>
      <c r="BB89" s="17">
        <f t="shared" ca="1" si="41"/>
        <v>1</v>
      </c>
      <c r="BC89" s="17">
        <f t="shared" ca="1" si="41"/>
        <v>1</v>
      </c>
      <c r="BD89" s="17">
        <f t="shared" ca="1" si="41"/>
        <v>1</v>
      </c>
      <c r="BE89" s="17">
        <f t="shared" ca="1" si="41"/>
        <v>1</v>
      </c>
      <c r="BF89" s="17">
        <f t="shared" ca="1" si="41"/>
        <v>1</v>
      </c>
      <c r="BG89" s="17">
        <f t="shared" ca="1" si="41"/>
        <v>0</v>
      </c>
      <c r="BH89" s="17">
        <f t="shared" ca="1" si="41"/>
        <v>0</v>
      </c>
      <c r="BI89" s="17">
        <f t="shared" ca="1" si="41"/>
        <v>2.1000000000000001E-2</v>
      </c>
      <c r="BJ89" s="17">
        <f t="shared" ca="1" si="41"/>
        <v>0.08</v>
      </c>
      <c r="BK89" s="17">
        <f t="shared" ca="1" si="41"/>
        <v>6.6500000000000004E-2</v>
      </c>
      <c r="BL89" s="17">
        <f t="shared" ca="1" si="41"/>
        <v>1.0500000000000001E-2</v>
      </c>
    </row>
    <row r="90" spans="23:64" ht="22.5" customHeight="1" x14ac:dyDescent="0.3">
      <c r="W90" s="17" t="str">
        <f t="shared" ca="1" si="38"/>
        <v>OGRO</v>
      </c>
      <c r="X90" s="17">
        <f t="shared" ca="1" si="38"/>
        <v>3030</v>
      </c>
      <c r="Y90" s="17">
        <f t="shared" ca="1" si="38"/>
        <v>1</v>
      </c>
      <c r="Z90" s="17">
        <f t="shared" ca="1" si="38"/>
        <v>1</v>
      </c>
      <c r="AA90" s="17">
        <f t="shared" ca="1" si="38"/>
        <v>0</v>
      </c>
      <c r="AB90" s="17">
        <f t="shared" ca="1" si="38"/>
        <v>0</v>
      </c>
      <c r="AC90" s="17">
        <f t="shared" ca="1" si="38"/>
        <v>0</v>
      </c>
      <c r="AD90" s="17">
        <f t="shared" ca="1" si="38"/>
        <v>0</v>
      </c>
      <c r="AE90" s="17">
        <f t="shared" ca="1" si="38"/>
        <v>2</v>
      </c>
      <c r="AF90" s="17">
        <f t="shared" ca="1" si="38"/>
        <v>53</v>
      </c>
      <c r="AG90" s="17">
        <f t="shared" ca="1" si="39"/>
        <v>53</v>
      </c>
      <c r="AH90" s="17">
        <f t="shared" ca="1" si="39"/>
        <v>4</v>
      </c>
      <c r="AI90" s="17">
        <f t="shared" ca="1" si="39"/>
        <v>7</v>
      </c>
      <c r="AJ90" s="17">
        <f t="shared" ca="1" si="39"/>
        <v>4</v>
      </c>
      <c r="AK90" s="17">
        <f t="shared" ca="1" si="39"/>
        <v>1</v>
      </c>
      <c r="AL90" s="17">
        <f t="shared" ca="1" si="39"/>
        <v>5</v>
      </c>
      <c r="AM90" s="17">
        <f t="shared" ca="1" si="39"/>
        <v>0</v>
      </c>
      <c r="AN90" s="17">
        <f t="shared" ca="1" si="39"/>
        <v>1</v>
      </c>
      <c r="AO90" s="17">
        <f t="shared" ca="1" si="39"/>
        <v>1</v>
      </c>
      <c r="AP90" s="17">
        <f t="shared" ca="1" si="39"/>
        <v>1</v>
      </c>
      <c r="AQ90" s="17">
        <f t="shared" ca="1" si="40"/>
        <v>1</v>
      </c>
      <c r="AR90" s="17">
        <f t="shared" ca="1" si="40"/>
        <v>1</v>
      </c>
      <c r="AS90" s="17">
        <f t="shared" ca="1" si="40"/>
        <v>1</v>
      </c>
      <c r="AT90" s="17">
        <f t="shared" ca="1" si="40"/>
        <v>1</v>
      </c>
      <c r="AU90" s="17">
        <f t="shared" ca="1" si="40"/>
        <v>1</v>
      </c>
      <c r="AV90" s="17">
        <f t="shared" ca="1" si="40"/>
        <v>1</v>
      </c>
      <c r="AW90" s="17">
        <f t="shared" ca="1" si="40"/>
        <v>1</v>
      </c>
      <c r="AX90" s="17">
        <f t="shared" ca="1" si="40"/>
        <v>0</v>
      </c>
      <c r="AY90" s="17">
        <f t="shared" ca="1" si="40"/>
        <v>1</v>
      </c>
      <c r="AZ90" s="17">
        <f t="shared" ca="1" si="40"/>
        <v>1</v>
      </c>
      <c r="BA90" s="17">
        <f t="shared" ca="1" si="41"/>
        <v>0</v>
      </c>
      <c r="BB90" s="17">
        <f t="shared" ca="1" si="41"/>
        <v>1</v>
      </c>
      <c r="BC90" s="17">
        <f t="shared" ca="1" si="41"/>
        <v>1</v>
      </c>
      <c r="BD90" s="17">
        <f t="shared" ca="1" si="41"/>
        <v>1</v>
      </c>
      <c r="BE90" s="17">
        <f t="shared" ca="1" si="41"/>
        <v>1</v>
      </c>
      <c r="BF90" s="17">
        <f t="shared" ca="1" si="41"/>
        <v>1</v>
      </c>
      <c r="BG90" s="17">
        <f t="shared" ca="1" si="41"/>
        <v>0</v>
      </c>
      <c r="BH90" s="17">
        <f t="shared" ca="1" si="41"/>
        <v>0</v>
      </c>
      <c r="BI90" s="17">
        <f t="shared" ca="1" si="41"/>
        <v>2.1000000000000001E-2</v>
      </c>
      <c r="BJ90" s="17">
        <f t="shared" ca="1" si="41"/>
        <v>0.05</v>
      </c>
      <c r="BK90" s="17">
        <f t="shared" ca="1" si="41"/>
        <v>6.25E-2</v>
      </c>
      <c r="BL90" s="17">
        <f t="shared" ca="1" si="41"/>
        <v>2.5000000000000001E-2</v>
      </c>
    </row>
    <row r="91" spans="23:64" ht="22.5" customHeight="1" x14ac:dyDescent="0.3">
      <c r="W91" s="17" t="str">
        <f t="shared" ca="1" si="38"/>
        <v>OGRO</v>
      </c>
      <c r="X91" s="17" t="str">
        <f t="shared" ca="1" si="38"/>
        <v>3030V</v>
      </c>
      <c r="Y91" s="17">
        <f t="shared" ca="1" si="38"/>
        <v>1</v>
      </c>
      <c r="Z91" s="17">
        <f t="shared" ca="1" si="38"/>
        <v>1</v>
      </c>
      <c r="AA91" s="17">
        <f t="shared" ca="1" si="38"/>
        <v>0</v>
      </c>
      <c r="AB91" s="17">
        <f t="shared" ca="1" si="38"/>
        <v>0</v>
      </c>
      <c r="AC91" s="17">
        <f t="shared" ca="1" si="38"/>
        <v>0</v>
      </c>
      <c r="AD91" s="17">
        <f t="shared" ca="1" si="38"/>
        <v>1</v>
      </c>
      <c r="AE91" s="17">
        <f t="shared" ca="1" si="38"/>
        <v>2</v>
      </c>
      <c r="AF91" s="17">
        <f t="shared" ca="1" si="38"/>
        <v>54</v>
      </c>
      <c r="AG91" s="17">
        <f t="shared" ca="1" si="39"/>
        <v>54</v>
      </c>
      <c r="AH91" s="17">
        <f t="shared" ca="1" si="39"/>
        <v>4</v>
      </c>
      <c r="AI91" s="17">
        <f t="shared" ca="1" si="39"/>
        <v>7</v>
      </c>
      <c r="AJ91" s="17">
        <f t="shared" ca="1" si="39"/>
        <v>4</v>
      </c>
      <c r="AK91" s="17">
        <f t="shared" ca="1" si="39"/>
        <v>1</v>
      </c>
      <c r="AL91" s="17">
        <f t="shared" ca="1" si="39"/>
        <v>5</v>
      </c>
      <c r="AM91" s="17">
        <f t="shared" ca="1" si="39"/>
        <v>0</v>
      </c>
      <c r="AN91" s="17">
        <f t="shared" ca="1" si="39"/>
        <v>1</v>
      </c>
      <c r="AO91" s="17">
        <f t="shared" ca="1" si="39"/>
        <v>1</v>
      </c>
      <c r="AP91" s="17">
        <f t="shared" ca="1" si="39"/>
        <v>1</v>
      </c>
      <c r="AQ91" s="17">
        <f t="shared" ca="1" si="40"/>
        <v>1</v>
      </c>
      <c r="AR91" s="17">
        <f t="shared" ca="1" si="40"/>
        <v>1</v>
      </c>
      <c r="AS91" s="17">
        <f t="shared" ca="1" si="40"/>
        <v>1</v>
      </c>
      <c r="AT91" s="17">
        <f t="shared" ca="1" si="40"/>
        <v>1</v>
      </c>
      <c r="AU91" s="17">
        <f t="shared" ca="1" si="40"/>
        <v>1</v>
      </c>
      <c r="AV91" s="17">
        <f t="shared" ca="1" si="40"/>
        <v>1</v>
      </c>
      <c r="AW91" s="17">
        <f t="shared" ca="1" si="40"/>
        <v>0</v>
      </c>
      <c r="AX91" s="17">
        <f t="shared" ca="1" si="40"/>
        <v>0</v>
      </c>
      <c r="AY91" s="17">
        <f t="shared" ca="1" si="40"/>
        <v>1</v>
      </c>
      <c r="AZ91" s="17">
        <f t="shared" ca="1" si="40"/>
        <v>1</v>
      </c>
      <c r="BA91" s="17">
        <f t="shared" ca="1" si="41"/>
        <v>0</v>
      </c>
      <c r="BB91" s="17">
        <f t="shared" ca="1" si="41"/>
        <v>1</v>
      </c>
      <c r="BC91" s="17">
        <f t="shared" ca="1" si="41"/>
        <v>1</v>
      </c>
      <c r="BD91" s="17">
        <f t="shared" ca="1" si="41"/>
        <v>1</v>
      </c>
      <c r="BE91" s="17">
        <f t="shared" ca="1" si="41"/>
        <v>1</v>
      </c>
      <c r="BF91" s="17">
        <f t="shared" ca="1" si="41"/>
        <v>1</v>
      </c>
      <c r="BG91" s="17">
        <f t="shared" ca="1" si="41"/>
        <v>0</v>
      </c>
      <c r="BH91" s="17">
        <f t="shared" ca="1" si="41"/>
        <v>0</v>
      </c>
      <c r="BI91" s="17">
        <f t="shared" ca="1" si="41"/>
        <v>2.1000000000000001E-2</v>
      </c>
      <c r="BJ91" s="17">
        <f t="shared" ca="1" si="41"/>
        <v>8.1000000000000003E-2</v>
      </c>
      <c r="BK91" s="17">
        <f t="shared" ca="1" si="41"/>
        <v>6.6500000000000004E-2</v>
      </c>
      <c r="BL91" s="17">
        <f t="shared" ca="1" si="41"/>
        <v>1.0500000000000001E-2</v>
      </c>
    </row>
    <row r="92" spans="23:64" ht="22.5" customHeight="1" x14ac:dyDescent="0.3">
      <c r="W92" s="17" t="str">
        <f t="shared" ca="1" si="38"/>
        <v>OGRO</v>
      </c>
      <c r="X92" s="17">
        <f t="shared" ca="1" si="38"/>
        <v>3548</v>
      </c>
      <c r="Y92" s="17">
        <f t="shared" ca="1" si="38"/>
        <v>1</v>
      </c>
      <c r="Z92" s="17">
        <f t="shared" ca="1" si="38"/>
        <v>1</v>
      </c>
      <c r="AA92" s="17">
        <f t="shared" ca="1" si="38"/>
        <v>0</v>
      </c>
      <c r="AB92" s="17">
        <f t="shared" ca="1" si="38"/>
        <v>0</v>
      </c>
      <c r="AC92" s="17">
        <f t="shared" ca="1" si="38"/>
        <v>0</v>
      </c>
      <c r="AD92" s="17">
        <f t="shared" ca="1" si="38"/>
        <v>0</v>
      </c>
      <c r="AE92" s="17">
        <f t="shared" ca="1" si="38"/>
        <v>2</v>
      </c>
      <c r="AF92" s="17">
        <f t="shared" ca="1" si="38"/>
        <v>55</v>
      </c>
      <c r="AG92" s="17">
        <f t="shared" ca="1" si="39"/>
        <v>55</v>
      </c>
      <c r="AH92" s="17">
        <f t="shared" ca="1" si="39"/>
        <v>4</v>
      </c>
      <c r="AI92" s="17">
        <f t="shared" ca="1" si="39"/>
        <v>7</v>
      </c>
      <c r="AJ92" s="17">
        <f t="shared" ca="1" si="39"/>
        <v>4</v>
      </c>
      <c r="AK92" s="17">
        <f t="shared" ca="1" si="39"/>
        <v>1</v>
      </c>
      <c r="AL92" s="17">
        <f t="shared" ca="1" si="39"/>
        <v>5</v>
      </c>
      <c r="AM92" s="17">
        <f t="shared" ca="1" si="39"/>
        <v>0</v>
      </c>
      <c r="AN92" s="17">
        <f t="shared" ca="1" si="39"/>
        <v>1</v>
      </c>
      <c r="AO92" s="17">
        <f t="shared" ca="1" si="39"/>
        <v>1</v>
      </c>
      <c r="AP92" s="17">
        <f t="shared" ca="1" si="39"/>
        <v>1</v>
      </c>
      <c r="AQ92" s="17">
        <f t="shared" ca="1" si="40"/>
        <v>1</v>
      </c>
      <c r="AR92" s="17">
        <f t="shared" ca="1" si="40"/>
        <v>1</v>
      </c>
      <c r="AS92" s="17">
        <f t="shared" ca="1" si="40"/>
        <v>1</v>
      </c>
      <c r="AT92" s="17">
        <f t="shared" ca="1" si="40"/>
        <v>1</v>
      </c>
      <c r="AU92" s="17">
        <f t="shared" ca="1" si="40"/>
        <v>1</v>
      </c>
      <c r="AV92" s="17">
        <f t="shared" ca="1" si="40"/>
        <v>1</v>
      </c>
      <c r="AW92" s="17">
        <f t="shared" ca="1" si="40"/>
        <v>1</v>
      </c>
      <c r="AX92" s="17">
        <f t="shared" ca="1" si="40"/>
        <v>0</v>
      </c>
      <c r="AY92" s="17">
        <f t="shared" ca="1" si="40"/>
        <v>1</v>
      </c>
      <c r="AZ92" s="17">
        <f t="shared" ca="1" si="40"/>
        <v>1</v>
      </c>
      <c r="BA92" s="17">
        <f t="shared" ca="1" si="41"/>
        <v>0</v>
      </c>
      <c r="BB92" s="17">
        <f t="shared" ca="1" si="41"/>
        <v>1</v>
      </c>
      <c r="BC92" s="17">
        <f t="shared" ca="1" si="41"/>
        <v>1</v>
      </c>
      <c r="BD92" s="17">
        <f t="shared" ca="1" si="41"/>
        <v>1</v>
      </c>
      <c r="BE92" s="17">
        <f t="shared" ca="1" si="41"/>
        <v>1</v>
      </c>
      <c r="BF92" s="17">
        <f t="shared" ca="1" si="41"/>
        <v>1</v>
      </c>
      <c r="BG92" s="17">
        <f t="shared" ca="1" si="41"/>
        <v>0</v>
      </c>
      <c r="BH92" s="17">
        <f t="shared" ca="1" si="41"/>
        <v>0</v>
      </c>
      <c r="BI92" s="17">
        <f t="shared" ca="1" si="41"/>
        <v>2.1000000000000001E-2</v>
      </c>
      <c r="BJ92" s="17">
        <f t="shared" ca="1" si="41"/>
        <v>0.05</v>
      </c>
      <c r="BK92" s="17">
        <f t="shared" ca="1" si="41"/>
        <v>7.4999999999999997E-2</v>
      </c>
      <c r="BL92" s="17">
        <f t="shared" ca="1" si="41"/>
        <v>2.5000000000000001E-2</v>
      </c>
    </row>
    <row r="93" spans="23:64" ht="22.5" customHeight="1" x14ac:dyDescent="0.3">
      <c r="W93" s="17" t="str">
        <f t="shared" ca="1" si="38"/>
        <v>OGRO</v>
      </c>
      <c r="X93" s="17" t="str">
        <f t="shared" ca="1" si="38"/>
        <v>3548V</v>
      </c>
      <c r="Y93" s="17">
        <f t="shared" ca="1" si="38"/>
        <v>1</v>
      </c>
      <c r="Z93" s="17">
        <f t="shared" ca="1" si="38"/>
        <v>1</v>
      </c>
      <c r="AA93" s="17">
        <f t="shared" ca="1" si="38"/>
        <v>0</v>
      </c>
      <c r="AB93" s="17">
        <f t="shared" ca="1" si="38"/>
        <v>0</v>
      </c>
      <c r="AC93" s="17">
        <f t="shared" ca="1" si="38"/>
        <v>0</v>
      </c>
      <c r="AD93" s="17">
        <f t="shared" ca="1" si="38"/>
        <v>1</v>
      </c>
      <c r="AE93" s="17">
        <f t="shared" ca="1" si="38"/>
        <v>2</v>
      </c>
      <c r="AF93" s="17">
        <f t="shared" ca="1" si="38"/>
        <v>56</v>
      </c>
      <c r="AG93" s="17">
        <f t="shared" ca="1" si="39"/>
        <v>56</v>
      </c>
      <c r="AH93" s="17">
        <f t="shared" ca="1" si="39"/>
        <v>4</v>
      </c>
      <c r="AI93" s="17">
        <f t="shared" ca="1" si="39"/>
        <v>7</v>
      </c>
      <c r="AJ93" s="17">
        <f t="shared" ca="1" si="39"/>
        <v>4</v>
      </c>
      <c r="AK93" s="17">
        <f t="shared" ca="1" si="39"/>
        <v>1</v>
      </c>
      <c r="AL93" s="17">
        <f t="shared" ca="1" si="39"/>
        <v>5</v>
      </c>
      <c r="AM93" s="17">
        <f t="shared" ca="1" si="39"/>
        <v>0</v>
      </c>
      <c r="AN93" s="17">
        <f t="shared" ca="1" si="39"/>
        <v>1</v>
      </c>
      <c r="AO93" s="17">
        <f t="shared" ca="1" si="39"/>
        <v>1</v>
      </c>
      <c r="AP93" s="17">
        <f t="shared" ca="1" si="39"/>
        <v>1</v>
      </c>
      <c r="AQ93" s="17">
        <f t="shared" ca="1" si="40"/>
        <v>1</v>
      </c>
      <c r="AR93" s="17">
        <f t="shared" ca="1" si="40"/>
        <v>1</v>
      </c>
      <c r="AS93" s="17">
        <f t="shared" ca="1" si="40"/>
        <v>1</v>
      </c>
      <c r="AT93" s="17">
        <f t="shared" ca="1" si="40"/>
        <v>1</v>
      </c>
      <c r="AU93" s="17">
        <f t="shared" ca="1" si="40"/>
        <v>1</v>
      </c>
      <c r="AV93" s="17">
        <f t="shared" ca="1" si="40"/>
        <v>1</v>
      </c>
      <c r="AW93" s="17">
        <f t="shared" ca="1" si="40"/>
        <v>0</v>
      </c>
      <c r="AX93" s="17">
        <f t="shared" ca="1" si="40"/>
        <v>0</v>
      </c>
      <c r="AY93" s="17">
        <f t="shared" ca="1" si="40"/>
        <v>1</v>
      </c>
      <c r="AZ93" s="17">
        <f t="shared" ca="1" si="40"/>
        <v>1</v>
      </c>
      <c r="BA93" s="17">
        <f t="shared" ca="1" si="41"/>
        <v>0</v>
      </c>
      <c r="BB93" s="17">
        <f t="shared" ca="1" si="41"/>
        <v>1</v>
      </c>
      <c r="BC93" s="17">
        <f t="shared" ca="1" si="41"/>
        <v>1</v>
      </c>
      <c r="BD93" s="17">
        <f t="shared" ca="1" si="41"/>
        <v>1</v>
      </c>
      <c r="BE93" s="17">
        <f t="shared" ca="1" si="41"/>
        <v>1</v>
      </c>
      <c r="BF93" s="17">
        <f t="shared" ca="1" si="41"/>
        <v>1</v>
      </c>
      <c r="BG93" s="17">
        <f t="shared" ca="1" si="41"/>
        <v>0</v>
      </c>
      <c r="BH93" s="17">
        <f t="shared" ca="1" si="41"/>
        <v>0</v>
      </c>
      <c r="BI93" s="17">
        <f t="shared" ca="1" si="41"/>
        <v>0.02</v>
      </c>
      <c r="BJ93" s="17">
        <f t="shared" ca="1" si="41"/>
        <v>7.5999999999999998E-2</v>
      </c>
      <c r="BK93" s="17">
        <f t="shared" ca="1" si="41"/>
        <v>0.08</v>
      </c>
      <c r="BL93" s="17">
        <f t="shared" ca="1" si="41"/>
        <v>0.01</v>
      </c>
    </row>
    <row r="94" spans="23:64" ht="22.5" customHeight="1" x14ac:dyDescent="0.3">
      <c r="W94" s="17" t="str">
        <f t="shared" ref="W94:X112" ca="1" si="42">IFERROR(INDEX( PRODUKTE,   ROW()-ROW($A$5)+INDEX(prodRowOffset,W$3),  MATCH(W$2,OFFSET(INDEXNAMEN,W$3,0),0)),"")</f>
        <v>OGRO</v>
      </c>
      <c r="X94" s="17" t="str">
        <f t="shared" ca="1" si="42"/>
        <v>650x + 6612</v>
      </c>
      <c r="AE94" s="17">
        <f t="shared" ref="AE94:AG112" ca="1" si="43">IFERROR(INDEX( PRODUKTE,   ROW()-ROW($A$5)+INDEX(prodRowOffset,AE$3),  MATCH(AE$2,OFFSET(INDEXNAMEN,AE$3,0),0)),"")</f>
        <v>10</v>
      </c>
      <c r="AF94" s="17">
        <f t="shared" ca="1" si="43"/>
        <v>5</v>
      </c>
      <c r="AG94" s="17">
        <f t="shared" ca="1" si="43"/>
        <v>0</v>
      </c>
      <c r="AR94" s="17">
        <f t="shared" ref="AR94:BA103" ca="1" si="44">IFERROR(INDEX( PRODUKTE,   ROW()-ROW($A$5)+INDEX(prodRowOffset,AR$3),  MATCH(AR$2,OFFSET(INDEXNAMEN,AR$3,0),0)),"")</f>
        <v>1</v>
      </c>
      <c r="AS94" s="17">
        <f t="shared" ca="1" si="44"/>
        <v>0</v>
      </c>
      <c r="AT94" s="17">
        <f t="shared" ca="1" si="44"/>
        <v>0</v>
      </c>
      <c r="AU94" s="17">
        <f t="shared" ca="1" si="44"/>
        <v>0</v>
      </c>
      <c r="AV94" s="17">
        <f t="shared" ca="1" si="44"/>
        <v>0</v>
      </c>
      <c r="AW94" s="17">
        <f t="shared" ca="1" si="44"/>
        <v>0</v>
      </c>
      <c r="AX94" s="17">
        <f t="shared" ca="1" si="44"/>
        <v>0</v>
      </c>
      <c r="AY94" s="17">
        <f t="shared" ca="1" si="44"/>
        <v>0</v>
      </c>
      <c r="AZ94" s="17">
        <f t="shared" ca="1" si="44"/>
        <v>0</v>
      </c>
      <c r="BA94" s="17">
        <f t="shared" ca="1" si="44"/>
        <v>0</v>
      </c>
      <c r="BB94" s="17">
        <f t="shared" ref="BB94:BL103" ca="1" si="45">IFERROR(INDEX( PRODUKTE,   ROW()-ROW($A$5)+INDEX(prodRowOffset,BB$3),  MATCH(BB$2,OFFSET(INDEXNAMEN,BB$3,0),0)),"")</f>
        <v>1</v>
      </c>
      <c r="BC94" s="17">
        <f t="shared" ca="1" si="45"/>
        <v>1</v>
      </c>
      <c r="BD94" s="17">
        <f t="shared" ca="1" si="45"/>
        <v>1</v>
      </c>
      <c r="BE94" s="17">
        <f t="shared" ca="1" si="45"/>
        <v>1</v>
      </c>
      <c r="BF94" s="17">
        <f t="shared" ca="1" si="45"/>
        <v>1</v>
      </c>
      <c r="BG94" s="17">
        <f t="shared" ca="1" si="45"/>
        <v>0</v>
      </c>
      <c r="BH94" s="17">
        <f t="shared" ca="1" si="45"/>
        <v>1</v>
      </c>
      <c r="BI94" s="17">
        <f t="shared" ca="1" si="45"/>
        <v>8.9999999999999993E-3</v>
      </c>
      <c r="BJ94" s="17">
        <f t="shared" ca="1" si="45"/>
        <v>5.5E-2</v>
      </c>
      <c r="BK94" s="17">
        <f t="shared" ca="1" si="45"/>
        <v>5.5E-2</v>
      </c>
      <c r="BL94" s="17">
        <f t="shared" ca="1" si="45"/>
        <v>2.75E-2</v>
      </c>
    </row>
    <row r="95" spans="23:64" ht="22.5" customHeight="1" x14ac:dyDescent="0.3">
      <c r="W95" s="17" t="str">
        <f t="shared" ca="1" si="42"/>
        <v>OGRO</v>
      </c>
      <c r="X95" s="17" t="str">
        <f t="shared" ca="1" si="42"/>
        <v>650x + 7122</v>
      </c>
      <c r="AE95" s="17">
        <f t="shared" ca="1" si="43"/>
        <v>10</v>
      </c>
      <c r="AF95" s="17">
        <f t="shared" ca="1" si="43"/>
        <v>5</v>
      </c>
      <c r="AG95" s="17">
        <f t="shared" ca="1" si="43"/>
        <v>0</v>
      </c>
      <c r="AR95" s="17">
        <f t="shared" ca="1" si="44"/>
        <v>1</v>
      </c>
      <c r="AS95" s="17">
        <f t="shared" ca="1" si="44"/>
        <v>0</v>
      </c>
      <c r="AT95" s="17">
        <f t="shared" ca="1" si="44"/>
        <v>0</v>
      </c>
      <c r="AU95" s="17">
        <f t="shared" ca="1" si="44"/>
        <v>0</v>
      </c>
      <c r="AV95" s="17">
        <f t="shared" ca="1" si="44"/>
        <v>0</v>
      </c>
      <c r="AW95" s="17">
        <f t="shared" ca="1" si="44"/>
        <v>0</v>
      </c>
      <c r="AX95" s="17">
        <f t="shared" ca="1" si="44"/>
        <v>0</v>
      </c>
      <c r="AY95" s="17">
        <f t="shared" ca="1" si="44"/>
        <v>0</v>
      </c>
      <c r="AZ95" s="17">
        <f t="shared" ca="1" si="44"/>
        <v>0</v>
      </c>
      <c r="BA95" s="17">
        <f t="shared" ca="1" si="44"/>
        <v>0</v>
      </c>
      <c r="BB95" s="17">
        <f t="shared" ca="1" si="45"/>
        <v>0</v>
      </c>
      <c r="BC95" s="17">
        <f t="shared" ca="1" si="45"/>
        <v>0</v>
      </c>
      <c r="BD95" s="17">
        <f t="shared" ca="1" si="45"/>
        <v>0</v>
      </c>
      <c r="BE95" s="17">
        <f t="shared" ca="1" si="45"/>
        <v>0</v>
      </c>
      <c r="BF95" s="17">
        <f t="shared" ca="1" si="45"/>
        <v>0</v>
      </c>
      <c r="BG95" s="17">
        <f t="shared" ca="1" si="45"/>
        <v>1</v>
      </c>
      <c r="BH95" s="17">
        <f t="shared" ca="1" si="45"/>
        <v>0</v>
      </c>
      <c r="BI95" s="17">
        <f t="shared" ca="1" si="45"/>
        <v>8.9999999999999993E-3</v>
      </c>
      <c r="BJ95" s="17">
        <f t="shared" ca="1" si="45"/>
        <v>5.5E-2</v>
      </c>
      <c r="BK95" s="17">
        <f t="shared" ca="1" si="45"/>
        <v>5.5E-2</v>
      </c>
      <c r="BL95" s="17">
        <f t="shared" ca="1" si="45"/>
        <v>2.75E-2</v>
      </c>
    </row>
    <row r="96" spans="23:64" ht="22.5" customHeight="1" x14ac:dyDescent="0.3">
      <c r="W96" s="17" t="str">
        <f t="shared" ca="1" si="42"/>
        <v>OGRO</v>
      </c>
      <c r="X96" s="17" t="str">
        <f t="shared" ca="1" si="42"/>
        <v>650x + 7123</v>
      </c>
      <c r="AE96" s="17">
        <f t="shared" ca="1" si="43"/>
        <v>10</v>
      </c>
      <c r="AF96" s="17">
        <f t="shared" ca="1" si="43"/>
        <v>5</v>
      </c>
      <c r="AG96" s="17">
        <f t="shared" ca="1" si="43"/>
        <v>0</v>
      </c>
      <c r="AR96" s="17">
        <f t="shared" ca="1" si="44"/>
        <v>1</v>
      </c>
      <c r="AS96" s="17">
        <f t="shared" ca="1" si="44"/>
        <v>0</v>
      </c>
      <c r="AT96" s="17">
        <f t="shared" ca="1" si="44"/>
        <v>0</v>
      </c>
      <c r="AU96" s="17">
        <f t="shared" ca="1" si="44"/>
        <v>0</v>
      </c>
      <c r="AV96" s="17">
        <f t="shared" ca="1" si="44"/>
        <v>0</v>
      </c>
      <c r="AW96" s="17">
        <f t="shared" ca="1" si="44"/>
        <v>0</v>
      </c>
      <c r="AX96" s="17">
        <f t="shared" ca="1" si="44"/>
        <v>0</v>
      </c>
      <c r="AY96" s="17">
        <f t="shared" ca="1" si="44"/>
        <v>0</v>
      </c>
      <c r="AZ96" s="17">
        <f t="shared" ca="1" si="44"/>
        <v>0</v>
      </c>
      <c r="BA96" s="17">
        <f t="shared" ca="1" si="44"/>
        <v>0</v>
      </c>
      <c r="BB96" s="17">
        <f t="shared" ca="1" si="45"/>
        <v>0</v>
      </c>
      <c r="BC96" s="17">
        <f t="shared" ca="1" si="45"/>
        <v>0</v>
      </c>
      <c r="BD96" s="17">
        <f t="shared" ca="1" si="45"/>
        <v>0</v>
      </c>
      <c r="BE96" s="17">
        <f t="shared" ca="1" si="45"/>
        <v>0</v>
      </c>
      <c r="BF96" s="17">
        <f t="shared" ca="1" si="45"/>
        <v>0</v>
      </c>
      <c r="BG96" s="17">
        <f t="shared" ca="1" si="45"/>
        <v>1</v>
      </c>
      <c r="BH96" s="17">
        <f t="shared" ca="1" si="45"/>
        <v>0</v>
      </c>
      <c r="BI96" s="17">
        <f t="shared" ca="1" si="45"/>
        <v>8.9999999999999993E-3</v>
      </c>
      <c r="BJ96" s="17">
        <f t="shared" ca="1" si="45"/>
        <v>5.5E-2</v>
      </c>
      <c r="BK96" s="17">
        <f t="shared" ca="1" si="45"/>
        <v>5.5E-2</v>
      </c>
      <c r="BL96" s="17">
        <f t="shared" ca="1" si="45"/>
        <v>2.75E-2</v>
      </c>
    </row>
    <row r="97" spans="23:64" ht="22.5" customHeight="1" x14ac:dyDescent="0.3">
      <c r="W97" s="17" t="str">
        <f t="shared" ca="1" si="42"/>
        <v>OGRO</v>
      </c>
      <c r="X97" s="17" t="str">
        <f t="shared" ca="1" si="42"/>
        <v>650x</v>
      </c>
      <c r="AE97" s="17">
        <f t="shared" ca="1" si="43"/>
        <v>10</v>
      </c>
      <c r="AF97" s="17">
        <f t="shared" ca="1" si="43"/>
        <v>9</v>
      </c>
      <c r="AG97" s="17">
        <f t="shared" ca="1" si="43"/>
        <v>0</v>
      </c>
      <c r="AR97" s="17">
        <f t="shared" ca="1" si="44"/>
        <v>1</v>
      </c>
      <c r="AS97" s="17">
        <f t="shared" ca="1" si="44"/>
        <v>0</v>
      </c>
      <c r="AT97" s="17">
        <f t="shared" ca="1" si="44"/>
        <v>0</v>
      </c>
      <c r="AU97" s="17">
        <f t="shared" ca="1" si="44"/>
        <v>0</v>
      </c>
      <c r="AV97" s="17">
        <f t="shared" ca="1" si="44"/>
        <v>0</v>
      </c>
      <c r="AW97" s="17">
        <f t="shared" ca="1" si="44"/>
        <v>0</v>
      </c>
      <c r="AX97" s="17">
        <f t="shared" ca="1" si="44"/>
        <v>0</v>
      </c>
      <c r="AY97" s="17">
        <f t="shared" ca="1" si="44"/>
        <v>0</v>
      </c>
      <c r="AZ97" s="17">
        <f t="shared" ca="1" si="44"/>
        <v>0</v>
      </c>
      <c r="BA97" s="17">
        <f t="shared" ca="1" si="44"/>
        <v>0</v>
      </c>
      <c r="BB97" s="17">
        <f t="shared" ca="1" si="45"/>
        <v>0</v>
      </c>
      <c r="BC97" s="17">
        <f t="shared" ca="1" si="45"/>
        <v>0</v>
      </c>
      <c r="BD97" s="17">
        <f t="shared" ca="1" si="45"/>
        <v>0</v>
      </c>
      <c r="BE97" s="17">
        <f t="shared" ca="1" si="45"/>
        <v>0</v>
      </c>
      <c r="BF97" s="17">
        <f t="shared" ca="1" si="45"/>
        <v>0</v>
      </c>
      <c r="BG97" s="17">
        <f t="shared" ca="1" si="45"/>
        <v>0</v>
      </c>
      <c r="BH97" s="17">
        <f t="shared" ca="1" si="45"/>
        <v>0</v>
      </c>
      <c r="BI97" s="17">
        <f t="shared" ca="1" si="45"/>
        <v>8.9999999999999993E-3</v>
      </c>
      <c r="BJ97" s="17">
        <f t="shared" ca="1" si="45"/>
        <v>5.5E-2</v>
      </c>
      <c r="BK97" s="17">
        <f t="shared" ca="1" si="45"/>
        <v>5.5E-2</v>
      </c>
      <c r="BL97" s="17">
        <f t="shared" ca="1" si="45"/>
        <v>2.75E-2</v>
      </c>
    </row>
    <row r="98" spans="23:64" ht="22.5" customHeight="1" x14ac:dyDescent="0.3">
      <c r="W98" s="17" t="str">
        <f t="shared" ca="1" si="42"/>
        <v>OGRO</v>
      </c>
      <c r="X98" s="17">
        <f t="shared" ca="1" si="42"/>
        <v>6612</v>
      </c>
      <c r="AE98" s="17">
        <f t="shared" ca="1" si="43"/>
        <v>10</v>
      </c>
      <c r="AF98" s="17">
        <f t="shared" ca="1" si="43"/>
        <v>10</v>
      </c>
      <c r="AG98" s="17">
        <f t="shared" ca="1" si="43"/>
        <v>0</v>
      </c>
      <c r="AR98" s="17">
        <f t="shared" ca="1" si="44"/>
        <v>1</v>
      </c>
      <c r="AS98" s="17">
        <f t="shared" ca="1" si="44"/>
        <v>0</v>
      </c>
      <c r="AT98" s="17">
        <f t="shared" ca="1" si="44"/>
        <v>0</v>
      </c>
      <c r="AU98" s="17">
        <f t="shared" ca="1" si="44"/>
        <v>0</v>
      </c>
      <c r="AV98" s="17">
        <f t="shared" ca="1" si="44"/>
        <v>0</v>
      </c>
      <c r="AW98" s="17">
        <f t="shared" ca="1" si="44"/>
        <v>0</v>
      </c>
      <c r="AX98" s="17">
        <f t="shared" ca="1" si="44"/>
        <v>0</v>
      </c>
      <c r="AY98" s="17">
        <f t="shared" ca="1" si="44"/>
        <v>0</v>
      </c>
      <c r="AZ98" s="17">
        <f t="shared" ca="1" si="44"/>
        <v>0</v>
      </c>
      <c r="BA98" s="17">
        <f t="shared" ca="1" si="44"/>
        <v>0</v>
      </c>
      <c r="BB98" s="17">
        <f t="shared" ca="1" si="45"/>
        <v>0</v>
      </c>
      <c r="BC98" s="17">
        <f t="shared" ca="1" si="45"/>
        <v>0</v>
      </c>
      <c r="BD98" s="17">
        <f t="shared" ca="1" si="45"/>
        <v>0</v>
      </c>
      <c r="BE98" s="17">
        <f t="shared" ca="1" si="45"/>
        <v>0</v>
      </c>
      <c r="BF98" s="17">
        <f t="shared" ca="1" si="45"/>
        <v>0</v>
      </c>
      <c r="BG98" s="17">
        <f t="shared" ca="1" si="45"/>
        <v>1</v>
      </c>
      <c r="BH98" s="17">
        <f t="shared" ca="1" si="45"/>
        <v>0</v>
      </c>
      <c r="BI98" s="17">
        <f t="shared" ca="1" si="45"/>
        <v>8.9999999999999993E-3</v>
      </c>
      <c r="BJ98" s="17">
        <f t="shared" ca="1" si="45"/>
        <v>5.5E-2</v>
      </c>
      <c r="BK98" s="17">
        <f t="shared" ca="1" si="45"/>
        <v>5.5E-2</v>
      </c>
      <c r="BL98" s="17">
        <f t="shared" ca="1" si="45"/>
        <v>2.75E-2</v>
      </c>
    </row>
    <row r="99" spans="23:64" ht="22.5" customHeight="1" x14ac:dyDescent="0.3">
      <c r="W99" s="17" t="str">
        <f t="shared" ca="1" si="42"/>
        <v>OGRO</v>
      </c>
      <c r="X99" s="17">
        <f t="shared" ca="1" si="42"/>
        <v>7122</v>
      </c>
      <c r="AE99" s="17">
        <f t="shared" ca="1" si="43"/>
        <v>10</v>
      </c>
      <c r="AF99" s="17">
        <f t="shared" ca="1" si="43"/>
        <v>10</v>
      </c>
      <c r="AG99" s="17">
        <f t="shared" ca="1" si="43"/>
        <v>0</v>
      </c>
      <c r="AR99" s="17">
        <f t="shared" ca="1" si="44"/>
        <v>1</v>
      </c>
      <c r="AS99" s="17">
        <f t="shared" ca="1" si="44"/>
        <v>0</v>
      </c>
      <c r="AT99" s="17">
        <f t="shared" ca="1" si="44"/>
        <v>0</v>
      </c>
      <c r="AU99" s="17">
        <f t="shared" ca="1" si="44"/>
        <v>0</v>
      </c>
      <c r="AV99" s="17">
        <f t="shared" ca="1" si="44"/>
        <v>0</v>
      </c>
      <c r="AW99" s="17">
        <f t="shared" ca="1" si="44"/>
        <v>0</v>
      </c>
      <c r="AX99" s="17">
        <f t="shared" ca="1" si="44"/>
        <v>0</v>
      </c>
      <c r="AY99" s="17">
        <f t="shared" ca="1" si="44"/>
        <v>0</v>
      </c>
      <c r="AZ99" s="17">
        <f t="shared" ca="1" si="44"/>
        <v>0</v>
      </c>
      <c r="BA99" s="17">
        <f t="shared" ca="1" si="44"/>
        <v>0</v>
      </c>
      <c r="BB99" s="17">
        <f t="shared" ca="1" si="45"/>
        <v>0</v>
      </c>
      <c r="BC99" s="17">
        <f t="shared" ca="1" si="45"/>
        <v>0</v>
      </c>
      <c r="BD99" s="17">
        <f t="shared" ca="1" si="45"/>
        <v>0</v>
      </c>
      <c r="BE99" s="17">
        <f t="shared" ca="1" si="45"/>
        <v>0</v>
      </c>
      <c r="BF99" s="17">
        <f t="shared" ca="1" si="45"/>
        <v>0</v>
      </c>
      <c r="BG99" s="17">
        <f t="shared" ca="1" si="45"/>
        <v>1</v>
      </c>
      <c r="BH99" s="17">
        <f t="shared" ca="1" si="45"/>
        <v>0</v>
      </c>
      <c r="BI99" s="17">
        <f t="shared" ca="1" si="45"/>
        <v>8.9999999999999993E-3</v>
      </c>
      <c r="BJ99" s="17">
        <f t="shared" ca="1" si="45"/>
        <v>5.5E-2</v>
      </c>
      <c r="BK99" s="17">
        <f t="shared" ca="1" si="45"/>
        <v>5.5E-2</v>
      </c>
      <c r="BL99" s="17">
        <f t="shared" ca="1" si="45"/>
        <v>2.75E-2</v>
      </c>
    </row>
    <row r="100" spans="23:64" ht="22.5" customHeight="1" x14ac:dyDescent="0.3">
      <c r="W100" s="17" t="str">
        <f t="shared" ca="1" si="42"/>
        <v>OGRO</v>
      </c>
      <c r="X100" s="17">
        <f t="shared" ca="1" si="42"/>
        <v>7123</v>
      </c>
      <c r="AE100" s="17">
        <f t="shared" ca="1" si="43"/>
        <v>10</v>
      </c>
      <c r="AF100" s="17">
        <f t="shared" ca="1" si="43"/>
        <v>10</v>
      </c>
      <c r="AG100" s="17">
        <f t="shared" ca="1" si="43"/>
        <v>0</v>
      </c>
      <c r="AR100" s="17">
        <f t="shared" ca="1" si="44"/>
        <v>1</v>
      </c>
      <c r="AS100" s="17">
        <f t="shared" ca="1" si="44"/>
        <v>0</v>
      </c>
      <c r="AT100" s="17">
        <f t="shared" ca="1" si="44"/>
        <v>0</v>
      </c>
      <c r="AU100" s="17">
        <f t="shared" ca="1" si="44"/>
        <v>0</v>
      </c>
      <c r="AV100" s="17">
        <f t="shared" ca="1" si="44"/>
        <v>0</v>
      </c>
      <c r="AW100" s="17">
        <f t="shared" ca="1" si="44"/>
        <v>0</v>
      </c>
      <c r="AX100" s="17">
        <f t="shared" ca="1" si="44"/>
        <v>0</v>
      </c>
      <c r="AY100" s="17">
        <f t="shared" ca="1" si="44"/>
        <v>0</v>
      </c>
      <c r="AZ100" s="17">
        <f t="shared" ca="1" si="44"/>
        <v>0</v>
      </c>
      <c r="BA100" s="17">
        <f t="shared" ca="1" si="44"/>
        <v>0</v>
      </c>
      <c r="BB100" s="17">
        <f t="shared" ca="1" si="45"/>
        <v>0</v>
      </c>
      <c r="BC100" s="17">
        <f t="shared" ca="1" si="45"/>
        <v>0</v>
      </c>
      <c r="BD100" s="17">
        <f t="shared" ca="1" si="45"/>
        <v>0</v>
      </c>
      <c r="BE100" s="17">
        <f t="shared" ca="1" si="45"/>
        <v>0</v>
      </c>
      <c r="BF100" s="17">
        <f t="shared" ca="1" si="45"/>
        <v>0</v>
      </c>
      <c r="BG100" s="17">
        <f t="shared" ca="1" si="45"/>
        <v>1</v>
      </c>
      <c r="BH100" s="17">
        <f t="shared" ca="1" si="45"/>
        <v>0</v>
      </c>
      <c r="BI100" s="17">
        <f t="shared" ca="1" si="45"/>
        <v>8.9999999999999993E-3</v>
      </c>
      <c r="BJ100" s="17">
        <f t="shared" ca="1" si="45"/>
        <v>5.5E-2</v>
      </c>
      <c r="BK100" s="17">
        <f t="shared" ca="1" si="45"/>
        <v>5.5E-2</v>
      </c>
      <c r="BL100" s="17">
        <f t="shared" ca="1" si="45"/>
        <v>2.75E-2</v>
      </c>
    </row>
    <row r="101" spans="23:64" ht="22.5" customHeight="1" x14ac:dyDescent="0.3">
      <c r="W101" s="17" t="str">
        <f t="shared" ca="1" si="42"/>
        <v>OGRO</v>
      </c>
      <c r="X101" s="17" t="str">
        <f t="shared" ca="1" si="42"/>
        <v>705x K</v>
      </c>
      <c r="AE101" s="17">
        <f t="shared" ca="1" si="43"/>
        <v>10</v>
      </c>
      <c r="AF101" s="17">
        <f t="shared" ca="1" si="43"/>
        <v>3</v>
      </c>
      <c r="AG101" s="17">
        <f t="shared" ca="1" si="43"/>
        <v>0</v>
      </c>
      <c r="AR101" s="17">
        <f t="shared" ca="1" si="44"/>
        <v>0</v>
      </c>
      <c r="AS101" s="17">
        <f t="shared" ca="1" si="44"/>
        <v>0</v>
      </c>
      <c r="AT101" s="17">
        <f t="shared" ca="1" si="44"/>
        <v>0</v>
      </c>
      <c r="AU101" s="17">
        <f t="shared" ca="1" si="44"/>
        <v>1</v>
      </c>
      <c r="AV101" s="17">
        <f t="shared" ca="1" si="44"/>
        <v>0</v>
      </c>
      <c r="AW101" s="17">
        <f t="shared" ca="1" si="44"/>
        <v>0</v>
      </c>
      <c r="AX101" s="17">
        <f t="shared" ca="1" si="44"/>
        <v>0</v>
      </c>
      <c r="AY101" s="17">
        <f t="shared" ca="1" si="44"/>
        <v>0</v>
      </c>
      <c r="AZ101" s="17">
        <f t="shared" ca="1" si="44"/>
        <v>0</v>
      </c>
      <c r="BA101" s="17">
        <f t="shared" ca="1" si="44"/>
        <v>0</v>
      </c>
      <c r="BB101" s="17">
        <f t="shared" ca="1" si="45"/>
        <v>1</v>
      </c>
      <c r="BC101" s="17">
        <f t="shared" ca="1" si="45"/>
        <v>1</v>
      </c>
      <c r="BD101" s="17">
        <f t="shared" ca="1" si="45"/>
        <v>1</v>
      </c>
      <c r="BE101" s="17">
        <f t="shared" ca="1" si="45"/>
        <v>1</v>
      </c>
      <c r="BF101" s="17">
        <f t="shared" ca="1" si="45"/>
        <v>1</v>
      </c>
      <c r="BG101" s="17">
        <f t="shared" ca="1" si="45"/>
        <v>1</v>
      </c>
      <c r="BH101" s="17">
        <f t="shared" ca="1" si="45"/>
        <v>1</v>
      </c>
      <c r="BI101" s="17">
        <f t="shared" ca="1" si="45"/>
        <v>8.9999999999999993E-3</v>
      </c>
      <c r="BJ101" s="17">
        <f t="shared" ca="1" si="45"/>
        <v>4.3999999999999997E-2</v>
      </c>
      <c r="BK101" s="17">
        <f t="shared" ca="1" si="45"/>
        <v>0.158</v>
      </c>
      <c r="BL101" s="17">
        <f t="shared" ca="1" si="45"/>
        <v>2.1999999999999999E-2</v>
      </c>
    </row>
    <row r="102" spans="23:64" ht="22.5" customHeight="1" x14ac:dyDescent="0.3">
      <c r="W102" s="17" t="str">
        <f t="shared" ca="1" si="42"/>
        <v>OGRO</v>
      </c>
      <c r="X102" s="17" t="str">
        <f t="shared" ca="1" si="42"/>
        <v>706x K</v>
      </c>
      <c r="AE102" s="17">
        <f t="shared" ca="1" si="43"/>
        <v>10</v>
      </c>
      <c r="AF102" s="17">
        <f t="shared" ca="1" si="43"/>
        <v>4</v>
      </c>
      <c r="AG102" s="17">
        <f t="shared" ca="1" si="43"/>
        <v>0</v>
      </c>
      <c r="AR102" s="17">
        <f t="shared" ca="1" si="44"/>
        <v>0</v>
      </c>
      <c r="AS102" s="17">
        <f t="shared" ca="1" si="44"/>
        <v>0</v>
      </c>
      <c r="AT102" s="17">
        <f t="shared" ca="1" si="44"/>
        <v>0</v>
      </c>
      <c r="AU102" s="17">
        <f t="shared" ca="1" si="44"/>
        <v>0</v>
      </c>
      <c r="AV102" s="17">
        <f t="shared" ca="1" si="44"/>
        <v>1</v>
      </c>
      <c r="AW102" s="17">
        <f t="shared" ca="1" si="44"/>
        <v>0</v>
      </c>
      <c r="AX102" s="17">
        <f t="shared" ca="1" si="44"/>
        <v>0</v>
      </c>
      <c r="AY102" s="17">
        <f t="shared" ca="1" si="44"/>
        <v>0</v>
      </c>
      <c r="AZ102" s="17">
        <f t="shared" ca="1" si="44"/>
        <v>0</v>
      </c>
      <c r="BA102" s="17">
        <f t="shared" ca="1" si="44"/>
        <v>0</v>
      </c>
      <c r="BB102" s="17">
        <f t="shared" ca="1" si="45"/>
        <v>1</v>
      </c>
      <c r="BC102" s="17">
        <f t="shared" ca="1" si="45"/>
        <v>1</v>
      </c>
      <c r="BD102" s="17">
        <f t="shared" ca="1" si="45"/>
        <v>1</v>
      </c>
      <c r="BE102" s="17">
        <f t="shared" ca="1" si="45"/>
        <v>1</v>
      </c>
      <c r="BF102" s="17">
        <f t="shared" ca="1" si="45"/>
        <v>1</v>
      </c>
      <c r="BG102" s="17">
        <f t="shared" ca="1" si="45"/>
        <v>1</v>
      </c>
      <c r="BH102" s="17">
        <f t="shared" ca="1" si="45"/>
        <v>1</v>
      </c>
      <c r="BI102" s="17">
        <f t="shared" ca="1" si="45"/>
        <v>8.9999999999999993E-3</v>
      </c>
      <c r="BJ102" s="17">
        <f t="shared" ca="1" si="45"/>
        <v>4.3999999999999997E-2</v>
      </c>
      <c r="BK102" s="17">
        <f t="shared" ca="1" si="45"/>
        <v>0.158</v>
      </c>
      <c r="BL102" s="17">
        <f t="shared" ca="1" si="45"/>
        <v>2.1999999999999999E-2</v>
      </c>
    </row>
    <row r="103" spans="23:64" ht="22.5" customHeight="1" x14ac:dyDescent="0.3">
      <c r="W103" s="17" t="str">
        <f t="shared" ca="1" si="42"/>
        <v>OGRO</v>
      </c>
      <c r="X103" s="17" t="str">
        <f t="shared" ca="1" si="42"/>
        <v>702x L</v>
      </c>
      <c r="AE103" s="17">
        <f t="shared" ca="1" si="43"/>
        <v>10</v>
      </c>
      <c r="AF103" s="17">
        <f t="shared" ca="1" si="43"/>
        <v>2</v>
      </c>
      <c r="AG103" s="17">
        <f t="shared" ca="1" si="43"/>
        <v>0</v>
      </c>
      <c r="AR103" s="17">
        <f t="shared" ca="1" si="44"/>
        <v>0</v>
      </c>
      <c r="AS103" s="17">
        <f t="shared" ca="1" si="44"/>
        <v>1</v>
      </c>
      <c r="AT103" s="17">
        <f t="shared" ca="1" si="44"/>
        <v>0</v>
      </c>
      <c r="AU103" s="17">
        <f t="shared" ca="1" si="44"/>
        <v>0</v>
      </c>
      <c r="AV103" s="17">
        <f t="shared" ca="1" si="44"/>
        <v>0</v>
      </c>
      <c r="AW103" s="17">
        <f t="shared" ca="1" si="44"/>
        <v>0</v>
      </c>
      <c r="AX103" s="17">
        <f t="shared" ca="1" si="44"/>
        <v>0</v>
      </c>
      <c r="AY103" s="17">
        <f t="shared" ca="1" si="44"/>
        <v>0</v>
      </c>
      <c r="AZ103" s="17">
        <f t="shared" ca="1" si="44"/>
        <v>0</v>
      </c>
      <c r="BA103" s="17">
        <f t="shared" ca="1" si="44"/>
        <v>0</v>
      </c>
      <c r="BB103" s="17">
        <f t="shared" ca="1" si="45"/>
        <v>1</v>
      </c>
      <c r="BC103" s="17">
        <f t="shared" ca="1" si="45"/>
        <v>1</v>
      </c>
      <c r="BD103" s="17">
        <f t="shared" ca="1" si="45"/>
        <v>1</v>
      </c>
      <c r="BE103" s="17">
        <f t="shared" ca="1" si="45"/>
        <v>1</v>
      </c>
      <c r="BF103" s="17">
        <f t="shared" ca="1" si="45"/>
        <v>1</v>
      </c>
      <c r="BG103" s="17">
        <f t="shared" ca="1" si="45"/>
        <v>1</v>
      </c>
      <c r="BH103" s="17">
        <f t="shared" ca="1" si="45"/>
        <v>1</v>
      </c>
      <c r="BI103" s="17">
        <f t="shared" ca="1" si="45"/>
        <v>8.9999999999999993E-3</v>
      </c>
      <c r="BJ103" s="17">
        <f t="shared" ca="1" si="45"/>
        <v>4.3999999999999997E-2</v>
      </c>
      <c r="BK103" s="17">
        <f t="shared" ca="1" si="45"/>
        <v>0.22</v>
      </c>
      <c r="BL103" s="17">
        <f t="shared" ca="1" si="45"/>
        <v>2.1999999999999999E-2</v>
      </c>
    </row>
    <row r="104" spans="23:64" ht="22.5" customHeight="1" x14ac:dyDescent="0.3">
      <c r="W104" s="17" t="str">
        <f t="shared" ca="1" si="42"/>
        <v>OGRO</v>
      </c>
      <c r="X104" s="17" t="str">
        <f t="shared" ca="1" si="42"/>
        <v>701x L</v>
      </c>
      <c r="AE104" s="17">
        <f t="shared" ca="1" si="43"/>
        <v>10</v>
      </c>
      <c r="AF104" s="17">
        <f t="shared" ca="1" si="43"/>
        <v>1</v>
      </c>
      <c r="AG104" s="17">
        <f t="shared" ca="1" si="43"/>
        <v>0</v>
      </c>
      <c r="AR104" s="17">
        <f t="shared" ref="AR104:BA113" ca="1" si="46">IFERROR(INDEX( PRODUKTE,   ROW()-ROW($A$5)+INDEX(prodRowOffset,AR$3),  MATCH(AR$2,OFFSET(INDEXNAMEN,AR$3,0),0)),"")</f>
        <v>0</v>
      </c>
      <c r="AS104" s="17">
        <f t="shared" ca="1" si="46"/>
        <v>0</v>
      </c>
      <c r="AT104" s="17">
        <f t="shared" ca="1" si="46"/>
        <v>1</v>
      </c>
      <c r="AU104" s="17">
        <f t="shared" ca="1" si="46"/>
        <v>0</v>
      </c>
      <c r="AV104" s="17">
        <f t="shared" ca="1" si="46"/>
        <v>0</v>
      </c>
      <c r="AW104" s="17">
        <f t="shared" ca="1" si="46"/>
        <v>0</v>
      </c>
      <c r="AX104" s="17">
        <f t="shared" ca="1" si="46"/>
        <v>0</v>
      </c>
      <c r="AY104" s="17">
        <f t="shared" ca="1" si="46"/>
        <v>0</v>
      </c>
      <c r="AZ104" s="17">
        <f t="shared" ca="1" si="46"/>
        <v>0</v>
      </c>
      <c r="BA104" s="17">
        <f t="shared" ca="1" si="46"/>
        <v>0</v>
      </c>
      <c r="BB104" s="17">
        <f t="shared" ref="BB104:BL113" ca="1" si="47">IFERROR(INDEX( PRODUKTE,   ROW()-ROW($A$5)+INDEX(prodRowOffset,BB$3),  MATCH(BB$2,OFFSET(INDEXNAMEN,BB$3,0),0)),"")</f>
        <v>1</v>
      </c>
      <c r="BC104" s="17">
        <f t="shared" ca="1" si="47"/>
        <v>1</v>
      </c>
      <c r="BD104" s="17">
        <f t="shared" ca="1" si="47"/>
        <v>1</v>
      </c>
      <c r="BE104" s="17">
        <f t="shared" ca="1" si="47"/>
        <v>1</v>
      </c>
      <c r="BF104" s="17">
        <f t="shared" ca="1" si="47"/>
        <v>1</v>
      </c>
      <c r="BG104" s="17">
        <f t="shared" ca="1" si="47"/>
        <v>1</v>
      </c>
      <c r="BH104" s="17">
        <f t="shared" ca="1" si="47"/>
        <v>1</v>
      </c>
      <c r="BI104" s="17">
        <f t="shared" ca="1" si="47"/>
        <v>8.9999999999999993E-3</v>
      </c>
      <c r="BJ104" s="17">
        <f t="shared" ca="1" si="47"/>
        <v>4.3999999999999997E-2</v>
      </c>
      <c r="BK104" s="17">
        <f t="shared" ca="1" si="47"/>
        <v>0.22</v>
      </c>
      <c r="BL104" s="17">
        <f t="shared" ca="1" si="47"/>
        <v>2.1999999999999999E-2</v>
      </c>
    </row>
    <row r="105" spans="23:64" ht="22.5" customHeight="1" x14ac:dyDescent="0.3">
      <c r="W105" s="17" t="str">
        <f t="shared" ca="1" si="42"/>
        <v>OGRO</v>
      </c>
      <c r="X105" s="17">
        <f t="shared" ca="1" si="42"/>
        <v>7601</v>
      </c>
      <c r="AE105" s="17">
        <f t="shared" ca="1" si="43"/>
        <v>10</v>
      </c>
      <c r="AF105" s="17">
        <f t="shared" ca="1" si="43"/>
        <v>8</v>
      </c>
      <c r="AG105" s="17">
        <f t="shared" ca="1" si="43"/>
        <v>0</v>
      </c>
      <c r="AR105" s="17">
        <f t="shared" ca="1" si="46"/>
        <v>0</v>
      </c>
      <c r="AS105" s="17">
        <f t="shared" ca="1" si="46"/>
        <v>0</v>
      </c>
      <c r="AT105" s="17">
        <f t="shared" ca="1" si="46"/>
        <v>0</v>
      </c>
      <c r="AU105" s="17">
        <f t="shared" ca="1" si="46"/>
        <v>0</v>
      </c>
      <c r="AV105" s="17">
        <f t="shared" ca="1" si="46"/>
        <v>0</v>
      </c>
      <c r="AW105" s="17">
        <f t="shared" ca="1" si="46"/>
        <v>1</v>
      </c>
      <c r="AX105" s="17">
        <f t="shared" ca="1" si="46"/>
        <v>0</v>
      </c>
      <c r="AY105" s="17">
        <f t="shared" ca="1" si="46"/>
        <v>0</v>
      </c>
      <c r="AZ105" s="17">
        <f t="shared" ca="1" si="46"/>
        <v>0</v>
      </c>
      <c r="BA105" s="17">
        <f t="shared" ca="1" si="46"/>
        <v>0</v>
      </c>
      <c r="BB105" s="17">
        <f t="shared" ca="1" si="47"/>
        <v>1</v>
      </c>
      <c r="BC105" s="17">
        <f t="shared" ca="1" si="47"/>
        <v>1</v>
      </c>
      <c r="BD105" s="17">
        <f t="shared" ca="1" si="47"/>
        <v>1</v>
      </c>
      <c r="BE105" s="17">
        <f t="shared" ca="1" si="47"/>
        <v>1</v>
      </c>
      <c r="BF105" s="17">
        <f t="shared" ca="1" si="47"/>
        <v>1</v>
      </c>
      <c r="BG105" s="17">
        <f t="shared" ca="1" si="47"/>
        <v>1</v>
      </c>
      <c r="BH105" s="17">
        <f t="shared" ca="1" si="47"/>
        <v>1</v>
      </c>
      <c r="BI105" s="17">
        <f t="shared" ca="1" si="47"/>
        <v>8.9999999999999993E-3</v>
      </c>
      <c r="BJ105" s="17">
        <f t="shared" ca="1" si="47"/>
        <v>0.18</v>
      </c>
      <c r="BK105" s="17">
        <f t="shared" ca="1" si="47"/>
        <v>0.17</v>
      </c>
      <c r="BL105" s="17">
        <f t="shared" ca="1" si="47"/>
        <v>2.5000000000000001E-2</v>
      </c>
    </row>
    <row r="106" spans="23:64" ht="22.5" customHeight="1" x14ac:dyDescent="0.3">
      <c r="W106" s="17" t="str">
        <f t="shared" ca="1" si="42"/>
        <v>OGRO</v>
      </c>
      <c r="X106" s="17" t="str">
        <f t="shared" ca="1" si="42"/>
        <v>662x + 6679</v>
      </c>
      <c r="AE106" s="17">
        <f t="shared" ca="1" si="43"/>
        <v>11</v>
      </c>
      <c r="AF106" s="17">
        <f t="shared" ca="1" si="43"/>
        <v>0</v>
      </c>
      <c r="AG106" s="17">
        <f t="shared" ca="1" si="43"/>
        <v>6</v>
      </c>
      <c r="AR106" s="17">
        <f t="shared" ca="1" si="46"/>
        <v>0</v>
      </c>
      <c r="AS106" s="17">
        <f t="shared" ca="1" si="46"/>
        <v>0</v>
      </c>
      <c r="AT106" s="17">
        <f t="shared" ca="1" si="46"/>
        <v>0</v>
      </c>
      <c r="AU106" s="17">
        <f t="shared" ca="1" si="46"/>
        <v>0</v>
      </c>
      <c r="AV106" s="17">
        <f t="shared" ca="1" si="46"/>
        <v>0</v>
      </c>
      <c r="AW106" s="17">
        <f t="shared" ca="1" si="46"/>
        <v>0</v>
      </c>
      <c r="AX106" s="17">
        <f t="shared" ca="1" si="46"/>
        <v>0</v>
      </c>
      <c r="AY106" s="17">
        <f t="shared" ca="1" si="46"/>
        <v>1</v>
      </c>
      <c r="AZ106" s="17">
        <f t="shared" ca="1" si="46"/>
        <v>0</v>
      </c>
      <c r="BA106" s="17">
        <f t="shared" ca="1" si="46"/>
        <v>0</v>
      </c>
      <c r="BB106" s="17">
        <f t="shared" ca="1" si="47"/>
        <v>0</v>
      </c>
      <c r="BC106" s="17">
        <f t="shared" ca="1" si="47"/>
        <v>1</v>
      </c>
      <c r="BD106" s="17">
        <f t="shared" ca="1" si="47"/>
        <v>1</v>
      </c>
      <c r="BE106" s="17">
        <f t="shared" ca="1" si="47"/>
        <v>1</v>
      </c>
      <c r="BF106" s="17">
        <f t="shared" ca="1" si="47"/>
        <v>0</v>
      </c>
      <c r="BG106" s="17">
        <f t="shared" ca="1" si="47"/>
        <v>0</v>
      </c>
      <c r="BH106" s="17">
        <f t="shared" ca="1" si="47"/>
        <v>0</v>
      </c>
      <c r="BI106" s="17">
        <f t="shared" ca="1" si="47"/>
        <v>8.9999999999999993E-3</v>
      </c>
      <c r="BJ106" s="17">
        <f t="shared" ca="1" si="47"/>
        <v>3.15E-2</v>
      </c>
      <c r="BK106" s="17">
        <f t="shared" ca="1" si="47"/>
        <v>6.8500000000000005E-2</v>
      </c>
      <c r="BL106" s="17">
        <f t="shared" ca="1" si="47"/>
        <v>1.575E-2</v>
      </c>
    </row>
    <row r="107" spans="23:64" ht="22.5" customHeight="1" x14ac:dyDescent="0.3">
      <c r="W107" s="17" t="str">
        <f t="shared" ca="1" si="42"/>
        <v>OGRO</v>
      </c>
      <c r="X107" s="17" t="str">
        <f t="shared" ca="1" si="42"/>
        <v>661x + 6676</v>
      </c>
      <c r="AE107" s="17">
        <f t="shared" ca="1" si="43"/>
        <v>11</v>
      </c>
      <c r="AF107" s="17">
        <f t="shared" ca="1" si="43"/>
        <v>0</v>
      </c>
      <c r="AG107" s="17">
        <f t="shared" ca="1" si="43"/>
        <v>7</v>
      </c>
      <c r="AR107" s="17">
        <f t="shared" ca="1" si="46"/>
        <v>0</v>
      </c>
      <c r="AS107" s="17">
        <f t="shared" ca="1" si="46"/>
        <v>0</v>
      </c>
      <c r="AT107" s="17">
        <f t="shared" ca="1" si="46"/>
        <v>0</v>
      </c>
      <c r="AU107" s="17">
        <f t="shared" ca="1" si="46"/>
        <v>0</v>
      </c>
      <c r="AV107" s="17">
        <f t="shared" ca="1" si="46"/>
        <v>0</v>
      </c>
      <c r="AW107" s="17">
        <f t="shared" ca="1" si="46"/>
        <v>0</v>
      </c>
      <c r="AX107" s="17">
        <f t="shared" ca="1" si="46"/>
        <v>0</v>
      </c>
      <c r="AY107" s="17">
        <f t="shared" ca="1" si="46"/>
        <v>0</v>
      </c>
      <c r="AZ107" s="17">
        <f t="shared" ca="1" si="46"/>
        <v>1</v>
      </c>
      <c r="BA107" s="17">
        <f t="shared" ca="1" si="46"/>
        <v>0</v>
      </c>
      <c r="BB107" s="17">
        <f t="shared" ca="1" si="47"/>
        <v>0</v>
      </c>
      <c r="BC107" s="17">
        <f t="shared" ca="1" si="47"/>
        <v>1</v>
      </c>
      <c r="BD107" s="17">
        <f t="shared" ca="1" si="47"/>
        <v>1</v>
      </c>
      <c r="BE107" s="17">
        <f t="shared" ca="1" si="47"/>
        <v>1</v>
      </c>
      <c r="BF107" s="17">
        <f t="shared" ca="1" si="47"/>
        <v>0</v>
      </c>
      <c r="BG107" s="17">
        <f t="shared" ca="1" si="47"/>
        <v>0</v>
      </c>
      <c r="BH107" s="17">
        <f t="shared" ca="1" si="47"/>
        <v>0</v>
      </c>
      <c r="BI107" s="17">
        <f t="shared" ca="1" si="47"/>
        <v>8.9999999999999993E-3</v>
      </c>
      <c r="BJ107" s="17">
        <f t="shared" ca="1" si="47"/>
        <v>3.15E-2</v>
      </c>
      <c r="BK107" s="17">
        <f t="shared" ca="1" si="47"/>
        <v>6.8500000000000005E-2</v>
      </c>
      <c r="BL107" s="17">
        <f t="shared" ca="1" si="47"/>
        <v>1.575E-2</v>
      </c>
    </row>
    <row r="108" spans="23:64" ht="22.5" customHeight="1" x14ac:dyDescent="0.3">
      <c r="W108" s="17" t="str">
        <f t="shared" ca="1" si="42"/>
        <v>OGRO</v>
      </c>
      <c r="X108" s="17" t="str">
        <f t="shared" ca="1" si="42"/>
        <v>662x</v>
      </c>
      <c r="AE108" s="17">
        <f t="shared" ca="1" si="43"/>
        <v>11</v>
      </c>
      <c r="AF108" s="17">
        <f t="shared" ca="1" si="43"/>
        <v>0</v>
      </c>
      <c r="AG108" s="17">
        <f t="shared" ca="1" si="43"/>
        <v>11</v>
      </c>
      <c r="AR108" s="17">
        <f t="shared" ca="1" si="46"/>
        <v>0</v>
      </c>
      <c r="AS108" s="17">
        <f t="shared" ca="1" si="46"/>
        <v>0</v>
      </c>
      <c r="AT108" s="17">
        <f t="shared" ca="1" si="46"/>
        <v>0</v>
      </c>
      <c r="AU108" s="17">
        <f t="shared" ca="1" si="46"/>
        <v>0</v>
      </c>
      <c r="AV108" s="17">
        <f t="shared" ca="1" si="46"/>
        <v>0</v>
      </c>
      <c r="AW108" s="17">
        <f t="shared" ca="1" si="46"/>
        <v>0</v>
      </c>
      <c r="AX108" s="17">
        <f t="shared" ca="1" si="46"/>
        <v>0</v>
      </c>
      <c r="AY108" s="17">
        <f t="shared" ca="1" si="46"/>
        <v>1</v>
      </c>
      <c r="AZ108" s="17">
        <f t="shared" ca="1" si="46"/>
        <v>0</v>
      </c>
      <c r="BA108" s="17">
        <f t="shared" ca="1" si="46"/>
        <v>0</v>
      </c>
      <c r="BB108" s="17">
        <f t="shared" ca="1" si="47"/>
        <v>0</v>
      </c>
      <c r="BC108" s="17">
        <f t="shared" ca="1" si="47"/>
        <v>0</v>
      </c>
      <c r="BD108" s="17">
        <f t="shared" ca="1" si="47"/>
        <v>0</v>
      </c>
      <c r="BE108" s="17">
        <f t="shared" ca="1" si="47"/>
        <v>0</v>
      </c>
      <c r="BF108" s="17">
        <f t="shared" ca="1" si="47"/>
        <v>0</v>
      </c>
      <c r="BG108" s="17">
        <f t="shared" ca="1" si="47"/>
        <v>0</v>
      </c>
      <c r="BH108" s="17">
        <f t="shared" ca="1" si="47"/>
        <v>0</v>
      </c>
      <c r="BI108" s="17">
        <f t="shared" ca="1" si="47"/>
        <v>8.9999999999999993E-3</v>
      </c>
      <c r="BJ108" s="17">
        <f t="shared" ca="1" si="47"/>
        <v>3.15E-2</v>
      </c>
      <c r="BK108" s="17">
        <f t="shared" ca="1" si="47"/>
        <v>6.8500000000000005E-2</v>
      </c>
      <c r="BL108" s="17">
        <f t="shared" ca="1" si="47"/>
        <v>1.575E-2</v>
      </c>
    </row>
    <row r="109" spans="23:64" ht="22.5" customHeight="1" x14ac:dyDescent="0.3">
      <c r="W109" s="17" t="str">
        <f t="shared" ca="1" si="42"/>
        <v>OGRO</v>
      </c>
      <c r="X109" s="17" t="str">
        <f t="shared" ca="1" si="42"/>
        <v>661x</v>
      </c>
      <c r="AE109" s="17">
        <f t="shared" ca="1" si="43"/>
        <v>11</v>
      </c>
      <c r="AF109" s="17">
        <f t="shared" ca="1" si="43"/>
        <v>0</v>
      </c>
      <c r="AG109" s="17">
        <f t="shared" ca="1" si="43"/>
        <v>12</v>
      </c>
      <c r="AR109" s="17">
        <f t="shared" ca="1" si="46"/>
        <v>0</v>
      </c>
      <c r="AS109" s="17">
        <f t="shared" ca="1" si="46"/>
        <v>0</v>
      </c>
      <c r="AT109" s="17">
        <f t="shared" ca="1" si="46"/>
        <v>0</v>
      </c>
      <c r="AU109" s="17">
        <f t="shared" ca="1" si="46"/>
        <v>0</v>
      </c>
      <c r="AV109" s="17">
        <f t="shared" ca="1" si="46"/>
        <v>0</v>
      </c>
      <c r="AW109" s="17">
        <f t="shared" ca="1" si="46"/>
        <v>0</v>
      </c>
      <c r="AX109" s="17">
        <f t="shared" ca="1" si="46"/>
        <v>0</v>
      </c>
      <c r="AY109" s="17">
        <f t="shared" ca="1" si="46"/>
        <v>0</v>
      </c>
      <c r="AZ109" s="17">
        <f t="shared" ca="1" si="46"/>
        <v>1</v>
      </c>
      <c r="BA109" s="17">
        <f t="shared" ca="1" si="46"/>
        <v>0</v>
      </c>
      <c r="BB109" s="17">
        <f t="shared" ca="1" si="47"/>
        <v>0</v>
      </c>
      <c r="BC109" s="17">
        <f t="shared" ca="1" si="47"/>
        <v>0</v>
      </c>
      <c r="BD109" s="17">
        <f t="shared" ca="1" si="47"/>
        <v>0</v>
      </c>
      <c r="BE109" s="17">
        <f t="shared" ca="1" si="47"/>
        <v>0</v>
      </c>
      <c r="BF109" s="17">
        <f t="shared" ca="1" si="47"/>
        <v>0</v>
      </c>
      <c r="BG109" s="17">
        <f t="shared" ca="1" si="47"/>
        <v>0</v>
      </c>
      <c r="BH109" s="17">
        <f t="shared" ca="1" si="47"/>
        <v>0</v>
      </c>
      <c r="BI109" s="17">
        <f t="shared" ca="1" si="47"/>
        <v>8.9999999999999993E-3</v>
      </c>
      <c r="BJ109" s="17">
        <f t="shared" ca="1" si="47"/>
        <v>3.15E-2</v>
      </c>
      <c r="BK109" s="17">
        <f t="shared" ca="1" si="47"/>
        <v>6.8500000000000005E-2</v>
      </c>
      <c r="BL109" s="17">
        <f t="shared" ca="1" si="47"/>
        <v>1.575E-2</v>
      </c>
    </row>
    <row r="110" spans="23:64" ht="22.5" customHeight="1" x14ac:dyDescent="0.3">
      <c r="W110" s="17" t="str">
        <f t="shared" ca="1" si="42"/>
        <v>OGRO</v>
      </c>
      <c r="X110" s="17">
        <f t="shared" ca="1" si="42"/>
        <v>6679</v>
      </c>
      <c r="AE110" s="17">
        <f t="shared" ca="1" si="43"/>
        <v>11</v>
      </c>
      <c r="AF110" s="17">
        <f t="shared" ca="1" si="43"/>
        <v>0</v>
      </c>
      <c r="AG110" s="17">
        <f t="shared" ca="1" si="43"/>
        <v>13</v>
      </c>
      <c r="AR110" s="17">
        <f t="shared" ca="1" si="46"/>
        <v>0</v>
      </c>
      <c r="AS110" s="17">
        <f t="shared" ca="1" si="46"/>
        <v>0</v>
      </c>
      <c r="AT110" s="17">
        <f t="shared" ca="1" si="46"/>
        <v>0</v>
      </c>
      <c r="AU110" s="17">
        <f t="shared" ca="1" si="46"/>
        <v>0</v>
      </c>
      <c r="AV110" s="17">
        <f t="shared" ca="1" si="46"/>
        <v>0</v>
      </c>
      <c r="AW110" s="17">
        <f t="shared" ca="1" si="46"/>
        <v>0</v>
      </c>
      <c r="AX110" s="17">
        <f t="shared" ca="1" si="46"/>
        <v>0</v>
      </c>
      <c r="AY110" s="17">
        <f t="shared" ca="1" si="46"/>
        <v>1</v>
      </c>
      <c r="AZ110" s="17">
        <f t="shared" ca="1" si="46"/>
        <v>0</v>
      </c>
      <c r="BA110" s="17">
        <f t="shared" ca="1" si="46"/>
        <v>0</v>
      </c>
      <c r="BB110" s="17">
        <f t="shared" ca="1" si="47"/>
        <v>0</v>
      </c>
      <c r="BC110" s="17">
        <f t="shared" ca="1" si="47"/>
        <v>1</v>
      </c>
      <c r="BD110" s="17">
        <f t="shared" ca="1" si="47"/>
        <v>1</v>
      </c>
      <c r="BE110" s="17">
        <f t="shared" ca="1" si="47"/>
        <v>1</v>
      </c>
      <c r="BF110" s="17">
        <f t="shared" ca="1" si="47"/>
        <v>0</v>
      </c>
      <c r="BG110" s="17">
        <f t="shared" ca="1" si="47"/>
        <v>0</v>
      </c>
      <c r="BH110" s="17">
        <f t="shared" ca="1" si="47"/>
        <v>0</v>
      </c>
      <c r="BI110" s="17">
        <f t="shared" ca="1" si="47"/>
        <v>8.9999999999999993E-3</v>
      </c>
      <c r="BJ110" s="17">
        <f t="shared" ca="1" si="47"/>
        <v>3.15E-2</v>
      </c>
      <c r="BK110" s="17">
        <f t="shared" ca="1" si="47"/>
        <v>6.8500000000000005E-2</v>
      </c>
      <c r="BL110" s="17">
        <f t="shared" ca="1" si="47"/>
        <v>1.575E-2</v>
      </c>
    </row>
    <row r="111" spans="23:64" ht="22.5" customHeight="1" x14ac:dyDescent="0.3">
      <c r="W111" s="17" t="str">
        <f t="shared" ca="1" si="42"/>
        <v>OGRO</v>
      </c>
      <c r="X111" s="17">
        <f t="shared" ca="1" si="42"/>
        <v>6676</v>
      </c>
      <c r="AE111" s="17">
        <f t="shared" ca="1" si="43"/>
        <v>11</v>
      </c>
      <c r="AF111" s="17">
        <f t="shared" ca="1" si="43"/>
        <v>0</v>
      </c>
      <c r="AG111" s="17">
        <f t="shared" ca="1" si="43"/>
        <v>14</v>
      </c>
      <c r="AR111" s="17">
        <f t="shared" ca="1" si="46"/>
        <v>0</v>
      </c>
      <c r="AS111" s="17">
        <f t="shared" ca="1" si="46"/>
        <v>0</v>
      </c>
      <c r="AT111" s="17">
        <f t="shared" ca="1" si="46"/>
        <v>0</v>
      </c>
      <c r="AU111" s="17">
        <f t="shared" ca="1" si="46"/>
        <v>0</v>
      </c>
      <c r="AV111" s="17">
        <f t="shared" ca="1" si="46"/>
        <v>0</v>
      </c>
      <c r="AW111" s="17">
        <f t="shared" ca="1" si="46"/>
        <v>0</v>
      </c>
      <c r="AX111" s="17">
        <f t="shared" ca="1" si="46"/>
        <v>0</v>
      </c>
      <c r="AY111" s="17">
        <f t="shared" ca="1" si="46"/>
        <v>1</v>
      </c>
      <c r="AZ111" s="17">
        <f t="shared" ca="1" si="46"/>
        <v>0</v>
      </c>
      <c r="BA111" s="17">
        <f t="shared" ca="1" si="46"/>
        <v>0</v>
      </c>
      <c r="BB111" s="17">
        <f t="shared" ca="1" si="47"/>
        <v>0</v>
      </c>
      <c r="BC111" s="17">
        <f t="shared" ca="1" si="47"/>
        <v>1</v>
      </c>
      <c r="BD111" s="17">
        <f t="shared" ca="1" si="47"/>
        <v>1</v>
      </c>
      <c r="BE111" s="17">
        <f t="shared" ca="1" si="47"/>
        <v>1</v>
      </c>
      <c r="BF111" s="17">
        <f t="shared" ca="1" si="47"/>
        <v>0</v>
      </c>
      <c r="BG111" s="17">
        <f t="shared" ca="1" si="47"/>
        <v>0</v>
      </c>
      <c r="BH111" s="17">
        <f t="shared" ca="1" si="47"/>
        <v>0</v>
      </c>
      <c r="BI111" s="17">
        <f t="shared" ca="1" si="47"/>
        <v>8.9999999999999993E-3</v>
      </c>
      <c r="BJ111" s="17">
        <f t="shared" ca="1" si="47"/>
        <v>3.15E-2</v>
      </c>
      <c r="BK111" s="17">
        <f t="shared" ca="1" si="47"/>
        <v>6.8500000000000005E-2</v>
      </c>
      <c r="BL111" s="17">
        <f t="shared" ca="1" si="47"/>
        <v>1.575E-2</v>
      </c>
    </row>
    <row r="112" spans="23:64" ht="22.5" customHeight="1" x14ac:dyDescent="0.3">
      <c r="W112" s="17" t="str">
        <f t="shared" ca="1" si="42"/>
        <v>OGRO</v>
      </c>
      <c r="X112" s="17" t="str">
        <f t="shared" ca="1" si="42"/>
        <v>ZL 65xx Tchoban</v>
      </c>
      <c r="AE112" s="17">
        <f t="shared" ca="1" si="43"/>
        <v>10</v>
      </c>
      <c r="AF112" s="17">
        <f t="shared" ca="1" si="43"/>
        <v>5</v>
      </c>
      <c r="AG112" s="17">
        <f t="shared" ca="1" si="43"/>
        <v>0</v>
      </c>
      <c r="AR112" s="17">
        <f t="shared" ca="1" si="46"/>
        <v>1</v>
      </c>
      <c r="AS112" s="17">
        <f t="shared" ca="1" si="46"/>
        <v>0</v>
      </c>
      <c r="AT112" s="17">
        <f t="shared" ca="1" si="46"/>
        <v>0</v>
      </c>
      <c r="AU112" s="17">
        <f t="shared" ca="1" si="46"/>
        <v>0</v>
      </c>
      <c r="AV112" s="17">
        <f t="shared" ca="1" si="46"/>
        <v>0</v>
      </c>
      <c r="AW112" s="17">
        <f t="shared" ca="1" si="46"/>
        <v>0</v>
      </c>
      <c r="AX112" s="17">
        <f t="shared" ca="1" si="46"/>
        <v>0</v>
      </c>
      <c r="AY112" s="17">
        <f t="shared" ca="1" si="46"/>
        <v>0</v>
      </c>
      <c r="AZ112" s="17">
        <f t="shared" ca="1" si="46"/>
        <v>0</v>
      </c>
      <c r="BA112" s="17">
        <f t="shared" ca="1" si="46"/>
        <v>0</v>
      </c>
      <c r="BB112" s="17">
        <f t="shared" ca="1" si="47"/>
        <v>1</v>
      </c>
      <c r="BC112" s="17">
        <f t="shared" ca="1" si="47"/>
        <v>1</v>
      </c>
      <c r="BD112" s="17">
        <f t="shared" ca="1" si="47"/>
        <v>1</v>
      </c>
      <c r="BE112" s="17">
        <f t="shared" ca="1" si="47"/>
        <v>1</v>
      </c>
      <c r="BF112" s="17">
        <f t="shared" ca="1" si="47"/>
        <v>1</v>
      </c>
      <c r="BG112" s="17">
        <f t="shared" ca="1" si="47"/>
        <v>0</v>
      </c>
      <c r="BH112" s="17">
        <f t="shared" ca="1" si="47"/>
        <v>1</v>
      </c>
      <c r="BI112" s="17">
        <f t="shared" ca="1" si="47"/>
        <v>5.0000000000000001E-3</v>
      </c>
      <c r="BJ112" s="17">
        <f t="shared" ca="1" si="47"/>
        <v>0.05</v>
      </c>
      <c r="BK112" s="17">
        <f t="shared" ca="1" si="47"/>
        <v>6.3E-2</v>
      </c>
      <c r="BL112" s="17">
        <f t="shared" ca="1" si="47"/>
        <v>2.5000000000000001E-2</v>
      </c>
    </row>
    <row r="113" spans="23:64" ht="22.5" customHeight="1" x14ac:dyDescent="0.3">
      <c r="W113" s="17" t="str">
        <f ca="1">IFERROR(INDEX( PRODUKTE,   ROW()-ROW($A$5)+INDEX(prodRowOffset,W$3),  MATCH(W$2,OFFSET(INDEXNAMEN,W$3,0),0)),"")</f>
        <v>OGRO</v>
      </c>
      <c r="X113" s="17" t="str">
        <f ca="1">IFERROR(INDEX( PRODUKTE,   ROW()-ROW($A$5)+INDEX(prodRowOffset,X$3),  MATCH(X$2,OFFSET(INDEXNAMEN,X$3,0),0)),"")</f>
        <v>ZL 65xx Forstner</v>
      </c>
      <c r="AE113" s="17">
        <f ca="1">IFERROR(INDEX( PRODUKTE,   ROW()-ROW($A$5)+INDEX(prodRowOffset,AE$3),  MATCH(AE$2,OFFSET(INDEXNAMEN,AE$3,0),0)),"")</f>
        <v>10</v>
      </c>
      <c r="AF113" s="17">
        <f ca="1">IFERROR(INDEX( PRODUKTE,   ROW()-ROW($A$5)+INDEX(prodRowOffset,AF$3),  MATCH(AF$2,OFFSET(INDEXNAMEN,AF$3,0),0)),"")</f>
        <v>5</v>
      </c>
      <c r="AG113" s="17">
        <f ca="1">IFERROR(INDEX( PRODUKTE,   ROW()-ROW($A$5)+INDEX(prodRowOffset,AG$3),  MATCH(AG$2,OFFSET(INDEXNAMEN,AG$3,0),0)),"")</f>
        <v>0</v>
      </c>
      <c r="AR113" s="17">
        <f t="shared" ca="1" si="46"/>
        <v>1</v>
      </c>
      <c r="AS113" s="17">
        <f t="shared" ca="1" si="46"/>
        <v>0</v>
      </c>
      <c r="AT113" s="17">
        <f t="shared" ca="1" si="46"/>
        <v>0</v>
      </c>
      <c r="AU113" s="17">
        <f t="shared" ca="1" si="46"/>
        <v>0</v>
      </c>
      <c r="AV113" s="17">
        <f t="shared" ca="1" si="46"/>
        <v>0</v>
      </c>
      <c r="AW113" s="17">
        <f t="shared" ca="1" si="46"/>
        <v>0</v>
      </c>
      <c r="AX113" s="17">
        <f t="shared" ca="1" si="46"/>
        <v>0</v>
      </c>
      <c r="AY113" s="17">
        <f t="shared" ca="1" si="46"/>
        <v>0</v>
      </c>
      <c r="AZ113" s="17">
        <f t="shared" ca="1" si="46"/>
        <v>0</v>
      </c>
      <c r="BA113" s="17">
        <f t="shared" ca="1" si="46"/>
        <v>0</v>
      </c>
      <c r="BB113" s="17">
        <f t="shared" ca="1" si="47"/>
        <v>1</v>
      </c>
      <c r="BC113" s="17">
        <f t="shared" ca="1" si="47"/>
        <v>1</v>
      </c>
      <c r="BD113" s="17">
        <f t="shared" ca="1" si="47"/>
        <v>1</v>
      </c>
      <c r="BE113" s="17">
        <f t="shared" ca="1" si="47"/>
        <v>1</v>
      </c>
      <c r="BF113" s="17">
        <f t="shared" ca="1" si="47"/>
        <v>1</v>
      </c>
      <c r="BG113" s="17">
        <f t="shared" ca="1" si="47"/>
        <v>0</v>
      </c>
      <c r="BH113" s="17">
        <f t="shared" ca="1" si="47"/>
        <v>1</v>
      </c>
      <c r="BI113" s="17">
        <f t="shared" ca="1" si="47"/>
        <v>5.0000000000000001E-3</v>
      </c>
      <c r="BJ113" s="17">
        <f t="shared" ca="1" si="47"/>
        <v>0.05</v>
      </c>
      <c r="BK113" s="17">
        <f t="shared" ca="1" si="47"/>
        <v>0.05</v>
      </c>
      <c r="BL113" s="17">
        <f t="shared" ca="1" si="47"/>
        <v>2.5000000000000001E-2</v>
      </c>
    </row>
    <row r="114" spans="23:64" ht="22.5" customHeight="1" x14ac:dyDescent="0.3"/>
    <row r="115" spans="23:64" ht="22.5" customHeight="1" x14ac:dyDescent="0.3"/>
    <row r="116" spans="23:64" ht="22.5" customHeight="1" x14ac:dyDescent="0.3"/>
    <row r="117" spans="23:64" ht="22.5" customHeight="1" x14ac:dyDescent="0.3"/>
    <row r="118" spans="23:64" ht="22.5" customHeight="1" x14ac:dyDescent="0.3"/>
    <row r="119" spans="23:64" ht="22.5" customHeight="1" x14ac:dyDescent="0.3"/>
    <row r="120" spans="23:64" ht="22.5" customHeight="1" x14ac:dyDescent="0.3"/>
    <row r="121" spans="23:64" ht="22.5" customHeight="1" x14ac:dyDescent="0.3"/>
    <row r="122" spans="23:64" ht="22.5" customHeight="1" x14ac:dyDescent="0.3"/>
    <row r="123" spans="23:64" ht="22.5" customHeight="1" x14ac:dyDescent="0.3"/>
    <row r="124" spans="23:64" ht="22.5" customHeight="1" x14ac:dyDescent="0.3"/>
    <row r="125" spans="23:64" ht="22.5" customHeight="1" x14ac:dyDescent="0.3"/>
    <row r="126" spans="23:64" ht="22.5" customHeight="1" x14ac:dyDescent="0.3"/>
    <row r="127" spans="23:64" ht="22.5" customHeight="1" x14ac:dyDescent="0.3"/>
    <row r="128" spans="23:64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1" ht="22.5" customHeight="1" x14ac:dyDescent="0.3"/>
    <row r="146" spans="2:81" ht="22.5" customHeight="1" x14ac:dyDescent="0.3"/>
    <row r="147" spans="2:81" ht="22.5" customHeight="1" x14ac:dyDescent="0.3"/>
    <row r="148" spans="2:81" ht="22.5" customHeight="1" x14ac:dyDescent="0.3"/>
    <row r="149" spans="2:81" ht="22.5" customHeight="1" x14ac:dyDescent="0.3"/>
    <row r="150" spans="2:81" ht="22.5" customHeight="1" x14ac:dyDescent="0.3"/>
    <row r="151" spans="2:81" ht="22.5" customHeight="1" x14ac:dyDescent="0.3"/>
    <row r="152" spans="2:81" ht="22.5" customHeight="1" x14ac:dyDescent="0.3"/>
    <row r="153" spans="2:81" ht="22.5" customHeight="1" x14ac:dyDescent="0.3"/>
    <row r="154" spans="2:81" ht="22.5" customHeight="1" x14ac:dyDescent="0.3"/>
    <row r="155" spans="2:81" ht="22.5" customHeight="1" x14ac:dyDescent="0.3"/>
    <row r="156" spans="2:81" ht="22.5" customHeight="1" thickBot="1" x14ac:dyDescent="0.35"/>
    <row r="157" spans="2:81" ht="14.4" thickTop="1" x14ac:dyDescent="0.3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7"/>
      <c r="CB157" s="37"/>
      <c r="CC157" s="37"/>
    </row>
  </sheetData>
  <mergeCells count="1">
    <mergeCell ref="CD1:CD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Z97"/>
  <sheetViews>
    <sheetView showZeros="0" zoomScale="85" zoomScaleNormal="85" workbookViewId="0">
      <selection activeCell="C55" sqref="C55"/>
    </sheetView>
  </sheetViews>
  <sheetFormatPr baseColWidth="10" defaultColWidth="11.44140625" defaultRowHeight="13.8" x14ac:dyDescent="0.3"/>
  <cols>
    <col min="1" max="1" width="17.6640625" style="23" customWidth="1"/>
    <col min="2" max="2" width="31.33203125" style="17" customWidth="1"/>
    <col min="3" max="5" width="28.5546875" style="17" customWidth="1"/>
    <col min="6" max="6" width="6.33203125" style="17" customWidth="1"/>
    <col min="7" max="7" width="18.33203125" style="17" bestFit="1" customWidth="1"/>
    <col min="8" max="8" width="6.109375" style="17" customWidth="1"/>
    <col min="9" max="9" width="14.88671875" style="17" bestFit="1" customWidth="1"/>
    <col min="10" max="10" width="4.6640625" style="17" customWidth="1"/>
    <col min="11" max="11" width="14.88671875" style="17" bestFit="1" customWidth="1"/>
    <col min="12" max="12" width="6.6640625" style="17" customWidth="1"/>
    <col min="13" max="13" width="16.6640625" style="17" customWidth="1"/>
    <col min="14" max="14" width="5.33203125" style="17" customWidth="1"/>
    <col min="15" max="15" width="19.109375" style="17" bestFit="1" customWidth="1"/>
    <col min="16" max="16" width="5.5546875" style="17" customWidth="1"/>
    <col min="17" max="17" width="19.109375" style="17" bestFit="1" customWidth="1"/>
    <col min="18" max="18" width="6.33203125" style="17" customWidth="1"/>
    <col min="19" max="19" width="19.109375" style="17" bestFit="1" customWidth="1"/>
    <col min="20" max="20" width="5.6640625" style="17" customWidth="1"/>
    <col min="21" max="21" width="17.44140625" style="17" bestFit="1" customWidth="1"/>
    <col min="22" max="22" width="6.5546875" style="17" customWidth="1"/>
    <col min="23" max="23" width="17.44140625" style="17" bestFit="1" customWidth="1"/>
    <col min="24" max="24" width="5.33203125" style="17" customWidth="1"/>
    <col min="25" max="25" width="17.44140625" style="17" bestFit="1" customWidth="1"/>
    <col min="26" max="26" width="4.44140625" style="17" customWidth="1"/>
    <col min="27" max="27" width="18.5546875" style="17" bestFit="1" customWidth="1"/>
    <col min="28" max="28" width="4.88671875" style="17" customWidth="1"/>
    <col min="29" max="29" width="18.5546875" style="17" bestFit="1" customWidth="1"/>
    <col min="30" max="30" width="4.6640625" style="17" customWidth="1"/>
    <col min="31" max="31" width="18.5546875" style="17" bestFit="1" customWidth="1"/>
    <col min="32" max="34" width="15" style="17" customWidth="1"/>
    <col min="35" max="35" width="6.6640625" style="17" customWidth="1"/>
    <col min="36" max="36" width="18.109375" style="17" customWidth="1"/>
    <col min="37" max="37" width="7.33203125" style="17" customWidth="1"/>
    <col min="38" max="38" width="18.109375" style="17" customWidth="1"/>
    <col min="39" max="39" width="7.33203125" style="17" customWidth="1"/>
    <col min="40" max="40" width="18.109375" style="17" customWidth="1"/>
    <col min="41" max="41" width="6.33203125" style="17" customWidth="1"/>
    <col min="42" max="42" width="17.44140625" style="17" bestFit="1" customWidth="1"/>
    <col min="43" max="43" width="6.6640625" style="17" customWidth="1"/>
    <col min="44" max="44" width="17.44140625" style="17" bestFit="1" customWidth="1"/>
    <col min="45" max="45" width="7.6640625" style="17" customWidth="1"/>
    <col min="46" max="46" width="17.44140625" style="17" bestFit="1" customWidth="1"/>
    <col min="47" max="47" width="5.88671875" style="17" customWidth="1"/>
    <col min="48" max="48" width="18.5546875" style="17" bestFit="1" customWidth="1"/>
    <col min="49" max="49" width="6.109375" style="17" customWidth="1"/>
    <col min="50" max="50" width="18.5546875" style="17" bestFit="1" customWidth="1"/>
    <col min="51" max="51" width="6.33203125" style="17" customWidth="1"/>
    <col min="52" max="52" width="20" style="17" customWidth="1"/>
    <col min="53" max="53" width="17.5546875" style="17" customWidth="1"/>
    <col min="54" max="100" width="11.44140625" style="17"/>
    <col min="101" max="101" width="22.44140625" style="17" customWidth="1"/>
    <col min="102" max="102" width="19.44140625" style="17" customWidth="1"/>
    <col min="103" max="103" width="43" style="24" bestFit="1" customWidth="1"/>
    <col min="104" max="104" width="3.6640625" style="14" customWidth="1"/>
    <col min="105" max="16384" width="11.44140625" style="14"/>
  </cols>
  <sheetData>
    <row r="1" spans="1:104" x14ac:dyDescent="0.3">
      <c r="A1" s="26" t="s">
        <v>900</v>
      </c>
      <c r="B1" s="52" t="str">
        <f t="shared" ref="B1:BM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OGRO | OGRO by ARCHITECTS</v>
      </c>
      <c r="C1" s="52" t="str">
        <f t="shared" si="0"/>
        <v>- | 8016 | 8056 | 8100 | 8100A | 8100V | 8101 | 8101A | ...</v>
      </c>
      <c r="D1" s="52" t="str">
        <f t="shared" si="0"/>
        <v>- | 8016 | 8056 | 8100 | 8100A | 8100V | 8101 | 8101A | ...</v>
      </c>
      <c r="E1" s="52" t="str">
        <f t="shared" si="0"/>
        <v>- | 8016 | 8056 | 8100 | 8100A | 8100V | 8101 | 8101A | ...</v>
      </c>
      <c r="F1" s="52" t="str">
        <f t="shared" si="0"/>
        <v>- | DR | KF | KD</v>
      </c>
      <c r="G1" s="52" t="str">
        <f t="shared" si="0"/>
        <v/>
      </c>
      <c r="H1" s="52" t="str">
        <f t="shared" si="0"/>
        <v>- | DR | KF | KD</v>
      </c>
      <c r="I1" s="52" t="str">
        <f t="shared" si="0"/>
        <v/>
      </c>
      <c r="J1" s="52" t="str">
        <f t="shared" si="0"/>
        <v>- | DR | KD</v>
      </c>
      <c r="K1" s="52" t="str">
        <f t="shared" si="0"/>
        <v/>
      </c>
      <c r="L1" s="52" t="str">
        <f t="shared" si="0"/>
        <v>0 | 1</v>
      </c>
      <c r="M1" s="52" t="str">
        <f t="shared" si="0"/>
        <v/>
      </c>
      <c r="N1" s="52" t="str">
        <f t="shared" si="0"/>
        <v>W | So | Su</v>
      </c>
      <c r="O1" s="52" t="str">
        <f t="shared" si="0"/>
        <v/>
      </c>
      <c r="P1" s="52" t="str">
        <f t="shared" si="0"/>
        <v>W | So | Su</v>
      </c>
      <c r="Q1" s="52" t="str">
        <f t="shared" si="0"/>
        <v/>
      </c>
      <c r="R1" s="52" t="str">
        <f t="shared" si="0"/>
        <v>W | So | Su</v>
      </c>
      <c r="S1" s="52" t="str">
        <f t="shared" si="0"/>
        <v/>
      </c>
      <c r="T1" s="52" t="str">
        <f t="shared" si="0"/>
        <v xml:space="preserve">  | ST | ES | AL | MS | NY | KO | XX</v>
      </c>
      <c r="U1" s="52" t="str">
        <f t="shared" si="0"/>
        <v/>
      </c>
      <c r="V1" s="52" t="str">
        <f t="shared" si="0"/>
        <v xml:space="preserve">  | ST | ES | AL | MS | NY | KO | XX</v>
      </c>
      <c r="W1" s="52" t="str">
        <f t="shared" si="0"/>
        <v/>
      </c>
      <c r="X1" s="52" t="str">
        <f t="shared" si="0"/>
        <v xml:space="preserve">  | ST | ES | AL | MS | NY | KO | XX</v>
      </c>
      <c r="Y1" s="52" t="str">
        <f t="shared" si="0"/>
        <v/>
      </c>
      <c r="Z1" s="52" t="str">
        <f t="shared" si="0"/>
        <v xml:space="preserve">  | - | B | S | T | P | L | V | ...</v>
      </c>
      <c r="AA1" s="52" t="str">
        <f t="shared" si="0"/>
        <v/>
      </c>
      <c r="AB1" s="52" t="str">
        <f t="shared" si="0"/>
        <v xml:space="preserve">  | - | B | S | T | P | L | V | ...</v>
      </c>
      <c r="AC1" s="52" t="str">
        <f t="shared" si="0"/>
        <v/>
      </c>
      <c r="AD1" s="52" t="str">
        <f t="shared" si="0"/>
        <v xml:space="preserve">  | - | B | S | T | P | L | V | ...</v>
      </c>
      <c r="AE1" s="52" t="str">
        <f t="shared" si="0"/>
        <v/>
      </c>
      <c r="AF1" s="52" t="str">
        <f t="shared" si="0"/>
        <v>- | 650x + 6612 | 650x + 7122 | 650x + 7123 | 650x | 6612 | 7122 | 7123 | ...</v>
      </c>
      <c r="AG1" s="52" t="str">
        <f t="shared" si="0"/>
        <v>- | 650x + 6612 | 650x + 7122 | 650x + 7123 | 650x | 6612 | 7122 | 7123 | ...</v>
      </c>
      <c r="AH1" s="52" t="str">
        <f t="shared" si="0"/>
        <v>- | 650x + 6612 | 650x + 7122 | 650x + 7123 | 650x | 6612 | 7122 | 7123 | ...</v>
      </c>
      <c r="AI1" s="52" t="str">
        <f t="shared" si="0"/>
        <v>- | PZ | RZ | OZ | CH | BB | WCS | WCK</v>
      </c>
      <c r="AJ1" s="52" t="str">
        <f t="shared" si="0"/>
        <v/>
      </c>
      <c r="AK1" s="52" t="str">
        <f t="shared" si="0"/>
        <v>- | PZ | RZ | OZ | CH | BB | WCS | WCK</v>
      </c>
      <c r="AL1" s="52" t="str">
        <f t="shared" si="0"/>
        <v/>
      </c>
      <c r="AM1" s="52" t="str">
        <f t="shared" si="0"/>
        <v>-</v>
      </c>
      <c r="AN1" s="52" t="str">
        <f t="shared" si="0"/>
        <v/>
      </c>
      <c r="AO1" s="52" t="str">
        <f t="shared" si="0"/>
        <v xml:space="preserve">  | ST | ES | AL | MS | NY | KO | XX</v>
      </c>
      <c r="AP1" s="52" t="str">
        <f t="shared" si="0"/>
        <v/>
      </c>
      <c r="AQ1" s="52" t="str">
        <f t="shared" si="0"/>
        <v xml:space="preserve">  | ST | ES | AL | MS | NY | KO | XX</v>
      </c>
      <c r="AR1" s="52" t="str">
        <f t="shared" si="0"/>
        <v/>
      </c>
      <c r="AS1" s="52" t="str">
        <f t="shared" si="0"/>
        <v xml:space="preserve">  | ST | ES | AL | MS | NY | KO | XX</v>
      </c>
      <c r="AT1" s="52" t="str">
        <f t="shared" si="0"/>
        <v/>
      </c>
      <c r="AU1" s="52" t="str">
        <f t="shared" si="0"/>
        <v xml:space="preserve">  | - | B | S | T | P | L | V | ...</v>
      </c>
      <c r="AV1" s="52" t="str">
        <f t="shared" si="0"/>
        <v/>
      </c>
      <c r="AW1" s="52" t="str">
        <f t="shared" si="0"/>
        <v xml:space="preserve">  | - | B | S | T | P | L | V | ...</v>
      </c>
      <c r="AX1" s="52" t="str">
        <f t="shared" si="0"/>
        <v/>
      </c>
      <c r="AY1" s="52" t="str">
        <f t="shared" si="0"/>
        <v xml:space="preserve">  | - | B | S | T | P | L | V | ...</v>
      </c>
      <c r="AZ1" s="52" t="str">
        <f t="shared" si="0"/>
        <v/>
      </c>
      <c r="BA1" s="52" t="str">
        <f t="shared" si="0"/>
        <v>undefiniert</v>
      </c>
      <c r="BB1" s="52" t="str">
        <f t="shared" si="0"/>
        <v>0,85 | 1,05</v>
      </c>
      <c r="BC1" s="52" t="str">
        <f t="shared" si="0"/>
        <v>0,85 | 1,05</v>
      </c>
      <c r="BD1" s="52" t="str">
        <f t="shared" si="0"/>
        <v>undefiniert</v>
      </c>
      <c r="BE1" s="52" t="str">
        <f t="shared" si="0"/>
        <v>undefiniert</v>
      </c>
      <c r="BF1" s="52" t="str">
        <f t="shared" si="0"/>
        <v>undefiniert</v>
      </c>
      <c r="BG1" s="52" t="str">
        <f t="shared" si="0"/>
        <v>undefiniert</v>
      </c>
      <c r="BH1" s="52" t="str">
        <f t="shared" si="0"/>
        <v>undefiniert</v>
      </c>
      <c r="BI1" s="52" t="str">
        <f t="shared" si="0"/>
        <v>undefiniert</v>
      </c>
      <c r="BJ1" s="52" t="str">
        <f t="shared" si="0"/>
        <v>undefiniert</v>
      </c>
      <c r="BK1" s="52" t="str">
        <f t="shared" si="0"/>
        <v>undefiniert</v>
      </c>
      <c r="BL1" s="52" t="str">
        <f t="shared" si="0"/>
        <v>undefiniert</v>
      </c>
      <c r="BM1" s="52" t="str">
        <f t="shared" si="0"/>
        <v>undefiniert</v>
      </c>
      <c r="BN1" s="52" t="str">
        <f t="shared" ref="BN1:CX1" si="1">IF(BN$5="","",IF(INDEX(VALUESLIST,2,COLUMN(BN1)-1)="","",INDEX(VALUESLIST,2,COLUMN(BN1)-1)) &amp; IF(INDEX(VALUESLIST,3,COLUMN(BN1)-1)="","",DV&amp;INDEX(VALUESLIST,3,COLUMN(BN1)-1)) &amp; IF(INDEX(VALUESLIST,4,COLUMN(BN1)-1)="","",DV&amp;INDEX(VALUESLIST,4,COLUMN(BN1)-1)) &amp; IF(INDEX(VALUESLIST,5,COLUMN(BN1)-1)="","",DV&amp;INDEX(VALUESLIST,5,COLUMN(BN1)-1)) &amp; IF(INDEX(VALUESLIST,6,COLUMN(BN1)-1)="","",DV&amp;INDEX(VALUESLIST,6,COLUMN(BN1)-1)) &amp; IF(INDEX(VALUESLIST,7,COLUMN(BN1)-1)="","",DV&amp;INDEX(VALUESLIST,7,COLUMN(BN1)-1)) &amp; IF(INDEX(VALUESLIST,8,COLUMN(BN1)-1)="","",DV&amp;INDEX(VALUESLIST,8,COLUMN(BN1)-1)) &amp; IF(INDEX(VALUESLIST,9,COLUMN(BN1)-1)="","",DV&amp;INDEX(VALUESLIST,9,COLUMN(BN1)-1)) &amp; IF(INDEX(VALUESLIST,10,COLUMN(BN1)-1)="","",DV&amp;"..."))</f>
        <v>undefiniert</v>
      </c>
      <c r="BO1" s="52" t="str">
        <f t="shared" si="1"/>
        <v>undefiniert</v>
      </c>
      <c r="BP1" s="52" t="str">
        <f t="shared" si="1"/>
        <v>undefiniert</v>
      </c>
      <c r="BQ1" s="52" t="str">
        <f t="shared" si="1"/>
        <v>undefiniert</v>
      </c>
      <c r="BR1" s="52" t="str">
        <f t="shared" si="1"/>
        <v>undefiniert</v>
      </c>
      <c r="BS1" s="52" t="str">
        <f t="shared" si="1"/>
        <v>undefiniert</v>
      </c>
      <c r="BT1" s="52" t="str">
        <f t="shared" si="1"/>
        <v>undefiniert</v>
      </c>
      <c r="BU1" s="52" t="str">
        <f t="shared" si="1"/>
        <v>undefiniert</v>
      </c>
      <c r="BV1" s="52" t="str">
        <f t="shared" si="1"/>
        <v>undefiniert</v>
      </c>
      <c r="BW1" s="52" t="str">
        <f t="shared" si="1"/>
        <v>undefiniert</v>
      </c>
      <c r="BX1" s="52" t="str">
        <f t="shared" si="1"/>
        <v>undefiniert</v>
      </c>
      <c r="BY1" s="52" t="str">
        <f t="shared" si="1"/>
        <v>undefiniert</v>
      </c>
      <c r="BZ1" s="52" t="str">
        <f t="shared" si="1"/>
        <v>undefiniert</v>
      </c>
      <c r="CA1" s="52" t="str">
        <f t="shared" si="1"/>
        <v>undefiniert</v>
      </c>
      <c r="CB1" s="52" t="str">
        <f t="shared" si="1"/>
        <v>undefiniert</v>
      </c>
      <c r="CC1" s="52" t="str">
        <f t="shared" si="1"/>
        <v>undefiniert</v>
      </c>
      <c r="CD1" s="52" t="str">
        <f t="shared" si="1"/>
        <v>undefiniert</v>
      </c>
      <c r="CE1" s="52" t="str">
        <f t="shared" si="1"/>
        <v>undefiniert</v>
      </c>
      <c r="CF1" s="52" t="str">
        <f t="shared" si="1"/>
        <v>undefiniert</v>
      </c>
      <c r="CG1" s="52" t="str">
        <f t="shared" si="1"/>
        <v>undefiniert</v>
      </c>
      <c r="CH1" s="52" t="str">
        <f t="shared" si="1"/>
        <v>undefiniert</v>
      </c>
      <c r="CI1" s="52" t="str">
        <f t="shared" si="1"/>
        <v>undefiniert</v>
      </c>
      <c r="CJ1" s="52" t="str">
        <f t="shared" si="1"/>
        <v>undefiniert</v>
      </c>
      <c r="CK1" s="52" t="str">
        <f t="shared" si="1"/>
        <v>undefiniert</v>
      </c>
      <c r="CL1" s="52" t="str">
        <f t="shared" si="1"/>
        <v>undefiniert</v>
      </c>
      <c r="CM1" s="52" t="str">
        <f t="shared" si="1"/>
        <v>undefiniert</v>
      </c>
      <c r="CN1" s="52" t="str">
        <f t="shared" si="1"/>
        <v>undefiniert</v>
      </c>
      <c r="CO1" s="52" t="str">
        <f t="shared" si="1"/>
        <v>undefiniert</v>
      </c>
      <c r="CP1" s="52" t="str">
        <f t="shared" si="1"/>
        <v>undefiniert</v>
      </c>
      <c r="CQ1" s="52" t="str">
        <f t="shared" si="1"/>
        <v>undefiniert</v>
      </c>
      <c r="CR1" s="52" t="str">
        <f t="shared" si="1"/>
        <v>undefiniert</v>
      </c>
      <c r="CS1" s="52" t="str">
        <f t="shared" si="1"/>
        <v>undefiniert</v>
      </c>
      <c r="CT1" s="52" t="str">
        <f t="shared" si="1"/>
        <v>undefiniert</v>
      </c>
      <c r="CU1" s="52" t="str">
        <f t="shared" si="1"/>
        <v>undefiniert</v>
      </c>
      <c r="CV1" s="52" t="str">
        <f t="shared" si="1"/>
        <v>undefiniert</v>
      </c>
      <c r="CW1" s="52" t="str">
        <f t="shared" si="1"/>
        <v>1 | 2</v>
      </c>
      <c r="CX1" s="52" t="str">
        <f t="shared" si="1"/>
        <v>0 | 1 | 2 | 3 | 4 | 5 | 6 | 7 | ...</v>
      </c>
      <c r="CY1" s="221" t="s">
        <v>88</v>
      </c>
    </row>
    <row r="2" spans="1:104" x14ac:dyDescent="0.3">
      <c r="A2" s="27" t="s">
        <v>901</v>
      </c>
      <c r="B2" s="34" t="str">
        <f t="shared" ref="B2:AG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si="2"/>
        <v>-</v>
      </c>
      <c r="I2" s="34" t="str">
        <f t="shared" si="2"/>
        <v>-</v>
      </c>
      <c r="J2" s="34" t="str">
        <f t="shared" si="2"/>
        <v>-</v>
      </c>
      <c r="K2" s="34" t="str">
        <f t="shared" si="2"/>
        <v>-</v>
      </c>
      <c r="L2" s="34" t="str">
        <f t="shared" si="2"/>
        <v>-</v>
      </c>
      <c r="M2" s="34" t="str">
        <f t="shared" si="2"/>
        <v>-</v>
      </c>
      <c r="N2" s="34" t="str">
        <f t="shared" si="2"/>
        <v>-</v>
      </c>
      <c r="O2" s="34" t="str">
        <f t="shared" si="2"/>
        <v>-</v>
      </c>
      <c r="P2" s="34" t="str">
        <f t="shared" si="2"/>
        <v>-</v>
      </c>
      <c r="Q2" s="34" t="str">
        <f t="shared" si="2"/>
        <v>-</v>
      </c>
      <c r="R2" s="34" t="str">
        <f t="shared" si="2"/>
        <v>-</v>
      </c>
      <c r="S2" s="34" t="str">
        <f t="shared" si="2"/>
        <v>-</v>
      </c>
      <c r="T2" s="34" t="str">
        <f t="shared" si="2"/>
        <v>-</v>
      </c>
      <c r="U2" s="34" t="str">
        <f t="shared" si="2"/>
        <v>-</v>
      </c>
      <c r="V2" s="34" t="str">
        <f t="shared" si="2"/>
        <v>-</v>
      </c>
      <c r="W2" s="34" t="str">
        <f t="shared" si="2"/>
        <v>-</v>
      </c>
      <c r="X2" s="34" t="str">
        <f t="shared" si="2"/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si="2"/>
        <v>-</v>
      </c>
      <c r="AE2" s="34" t="str">
        <f t="shared" si="2"/>
        <v>-</v>
      </c>
      <c r="AF2" s="34" t="str">
        <f t="shared" si="2"/>
        <v>-</v>
      </c>
      <c r="AG2" s="34" t="str">
        <f t="shared" si="2"/>
        <v>-</v>
      </c>
      <c r="AH2" s="34" t="str">
        <f t="shared" ref="AH2:BM2" si="3">IF(AH$3="-","-",IF(AH$3=AG$3,AG$2+1,1))</f>
        <v>-</v>
      </c>
      <c r="AI2" s="34" t="str">
        <f t="shared" si="3"/>
        <v>-</v>
      </c>
      <c r="AJ2" s="34" t="str">
        <f t="shared" si="3"/>
        <v>-</v>
      </c>
      <c r="AK2" s="34" t="str">
        <f t="shared" si="3"/>
        <v>-</v>
      </c>
      <c r="AL2" s="34" t="str">
        <f t="shared" si="3"/>
        <v>-</v>
      </c>
      <c r="AM2" s="34" t="str">
        <f t="shared" si="3"/>
        <v>-</v>
      </c>
      <c r="AN2" s="34" t="str">
        <f t="shared" si="3"/>
        <v>-</v>
      </c>
      <c r="AO2" s="34" t="str">
        <f t="shared" si="3"/>
        <v>-</v>
      </c>
      <c r="AP2" s="34" t="str">
        <f t="shared" si="3"/>
        <v>-</v>
      </c>
      <c r="AQ2" s="34" t="str">
        <f t="shared" si="3"/>
        <v>-</v>
      </c>
      <c r="AR2" s="34" t="str">
        <f t="shared" si="3"/>
        <v>-</v>
      </c>
      <c r="AS2" s="34" t="str">
        <f t="shared" si="3"/>
        <v>-</v>
      </c>
      <c r="AT2" s="34" t="str">
        <f t="shared" si="3"/>
        <v>-</v>
      </c>
      <c r="AU2" s="34" t="str">
        <f t="shared" si="3"/>
        <v>-</v>
      </c>
      <c r="AV2" s="34" t="str">
        <f t="shared" si="3"/>
        <v>-</v>
      </c>
      <c r="AW2" s="34" t="str">
        <f t="shared" si="3"/>
        <v>-</v>
      </c>
      <c r="AX2" s="34" t="str">
        <f t="shared" si="3"/>
        <v>-</v>
      </c>
      <c r="AY2" s="34" t="str">
        <f t="shared" si="3"/>
        <v>-</v>
      </c>
      <c r="AZ2" s="34" t="str">
        <f t="shared" si="3"/>
        <v>-</v>
      </c>
      <c r="BA2" s="34" t="str">
        <f t="shared" si="3"/>
        <v>-</v>
      </c>
      <c r="BB2" s="34" t="str">
        <f t="shared" si="3"/>
        <v>-</v>
      </c>
      <c r="BC2" s="34" t="str">
        <f t="shared" si="3"/>
        <v>-</v>
      </c>
      <c r="BD2" s="34" t="str">
        <f t="shared" si="3"/>
        <v>-</v>
      </c>
      <c r="BE2" s="34" t="str">
        <f t="shared" si="3"/>
        <v>-</v>
      </c>
      <c r="BF2" s="34" t="str">
        <f t="shared" si="3"/>
        <v>-</v>
      </c>
      <c r="BG2" s="34" t="str">
        <f t="shared" si="3"/>
        <v>-</v>
      </c>
      <c r="BH2" s="34" t="str">
        <f t="shared" si="3"/>
        <v>-</v>
      </c>
      <c r="BI2" s="34" t="str">
        <f t="shared" si="3"/>
        <v>-</v>
      </c>
      <c r="BJ2" s="34" t="str">
        <f t="shared" si="3"/>
        <v>-</v>
      </c>
      <c r="BK2" s="34" t="str">
        <f t="shared" si="3"/>
        <v>-</v>
      </c>
      <c r="BL2" s="34" t="str">
        <f t="shared" si="3"/>
        <v>-</v>
      </c>
      <c r="BM2" s="34" t="str">
        <f t="shared" si="3"/>
        <v>-</v>
      </c>
      <c r="BN2" s="34" t="str">
        <f t="shared" ref="BN2:CX2" si="4">IF(BN$3="-","-",IF(BN$3=BM$3,BM$2+1,1))</f>
        <v>-</v>
      </c>
      <c r="BO2" s="34" t="str">
        <f t="shared" si="4"/>
        <v>-</v>
      </c>
      <c r="BP2" s="34" t="str">
        <f t="shared" si="4"/>
        <v>-</v>
      </c>
      <c r="BQ2" s="34" t="str">
        <f t="shared" si="4"/>
        <v>-</v>
      </c>
      <c r="BR2" s="34" t="str">
        <f t="shared" si="4"/>
        <v>-</v>
      </c>
      <c r="BS2" s="34" t="str">
        <f t="shared" si="4"/>
        <v>-</v>
      </c>
      <c r="BT2" s="34" t="str">
        <f t="shared" si="4"/>
        <v>-</v>
      </c>
      <c r="BU2" s="34" t="str">
        <f t="shared" si="4"/>
        <v>-</v>
      </c>
      <c r="BV2" s="34" t="str">
        <f t="shared" si="4"/>
        <v>-</v>
      </c>
      <c r="BW2" s="34" t="str">
        <f t="shared" si="4"/>
        <v>-</v>
      </c>
      <c r="BX2" s="34" t="str">
        <f t="shared" si="4"/>
        <v>-</v>
      </c>
      <c r="BY2" s="34" t="str">
        <f t="shared" si="4"/>
        <v>-</v>
      </c>
      <c r="BZ2" s="34" t="str">
        <f t="shared" si="4"/>
        <v>-</v>
      </c>
      <c r="CA2" s="34" t="str">
        <f t="shared" si="4"/>
        <v>-</v>
      </c>
      <c r="CB2" s="34" t="str">
        <f t="shared" si="4"/>
        <v>-</v>
      </c>
      <c r="CC2" s="34" t="str">
        <f t="shared" si="4"/>
        <v>-</v>
      </c>
      <c r="CD2" s="34" t="str">
        <f t="shared" si="4"/>
        <v>-</v>
      </c>
      <c r="CE2" s="34" t="str">
        <f t="shared" si="4"/>
        <v>-</v>
      </c>
      <c r="CF2" s="34" t="str">
        <f t="shared" si="4"/>
        <v>-</v>
      </c>
      <c r="CG2" s="34" t="str">
        <f t="shared" si="4"/>
        <v>-</v>
      </c>
      <c r="CH2" s="34" t="str">
        <f t="shared" si="4"/>
        <v>-</v>
      </c>
      <c r="CI2" s="34" t="str">
        <f t="shared" si="4"/>
        <v>-</v>
      </c>
      <c r="CJ2" s="34" t="str">
        <f t="shared" si="4"/>
        <v>-</v>
      </c>
      <c r="CK2" s="34" t="str">
        <f t="shared" si="4"/>
        <v>-</v>
      </c>
      <c r="CL2" s="34" t="str">
        <f t="shared" si="4"/>
        <v>-</v>
      </c>
      <c r="CM2" s="34" t="str">
        <f t="shared" si="4"/>
        <v>-</v>
      </c>
      <c r="CN2" s="34" t="str">
        <f t="shared" si="4"/>
        <v>-</v>
      </c>
      <c r="CO2" s="34" t="str">
        <f t="shared" si="4"/>
        <v>-</v>
      </c>
      <c r="CP2" s="34" t="str">
        <f t="shared" si="4"/>
        <v>-</v>
      </c>
      <c r="CQ2" s="34" t="str">
        <f t="shared" si="4"/>
        <v>-</v>
      </c>
      <c r="CR2" s="34" t="str">
        <f t="shared" si="4"/>
        <v>-</v>
      </c>
      <c r="CS2" s="34" t="str">
        <f t="shared" si="4"/>
        <v>-</v>
      </c>
      <c r="CT2" s="34" t="str">
        <f t="shared" si="4"/>
        <v>-</v>
      </c>
      <c r="CU2" s="34" t="str">
        <f t="shared" si="4"/>
        <v>-</v>
      </c>
      <c r="CV2" s="34" t="str">
        <f t="shared" si="4"/>
        <v>-</v>
      </c>
      <c r="CW2" s="34" t="str">
        <f t="shared" si="4"/>
        <v>-</v>
      </c>
      <c r="CX2" s="34" t="str">
        <f t="shared" si="4"/>
        <v>-</v>
      </c>
    </row>
    <row r="3" spans="1:104" x14ac:dyDescent="0.3">
      <c r="A3" s="27" t="s">
        <v>902</v>
      </c>
      <c r="B3" s="52" t="str">
        <f t="shared" ref="B3:AG3" si="5">IF(B$5="",A$3,IFERROR(MATCH(B$5,prodArrayNames,0),"-"))</f>
        <v>-</v>
      </c>
      <c r="C3" s="52" t="str">
        <f t="shared" si="5"/>
        <v>-</v>
      </c>
      <c r="D3" s="52" t="str">
        <f t="shared" si="5"/>
        <v>-</v>
      </c>
      <c r="E3" s="52" t="str">
        <f t="shared" si="5"/>
        <v>-</v>
      </c>
      <c r="F3" s="52" t="str">
        <f t="shared" si="5"/>
        <v>-</v>
      </c>
      <c r="G3" s="52" t="str">
        <f t="shared" si="5"/>
        <v>-</v>
      </c>
      <c r="H3" s="52" t="str">
        <f t="shared" si="5"/>
        <v>-</v>
      </c>
      <c r="I3" s="52" t="str">
        <f t="shared" si="5"/>
        <v>-</v>
      </c>
      <c r="J3" s="52" t="str">
        <f t="shared" si="5"/>
        <v>-</v>
      </c>
      <c r="K3" s="52" t="str">
        <f t="shared" si="5"/>
        <v>-</v>
      </c>
      <c r="L3" s="52" t="str">
        <f t="shared" si="5"/>
        <v>-</v>
      </c>
      <c r="M3" s="52" t="str">
        <f t="shared" si="5"/>
        <v>-</v>
      </c>
      <c r="N3" s="52" t="str">
        <f t="shared" si="5"/>
        <v>-</v>
      </c>
      <c r="O3" s="52" t="str">
        <f t="shared" si="5"/>
        <v>-</v>
      </c>
      <c r="P3" s="52" t="str">
        <f t="shared" si="5"/>
        <v>-</v>
      </c>
      <c r="Q3" s="52" t="str">
        <f t="shared" si="5"/>
        <v>-</v>
      </c>
      <c r="R3" s="52" t="str">
        <f t="shared" si="5"/>
        <v>-</v>
      </c>
      <c r="S3" s="52" t="str">
        <f t="shared" si="5"/>
        <v>-</v>
      </c>
      <c r="T3" s="52" t="str">
        <f t="shared" si="5"/>
        <v>-</v>
      </c>
      <c r="U3" s="52" t="str">
        <f t="shared" si="5"/>
        <v>-</v>
      </c>
      <c r="V3" s="52" t="str">
        <f t="shared" si="5"/>
        <v>-</v>
      </c>
      <c r="W3" s="52" t="str">
        <f t="shared" si="5"/>
        <v>-</v>
      </c>
      <c r="X3" s="52" t="str">
        <f t="shared" si="5"/>
        <v>-</v>
      </c>
      <c r="Y3" s="52" t="str">
        <f t="shared" si="5"/>
        <v>-</v>
      </c>
      <c r="Z3" s="52" t="str">
        <f t="shared" si="5"/>
        <v>-</v>
      </c>
      <c r="AA3" s="52" t="str">
        <f t="shared" si="5"/>
        <v>-</v>
      </c>
      <c r="AB3" s="52" t="str">
        <f t="shared" si="5"/>
        <v>-</v>
      </c>
      <c r="AC3" s="52" t="str">
        <f t="shared" si="5"/>
        <v>-</v>
      </c>
      <c r="AD3" s="52" t="str">
        <f t="shared" si="5"/>
        <v>-</v>
      </c>
      <c r="AE3" s="52" t="str">
        <f t="shared" si="5"/>
        <v>-</v>
      </c>
      <c r="AF3" s="52" t="str">
        <f t="shared" si="5"/>
        <v>-</v>
      </c>
      <c r="AG3" s="52" t="str">
        <f t="shared" si="5"/>
        <v>-</v>
      </c>
      <c r="AH3" s="52" t="str">
        <f t="shared" ref="AH3:BM3" si="6">IF(AH$5="",AG$3,IFERROR(MATCH(AH$5,prodArrayNames,0),"-"))</f>
        <v>-</v>
      </c>
      <c r="AI3" s="52" t="str">
        <f t="shared" si="6"/>
        <v>-</v>
      </c>
      <c r="AJ3" s="52" t="str">
        <f t="shared" si="6"/>
        <v>-</v>
      </c>
      <c r="AK3" s="52" t="str">
        <f t="shared" si="6"/>
        <v>-</v>
      </c>
      <c r="AL3" s="52" t="str">
        <f t="shared" si="6"/>
        <v>-</v>
      </c>
      <c r="AM3" s="52" t="str">
        <f t="shared" si="6"/>
        <v>-</v>
      </c>
      <c r="AN3" s="52" t="str">
        <f t="shared" si="6"/>
        <v>-</v>
      </c>
      <c r="AO3" s="52" t="str">
        <f t="shared" si="6"/>
        <v>-</v>
      </c>
      <c r="AP3" s="52" t="str">
        <f t="shared" si="6"/>
        <v>-</v>
      </c>
      <c r="AQ3" s="52" t="str">
        <f t="shared" si="6"/>
        <v>-</v>
      </c>
      <c r="AR3" s="52" t="str">
        <f t="shared" si="6"/>
        <v>-</v>
      </c>
      <c r="AS3" s="52" t="str">
        <f t="shared" si="6"/>
        <v>-</v>
      </c>
      <c r="AT3" s="52" t="str">
        <f t="shared" si="6"/>
        <v>-</v>
      </c>
      <c r="AU3" s="52" t="str">
        <f t="shared" si="6"/>
        <v>-</v>
      </c>
      <c r="AV3" s="52" t="str">
        <f t="shared" si="6"/>
        <v>-</v>
      </c>
      <c r="AW3" s="52" t="str">
        <f t="shared" si="6"/>
        <v>-</v>
      </c>
      <c r="AX3" s="52" t="str">
        <f t="shared" si="6"/>
        <v>-</v>
      </c>
      <c r="AY3" s="52" t="str">
        <f t="shared" si="6"/>
        <v>-</v>
      </c>
      <c r="AZ3" s="52" t="str">
        <f t="shared" si="6"/>
        <v>-</v>
      </c>
      <c r="BA3" s="52" t="str">
        <f t="shared" si="6"/>
        <v>-</v>
      </c>
      <c r="BB3" s="52" t="str">
        <f t="shared" si="6"/>
        <v>-</v>
      </c>
      <c r="BC3" s="52" t="str">
        <f t="shared" si="6"/>
        <v>-</v>
      </c>
      <c r="BD3" s="52" t="str">
        <f t="shared" si="6"/>
        <v>-</v>
      </c>
      <c r="BE3" s="52" t="str">
        <f t="shared" si="6"/>
        <v>-</v>
      </c>
      <c r="BF3" s="52" t="str">
        <f t="shared" si="6"/>
        <v>-</v>
      </c>
      <c r="BG3" s="52" t="str">
        <f t="shared" si="6"/>
        <v>-</v>
      </c>
      <c r="BH3" s="52" t="str">
        <f t="shared" si="6"/>
        <v>-</v>
      </c>
      <c r="BI3" s="52" t="str">
        <f t="shared" si="6"/>
        <v>-</v>
      </c>
      <c r="BJ3" s="52" t="str">
        <f t="shared" si="6"/>
        <v>-</v>
      </c>
      <c r="BK3" s="52" t="str">
        <f t="shared" si="6"/>
        <v>-</v>
      </c>
      <c r="BL3" s="52" t="str">
        <f t="shared" si="6"/>
        <v>-</v>
      </c>
      <c r="BM3" s="52" t="str">
        <f t="shared" si="6"/>
        <v>-</v>
      </c>
      <c r="BN3" s="52" t="str">
        <f t="shared" ref="BN3:CX3" si="7">IF(BN$5="",BM$3,IFERROR(MATCH(BN$5,prodArrayNames,0),"-"))</f>
        <v>-</v>
      </c>
      <c r="BO3" s="52" t="str">
        <f t="shared" si="7"/>
        <v>-</v>
      </c>
      <c r="BP3" s="52" t="str">
        <f t="shared" si="7"/>
        <v>-</v>
      </c>
      <c r="BQ3" s="52" t="str">
        <f t="shared" si="7"/>
        <v>-</v>
      </c>
      <c r="BR3" s="52" t="str">
        <f t="shared" si="7"/>
        <v>-</v>
      </c>
      <c r="BS3" s="52" t="str">
        <f t="shared" si="7"/>
        <v>-</v>
      </c>
      <c r="BT3" s="52" t="str">
        <f t="shared" si="7"/>
        <v>-</v>
      </c>
      <c r="BU3" s="52" t="str">
        <f t="shared" si="7"/>
        <v>-</v>
      </c>
      <c r="BV3" s="52" t="str">
        <f t="shared" si="7"/>
        <v>-</v>
      </c>
      <c r="BW3" s="52" t="str">
        <f t="shared" si="7"/>
        <v>-</v>
      </c>
      <c r="BX3" s="52" t="str">
        <f t="shared" si="7"/>
        <v>-</v>
      </c>
      <c r="BY3" s="52" t="str">
        <f t="shared" si="7"/>
        <v>-</v>
      </c>
      <c r="BZ3" s="52" t="str">
        <f t="shared" si="7"/>
        <v>-</v>
      </c>
      <c r="CA3" s="52" t="str">
        <f t="shared" si="7"/>
        <v>-</v>
      </c>
      <c r="CB3" s="52" t="str">
        <f t="shared" si="7"/>
        <v>-</v>
      </c>
      <c r="CC3" s="52" t="str">
        <f t="shared" si="7"/>
        <v>-</v>
      </c>
      <c r="CD3" s="52" t="str">
        <f t="shared" si="7"/>
        <v>-</v>
      </c>
      <c r="CE3" s="52" t="str">
        <f t="shared" si="7"/>
        <v>-</v>
      </c>
      <c r="CF3" s="52" t="str">
        <f t="shared" si="7"/>
        <v>-</v>
      </c>
      <c r="CG3" s="52" t="str">
        <f t="shared" si="7"/>
        <v>-</v>
      </c>
      <c r="CH3" s="52" t="str">
        <f t="shared" si="7"/>
        <v>-</v>
      </c>
      <c r="CI3" s="52" t="str">
        <f t="shared" si="7"/>
        <v>-</v>
      </c>
      <c r="CJ3" s="52" t="str">
        <f t="shared" si="7"/>
        <v>-</v>
      </c>
      <c r="CK3" s="52" t="str">
        <f t="shared" si="7"/>
        <v>-</v>
      </c>
      <c r="CL3" s="52" t="str">
        <f t="shared" si="7"/>
        <v>-</v>
      </c>
      <c r="CM3" s="52" t="str">
        <f t="shared" si="7"/>
        <v>-</v>
      </c>
      <c r="CN3" s="52" t="str">
        <f t="shared" si="7"/>
        <v>-</v>
      </c>
      <c r="CO3" s="52" t="str">
        <f t="shared" si="7"/>
        <v>-</v>
      </c>
      <c r="CP3" s="52" t="str">
        <f t="shared" si="7"/>
        <v>-</v>
      </c>
      <c r="CQ3" s="52" t="str">
        <f t="shared" si="7"/>
        <v>-</v>
      </c>
      <c r="CR3" s="52" t="str">
        <f t="shared" si="7"/>
        <v>-</v>
      </c>
      <c r="CS3" s="52" t="str">
        <f t="shared" si="7"/>
        <v>-</v>
      </c>
      <c r="CT3" s="52" t="str">
        <f t="shared" si="7"/>
        <v>-</v>
      </c>
      <c r="CU3" s="52" t="str">
        <f t="shared" si="7"/>
        <v>-</v>
      </c>
      <c r="CV3" s="52" t="str">
        <f t="shared" si="7"/>
        <v>-</v>
      </c>
      <c r="CW3" s="52" t="str">
        <f t="shared" si="7"/>
        <v>-</v>
      </c>
      <c r="CX3" s="52" t="str">
        <f t="shared" si="7"/>
        <v>-</v>
      </c>
    </row>
    <row r="4" spans="1:104" ht="14.4" thickBot="1" x14ac:dyDescent="0.35">
      <c r="A4" s="281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</row>
    <row r="5" spans="1:104" ht="22.5" customHeight="1" thickTop="1" x14ac:dyDescent="0.3">
      <c r="A5" s="28" t="s">
        <v>87</v>
      </c>
      <c r="B5" s="222" t="s">
        <v>560</v>
      </c>
      <c r="C5" s="222" t="s">
        <v>537</v>
      </c>
      <c r="D5" s="222" t="s">
        <v>540</v>
      </c>
      <c r="E5" s="222" t="s">
        <v>539</v>
      </c>
      <c r="F5" s="222" t="s">
        <v>93</v>
      </c>
      <c r="G5" s="222"/>
      <c r="H5" s="222" t="s">
        <v>531</v>
      </c>
      <c r="I5" s="222"/>
      <c r="J5" s="222" t="s">
        <v>530</v>
      </c>
      <c r="K5" s="222"/>
      <c r="L5" s="222" t="s">
        <v>533</v>
      </c>
      <c r="M5" s="222"/>
      <c r="N5" s="222" t="s">
        <v>541</v>
      </c>
      <c r="O5" s="222"/>
      <c r="P5" s="222" t="s">
        <v>550</v>
      </c>
      <c r="Q5" s="222"/>
      <c r="R5" s="222" t="s">
        <v>561</v>
      </c>
      <c r="S5" s="222"/>
      <c r="T5" s="222" t="s">
        <v>542</v>
      </c>
      <c r="U5" s="222"/>
      <c r="V5" s="222" t="s">
        <v>551</v>
      </c>
      <c r="W5" s="222"/>
      <c r="X5" s="222" t="s">
        <v>562</v>
      </c>
      <c r="Y5" s="222"/>
      <c r="Z5" s="222" t="s">
        <v>543</v>
      </c>
      <c r="AA5" s="222"/>
      <c r="AB5" s="222" t="s">
        <v>552</v>
      </c>
      <c r="AC5" s="222"/>
      <c r="AD5" s="222" t="s">
        <v>563</v>
      </c>
      <c r="AE5" s="222"/>
      <c r="AF5" s="222" t="s">
        <v>568</v>
      </c>
      <c r="AG5" s="222" t="s">
        <v>569</v>
      </c>
      <c r="AH5" s="222" t="s">
        <v>570</v>
      </c>
      <c r="AI5" s="222" t="s">
        <v>574</v>
      </c>
      <c r="AJ5" s="222"/>
      <c r="AK5" s="222" t="s">
        <v>576</v>
      </c>
      <c r="AL5" s="222"/>
      <c r="AM5" s="222" t="s">
        <v>577</v>
      </c>
      <c r="AN5" s="222"/>
      <c r="AO5" s="222" t="s">
        <v>581</v>
      </c>
      <c r="AP5" s="222"/>
      <c r="AQ5" s="222" t="s">
        <v>582</v>
      </c>
      <c r="AR5" s="222"/>
      <c r="AS5" s="222" t="s">
        <v>584</v>
      </c>
      <c r="AT5" s="222"/>
      <c r="AU5" s="222" t="s">
        <v>580</v>
      </c>
      <c r="AV5" s="222"/>
      <c r="AW5" s="222" t="s">
        <v>583</v>
      </c>
      <c r="AX5" s="222"/>
      <c r="AY5" s="222" t="s">
        <v>585</v>
      </c>
      <c r="AZ5" s="222"/>
      <c r="BA5" s="222" t="s">
        <v>28</v>
      </c>
      <c r="BB5" s="222" t="s">
        <v>102</v>
      </c>
      <c r="BC5" s="222" t="s">
        <v>103</v>
      </c>
      <c r="BD5" s="222" t="s">
        <v>28</v>
      </c>
      <c r="BE5" s="222" t="s">
        <v>28</v>
      </c>
      <c r="BF5" s="222" t="s">
        <v>28</v>
      </c>
      <c r="BG5" s="222" t="s">
        <v>28</v>
      </c>
      <c r="BH5" s="222" t="s">
        <v>28</v>
      </c>
      <c r="BI5" s="222" t="s">
        <v>28</v>
      </c>
      <c r="BJ5" s="222" t="s">
        <v>28</v>
      </c>
      <c r="BK5" s="222" t="s">
        <v>28</v>
      </c>
      <c r="BL5" s="222" t="s">
        <v>28</v>
      </c>
      <c r="BM5" s="222" t="s">
        <v>28</v>
      </c>
      <c r="BN5" s="222" t="s">
        <v>28</v>
      </c>
      <c r="BO5" s="222" t="s">
        <v>28</v>
      </c>
      <c r="BP5" s="222" t="s">
        <v>28</v>
      </c>
      <c r="BQ5" s="222" t="s">
        <v>28</v>
      </c>
      <c r="BR5" s="222" t="s">
        <v>28</v>
      </c>
      <c r="BS5" s="222" t="s">
        <v>28</v>
      </c>
      <c r="BT5" s="222" t="s">
        <v>28</v>
      </c>
      <c r="BU5" s="222" t="s">
        <v>28</v>
      </c>
      <c r="BV5" s="222" t="s">
        <v>28</v>
      </c>
      <c r="BW5" s="222" t="s">
        <v>28</v>
      </c>
      <c r="BX5" s="222" t="s">
        <v>28</v>
      </c>
      <c r="BY5" s="222" t="s">
        <v>28</v>
      </c>
      <c r="BZ5" s="222" t="s">
        <v>28</v>
      </c>
      <c r="CA5" s="222" t="s">
        <v>28</v>
      </c>
      <c r="CB5" s="222" t="s">
        <v>28</v>
      </c>
      <c r="CC5" s="222" t="s">
        <v>28</v>
      </c>
      <c r="CD5" s="222" t="s">
        <v>28</v>
      </c>
      <c r="CE5" s="222" t="s">
        <v>28</v>
      </c>
      <c r="CF5" s="222" t="s">
        <v>28</v>
      </c>
      <c r="CG5" s="222" t="s">
        <v>28</v>
      </c>
      <c r="CH5" s="222" t="s">
        <v>28</v>
      </c>
      <c r="CI5" s="222" t="s">
        <v>28</v>
      </c>
      <c r="CJ5" s="222" t="s">
        <v>28</v>
      </c>
      <c r="CK5" s="222" t="s">
        <v>28</v>
      </c>
      <c r="CL5" s="222" t="s">
        <v>28</v>
      </c>
      <c r="CM5" s="222" t="s">
        <v>28</v>
      </c>
      <c r="CN5" s="222" t="s">
        <v>28</v>
      </c>
      <c r="CO5" s="222" t="s">
        <v>28</v>
      </c>
      <c r="CP5" s="222" t="s">
        <v>28</v>
      </c>
      <c r="CQ5" s="222" t="s">
        <v>28</v>
      </c>
      <c r="CR5" s="222" t="s">
        <v>28</v>
      </c>
      <c r="CS5" s="222" t="s">
        <v>28</v>
      </c>
      <c r="CT5" s="222" t="s">
        <v>28</v>
      </c>
      <c r="CU5" s="222" t="s">
        <v>28</v>
      </c>
      <c r="CV5" s="222" t="s">
        <v>28</v>
      </c>
      <c r="CW5" s="222" t="s">
        <v>618</v>
      </c>
      <c r="CX5" s="222" t="s">
        <v>490</v>
      </c>
      <c r="CY5" s="221" t="s">
        <v>903</v>
      </c>
      <c r="CZ5" s="15"/>
    </row>
    <row r="6" spans="1:104" ht="22.5" customHeight="1" x14ac:dyDescent="0.3">
      <c r="A6" s="28" t="s">
        <v>13</v>
      </c>
      <c r="B6" s="17" t="s">
        <v>617</v>
      </c>
      <c r="C6" s="17" t="s">
        <v>408</v>
      </c>
      <c r="D6" s="17" t="s">
        <v>408</v>
      </c>
      <c r="E6" s="17" t="s">
        <v>408</v>
      </c>
      <c r="F6" s="17" t="s">
        <v>408</v>
      </c>
      <c r="G6" s="17" t="s">
        <v>527</v>
      </c>
      <c r="H6" s="17" t="s">
        <v>408</v>
      </c>
      <c r="I6" s="17" t="s">
        <v>527</v>
      </c>
      <c r="J6" s="17" t="s">
        <v>408</v>
      </c>
      <c r="K6" s="17" t="s">
        <v>527</v>
      </c>
      <c r="L6" s="17">
        <v>0</v>
      </c>
      <c r="M6" s="17" t="s">
        <v>623</v>
      </c>
      <c r="N6" s="17" t="s">
        <v>514</v>
      </c>
      <c r="O6" s="17" t="s">
        <v>624</v>
      </c>
      <c r="P6" s="17" t="s">
        <v>514</v>
      </c>
      <c r="Q6" s="17" t="s">
        <v>624</v>
      </c>
      <c r="R6" s="17" t="s">
        <v>514</v>
      </c>
      <c r="S6" s="17" t="s">
        <v>624</v>
      </c>
      <c r="T6" s="17" t="s">
        <v>249</v>
      </c>
      <c r="U6" s="17" t="s">
        <v>390</v>
      </c>
      <c r="V6" s="17" t="s">
        <v>249</v>
      </c>
      <c r="W6" s="17" t="s">
        <v>390</v>
      </c>
      <c r="X6" s="17" t="s">
        <v>249</v>
      </c>
      <c r="Y6" s="17" t="s">
        <v>390</v>
      </c>
      <c r="Z6" s="17" t="s">
        <v>249</v>
      </c>
      <c r="AA6" s="17" t="s">
        <v>390</v>
      </c>
      <c r="AB6" s="17" t="str">
        <f>$Z6</f>
        <v xml:space="preserve"> </v>
      </c>
      <c r="AC6" s="17" t="str">
        <f>$AA6</f>
        <v>undefiniert</v>
      </c>
      <c r="AD6" s="17" t="str">
        <f>$Z6</f>
        <v xml:space="preserve"> </v>
      </c>
      <c r="AE6" s="17" t="str">
        <f>$AA6</f>
        <v>undefiniert</v>
      </c>
      <c r="AF6" s="17" t="s">
        <v>408</v>
      </c>
      <c r="AG6" s="17" t="s">
        <v>408</v>
      </c>
      <c r="AH6" s="17" t="s">
        <v>408</v>
      </c>
      <c r="AI6" s="17" t="s">
        <v>408</v>
      </c>
      <c r="AJ6" s="17" t="s">
        <v>625</v>
      </c>
      <c r="AK6" s="17" t="s">
        <v>408</v>
      </c>
      <c r="AL6" s="17" t="s">
        <v>625</v>
      </c>
      <c r="AM6" s="17" t="s">
        <v>408</v>
      </c>
      <c r="AN6" s="17" t="s">
        <v>625</v>
      </c>
      <c r="AO6" s="17" t="s">
        <v>249</v>
      </c>
      <c r="AP6" s="17" t="s">
        <v>390</v>
      </c>
      <c r="AQ6" s="17" t="s">
        <v>249</v>
      </c>
      <c r="AR6" s="17" t="s">
        <v>390</v>
      </c>
      <c r="AS6" s="17" t="s">
        <v>249</v>
      </c>
      <c r="AT6" s="17" t="s">
        <v>390</v>
      </c>
      <c r="AU6" s="17" t="str">
        <f>$Z6</f>
        <v xml:space="preserve"> </v>
      </c>
      <c r="AV6" s="17" t="str">
        <f>$AA6</f>
        <v>undefiniert</v>
      </c>
      <c r="AW6" s="17" t="str">
        <f>$Z6</f>
        <v xml:space="preserve"> </v>
      </c>
      <c r="AX6" s="17" t="str">
        <f>$AA6</f>
        <v>undefiniert</v>
      </c>
      <c r="AY6" s="17" t="str">
        <f>$Z6</f>
        <v xml:space="preserve"> </v>
      </c>
      <c r="AZ6" s="17" t="str">
        <f>$AA6</f>
        <v>undefiniert</v>
      </c>
      <c r="BA6" s="17" t="s">
        <v>390</v>
      </c>
      <c r="BB6" s="17">
        <v>0.85</v>
      </c>
      <c r="BC6" s="17">
        <v>0.85</v>
      </c>
      <c r="BD6" s="17" t="s">
        <v>390</v>
      </c>
      <c r="BE6" s="17" t="s">
        <v>390</v>
      </c>
      <c r="BF6" s="17" t="s">
        <v>390</v>
      </c>
      <c r="BG6" s="17" t="s">
        <v>390</v>
      </c>
      <c r="BH6" s="17" t="s">
        <v>390</v>
      </c>
      <c r="BI6" s="17" t="s">
        <v>390</v>
      </c>
      <c r="BJ6" s="17" t="s">
        <v>390</v>
      </c>
      <c r="BK6" s="17" t="s">
        <v>390</v>
      </c>
      <c r="BL6" s="17" t="s">
        <v>390</v>
      </c>
      <c r="BM6" s="17" t="s">
        <v>390</v>
      </c>
      <c r="BN6" s="17" t="s">
        <v>390</v>
      </c>
      <c r="BO6" s="17" t="s">
        <v>390</v>
      </c>
      <c r="BP6" s="17" t="s">
        <v>390</v>
      </c>
      <c r="BQ6" s="17" t="s">
        <v>390</v>
      </c>
      <c r="BR6" s="17" t="s">
        <v>390</v>
      </c>
      <c r="BS6" s="17" t="s">
        <v>390</v>
      </c>
      <c r="BT6" s="17" t="s">
        <v>390</v>
      </c>
      <c r="BU6" s="17" t="s">
        <v>390</v>
      </c>
      <c r="BV6" s="17" t="s">
        <v>390</v>
      </c>
      <c r="BW6" s="17" t="s">
        <v>390</v>
      </c>
      <c r="BX6" s="17" t="s">
        <v>390</v>
      </c>
      <c r="BY6" s="17" t="s">
        <v>390</v>
      </c>
      <c r="BZ6" s="17" t="s">
        <v>390</v>
      </c>
      <c r="CA6" s="17" t="s">
        <v>390</v>
      </c>
      <c r="CB6" s="17" t="s">
        <v>390</v>
      </c>
      <c r="CC6" s="17" t="s">
        <v>390</v>
      </c>
      <c r="CD6" s="17" t="s">
        <v>390</v>
      </c>
      <c r="CE6" s="17" t="s">
        <v>390</v>
      </c>
      <c r="CF6" s="17" t="s">
        <v>390</v>
      </c>
      <c r="CG6" s="17" t="s">
        <v>390</v>
      </c>
      <c r="CH6" s="17" t="s">
        <v>390</v>
      </c>
      <c r="CI6" s="17" t="s">
        <v>390</v>
      </c>
      <c r="CJ6" s="17" t="s">
        <v>390</v>
      </c>
      <c r="CK6" s="17" t="s">
        <v>390</v>
      </c>
      <c r="CL6" s="17" t="s">
        <v>390</v>
      </c>
      <c r="CM6" s="17" t="s">
        <v>390</v>
      </c>
      <c r="CN6" s="17" t="s">
        <v>390</v>
      </c>
      <c r="CO6" s="17" t="s">
        <v>390</v>
      </c>
      <c r="CP6" s="17" t="s">
        <v>390</v>
      </c>
      <c r="CQ6" s="17" t="s">
        <v>390</v>
      </c>
      <c r="CR6" s="17" t="s">
        <v>390</v>
      </c>
      <c r="CS6" s="17" t="s">
        <v>390</v>
      </c>
      <c r="CT6" s="17" t="s">
        <v>390</v>
      </c>
      <c r="CU6" s="17" t="s">
        <v>390</v>
      </c>
      <c r="CV6" s="17" t="s">
        <v>390</v>
      </c>
      <c r="CW6" s="17">
        <v>1</v>
      </c>
      <c r="CX6" s="17">
        <v>0</v>
      </c>
      <c r="CY6" s="221" t="s">
        <v>89</v>
      </c>
    </row>
    <row r="7" spans="1:104" ht="22.5" customHeight="1" x14ac:dyDescent="0.3">
      <c r="A7" s="28"/>
      <c r="B7" s="17" t="s">
        <v>818</v>
      </c>
      <c r="C7" s="17">
        <f t="shared" ref="C7:E26" si="8">INDEX(PRODUKTE,ROW()-ROW(C$6),2)</f>
        <v>8016</v>
      </c>
      <c r="D7" s="17">
        <f t="shared" si="8"/>
        <v>8016</v>
      </c>
      <c r="E7" s="17">
        <f t="shared" si="8"/>
        <v>8016</v>
      </c>
      <c r="F7" s="17" t="s">
        <v>564</v>
      </c>
      <c r="G7" s="17" t="s">
        <v>626</v>
      </c>
      <c r="H7" s="17" t="s">
        <v>564</v>
      </c>
      <c r="I7" s="17" t="s">
        <v>626</v>
      </c>
      <c r="J7" s="17" t="s">
        <v>564</v>
      </c>
      <c r="K7" s="17" t="s">
        <v>626</v>
      </c>
      <c r="L7" s="17">
        <v>1</v>
      </c>
      <c r="M7" s="17" t="s">
        <v>627</v>
      </c>
      <c r="N7" s="17" t="s">
        <v>628</v>
      </c>
      <c r="O7" s="17" t="s">
        <v>629</v>
      </c>
      <c r="P7" s="17" t="s">
        <v>628</v>
      </c>
      <c r="Q7" s="17" t="s">
        <v>629</v>
      </c>
      <c r="R7" s="17" t="s">
        <v>628</v>
      </c>
      <c r="S7" s="17" t="s">
        <v>629</v>
      </c>
      <c r="T7" s="17" t="s">
        <v>630</v>
      </c>
      <c r="U7" s="17" t="s">
        <v>391</v>
      </c>
      <c r="V7" s="17" t="s">
        <v>630</v>
      </c>
      <c r="W7" s="17" t="s">
        <v>391</v>
      </c>
      <c r="X7" s="17" t="s">
        <v>630</v>
      </c>
      <c r="Y7" s="17" t="s">
        <v>391</v>
      </c>
      <c r="Z7" s="17" t="s">
        <v>408</v>
      </c>
      <c r="AA7" s="17" t="s">
        <v>631</v>
      </c>
      <c r="AB7" s="17" t="str">
        <f t="shared" ref="AB7:AD20" si="9">$Z7</f>
        <v>-</v>
      </c>
      <c r="AC7" s="17" t="str">
        <f t="shared" ref="AC7:AE20" si="10">$AA7</f>
        <v>unbehandelt</v>
      </c>
      <c r="AD7" s="17" t="str">
        <f t="shared" si="9"/>
        <v>-</v>
      </c>
      <c r="AE7" s="17" t="str">
        <f t="shared" si="10"/>
        <v>unbehandelt</v>
      </c>
      <c r="AF7" s="17" t="str">
        <f t="shared" ref="AF7:AH25" si="11">INDEX(PRODUKTE,88+ROW()-ROW(AF$6),2)</f>
        <v>650x + 6612</v>
      </c>
      <c r="AG7" s="17" t="str">
        <f t="shared" si="11"/>
        <v>650x + 6612</v>
      </c>
      <c r="AH7" s="17" t="str">
        <f t="shared" si="11"/>
        <v>650x + 6612</v>
      </c>
      <c r="AI7" s="17" t="s">
        <v>575</v>
      </c>
      <c r="AJ7" s="17" t="s">
        <v>699</v>
      </c>
      <c r="AK7" s="17" t="s">
        <v>575</v>
      </c>
      <c r="AL7" s="17" t="s">
        <v>699</v>
      </c>
      <c r="AO7" s="17" t="s">
        <v>630</v>
      </c>
      <c r="AP7" s="17" t="s">
        <v>391</v>
      </c>
      <c r="AQ7" s="17" t="s">
        <v>630</v>
      </c>
      <c r="AR7" s="17" t="s">
        <v>391</v>
      </c>
      <c r="AS7" s="17" t="s">
        <v>630</v>
      </c>
      <c r="AT7" s="17" t="s">
        <v>391</v>
      </c>
      <c r="AU7" s="17" t="str">
        <f t="shared" ref="AU7:AU20" si="12">$Z7</f>
        <v>-</v>
      </c>
      <c r="AV7" s="17" t="str">
        <f t="shared" ref="AV7:AV20" si="13">$AA7</f>
        <v>unbehandelt</v>
      </c>
      <c r="AW7" s="17" t="str">
        <f t="shared" ref="AW7:AW20" si="14">$Z7</f>
        <v>-</v>
      </c>
      <c r="AX7" s="17" t="str">
        <f t="shared" ref="AX7:AX20" si="15">$AA7</f>
        <v>unbehandelt</v>
      </c>
      <c r="AY7" s="17" t="str">
        <f t="shared" ref="AY7:AY20" si="16">$Z7</f>
        <v>-</v>
      </c>
      <c r="AZ7" s="17" t="str">
        <f t="shared" ref="AZ7:AZ20" si="17">$AA7</f>
        <v>unbehandelt</v>
      </c>
      <c r="BB7" s="17">
        <v>1.05</v>
      </c>
      <c r="BC7" s="17">
        <v>1.05</v>
      </c>
      <c r="CW7" s="17">
        <v>2</v>
      </c>
      <c r="CX7" s="17">
        <v>1</v>
      </c>
      <c r="CY7" s="33"/>
    </row>
    <row r="8" spans="1:104" ht="22.5" customHeight="1" x14ac:dyDescent="0.3">
      <c r="C8" s="17">
        <f t="shared" si="8"/>
        <v>8056</v>
      </c>
      <c r="D8" s="17">
        <f t="shared" si="8"/>
        <v>8056</v>
      </c>
      <c r="E8" s="17">
        <f t="shared" si="8"/>
        <v>8056</v>
      </c>
      <c r="F8" s="17" t="s">
        <v>632</v>
      </c>
      <c r="G8" s="17" t="s">
        <v>633</v>
      </c>
      <c r="H8" s="17" t="s">
        <v>632</v>
      </c>
      <c r="I8" s="17" t="s">
        <v>633</v>
      </c>
      <c r="J8" s="17" t="s">
        <v>639</v>
      </c>
      <c r="K8" s="17" t="s">
        <v>640</v>
      </c>
      <c r="N8" s="17" t="s">
        <v>634</v>
      </c>
      <c r="O8" s="17" t="s">
        <v>635</v>
      </c>
      <c r="P8" s="17" t="s">
        <v>634</v>
      </c>
      <c r="Q8" s="17" t="s">
        <v>635</v>
      </c>
      <c r="R8" s="17" t="s">
        <v>634</v>
      </c>
      <c r="S8" s="17" t="s">
        <v>635</v>
      </c>
      <c r="T8" s="17" t="s">
        <v>565</v>
      </c>
      <c r="U8" s="17" t="s">
        <v>636</v>
      </c>
      <c r="V8" s="17" t="s">
        <v>565</v>
      </c>
      <c r="W8" s="17" t="s">
        <v>636</v>
      </c>
      <c r="X8" s="17" t="s">
        <v>565</v>
      </c>
      <c r="Y8" s="17" t="s">
        <v>636</v>
      </c>
      <c r="Z8" s="17" t="s">
        <v>48</v>
      </c>
      <c r="AA8" s="17" t="s">
        <v>819</v>
      </c>
      <c r="AB8" s="17" t="str">
        <f t="shared" si="9"/>
        <v>B</v>
      </c>
      <c r="AC8" s="17" t="str">
        <f t="shared" si="10"/>
        <v>Gebürstet</v>
      </c>
      <c r="AD8" s="17" t="str">
        <f t="shared" si="9"/>
        <v>B</v>
      </c>
      <c r="AE8" s="17" t="str">
        <f t="shared" si="10"/>
        <v>Gebürstet</v>
      </c>
      <c r="AF8" s="17" t="str">
        <f t="shared" si="11"/>
        <v>650x + 7122</v>
      </c>
      <c r="AG8" s="17" t="str">
        <f t="shared" si="11"/>
        <v>650x + 7122</v>
      </c>
      <c r="AH8" s="17" t="str">
        <f t="shared" si="11"/>
        <v>650x + 7122</v>
      </c>
      <c r="AI8" s="17" t="s">
        <v>638</v>
      </c>
      <c r="AJ8" s="17" t="s">
        <v>775</v>
      </c>
      <c r="AK8" s="17" t="s">
        <v>638</v>
      </c>
      <c r="AL8" s="17" t="s">
        <v>775</v>
      </c>
      <c r="AO8" s="17" t="s">
        <v>565</v>
      </c>
      <c r="AP8" s="17" t="s">
        <v>636</v>
      </c>
      <c r="AQ8" s="17" t="s">
        <v>565</v>
      </c>
      <c r="AR8" s="17" t="s">
        <v>636</v>
      </c>
      <c r="AS8" s="17" t="s">
        <v>565</v>
      </c>
      <c r="AT8" s="17" t="s">
        <v>636</v>
      </c>
      <c r="AU8" s="17" t="str">
        <f t="shared" si="12"/>
        <v>B</v>
      </c>
      <c r="AV8" s="17" t="str">
        <f t="shared" si="13"/>
        <v>Gebürstet</v>
      </c>
      <c r="AW8" s="17" t="str">
        <f t="shared" si="14"/>
        <v>B</v>
      </c>
      <c r="AX8" s="17" t="str">
        <f t="shared" si="15"/>
        <v>Gebürstet</v>
      </c>
      <c r="AY8" s="17" t="str">
        <f t="shared" si="16"/>
        <v>B</v>
      </c>
      <c r="AZ8" s="17" t="str">
        <f t="shared" si="17"/>
        <v>Gebürstet</v>
      </c>
      <c r="CX8" s="17">
        <v>2</v>
      </c>
      <c r="CY8" s="33"/>
    </row>
    <row r="9" spans="1:104" ht="22.5" customHeight="1" x14ac:dyDescent="0.3">
      <c r="C9" s="17">
        <f t="shared" si="8"/>
        <v>8100</v>
      </c>
      <c r="D9" s="17">
        <f t="shared" si="8"/>
        <v>8100</v>
      </c>
      <c r="E9" s="17">
        <f t="shared" si="8"/>
        <v>8100</v>
      </c>
      <c r="F9" s="17" t="s">
        <v>639</v>
      </c>
      <c r="G9" s="17" t="s">
        <v>640</v>
      </c>
      <c r="H9" s="17" t="s">
        <v>639</v>
      </c>
      <c r="I9" s="17" t="s">
        <v>640</v>
      </c>
      <c r="T9" s="17" t="s">
        <v>641</v>
      </c>
      <c r="U9" s="17" t="s">
        <v>642</v>
      </c>
      <c r="V9" s="17" t="s">
        <v>641</v>
      </c>
      <c r="W9" s="17" t="s">
        <v>642</v>
      </c>
      <c r="X9" s="17" t="s">
        <v>641</v>
      </c>
      <c r="Y9" s="17" t="s">
        <v>642</v>
      </c>
      <c r="Z9" s="17" t="s">
        <v>19</v>
      </c>
      <c r="AA9" s="17" t="s">
        <v>637</v>
      </c>
      <c r="AB9" s="17" t="str">
        <f t="shared" si="9"/>
        <v>S</v>
      </c>
      <c r="AC9" s="17" t="str">
        <f t="shared" si="10"/>
        <v>Geschliffen</v>
      </c>
      <c r="AD9" s="17" t="str">
        <f t="shared" si="9"/>
        <v>S</v>
      </c>
      <c r="AE9" s="17" t="str">
        <f t="shared" si="10"/>
        <v>Geschliffen</v>
      </c>
      <c r="AF9" s="17" t="str">
        <f t="shared" si="11"/>
        <v>650x + 7123</v>
      </c>
      <c r="AG9" s="17" t="str">
        <f t="shared" si="11"/>
        <v>650x + 7123</v>
      </c>
      <c r="AH9" s="17" t="str">
        <f t="shared" si="11"/>
        <v>650x + 7123</v>
      </c>
      <c r="AI9" s="17" t="s">
        <v>841</v>
      </c>
      <c r="AJ9" s="17" t="s">
        <v>776</v>
      </c>
      <c r="AK9" s="17" t="s">
        <v>841</v>
      </c>
      <c r="AL9" s="17" t="s">
        <v>776</v>
      </c>
      <c r="AO9" s="17" t="s">
        <v>641</v>
      </c>
      <c r="AP9" s="17" t="s">
        <v>642</v>
      </c>
      <c r="AQ9" s="17" t="s">
        <v>641</v>
      </c>
      <c r="AR9" s="17" t="s">
        <v>642</v>
      </c>
      <c r="AS9" s="17" t="s">
        <v>641</v>
      </c>
      <c r="AT9" s="17" t="s">
        <v>642</v>
      </c>
      <c r="AU9" s="17" t="str">
        <f t="shared" si="12"/>
        <v>S</v>
      </c>
      <c r="AV9" s="17" t="str">
        <f t="shared" si="13"/>
        <v>Geschliffen</v>
      </c>
      <c r="AW9" s="17" t="str">
        <f t="shared" si="14"/>
        <v>S</v>
      </c>
      <c r="AX9" s="17" t="str">
        <f t="shared" si="15"/>
        <v>Geschliffen</v>
      </c>
      <c r="AY9" s="17" t="str">
        <f t="shared" si="16"/>
        <v>S</v>
      </c>
      <c r="AZ9" s="17" t="str">
        <f t="shared" si="17"/>
        <v>Geschliffen</v>
      </c>
      <c r="CX9" s="17">
        <v>3</v>
      </c>
    </row>
    <row r="10" spans="1:104" ht="22.5" customHeight="1" x14ac:dyDescent="0.3">
      <c r="C10" s="17" t="str">
        <f t="shared" si="8"/>
        <v>8100A</v>
      </c>
      <c r="D10" s="17" t="str">
        <f t="shared" si="8"/>
        <v>8100A</v>
      </c>
      <c r="E10" s="17" t="str">
        <f t="shared" si="8"/>
        <v>8100A</v>
      </c>
      <c r="T10" s="17" t="s">
        <v>387</v>
      </c>
      <c r="U10" s="17" t="s">
        <v>647</v>
      </c>
      <c r="V10" s="17" t="s">
        <v>387</v>
      </c>
      <c r="W10" s="17" t="s">
        <v>647</v>
      </c>
      <c r="X10" s="17" t="s">
        <v>387</v>
      </c>
      <c r="Y10" s="17" t="s">
        <v>647</v>
      </c>
      <c r="Z10" s="17" t="s">
        <v>643</v>
      </c>
      <c r="AA10" s="17" t="s">
        <v>644</v>
      </c>
      <c r="AB10" s="17" t="str">
        <f t="shared" si="9"/>
        <v>T</v>
      </c>
      <c r="AC10" s="17" t="str">
        <f t="shared" si="10"/>
        <v>Getrommelt</v>
      </c>
      <c r="AD10" s="17" t="str">
        <f t="shared" si="9"/>
        <v>T</v>
      </c>
      <c r="AE10" s="17" t="str">
        <f t="shared" si="10"/>
        <v>Getrommelt</v>
      </c>
      <c r="AF10" s="17" t="str">
        <f t="shared" si="11"/>
        <v>650x</v>
      </c>
      <c r="AG10" s="17" t="str">
        <f t="shared" si="11"/>
        <v>650x</v>
      </c>
      <c r="AH10" s="17" t="str">
        <f t="shared" si="11"/>
        <v>650x</v>
      </c>
      <c r="AI10" s="17" t="s">
        <v>840</v>
      </c>
      <c r="AJ10" s="17" t="s">
        <v>940</v>
      </c>
      <c r="AK10" s="17" t="s">
        <v>840</v>
      </c>
      <c r="AL10" s="17" t="s">
        <v>940</v>
      </c>
      <c r="AO10" s="17" t="s">
        <v>387</v>
      </c>
      <c r="AP10" s="17" t="s">
        <v>647</v>
      </c>
      <c r="AQ10" s="17" t="s">
        <v>387</v>
      </c>
      <c r="AR10" s="17" t="s">
        <v>647</v>
      </c>
      <c r="AS10" s="17" t="s">
        <v>387</v>
      </c>
      <c r="AT10" s="17" t="s">
        <v>647</v>
      </c>
      <c r="AU10" s="17" t="str">
        <f t="shared" si="12"/>
        <v>T</v>
      </c>
      <c r="AV10" s="17" t="str">
        <f t="shared" si="13"/>
        <v>Getrommelt</v>
      </c>
      <c r="AW10" s="17" t="str">
        <f t="shared" si="14"/>
        <v>T</v>
      </c>
      <c r="AX10" s="17" t="str">
        <f t="shared" si="15"/>
        <v>Getrommelt</v>
      </c>
      <c r="AY10" s="17" t="str">
        <f t="shared" si="16"/>
        <v>T</v>
      </c>
      <c r="AZ10" s="17" t="str">
        <f t="shared" si="17"/>
        <v>Getrommelt</v>
      </c>
      <c r="CX10" s="17">
        <v>4</v>
      </c>
    </row>
    <row r="11" spans="1:104" ht="22.5" customHeight="1" x14ac:dyDescent="0.3">
      <c r="C11" s="17" t="str">
        <f t="shared" si="8"/>
        <v>8100V</v>
      </c>
      <c r="D11" s="17" t="str">
        <f t="shared" si="8"/>
        <v>8100V</v>
      </c>
      <c r="E11" s="17" t="str">
        <f t="shared" si="8"/>
        <v>8100V</v>
      </c>
      <c r="T11" s="17" t="s">
        <v>651</v>
      </c>
      <c r="U11" s="17" t="s">
        <v>652</v>
      </c>
      <c r="V11" s="17" t="s">
        <v>651</v>
      </c>
      <c r="W11" s="17" t="s">
        <v>652</v>
      </c>
      <c r="X11" s="17" t="s">
        <v>651</v>
      </c>
      <c r="Y11" s="17" t="s">
        <v>652</v>
      </c>
      <c r="Z11" s="17" t="s">
        <v>85</v>
      </c>
      <c r="AA11" s="17" t="s">
        <v>648</v>
      </c>
      <c r="AB11" s="17" t="str">
        <f t="shared" si="9"/>
        <v>P</v>
      </c>
      <c r="AC11" s="17" t="str">
        <f t="shared" si="10"/>
        <v>Poliert</v>
      </c>
      <c r="AD11" s="17" t="str">
        <f t="shared" si="9"/>
        <v>P</v>
      </c>
      <c r="AE11" s="17" t="str">
        <f t="shared" si="10"/>
        <v>Poliert</v>
      </c>
      <c r="AF11" s="17">
        <f t="shared" si="11"/>
        <v>6612</v>
      </c>
      <c r="AG11" s="17">
        <f t="shared" si="11"/>
        <v>6612</v>
      </c>
      <c r="AH11" s="17">
        <f t="shared" si="11"/>
        <v>6612</v>
      </c>
      <c r="AI11" s="17" t="s">
        <v>646</v>
      </c>
      <c r="AJ11" s="17" t="s">
        <v>698</v>
      </c>
      <c r="AK11" s="17" t="s">
        <v>646</v>
      </c>
      <c r="AL11" s="17" t="s">
        <v>698</v>
      </c>
      <c r="AO11" s="17" t="s">
        <v>651</v>
      </c>
      <c r="AP11" s="17" t="s">
        <v>652</v>
      </c>
      <c r="AQ11" s="17" t="s">
        <v>651</v>
      </c>
      <c r="AR11" s="17" t="s">
        <v>652</v>
      </c>
      <c r="AS11" s="17" t="s">
        <v>651</v>
      </c>
      <c r="AT11" s="17" t="s">
        <v>652</v>
      </c>
      <c r="AU11" s="17" t="str">
        <f t="shared" si="12"/>
        <v>P</v>
      </c>
      <c r="AV11" s="17" t="str">
        <f t="shared" si="13"/>
        <v>Poliert</v>
      </c>
      <c r="AW11" s="17" t="str">
        <f t="shared" si="14"/>
        <v>P</v>
      </c>
      <c r="AX11" s="17" t="str">
        <f t="shared" si="15"/>
        <v>Poliert</v>
      </c>
      <c r="AY11" s="17" t="str">
        <f t="shared" si="16"/>
        <v>P</v>
      </c>
      <c r="AZ11" s="17" t="str">
        <f t="shared" si="17"/>
        <v>Poliert</v>
      </c>
      <c r="CX11" s="17">
        <v>5</v>
      </c>
    </row>
    <row r="12" spans="1:104" ht="22.5" customHeight="1" x14ac:dyDescent="0.3">
      <c r="C12" s="17">
        <f t="shared" si="8"/>
        <v>8101</v>
      </c>
      <c r="D12" s="17">
        <f t="shared" si="8"/>
        <v>8101</v>
      </c>
      <c r="E12" s="17">
        <f t="shared" si="8"/>
        <v>8101</v>
      </c>
      <c r="T12" s="17" t="s">
        <v>656</v>
      </c>
      <c r="U12" s="17" t="s">
        <v>657</v>
      </c>
      <c r="V12" s="17" t="s">
        <v>656</v>
      </c>
      <c r="W12" s="17" t="s">
        <v>657</v>
      </c>
      <c r="X12" s="17" t="s">
        <v>656</v>
      </c>
      <c r="Y12" s="17" t="s">
        <v>657</v>
      </c>
      <c r="Z12" s="17" t="s">
        <v>460</v>
      </c>
      <c r="AA12" s="17" t="s">
        <v>653</v>
      </c>
      <c r="AB12" s="17" t="str">
        <f t="shared" si="9"/>
        <v>L</v>
      </c>
      <c r="AC12" s="17" t="str">
        <f t="shared" si="10"/>
        <v>Lackiert</v>
      </c>
      <c r="AD12" s="17" t="str">
        <f t="shared" si="9"/>
        <v>L</v>
      </c>
      <c r="AE12" s="17" t="str">
        <f t="shared" si="10"/>
        <v>Lackiert</v>
      </c>
      <c r="AF12" s="17">
        <f t="shared" si="11"/>
        <v>7122</v>
      </c>
      <c r="AG12" s="17">
        <f t="shared" si="11"/>
        <v>7122</v>
      </c>
      <c r="AH12" s="17">
        <f t="shared" si="11"/>
        <v>7122</v>
      </c>
      <c r="AI12" s="17" t="s">
        <v>649</v>
      </c>
      <c r="AJ12" s="17" t="s">
        <v>650</v>
      </c>
      <c r="AK12" s="17" t="s">
        <v>649</v>
      </c>
      <c r="AL12" s="17" t="s">
        <v>650</v>
      </c>
      <c r="AO12" s="17" t="s">
        <v>656</v>
      </c>
      <c r="AP12" s="17" t="s">
        <v>657</v>
      </c>
      <c r="AQ12" s="17" t="s">
        <v>656</v>
      </c>
      <c r="AR12" s="17" t="s">
        <v>657</v>
      </c>
      <c r="AS12" s="17" t="s">
        <v>656</v>
      </c>
      <c r="AT12" s="17" t="s">
        <v>657</v>
      </c>
      <c r="AU12" s="17" t="str">
        <f t="shared" si="12"/>
        <v>L</v>
      </c>
      <c r="AV12" s="17" t="str">
        <f t="shared" si="13"/>
        <v>Lackiert</v>
      </c>
      <c r="AW12" s="17" t="str">
        <f t="shared" si="14"/>
        <v>L</v>
      </c>
      <c r="AX12" s="17" t="str">
        <f t="shared" si="15"/>
        <v>Lackiert</v>
      </c>
      <c r="AY12" s="17" t="str">
        <f t="shared" si="16"/>
        <v>L</v>
      </c>
      <c r="AZ12" s="17" t="str">
        <f t="shared" si="17"/>
        <v>Lackiert</v>
      </c>
      <c r="CX12" s="17">
        <v>6</v>
      </c>
    </row>
    <row r="13" spans="1:104" ht="22.5" customHeight="1" x14ac:dyDescent="0.3">
      <c r="C13" s="17" t="str">
        <f t="shared" si="8"/>
        <v>8101A</v>
      </c>
      <c r="D13" s="17" t="str">
        <f t="shared" si="8"/>
        <v>8101A</v>
      </c>
      <c r="E13" s="17" t="str">
        <f t="shared" si="8"/>
        <v>8101A</v>
      </c>
      <c r="T13" s="17" t="s">
        <v>1004</v>
      </c>
      <c r="U13" s="17" t="s">
        <v>1005</v>
      </c>
      <c r="V13" s="17" t="s">
        <v>1004</v>
      </c>
      <c r="W13" s="17" t="s">
        <v>1005</v>
      </c>
      <c r="X13" s="17" t="s">
        <v>1004</v>
      </c>
      <c r="Y13" s="17" t="s">
        <v>1005</v>
      </c>
      <c r="Z13" s="17" t="s">
        <v>90</v>
      </c>
      <c r="AA13" s="17" t="s">
        <v>658</v>
      </c>
      <c r="AB13" s="17" t="str">
        <f t="shared" si="9"/>
        <v>V</v>
      </c>
      <c r="AC13" s="17" t="str">
        <f t="shared" si="10"/>
        <v>Pulverbeschichtet</v>
      </c>
      <c r="AD13" s="17" t="str">
        <f t="shared" si="9"/>
        <v>V</v>
      </c>
      <c r="AE13" s="17" t="str">
        <f t="shared" si="10"/>
        <v>Pulverbeschichtet</v>
      </c>
      <c r="AF13" s="17">
        <f t="shared" si="11"/>
        <v>7123</v>
      </c>
      <c r="AG13" s="17">
        <f t="shared" si="11"/>
        <v>7123</v>
      </c>
      <c r="AH13" s="17">
        <f t="shared" si="11"/>
        <v>7123</v>
      </c>
      <c r="AI13" s="17" t="s">
        <v>654</v>
      </c>
      <c r="AJ13" s="17" t="s">
        <v>655</v>
      </c>
      <c r="AK13" s="17" t="s">
        <v>654</v>
      </c>
      <c r="AL13" s="17" t="s">
        <v>655</v>
      </c>
      <c r="AO13" s="17" t="s">
        <v>1004</v>
      </c>
      <c r="AP13" s="17" t="s">
        <v>1005</v>
      </c>
      <c r="AQ13" s="17" t="s">
        <v>1004</v>
      </c>
      <c r="AR13" s="17" t="s">
        <v>1005</v>
      </c>
      <c r="AS13" s="17" t="s">
        <v>1004</v>
      </c>
      <c r="AT13" s="17" t="s">
        <v>1005</v>
      </c>
      <c r="AU13" s="17" t="str">
        <f t="shared" si="12"/>
        <v>V</v>
      </c>
      <c r="AV13" s="17" t="str">
        <f t="shared" si="13"/>
        <v>Pulverbeschichtet</v>
      </c>
      <c r="AW13" s="17" t="str">
        <f t="shared" si="14"/>
        <v>V</v>
      </c>
      <c r="AX13" s="17" t="str">
        <f t="shared" si="15"/>
        <v>Pulverbeschichtet</v>
      </c>
      <c r="AY13" s="17" t="str">
        <f t="shared" si="16"/>
        <v>V</v>
      </c>
      <c r="AZ13" s="17" t="str">
        <f t="shared" si="17"/>
        <v>Pulverbeschichtet</v>
      </c>
      <c r="CX13" s="17">
        <v>7</v>
      </c>
    </row>
    <row r="14" spans="1:104" ht="22.5" customHeight="1" x14ac:dyDescent="0.3">
      <c r="C14" s="17">
        <f t="shared" si="8"/>
        <v>8103</v>
      </c>
      <c r="D14" s="17">
        <f t="shared" si="8"/>
        <v>8103</v>
      </c>
      <c r="E14" s="17">
        <f t="shared" si="8"/>
        <v>8103</v>
      </c>
      <c r="Z14" s="17" t="s">
        <v>659</v>
      </c>
      <c r="AA14" s="17" t="s">
        <v>660</v>
      </c>
      <c r="AB14" s="17" t="str">
        <f t="shared" si="9"/>
        <v>Z</v>
      </c>
      <c r="AC14" s="17" t="str">
        <f t="shared" si="10"/>
        <v>Verzinkt</v>
      </c>
      <c r="AD14" s="17" t="str">
        <f t="shared" si="9"/>
        <v>Z</v>
      </c>
      <c r="AE14" s="17" t="str">
        <f t="shared" si="10"/>
        <v>Verzinkt</v>
      </c>
      <c r="AF14" s="17" t="str">
        <f t="shared" si="11"/>
        <v>705x K</v>
      </c>
      <c r="AG14" s="17" t="str">
        <f t="shared" si="11"/>
        <v>705x K</v>
      </c>
      <c r="AH14" s="17" t="str">
        <f t="shared" si="11"/>
        <v>705x K</v>
      </c>
      <c r="AU14" s="17" t="str">
        <f t="shared" si="12"/>
        <v>Z</v>
      </c>
      <c r="AV14" s="17" t="str">
        <f t="shared" si="13"/>
        <v>Verzinkt</v>
      </c>
      <c r="AW14" s="17" t="str">
        <f t="shared" si="14"/>
        <v>Z</v>
      </c>
      <c r="AX14" s="17" t="str">
        <f t="shared" si="15"/>
        <v>Verzinkt</v>
      </c>
      <c r="AY14" s="17" t="str">
        <f t="shared" si="16"/>
        <v>Z</v>
      </c>
      <c r="AZ14" s="17" t="str">
        <f t="shared" si="17"/>
        <v>Verzinkt</v>
      </c>
      <c r="CX14" s="17">
        <v>8</v>
      </c>
    </row>
    <row r="15" spans="1:104" ht="22.5" customHeight="1" x14ac:dyDescent="0.3">
      <c r="C15" s="17">
        <f t="shared" si="8"/>
        <v>8111</v>
      </c>
      <c r="D15" s="17">
        <f t="shared" si="8"/>
        <v>8111</v>
      </c>
      <c r="E15" s="17">
        <f t="shared" si="8"/>
        <v>8111</v>
      </c>
      <c r="Z15" s="17" t="s">
        <v>1006</v>
      </c>
      <c r="AA15" s="17" t="s">
        <v>1007</v>
      </c>
      <c r="AB15" s="17" t="str">
        <f t="shared" si="9"/>
        <v>N</v>
      </c>
      <c r="AC15" s="17" t="str">
        <f t="shared" si="10"/>
        <v>Vernickelt</v>
      </c>
      <c r="AD15" s="17" t="str">
        <f t="shared" si="9"/>
        <v>N</v>
      </c>
      <c r="AE15" s="17" t="str">
        <f t="shared" si="10"/>
        <v>Vernickelt</v>
      </c>
      <c r="AF15" s="17" t="str">
        <f t="shared" si="11"/>
        <v>706x K</v>
      </c>
      <c r="AG15" s="17" t="str">
        <f t="shared" si="11"/>
        <v>706x K</v>
      </c>
      <c r="AH15" s="17" t="str">
        <f t="shared" si="11"/>
        <v>706x K</v>
      </c>
      <c r="AU15" s="17" t="str">
        <f t="shared" si="12"/>
        <v>N</v>
      </c>
      <c r="AV15" s="17" t="str">
        <f t="shared" si="13"/>
        <v>Vernickelt</v>
      </c>
      <c r="AW15" s="17" t="str">
        <f t="shared" si="14"/>
        <v>N</v>
      </c>
      <c r="AX15" s="17" t="str">
        <f t="shared" si="15"/>
        <v>Vernickelt</v>
      </c>
      <c r="AY15" s="17" t="str">
        <f t="shared" si="16"/>
        <v>N</v>
      </c>
      <c r="AZ15" s="17" t="str">
        <f t="shared" si="17"/>
        <v>Vernickelt</v>
      </c>
    </row>
    <row r="16" spans="1:104" ht="22.5" customHeight="1" x14ac:dyDescent="0.3">
      <c r="C16" s="17">
        <f t="shared" si="8"/>
        <v>8112</v>
      </c>
      <c r="D16" s="17">
        <f t="shared" si="8"/>
        <v>8112</v>
      </c>
      <c r="E16" s="17">
        <f t="shared" si="8"/>
        <v>8112</v>
      </c>
      <c r="Z16" s="17" t="s">
        <v>29</v>
      </c>
      <c r="AA16" s="17" t="s">
        <v>1008</v>
      </c>
      <c r="AB16" s="17" t="str">
        <f t="shared" si="9"/>
        <v>C</v>
      </c>
      <c r="AC16" s="17" t="str">
        <f t="shared" si="10"/>
        <v>Verchromt</v>
      </c>
      <c r="AD16" s="17" t="str">
        <f t="shared" si="9"/>
        <v>C</v>
      </c>
      <c r="AE16" s="17" t="str">
        <f t="shared" si="10"/>
        <v>Verchromt</v>
      </c>
      <c r="AF16" s="17" t="str">
        <f t="shared" si="11"/>
        <v>702x L</v>
      </c>
      <c r="AG16" s="17" t="str">
        <f t="shared" si="11"/>
        <v>702x L</v>
      </c>
      <c r="AH16" s="17" t="str">
        <f t="shared" si="11"/>
        <v>702x L</v>
      </c>
      <c r="AU16" s="17" t="str">
        <f t="shared" si="12"/>
        <v>C</v>
      </c>
      <c r="AV16" s="17" t="str">
        <f t="shared" si="13"/>
        <v>Verchromt</v>
      </c>
      <c r="AW16" s="17" t="str">
        <f t="shared" si="14"/>
        <v>C</v>
      </c>
      <c r="AX16" s="17" t="str">
        <f t="shared" si="15"/>
        <v>Verchromt</v>
      </c>
      <c r="AY16" s="17" t="str">
        <f t="shared" si="16"/>
        <v>C</v>
      </c>
      <c r="AZ16" s="17" t="str">
        <f t="shared" si="17"/>
        <v>Verchromt</v>
      </c>
    </row>
    <row r="17" spans="3:52" ht="22.5" customHeight="1" x14ac:dyDescent="0.3">
      <c r="C17" s="17">
        <f t="shared" si="8"/>
        <v>8115</v>
      </c>
      <c r="D17" s="17">
        <f t="shared" si="8"/>
        <v>8115</v>
      </c>
      <c r="E17" s="17">
        <f t="shared" si="8"/>
        <v>8115</v>
      </c>
      <c r="Z17" s="17" t="s">
        <v>84</v>
      </c>
      <c r="AA17" s="17" t="s">
        <v>661</v>
      </c>
      <c r="AB17" s="17" t="str">
        <f t="shared" si="9"/>
        <v>G</v>
      </c>
      <c r="AC17" s="17" t="str">
        <f t="shared" si="10"/>
        <v>Vergoldet</v>
      </c>
      <c r="AD17" s="17" t="str">
        <f t="shared" si="9"/>
        <v>G</v>
      </c>
      <c r="AE17" s="17" t="str">
        <f t="shared" si="10"/>
        <v>Vergoldet</v>
      </c>
      <c r="AF17" s="17" t="str">
        <f t="shared" si="11"/>
        <v>701x L</v>
      </c>
      <c r="AG17" s="17" t="str">
        <f t="shared" si="11"/>
        <v>701x L</v>
      </c>
      <c r="AH17" s="17" t="str">
        <f t="shared" si="11"/>
        <v>701x L</v>
      </c>
      <c r="AU17" s="17" t="str">
        <f t="shared" si="12"/>
        <v>G</v>
      </c>
      <c r="AV17" s="17" t="str">
        <f t="shared" si="13"/>
        <v>Vergoldet</v>
      </c>
      <c r="AW17" s="17" t="str">
        <f t="shared" si="14"/>
        <v>G</v>
      </c>
      <c r="AX17" s="17" t="str">
        <f t="shared" si="15"/>
        <v>Vergoldet</v>
      </c>
      <c r="AY17" s="17" t="str">
        <f t="shared" si="16"/>
        <v>G</v>
      </c>
      <c r="AZ17" s="17" t="str">
        <f t="shared" si="17"/>
        <v>Vergoldet</v>
      </c>
    </row>
    <row r="18" spans="3:52" ht="22.5" customHeight="1" x14ac:dyDescent="0.3">
      <c r="C18" s="17" t="str">
        <f t="shared" si="8"/>
        <v>8115V</v>
      </c>
      <c r="D18" s="17" t="str">
        <f t="shared" si="8"/>
        <v>8115V</v>
      </c>
      <c r="E18" s="17" t="str">
        <f t="shared" si="8"/>
        <v>8115V</v>
      </c>
      <c r="Z18" s="17" t="s">
        <v>407</v>
      </c>
      <c r="AA18" s="17" t="s">
        <v>662</v>
      </c>
      <c r="AB18" s="17" t="str">
        <f t="shared" si="9"/>
        <v>E</v>
      </c>
      <c r="AC18" s="17" t="str">
        <f t="shared" si="10"/>
        <v>Eloxiert</v>
      </c>
      <c r="AD18" s="17" t="str">
        <f t="shared" si="9"/>
        <v>E</v>
      </c>
      <c r="AE18" s="17" t="str">
        <f t="shared" si="10"/>
        <v>Eloxiert</v>
      </c>
      <c r="AF18" s="17">
        <f t="shared" si="11"/>
        <v>7601</v>
      </c>
      <c r="AG18" s="17">
        <f t="shared" si="11"/>
        <v>7601</v>
      </c>
      <c r="AH18" s="17">
        <f t="shared" si="11"/>
        <v>7601</v>
      </c>
      <c r="AU18" s="17" t="str">
        <f t="shared" si="12"/>
        <v>E</v>
      </c>
      <c r="AV18" s="17" t="str">
        <f t="shared" si="13"/>
        <v>Eloxiert</v>
      </c>
      <c r="AW18" s="17" t="str">
        <f t="shared" si="14"/>
        <v>E</v>
      </c>
      <c r="AX18" s="17" t="str">
        <f t="shared" si="15"/>
        <v>Eloxiert</v>
      </c>
      <c r="AY18" s="17" t="str">
        <f t="shared" si="16"/>
        <v>E</v>
      </c>
      <c r="AZ18" s="17" t="str">
        <f t="shared" si="17"/>
        <v>Eloxiert</v>
      </c>
    </row>
    <row r="19" spans="3:52" ht="22.5" customHeight="1" x14ac:dyDescent="0.3">
      <c r="C19" s="17">
        <f t="shared" si="8"/>
        <v>8116</v>
      </c>
      <c r="D19" s="17">
        <f t="shared" si="8"/>
        <v>8116</v>
      </c>
      <c r="E19" s="17">
        <f t="shared" si="8"/>
        <v>8116</v>
      </c>
      <c r="Z19" s="17" t="s">
        <v>61</v>
      </c>
      <c r="AA19" s="17" t="s">
        <v>663</v>
      </c>
      <c r="AB19" s="17" t="str">
        <f t="shared" si="9"/>
        <v>I</v>
      </c>
      <c r="AC19" s="17" t="str">
        <f t="shared" si="10"/>
        <v>Titanisiert</v>
      </c>
      <c r="AD19" s="17" t="str">
        <f t="shared" si="9"/>
        <v>I</v>
      </c>
      <c r="AE19" s="17" t="str">
        <f t="shared" si="10"/>
        <v>Titanisiert</v>
      </c>
      <c r="AF19" s="17" t="str">
        <f t="shared" si="11"/>
        <v>662x + 6679</v>
      </c>
      <c r="AG19" s="17" t="str">
        <f t="shared" si="11"/>
        <v>662x + 6679</v>
      </c>
      <c r="AH19" s="17" t="str">
        <f t="shared" si="11"/>
        <v>662x + 6679</v>
      </c>
      <c r="AU19" s="17" t="str">
        <f t="shared" si="12"/>
        <v>I</v>
      </c>
      <c r="AV19" s="17" t="str">
        <f t="shared" si="13"/>
        <v>Titanisiert</v>
      </c>
      <c r="AW19" s="17" t="str">
        <f t="shared" si="14"/>
        <v>I</v>
      </c>
      <c r="AX19" s="17" t="str">
        <f t="shared" si="15"/>
        <v>Titanisiert</v>
      </c>
      <c r="AY19" s="17" t="str">
        <f t="shared" si="16"/>
        <v>I</v>
      </c>
      <c r="AZ19" s="17" t="str">
        <f t="shared" si="17"/>
        <v>Titanisiert</v>
      </c>
    </row>
    <row r="20" spans="3:52" ht="22.5" customHeight="1" x14ac:dyDescent="0.3">
      <c r="C20" s="17" t="str">
        <f t="shared" si="8"/>
        <v>8116V</v>
      </c>
      <c r="D20" s="17" t="str">
        <f t="shared" si="8"/>
        <v>8116V</v>
      </c>
      <c r="E20" s="17" t="str">
        <f t="shared" si="8"/>
        <v>8116V</v>
      </c>
      <c r="Z20" s="17" t="s">
        <v>1002</v>
      </c>
      <c r="AA20" s="17" t="s">
        <v>1003</v>
      </c>
      <c r="AB20" s="17" t="str">
        <f t="shared" si="9"/>
        <v>X</v>
      </c>
      <c r="AC20" s="17" t="str">
        <f t="shared" si="10"/>
        <v>Sonderoberfläche</v>
      </c>
      <c r="AD20" s="17" t="str">
        <f t="shared" si="9"/>
        <v>X</v>
      </c>
      <c r="AE20" s="17" t="str">
        <f t="shared" si="10"/>
        <v>Sonderoberfläche</v>
      </c>
      <c r="AF20" s="17" t="str">
        <f t="shared" si="11"/>
        <v>661x + 6676</v>
      </c>
      <c r="AG20" s="17" t="str">
        <f t="shared" si="11"/>
        <v>661x + 6676</v>
      </c>
      <c r="AH20" s="17" t="str">
        <f t="shared" si="11"/>
        <v>661x + 6676</v>
      </c>
      <c r="AU20" s="17" t="str">
        <f t="shared" si="12"/>
        <v>X</v>
      </c>
      <c r="AV20" s="17" t="str">
        <f t="shared" si="13"/>
        <v>Sonderoberfläche</v>
      </c>
      <c r="AW20" s="17" t="str">
        <f t="shared" si="14"/>
        <v>X</v>
      </c>
      <c r="AX20" s="17" t="str">
        <f t="shared" si="15"/>
        <v>Sonderoberfläche</v>
      </c>
      <c r="AY20" s="17" t="str">
        <f t="shared" si="16"/>
        <v>X</v>
      </c>
      <c r="AZ20" s="17" t="str">
        <f t="shared" si="17"/>
        <v>Sonderoberfläche</v>
      </c>
    </row>
    <row r="21" spans="3:52" ht="22.5" customHeight="1" x14ac:dyDescent="0.3">
      <c r="C21" s="17">
        <f t="shared" si="8"/>
        <v>8130</v>
      </c>
      <c r="D21" s="17">
        <f t="shared" si="8"/>
        <v>8130</v>
      </c>
      <c r="E21" s="17">
        <f t="shared" si="8"/>
        <v>8130</v>
      </c>
      <c r="AF21" s="17" t="str">
        <f t="shared" si="11"/>
        <v>662x</v>
      </c>
      <c r="AG21" s="17" t="str">
        <f t="shared" si="11"/>
        <v>662x</v>
      </c>
      <c r="AH21" s="17" t="str">
        <f t="shared" si="11"/>
        <v>662x</v>
      </c>
    </row>
    <row r="22" spans="3:52" ht="22.5" customHeight="1" x14ac:dyDescent="0.3">
      <c r="C22" s="17">
        <f t="shared" si="8"/>
        <v>8140</v>
      </c>
      <c r="D22" s="17">
        <f t="shared" si="8"/>
        <v>8140</v>
      </c>
      <c r="E22" s="17">
        <f t="shared" si="8"/>
        <v>8140</v>
      </c>
      <c r="AF22" s="17" t="str">
        <f t="shared" si="11"/>
        <v>661x</v>
      </c>
      <c r="AG22" s="17" t="str">
        <f t="shared" si="11"/>
        <v>661x</v>
      </c>
      <c r="AH22" s="17" t="str">
        <f t="shared" si="11"/>
        <v>661x</v>
      </c>
    </row>
    <row r="23" spans="3:52" ht="22.5" customHeight="1" x14ac:dyDescent="0.3">
      <c r="C23" s="17" t="str">
        <f t="shared" si="8"/>
        <v>8140A</v>
      </c>
      <c r="D23" s="17" t="str">
        <f t="shared" si="8"/>
        <v>8140A</v>
      </c>
      <c r="E23" s="17" t="str">
        <f t="shared" si="8"/>
        <v>8140A</v>
      </c>
      <c r="AF23" s="17">
        <f t="shared" si="11"/>
        <v>6679</v>
      </c>
      <c r="AG23" s="17">
        <f t="shared" si="11"/>
        <v>6679</v>
      </c>
      <c r="AH23" s="17">
        <f t="shared" si="11"/>
        <v>6679</v>
      </c>
    </row>
    <row r="24" spans="3:52" ht="22.5" customHeight="1" x14ac:dyDescent="0.3">
      <c r="C24" s="17">
        <f t="shared" si="8"/>
        <v>8141</v>
      </c>
      <c r="D24" s="17">
        <f t="shared" si="8"/>
        <v>8141</v>
      </c>
      <c r="E24" s="17">
        <f t="shared" si="8"/>
        <v>8141</v>
      </c>
      <c r="AF24" s="17">
        <f t="shared" si="11"/>
        <v>6676</v>
      </c>
      <c r="AG24" s="17">
        <f t="shared" si="11"/>
        <v>6676</v>
      </c>
      <c r="AH24" s="17">
        <f t="shared" si="11"/>
        <v>6676</v>
      </c>
    </row>
    <row r="25" spans="3:52" ht="22.5" customHeight="1" x14ac:dyDescent="0.3">
      <c r="C25" s="17" t="str">
        <f t="shared" si="8"/>
        <v>8141A</v>
      </c>
      <c r="D25" s="17" t="str">
        <f t="shared" si="8"/>
        <v>8141A</v>
      </c>
      <c r="E25" s="17" t="str">
        <f t="shared" si="8"/>
        <v>8141A</v>
      </c>
      <c r="AF25" s="17" t="str">
        <f t="shared" si="11"/>
        <v>ZL 65xx Tchoban</v>
      </c>
      <c r="AG25" s="17" t="str">
        <f t="shared" si="11"/>
        <v>ZL 65xx Tchoban</v>
      </c>
      <c r="AH25" s="17" t="str">
        <f t="shared" si="11"/>
        <v>ZL 65xx Tchoban</v>
      </c>
    </row>
    <row r="26" spans="3:52" ht="22.5" customHeight="1" x14ac:dyDescent="0.3">
      <c r="C26" s="17">
        <f t="shared" si="8"/>
        <v>8155</v>
      </c>
      <c r="D26" s="17">
        <f t="shared" si="8"/>
        <v>8155</v>
      </c>
      <c r="E26" s="17">
        <f t="shared" si="8"/>
        <v>8155</v>
      </c>
      <c r="AF26" s="17" t="str">
        <f>INDEX(PRODUKTE,88+ROW()-ROW(AF$6),2)</f>
        <v>ZL 65xx Forstner</v>
      </c>
      <c r="AG26" s="17" t="str">
        <f>INDEX(PRODUKTE,88+ROW()-ROW(AG$6),2)</f>
        <v>ZL 65xx Forstner</v>
      </c>
      <c r="AH26" s="17" t="str">
        <f>INDEX(PRODUKTE,88+ROW()-ROW(AH$6),2)</f>
        <v>ZL 65xx Forstner</v>
      </c>
    </row>
    <row r="27" spans="3:52" ht="22.5" customHeight="1" x14ac:dyDescent="0.3">
      <c r="C27" s="17" t="str">
        <f t="shared" ref="C27:E46" si="18">INDEX(PRODUKTE,ROW()-ROW(C$6),2)</f>
        <v>8155V</v>
      </c>
      <c r="D27" s="17" t="str">
        <f t="shared" si="18"/>
        <v>8155V</v>
      </c>
      <c r="E27" s="17" t="str">
        <f t="shared" si="18"/>
        <v>8155V</v>
      </c>
    </row>
    <row r="28" spans="3:52" ht="22.5" customHeight="1" x14ac:dyDescent="0.3">
      <c r="C28" s="17">
        <f t="shared" si="18"/>
        <v>8156</v>
      </c>
      <c r="D28" s="17">
        <f t="shared" si="18"/>
        <v>8156</v>
      </c>
      <c r="E28" s="17">
        <f t="shared" si="18"/>
        <v>8156</v>
      </c>
    </row>
    <row r="29" spans="3:52" ht="22.5" customHeight="1" x14ac:dyDescent="0.3">
      <c r="C29" s="17" t="str">
        <f t="shared" si="18"/>
        <v>8200 Bitch/Neither/Teherani</v>
      </c>
      <c r="D29" s="17" t="str">
        <f t="shared" si="18"/>
        <v>8200 Bitch/Neither/Teherani</v>
      </c>
      <c r="E29" s="17" t="str">
        <f t="shared" si="18"/>
        <v>8200 Bitch/Neither/Teherani</v>
      </c>
    </row>
    <row r="30" spans="3:52" ht="22.5" customHeight="1" x14ac:dyDescent="0.3">
      <c r="C30" s="17">
        <f t="shared" si="18"/>
        <v>8350</v>
      </c>
      <c r="D30" s="17">
        <f t="shared" si="18"/>
        <v>8350</v>
      </c>
      <c r="E30" s="17">
        <f t="shared" si="18"/>
        <v>8350</v>
      </c>
    </row>
    <row r="31" spans="3:52" ht="22.5" customHeight="1" x14ac:dyDescent="0.3">
      <c r="C31" s="17" t="str">
        <f t="shared" si="18"/>
        <v>8350A</v>
      </c>
      <c r="D31" s="17" t="str">
        <f t="shared" si="18"/>
        <v>8350A</v>
      </c>
      <c r="E31" s="17" t="str">
        <f t="shared" si="18"/>
        <v>8350A</v>
      </c>
    </row>
    <row r="32" spans="3:52" ht="22.5" customHeight="1" x14ac:dyDescent="0.3">
      <c r="C32" s="17" t="str">
        <f t="shared" si="18"/>
        <v>8350V</v>
      </c>
      <c r="D32" s="17" t="str">
        <f t="shared" si="18"/>
        <v>8350V</v>
      </c>
      <c r="E32" s="17" t="str">
        <f t="shared" si="18"/>
        <v>8350V</v>
      </c>
    </row>
    <row r="33" spans="3:5" ht="22.5" customHeight="1" x14ac:dyDescent="0.3">
      <c r="C33" s="17">
        <f t="shared" si="18"/>
        <v>8353</v>
      </c>
      <c r="D33" s="17">
        <f t="shared" si="18"/>
        <v>8353</v>
      </c>
      <c r="E33" s="17">
        <f t="shared" si="18"/>
        <v>8353</v>
      </c>
    </row>
    <row r="34" spans="3:5" ht="22.5" customHeight="1" x14ac:dyDescent="0.3">
      <c r="C34" s="17">
        <f t="shared" si="18"/>
        <v>8354</v>
      </c>
      <c r="D34" s="17">
        <f t="shared" si="18"/>
        <v>8354</v>
      </c>
      <c r="E34" s="17">
        <f t="shared" si="18"/>
        <v>8354</v>
      </c>
    </row>
    <row r="35" spans="3:5" ht="22.5" customHeight="1" x14ac:dyDescent="0.3">
      <c r="C35" s="17">
        <f t="shared" si="18"/>
        <v>8437</v>
      </c>
      <c r="D35" s="17">
        <f t="shared" si="18"/>
        <v>8437</v>
      </c>
      <c r="E35" s="17">
        <f t="shared" si="18"/>
        <v>8437</v>
      </c>
    </row>
    <row r="36" spans="3:5" ht="22.5" customHeight="1" x14ac:dyDescent="0.3">
      <c r="C36" s="17">
        <f t="shared" si="18"/>
        <v>8527</v>
      </c>
      <c r="D36" s="17">
        <f t="shared" si="18"/>
        <v>8527</v>
      </c>
      <c r="E36" s="17">
        <f t="shared" si="18"/>
        <v>8527</v>
      </c>
    </row>
    <row r="37" spans="3:5" ht="22.5" customHeight="1" x14ac:dyDescent="0.3">
      <c r="C37" s="17" t="str">
        <f t="shared" si="18"/>
        <v>8527A</v>
      </c>
      <c r="D37" s="17" t="str">
        <f t="shared" si="18"/>
        <v>8527A</v>
      </c>
      <c r="E37" s="17" t="str">
        <f t="shared" si="18"/>
        <v>8527A</v>
      </c>
    </row>
    <row r="38" spans="3:5" ht="22.5" customHeight="1" x14ac:dyDescent="0.3">
      <c r="C38" s="17">
        <f t="shared" si="18"/>
        <v>8810</v>
      </c>
      <c r="D38" s="17">
        <f t="shared" si="18"/>
        <v>8810</v>
      </c>
      <c r="E38" s="17">
        <f t="shared" si="18"/>
        <v>8810</v>
      </c>
    </row>
    <row r="39" spans="3:5" ht="22.5" customHeight="1" x14ac:dyDescent="0.3">
      <c r="C39" s="17">
        <f t="shared" si="18"/>
        <v>8811</v>
      </c>
      <c r="D39" s="17">
        <f t="shared" si="18"/>
        <v>8811</v>
      </c>
      <c r="E39" s="17">
        <f t="shared" si="18"/>
        <v>8811</v>
      </c>
    </row>
    <row r="40" spans="3:5" ht="22.5" customHeight="1" x14ac:dyDescent="0.3">
      <c r="C40" s="17">
        <f t="shared" si="18"/>
        <v>8815</v>
      </c>
      <c r="D40" s="17">
        <f t="shared" si="18"/>
        <v>8815</v>
      </c>
      <c r="E40" s="17">
        <f t="shared" si="18"/>
        <v>8815</v>
      </c>
    </row>
    <row r="41" spans="3:5" ht="22.5" customHeight="1" x14ac:dyDescent="0.3">
      <c r="C41" s="17">
        <f t="shared" si="18"/>
        <v>8825</v>
      </c>
      <c r="D41" s="17">
        <f t="shared" si="18"/>
        <v>8825</v>
      </c>
      <c r="E41" s="17">
        <f t="shared" si="18"/>
        <v>8825</v>
      </c>
    </row>
    <row r="42" spans="3:5" ht="22.5" customHeight="1" x14ac:dyDescent="0.3">
      <c r="C42" s="17">
        <f t="shared" si="18"/>
        <v>8826</v>
      </c>
      <c r="D42" s="17">
        <f t="shared" si="18"/>
        <v>8826</v>
      </c>
      <c r="E42" s="17">
        <f t="shared" si="18"/>
        <v>8826</v>
      </c>
    </row>
    <row r="43" spans="3:5" ht="22.5" customHeight="1" x14ac:dyDescent="0.3">
      <c r="C43" s="17" t="str">
        <f t="shared" si="18"/>
        <v>8830 Sieger</v>
      </c>
      <c r="D43" s="17" t="str">
        <f t="shared" si="18"/>
        <v>8830 Sieger</v>
      </c>
      <c r="E43" s="17" t="str">
        <f t="shared" si="18"/>
        <v>8830 Sieger</v>
      </c>
    </row>
    <row r="44" spans="3:5" ht="22.5" customHeight="1" x14ac:dyDescent="0.3">
      <c r="C44" s="17" t="str">
        <f t="shared" si="18"/>
        <v>8830A Sieger</v>
      </c>
      <c r="D44" s="17" t="str">
        <f t="shared" si="18"/>
        <v>8830A Sieger</v>
      </c>
      <c r="E44" s="17" t="str">
        <f t="shared" si="18"/>
        <v>8830A Sieger</v>
      </c>
    </row>
    <row r="45" spans="3:5" ht="22.5" customHeight="1" x14ac:dyDescent="0.3">
      <c r="C45" s="17">
        <f t="shared" si="18"/>
        <v>8860</v>
      </c>
      <c r="D45" s="17">
        <f t="shared" si="18"/>
        <v>8860</v>
      </c>
      <c r="E45" s="17">
        <f t="shared" si="18"/>
        <v>8860</v>
      </c>
    </row>
    <row r="46" spans="3:5" ht="22.5" customHeight="1" x14ac:dyDescent="0.3">
      <c r="C46" s="17">
        <f t="shared" si="18"/>
        <v>8870</v>
      </c>
      <c r="D46" s="17">
        <f t="shared" si="18"/>
        <v>8870</v>
      </c>
      <c r="E46" s="17">
        <f t="shared" si="18"/>
        <v>8870</v>
      </c>
    </row>
    <row r="47" spans="3:5" ht="22.5" customHeight="1" x14ac:dyDescent="0.3">
      <c r="C47" s="17">
        <f t="shared" ref="C47:E66" si="19">INDEX(PRODUKTE,ROW()-ROW(C$6),2)</f>
        <v>8871</v>
      </c>
      <c r="D47" s="17">
        <f t="shared" si="19"/>
        <v>8871</v>
      </c>
      <c r="E47" s="17">
        <f t="shared" si="19"/>
        <v>8871</v>
      </c>
    </row>
    <row r="48" spans="3:5" ht="22.5" customHeight="1" x14ac:dyDescent="0.3">
      <c r="C48" s="17" t="str">
        <f t="shared" si="19"/>
        <v>8871V</v>
      </c>
      <c r="D48" s="17" t="str">
        <f t="shared" si="19"/>
        <v>8871V</v>
      </c>
      <c r="E48" s="17" t="str">
        <f t="shared" si="19"/>
        <v>8871V</v>
      </c>
    </row>
    <row r="49" spans="3:5" ht="22.5" customHeight="1" x14ac:dyDescent="0.3">
      <c r="C49" s="17" t="str">
        <f t="shared" si="19"/>
        <v>8880 Kister</v>
      </c>
      <c r="D49" s="17" t="str">
        <f t="shared" si="19"/>
        <v>8880 Kister</v>
      </c>
      <c r="E49" s="17" t="str">
        <f t="shared" si="19"/>
        <v>8880 Kister</v>
      </c>
    </row>
    <row r="50" spans="3:5" ht="22.5" customHeight="1" x14ac:dyDescent="0.3">
      <c r="C50" s="17" t="str">
        <f t="shared" si="19"/>
        <v>8890 Welter</v>
      </c>
      <c r="D50" s="17" t="str">
        <f t="shared" si="19"/>
        <v>8890 Welter</v>
      </c>
      <c r="E50" s="17" t="str">
        <f t="shared" si="19"/>
        <v>8890 Welter</v>
      </c>
    </row>
    <row r="51" spans="3:5" ht="22.5" customHeight="1" x14ac:dyDescent="0.3">
      <c r="C51" s="17">
        <f t="shared" si="19"/>
        <v>8906</v>
      </c>
      <c r="D51" s="17">
        <f t="shared" si="19"/>
        <v>8906</v>
      </c>
      <c r="E51" s="17">
        <f t="shared" si="19"/>
        <v>8906</v>
      </c>
    </row>
    <row r="52" spans="3:5" ht="22.5" customHeight="1" x14ac:dyDescent="0.3">
      <c r="C52" s="17" t="str">
        <f t="shared" si="19"/>
        <v>8906A</v>
      </c>
      <c r="D52" s="17" t="str">
        <f t="shared" si="19"/>
        <v>8906A</v>
      </c>
      <c r="E52" s="17" t="str">
        <f t="shared" si="19"/>
        <v>8906A</v>
      </c>
    </row>
    <row r="53" spans="3:5" ht="22.5" customHeight="1" x14ac:dyDescent="0.3">
      <c r="C53" s="17" t="str">
        <f t="shared" si="19"/>
        <v>8906V</v>
      </c>
      <c r="D53" s="17" t="str">
        <f t="shared" si="19"/>
        <v>8906V</v>
      </c>
      <c r="E53" s="17" t="str">
        <f t="shared" si="19"/>
        <v>8906V</v>
      </c>
    </row>
    <row r="54" spans="3:5" ht="22.5" customHeight="1" x14ac:dyDescent="0.3">
      <c r="C54" s="17">
        <f t="shared" si="19"/>
        <v>8907</v>
      </c>
      <c r="D54" s="17">
        <f t="shared" si="19"/>
        <v>8907</v>
      </c>
      <c r="E54" s="17">
        <f t="shared" si="19"/>
        <v>8907</v>
      </c>
    </row>
    <row r="55" spans="3:5" ht="22.5" customHeight="1" x14ac:dyDescent="0.3">
      <c r="C55" s="17" t="str">
        <f t="shared" si="19"/>
        <v>8907A</v>
      </c>
      <c r="D55" s="17" t="str">
        <f t="shared" si="19"/>
        <v>8907A</v>
      </c>
      <c r="E55" s="17" t="str">
        <f t="shared" si="19"/>
        <v>8907A</v>
      </c>
    </row>
    <row r="56" spans="3:5" ht="22.5" customHeight="1" x14ac:dyDescent="0.3">
      <c r="C56" s="17" t="str">
        <f t="shared" si="19"/>
        <v>8907V</v>
      </c>
      <c r="D56" s="17" t="str">
        <f t="shared" si="19"/>
        <v>8907V</v>
      </c>
      <c r="E56" s="17" t="str">
        <f t="shared" si="19"/>
        <v>8907V</v>
      </c>
    </row>
    <row r="57" spans="3:5" ht="22.5" customHeight="1" x14ac:dyDescent="0.3">
      <c r="C57" s="17">
        <f t="shared" si="19"/>
        <v>8910</v>
      </c>
      <c r="D57" s="17">
        <f t="shared" si="19"/>
        <v>8910</v>
      </c>
      <c r="E57" s="17">
        <f t="shared" si="19"/>
        <v>8910</v>
      </c>
    </row>
    <row r="58" spans="3:5" ht="22.5" customHeight="1" x14ac:dyDescent="0.3">
      <c r="C58" s="17" t="str">
        <f t="shared" si="19"/>
        <v>8915 Kleihues</v>
      </c>
      <c r="D58" s="17" t="str">
        <f t="shared" si="19"/>
        <v>8915 Kleihues</v>
      </c>
      <c r="E58" s="17" t="str">
        <f t="shared" si="19"/>
        <v>8915 Kleihues</v>
      </c>
    </row>
    <row r="59" spans="3:5" ht="22.5" customHeight="1" x14ac:dyDescent="0.3">
      <c r="C59" s="17" t="str">
        <f t="shared" si="19"/>
        <v>8916 Kleihues</v>
      </c>
      <c r="D59" s="17" t="str">
        <f t="shared" si="19"/>
        <v>8916 Kleihues</v>
      </c>
      <c r="E59" s="17" t="str">
        <f t="shared" si="19"/>
        <v>8916 Kleihues</v>
      </c>
    </row>
    <row r="60" spans="3:5" ht="22.5" customHeight="1" x14ac:dyDescent="0.3">
      <c r="C60" s="17" t="str">
        <f t="shared" si="19"/>
        <v>8916A Kleihues</v>
      </c>
      <c r="D60" s="17" t="str">
        <f t="shared" si="19"/>
        <v>8916A Kleihues</v>
      </c>
      <c r="E60" s="17" t="str">
        <f t="shared" si="19"/>
        <v>8916A Kleihues</v>
      </c>
    </row>
    <row r="61" spans="3:5" ht="22.5" customHeight="1" x14ac:dyDescent="0.3">
      <c r="C61" s="17" t="str">
        <f t="shared" si="19"/>
        <v>8920 Tchoban</v>
      </c>
      <c r="D61" s="17" t="str">
        <f t="shared" si="19"/>
        <v>8920 Tchoban</v>
      </c>
      <c r="E61" s="17" t="str">
        <f t="shared" si="19"/>
        <v>8920 Tchoban</v>
      </c>
    </row>
    <row r="62" spans="3:5" ht="22.5" customHeight="1" x14ac:dyDescent="0.3">
      <c r="C62" s="17" t="str">
        <f t="shared" si="19"/>
        <v>8928 Wagenfeld</v>
      </c>
      <c r="D62" s="17" t="str">
        <f t="shared" si="19"/>
        <v>8928 Wagenfeld</v>
      </c>
      <c r="E62" s="17" t="str">
        <f t="shared" si="19"/>
        <v>8928 Wagenfeld</v>
      </c>
    </row>
    <row r="63" spans="3:5" ht="22.5" customHeight="1" x14ac:dyDescent="0.3">
      <c r="C63" s="17" t="str">
        <f t="shared" si="19"/>
        <v>8928A Wagenfeld</v>
      </c>
      <c r="D63" s="17" t="str">
        <f t="shared" si="19"/>
        <v>8928A Wagenfeld</v>
      </c>
      <c r="E63" s="17" t="str">
        <f t="shared" si="19"/>
        <v>8928A Wagenfeld</v>
      </c>
    </row>
    <row r="64" spans="3:5" ht="22.5" customHeight="1" x14ac:dyDescent="0.3">
      <c r="C64" s="17">
        <f t="shared" si="19"/>
        <v>8940</v>
      </c>
      <c r="D64" s="17">
        <f t="shared" si="19"/>
        <v>8940</v>
      </c>
      <c r="E64" s="17">
        <f t="shared" si="19"/>
        <v>8940</v>
      </c>
    </row>
    <row r="65" spans="3:5" ht="22.5" customHeight="1" x14ac:dyDescent="0.3">
      <c r="C65" s="17" t="str">
        <f t="shared" si="19"/>
        <v>8940A</v>
      </c>
      <c r="D65" s="17" t="str">
        <f t="shared" si="19"/>
        <v>8940A</v>
      </c>
      <c r="E65" s="17" t="str">
        <f t="shared" si="19"/>
        <v>8940A</v>
      </c>
    </row>
    <row r="66" spans="3:5" ht="22.5" customHeight="1" x14ac:dyDescent="0.3">
      <c r="C66" s="17" t="str">
        <f t="shared" si="19"/>
        <v>8960 Forstner</v>
      </c>
      <c r="D66" s="17" t="str">
        <f t="shared" si="19"/>
        <v>8960 Forstner</v>
      </c>
      <c r="E66" s="17" t="str">
        <f t="shared" si="19"/>
        <v>8960 Forstner</v>
      </c>
    </row>
    <row r="67" spans="3:5" ht="22.5" customHeight="1" x14ac:dyDescent="0.3">
      <c r="C67" s="17" t="str">
        <f t="shared" ref="C67:E86" si="20">INDEX(PRODUKTE,ROW()-ROW(C$6),2)</f>
        <v>8962 Braun Feldweg</v>
      </c>
      <c r="D67" s="17" t="str">
        <f t="shared" si="20"/>
        <v>8962 Braun Feldweg</v>
      </c>
      <c r="E67" s="17" t="str">
        <f t="shared" si="20"/>
        <v>8962 Braun Feldweg</v>
      </c>
    </row>
    <row r="68" spans="3:5" ht="22.5" customHeight="1" x14ac:dyDescent="0.3">
      <c r="C68" s="17">
        <f t="shared" si="20"/>
        <v>8968</v>
      </c>
      <c r="D68" s="17">
        <f t="shared" si="20"/>
        <v>8968</v>
      </c>
      <c r="E68" s="17">
        <f t="shared" si="20"/>
        <v>8968</v>
      </c>
    </row>
    <row r="69" spans="3:5" ht="22.5" customHeight="1" x14ac:dyDescent="0.3">
      <c r="C69" s="17" t="str">
        <f t="shared" si="20"/>
        <v>8972 Wagenfeld</v>
      </c>
      <c r="D69" s="17" t="str">
        <f t="shared" si="20"/>
        <v>8972 Wagenfeld</v>
      </c>
      <c r="E69" s="17" t="str">
        <f t="shared" si="20"/>
        <v>8972 Wagenfeld</v>
      </c>
    </row>
    <row r="70" spans="3:5" ht="22.5" customHeight="1" x14ac:dyDescent="0.3">
      <c r="C70" s="17" t="str">
        <f t="shared" si="20"/>
        <v>8972A Wagenfeld</v>
      </c>
      <c r="D70" s="17" t="str">
        <f t="shared" si="20"/>
        <v>8972A Wagenfeld</v>
      </c>
      <c r="E70" s="17" t="str">
        <f t="shared" si="20"/>
        <v>8972A Wagenfeld</v>
      </c>
    </row>
    <row r="71" spans="3:5" ht="22.5" customHeight="1" x14ac:dyDescent="0.3">
      <c r="C71" s="17" t="str">
        <f t="shared" si="20"/>
        <v>8974 Wagenfeld</v>
      </c>
      <c r="D71" s="17" t="str">
        <f t="shared" si="20"/>
        <v>8974 Wagenfeld</v>
      </c>
      <c r="E71" s="17" t="str">
        <f t="shared" si="20"/>
        <v>8974 Wagenfeld</v>
      </c>
    </row>
    <row r="72" spans="3:5" ht="22.5" customHeight="1" x14ac:dyDescent="0.3">
      <c r="C72" s="17" t="str">
        <f t="shared" si="20"/>
        <v>8990 Botti</v>
      </c>
      <c r="D72" s="17" t="str">
        <f t="shared" si="20"/>
        <v>8990 Botti</v>
      </c>
      <c r="E72" s="17" t="str">
        <f t="shared" si="20"/>
        <v>8990 Botti</v>
      </c>
    </row>
    <row r="73" spans="3:5" ht="22.5" customHeight="1" x14ac:dyDescent="0.3">
      <c r="C73" s="17" t="str">
        <f t="shared" si="20"/>
        <v>8991 Botti</v>
      </c>
      <c r="D73" s="17" t="str">
        <f t="shared" si="20"/>
        <v>8991 Botti</v>
      </c>
      <c r="E73" s="17" t="str">
        <f t="shared" si="20"/>
        <v>8991 Botti</v>
      </c>
    </row>
    <row r="74" spans="3:5" ht="22.5" customHeight="1" x14ac:dyDescent="0.3">
      <c r="C74" s="17" t="str">
        <f t="shared" si="20"/>
        <v>8991A Botti</v>
      </c>
      <c r="D74" s="17" t="str">
        <f t="shared" si="20"/>
        <v>8991A Botti</v>
      </c>
      <c r="E74" s="17" t="str">
        <f t="shared" si="20"/>
        <v>8991A Botti</v>
      </c>
    </row>
    <row r="75" spans="3:5" ht="22.5" customHeight="1" x14ac:dyDescent="0.3">
      <c r="C75" s="17">
        <f t="shared" si="20"/>
        <v>8998</v>
      </c>
      <c r="D75" s="17">
        <f t="shared" si="20"/>
        <v>8998</v>
      </c>
      <c r="E75" s="17">
        <f t="shared" si="20"/>
        <v>8998</v>
      </c>
    </row>
    <row r="76" spans="3:5" ht="22.5" customHeight="1" x14ac:dyDescent="0.3">
      <c r="C76" s="17" t="str">
        <f t="shared" si="20"/>
        <v>8998A</v>
      </c>
      <c r="D76" s="17" t="str">
        <f t="shared" si="20"/>
        <v>8998A</v>
      </c>
      <c r="E76" s="17" t="str">
        <f t="shared" si="20"/>
        <v>8998A</v>
      </c>
    </row>
    <row r="77" spans="3:5" ht="22.5" customHeight="1" x14ac:dyDescent="0.3">
      <c r="C77" s="17">
        <f t="shared" si="20"/>
        <v>8999</v>
      </c>
      <c r="D77" s="17">
        <f t="shared" si="20"/>
        <v>8999</v>
      </c>
      <c r="E77" s="17">
        <f t="shared" si="20"/>
        <v>8999</v>
      </c>
    </row>
    <row r="78" spans="3:5" ht="22.5" customHeight="1" x14ac:dyDescent="0.3">
      <c r="C78" s="17" t="str">
        <f t="shared" si="20"/>
        <v>8999A</v>
      </c>
      <c r="D78" s="17" t="str">
        <f t="shared" si="20"/>
        <v>8999A</v>
      </c>
      <c r="E78" s="17" t="str">
        <f t="shared" si="20"/>
        <v>8999A</v>
      </c>
    </row>
    <row r="79" spans="3:5" ht="22.5" customHeight="1" x14ac:dyDescent="0.3">
      <c r="C79" s="17">
        <f t="shared" si="20"/>
        <v>8020</v>
      </c>
      <c r="D79" s="17">
        <f t="shared" si="20"/>
        <v>8020</v>
      </c>
      <c r="E79" s="17">
        <f t="shared" si="20"/>
        <v>8020</v>
      </c>
    </row>
    <row r="80" spans="3:5" ht="22.5" customHeight="1" x14ac:dyDescent="0.3">
      <c r="C80" s="17" t="str">
        <f t="shared" si="20"/>
        <v>8020A</v>
      </c>
      <c r="D80" s="17" t="str">
        <f t="shared" si="20"/>
        <v>8020A</v>
      </c>
      <c r="E80" s="17" t="str">
        <f t="shared" si="20"/>
        <v>8020A</v>
      </c>
    </row>
    <row r="81" spans="3:5" ht="22.5" customHeight="1" x14ac:dyDescent="0.3">
      <c r="C81" s="17">
        <f t="shared" si="20"/>
        <v>8025</v>
      </c>
      <c r="D81" s="17">
        <f t="shared" si="20"/>
        <v>8025</v>
      </c>
      <c r="E81" s="17">
        <f t="shared" si="20"/>
        <v>8025</v>
      </c>
    </row>
    <row r="82" spans="3:5" ht="22.5" customHeight="1" x14ac:dyDescent="0.3">
      <c r="C82" s="17" t="str">
        <f t="shared" si="20"/>
        <v>8025V</v>
      </c>
      <c r="D82" s="17" t="str">
        <f t="shared" si="20"/>
        <v>8025V</v>
      </c>
      <c r="E82" s="17" t="str">
        <f t="shared" si="20"/>
        <v>8025V</v>
      </c>
    </row>
    <row r="83" spans="3:5" ht="22.5" customHeight="1" x14ac:dyDescent="0.3">
      <c r="C83" s="17">
        <f t="shared" si="20"/>
        <v>8030</v>
      </c>
      <c r="D83" s="17">
        <f t="shared" si="20"/>
        <v>8030</v>
      </c>
      <c r="E83" s="17">
        <f t="shared" si="20"/>
        <v>8030</v>
      </c>
    </row>
    <row r="84" spans="3:5" ht="22.5" customHeight="1" x14ac:dyDescent="0.3">
      <c r="C84" s="17" t="str">
        <f t="shared" si="20"/>
        <v>8030V</v>
      </c>
      <c r="D84" s="17" t="str">
        <f t="shared" si="20"/>
        <v>8030V</v>
      </c>
      <c r="E84" s="17" t="str">
        <f t="shared" si="20"/>
        <v>8030V</v>
      </c>
    </row>
    <row r="85" spans="3:5" ht="22.5" customHeight="1" x14ac:dyDescent="0.3">
      <c r="C85" s="17">
        <f t="shared" si="20"/>
        <v>8548</v>
      </c>
      <c r="D85" s="17">
        <f t="shared" si="20"/>
        <v>8548</v>
      </c>
      <c r="E85" s="17">
        <f t="shared" si="20"/>
        <v>8548</v>
      </c>
    </row>
    <row r="86" spans="3:5" ht="22.5" customHeight="1" x14ac:dyDescent="0.3">
      <c r="C86" s="17" t="str">
        <f t="shared" si="20"/>
        <v>8548V</v>
      </c>
      <c r="D86" s="17" t="str">
        <f t="shared" si="20"/>
        <v>8548V</v>
      </c>
      <c r="E86" s="17" t="str">
        <f t="shared" si="20"/>
        <v>8548V</v>
      </c>
    </row>
    <row r="87" spans="3:5" ht="22.5" customHeight="1" x14ac:dyDescent="0.3">
      <c r="C87" s="17">
        <f t="shared" ref="C87:E94" si="21">INDEX(PRODUKTE,ROW()-ROW(C$6),2)</f>
        <v>3020</v>
      </c>
      <c r="D87" s="17">
        <f t="shared" si="21"/>
        <v>3020</v>
      </c>
      <c r="E87" s="17">
        <f t="shared" si="21"/>
        <v>3020</v>
      </c>
    </row>
    <row r="88" spans="3:5" ht="22.5" customHeight="1" x14ac:dyDescent="0.3">
      <c r="C88" s="17" t="str">
        <f t="shared" si="21"/>
        <v>3020A</v>
      </c>
      <c r="D88" s="17" t="str">
        <f t="shared" si="21"/>
        <v>3020A</v>
      </c>
      <c r="E88" s="17" t="str">
        <f t="shared" si="21"/>
        <v>3020A</v>
      </c>
    </row>
    <row r="89" spans="3:5" ht="22.5" customHeight="1" x14ac:dyDescent="0.3">
      <c r="C89" s="17">
        <f t="shared" si="21"/>
        <v>3025</v>
      </c>
      <c r="D89" s="17">
        <f t="shared" si="21"/>
        <v>3025</v>
      </c>
      <c r="E89" s="17">
        <f t="shared" si="21"/>
        <v>3025</v>
      </c>
    </row>
    <row r="90" spans="3:5" ht="22.5" customHeight="1" x14ac:dyDescent="0.3">
      <c r="C90" s="17" t="str">
        <f t="shared" si="21"/>
        <v>3025V</v>
      </c>
      <c r="D90" s="17" t="str">
        <f t="shared" si="21"/>
        <v>3025V</v>
      </c>
      <c r="E90" s="17" t="str">
        <f t="shared" si="21"/>
        <v>3025V</v>
      </c>
    </row>
    <row r="91" spans="3:5" ht="22.5" customHeight="1" x14ac:dyDescent="0.3">
      <c r="C91" s="17">
        <f t="shared" si="21"/>
        <v>3030</v>
      </c>
      <c r="D91" s="17">
        <f t="shared" si="21"/>
        <v>3030</v>
      </c>
      <c r="E91" s="17">
        <f t="shared" si="21"/>
        <v>3030</v>
      </c>
    </row>
    <row r="92" spans="3:5" ht="22.5" customHeight="1" x14ac:dyDescent="0.3">
      <c r="C92" s="17" t="str">
        <f t="shared" si="21"/>
        <v>3030V</v>
      </c>
      <c r="D92" s="17" t="str">
        <f t="shared" si="21"/>
        <v>3030V</v>
      </c>
      <c r="E92" s="17" t="str">
        <f t="shared" si="21"/>
        <v>3030V</v>
      </c>
    </row>
    <row r="93" spans="3:5" ht="22.5" customHeight="1" x14ac:dyDescent="0.3">
      <c r="C93" s="17">
        <f t="shared" si="21"/>
        <v>3548</v>
      </c>
      <c r="D93" s="17">
        <f t="shared" si="21"/>
        <v>3548</v>
      </c>
      <c r="E93" s="17">
        <f t="shared" si="21"/>
        <v>3548</v>
      </c>
    </row>
    <row r="94" spans="3:5" ht="22.5" customHeight="1" x14ac:dyDescent="0.3">
      <c r="C94" s="17" t="str">
        <f t="shared" si="21"/>
        <v>3548V</v>
      </c>
      <c r="D94" s="17" t="str">
        <f t="shared" si="21"/>
        <v>3548V</v>
      </c>
      <c r="E94" s="17" t="str">
        <f t="shared" si="21"/>
        <v>3548V</v>
      </c>
    </row>
    <row r="95" spans="3:5" ht="22.5" customHeight="1" x14ac:dyDescent="0.3"/>
    <row r="96" spans="3:5" ht="22.5" customHeight="1" thickBot="1" x14ac:dyDescent="0.35"/>
    <row r="97" spans="2:102" ht="14.4" thickTop="1" x14ac:dyDescent="0.3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7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92"/>
  <sheetViews>
    <sheetView zoomScale="110" zoomScaleNormal="110" workbookViewId="0">
      <selection sqref="A1:XFD1048576"/>
    </sheetView>
  </sheetViews>
  <sheetFormatPr baseColWidth="10" defaultRowHeight="14.4" x14ac:dyDescent="0.3"/>
  <cols>
    <col min="1" max="1" width="14.33203125" customWidth="1"/>
    <col min="2" max="2" width="8.33203125" style="251" customWidth="1"/>
    <col min="3" max="4" width="38.109375" customWidth="1"/>
  </cols>
  <sheetData>
    <row r="1" spans="1:5" s="264" customFormat="1" ht="25.8" x14ac:dyDescent="0.5">
      <c r="A1" s="265" t="s">
        <v>917</v>
      </c>
      <c r="B1" s="267"/>
      <c r="C1" s="264" t="s">
        <v>916</v>
      </c>
    </row>
    <row r="2" spans="1:5" s="264" customFormat="1" x14ac:dyDescent="0.3">
      <c r="B2" s="267"/>
      <c r="C2" s="280" t="s">
        <v>927</v>
      </c>
      <c r="D2" s="280" t="s">
        <v>1143</v>
      </c>
    </row>
    <row r="3" spans="1:5" s="268" customFormat="1" x14ac:dyDescent="0.3">
      <c r="A3" s="277" t="s">
        <v>925</v>
      </c>
      <c r="B3" s="278" t="s">
        <v>926</v>
      </c>
      <c r="C3" s="279">
        <v>1</v>
      </c>
      <c r="D3" s="279">
        <v>4</v>
      </c>
    </row>
    <row r="4" spans="1:5" s="269" customFormat="1" ht="15.6" x14ac:dyDescent="0.3">
      <c r="A4" s="271" t="str">
        <f>"! --- "&amp;INDEX(MLtextDivisions,1)</f>
        <v>! --- User Interface - UI_xxxFIELD text</v>
      </c>
      <c r="B4" s="270"/>
      <c r="E4" s="289" t="str">
        <f>IF(LEN($C4)-LEN(D4)&lt;0,TEXT(LEN(D4)/LEN($C4),"0 %")&amp;" ("&amp;LEN(D4)-LEN($C4)&amp;")","")</f>
        <v/>
      </c>
    </row>
    <row r="5" spans="1:5" s="269" customFormat="1" ht="15.6" x14ac:dyDescent="0.3">
      <c r="A5" s="271" t="s">
        <v>1154</v>
      </c>
      <c r="B5" s="270">
        <v>1</v>
      </c>
      <c r="C5" s="269" t="s">
        <v>1155</v>
      </c>
      <c r="D5" t="s">
        <v>1191</v>
      </c>
      <c r="E5" s="289" t="str">
        <f>IF(LEN($C5)-LEN(D5)&lt;0,TEXT(LEN(D5)/LEN($C5),"0 %")&amp;" ("&amp;LEN(D5)-LEN($C5)&amp;")","")</f>
        <v>108 % (1)</v>
      </c>
    </row>
    <row r="6" spans="1:5" s="269" customFormat="1" ht="15.6" x14ac:dyDescent="0.3">
      <c r="A6" s="271" t="s">
        <v>1154</v>
      </c>
      <c r="B6" s="270">
        <v>2</v>
      </c>
      <c r="C6" s="269" t="s">
        <v>1156</v>
      </c>
      <c r="D6" t="s">
        <v>1192</v>
      </c>
      <c r="E6" s="289" t="str">
        <f t="shared" ref="E6:E66" si="0">IF(LEN($C6)-LEN(D6)&lt;0,TEXT(LEN(D6)/LEN($C6),"0 %")&amp;" ("&amp;LEN(D6)-LEN($C6)&amp;")","")</f>
        <v>125 % (1)</v>
      </c>
    </row>
    <row r="7" spans="1:5" s="269" customFormat="1" ht="15.6" x14ac:dyDescent="0.3">
      <c r="A7" s="271" t="s">
        <v>1154</v>
      </c>
      <c r="B7" s="270">
        <v>3</v>
      </c>
      <c r="C7" s="269" t="s">
        <v>1157</v>
      </c>
      <c r="D7" s="290" t="s">
        <v>1157</v>
      </c>
      <c r="E7" s="289" t="str">
        <f t="shared" si="0"/>
        <v/>
      </c>
    </row>
    <row r="8" spans="1:5" s="269" customFormat="1" ht="15.6" x14ac:dyDescent="0.3">
      <c r="A8" s="271" t="s">
        <v>1154</v>
      </c>
      <c r="B8" s="270">
        <v>4</v>
      </c>
      <c r="C8" s="269" t="s">
        <v>1158</v>
      </c>
      <c r="D8" s="290" t="s">
        <v>1158</v>
      </c>
      <c r="E8" s="289" t="str">
        <f t="shared" si="0"/>
        <v/>
      </c>
    </row>
    <row r="9" spans="1:5" s="269" customFormat="1" ht="15.6" x14ac:dyDescent="0.3">
      <c r="A9" s="271" t="s">
        <v>1154</v>
      </c>
      <c r="B9" s="270">
        <v>5</v>
      </c>
      <c r="C9" s="269" t="s">
        <v>1159</v>
      </c>
      <c r="D9" s="290" t="s">
        <v>1159</v>
      </c>
      <c r="E9" s="289" t="str">
        <f t="shared" si="0"/>
        <v/>
      </c>
    </row>
    <row r="10" spans="1:5" s="269" customFormat="1" ht="15.6" x14ac:dyDescent="0.3">
      <c r="A10" s="271" t="s">
        <v>1154</v>
      </c>
      <c r="B10" s="270">
        <v>6</v>
      </c>
      <c r="C10" s="269" t="s">
        <v>627</v>
      </c>
      <c r="D10" s="290" t="s">
        <v>627</v>
      </c>
      <c r="E10" s="289" t="str">
        <f t="shared" si="0"/>
        <v/>
      </c>
    </row>
    <row r="11" spans="1:5" s="269" customFormat="1" ht="15.6" x14ac:dyDescent="0.3">
      <c r="A11" s="271" t="s">
        <v>1154</v>
      </c>
      <c r="B11" s="270">
        <v>7</v>
      </c>
      <c r="C11" s="269" t="s">
        <v>623</v>
      </c>
      <c r="D11" s="290" t="s">
        <v>623</v>
      </c>
      <c r="E11" s="289" t="str">
        <f t="shared" si="0"/>
        <v/>
      </c>
    </row>
    <row r="12" spans="1:5" s="269" customFormat="1" ht="15.6" x14ac:dyDescent="0.3">
      <c r="A12" s="271" t="s">
        <v>1154</v>
      </c>
      <c r="B12" s="270">
        <v>8</v>
      </c>
      <c r="C12" s="269" t="s">
        <v>1160</v>
      </c>
      <c r="D12" s="290" t="s">
        <v>1160</v>
      </c>
      <c r="E12" s="289" t="str">
        <f t="shared" si="0"/>
        <v/>
      </c>
    </row>
    <row r="13" spans="1:5" s="269" customFormat="1" ht="15.6" x14ac:dyDescent="0.3">
      <c r="A13" s="271" t="s">
        <v>1154</v>
      </c>
      <c r="B13" s="270">
        <v>9</v>
      </c>
      <c r="C13" s="269" t="s">
        <v>1161</v>
      </c>
      <c r="D13" s="290" t="s">
        <v>1161</v>
      </c>
      <c r="E13" s="289" t="str">
        <f t="shared" si="0"/>
        <v/>
      </c>
    </row>
    <row r="14" spans="1:5" s="269" customFormat="1" ht="15.6" x14ac:dyDescent="0.3">
      <c r="A14" s="271" t="s">
        <v>1154</v>
      </c>
      <c r="B14" s="270">
        <v>10</v>
      </c>
      <c r="C14" s="269" t="s">
        <v>1162</v>
      </c>
      <c r="D14" s="290" t="s">
        <v>1162</v>
      </c>
      <c r="E14" s="289" t="str">
        <f t="shared" si="0"/>
        <v/>
      </c>
    </row>
    <row r="15" spans="1:5" s="269" customFormat="1" ht="15.6" x14ac:dyDescent="0.3">
      <c r="A15" s="271" t="s">
        <v>1154</v>
      </c>
      <c r="B15" s="270">
        <v>11</v>
      </c>
      <c r="C15" s="269" t="s">
        <v>1163</v>
      </c>
      <c r="D15" s="290" t="s">
        <v>1163</v>
      </c>
      <c r="E15" s="289" t="str">
        <f t="shared" si="0"/>
        <v/>
      </c>
    </row>
    <row r="16" spans="1:5" s="269" customFormat="1" ht="15.6" x14ac:dyDescent="0.3">
      <c r="A16" s="271" t="s">
        <v>1154</v>
      </c>
      <c r="B16" s="270">
        <v>12</v>
      </c>
      <c r="C16" s="269" t="s">
        <v>1163</v>
      </c>
      <c r="D16" s="290" t="s">
        <v>1163</v>
      </c>
      <c r="E16" s="289" t="str">
        <f t="shared" si="0"/>
        <v/>
      </c>
    </row>
    <row r="17" spans="1:5" s="269" customFormat="1" ht="15.6" x14ac:dyDescent="0.3">
      <c r="A17" s="271" t="s">
        <v>1154</v>
      </c>
      <c r="B17" s="270">
        <v>13</v>
      </c>
      <c r="C17" s="269" t="s">
        <v>1164</v>
      </c>
      <c r="D17" s="290" t="s">
        <v>1164</v>
      </c>
      <c r="E17" s="289" t="str">
        <f t="shared" si="0"/>
        <v/>
      </c>
    </row>
    <row r="18" spans="1:5" s="269" customFormat="1" ht="15.6" x14ac:dyDescent="0.3">
      <c r="A18" s="271" t="s">
        <v>1154</v>
      </c>
      <c r="B18" s="270">
        <v>14</v>
      </c>
      <c r="C18" s="269" t="s">
        <v>1165</v>
      </c>
      <c r="D18" s="290" t="s">
        <v>1165</v>
      </c>
      <c r="E18" s="289" t="str">
        <f t="shared" si="0"/>
        <v/>
      </c>
    </row>
    <row r="19" spans="1:5" s="269" customFormat="1" ht="15.6" x14ac:dyDescent="0.3">
      <c r="A19" s="271" t="s">
        <v>1154</v>
      </c>
      <c r="B19" s="270">
        <v>15</v>
      </c>
      <c r="C19" s="269" t="s">
        <v>1166</v>
      </c>
      <c r="D19" s="290" t="s">
        <v>1166</v>
      </c>
      <c r="E19" s="289" t="str">
        <f t="shared" si="0"/>
        <v/>
      </c>
    </row>
    <row r="20" spans="1:5" s="269" customFormat="1" ht="15.6" x14ac:dyDescent="0.3">
      <c r="A20" s="271" t="s">
        <v>1154</v>
      </c>
      <c r="B20" s="270">
        <v>16</v>
      </c>
      <c r="C20" s="269" t="s">
        <v>1167</v>
      </c>
      <c r="D20" s="290" t="s">
        <v>1167</v>
      </c>
      <c r="E20" s="289" t="str">
        <f t="shared" si="0"/>
        <v/>
      </c>
    </row>
    <row r="21" spans="1:5" s="269" customFormat="1" ht="15.6" x14ac:dyDescent="0.3">
      <c r="A21" s="271" t="s">
        <v>1154</v>
      </c>
      <c r="B21" s="270">
        <v>17</v>
      </c>
      <c r="C21" s="269" t="s">
        <v>1168</v>
      </c>
      <c r="D21" s="290" t="s">
        <v>1168</v>
      </c>
      <c r="E21" s="289" t="str">
        <f t="shared" si="0"/>
        <v/>
      </c>
    </row>
    <row r="22" spans="1:5" s="269" customFormat="1" ht="15.6" x14ac:dyDescent="0.3">
      <c r="A22" s="271" t="s">
        <v>1154</v>
      </c>
      <c r="B22" s="270">
        <v>18</v>
      </c>
      <c r="C22" s="269" t="s">
        <v>1169</v>
      </c>
      <c r="D22" s="290" t="s">
        <v>1169</v>
      </c>
      <c r="E22" s="289" t="str">
        <f t="shared" si="0"/>
        <v/>
      </c>
    </row>
    <row r="23" spans="1:5" s="269" customFormat="1" ht="15.6" x14ac:dyDescent="0.3">
      <c r="A23" s="271" t="s">
        <v>1154</v>
      </c>
      <c r="B23" s="270">
        <v>19</v>
      </c>
      <c r="C23" s="269" t="s">
        <v>1170</v>
      </c>
      <c r="D23" s="290" t="s">
        <v>1170</v>
      </c>
      <c r="E23" s="289" t="str">
        <f t="shared" si="0"/>
        <v/>
      </c>
    </row>
    <row r="24" spans="1:5" s="269" customFormat="1" ht="15.6" x14ac:dyDescent="0.3">
      <c r="A24" s="271" t="s">
        <v>1154</v>
      </c>
      <c r="B24" s="270">
        <v>20</v>
      </c>
      <c r="C24" s="269" t="s">
        <v>1171</v>
      </c>
      <c r="D24" s="290" t="s">
        <v>1171</v>
      </c>
      <c r="E24" s="289" t="str">
        <f t="shared" si="0"/>
        <v/>
      </c>
    </row>
    <row r="25" spans="1:5" s="269" customFormat="1" ht="15.6" x14ac:dyDescent="0.3">
      <c r="A25" s="271" t="s">
        <v>1154</v>
      </c>
      <c r="B25" s="270">
        <v>21</v>
      </c>
      <c r="C25" s="269" t="s">
        <v>1172</v>
      </c>
      <c r="D25" s="290" t="s">
        <v>1172</v>
      </c>
      <c r="E25" s="289" t="str">
        <f t="shared" si="0"/>
        <v/>
      </c>
    </row>
    <row r="26" spans="1:5" s="269" customFormat="1" ht="15.6" x14ac:dyDescent="0.3">
      <c r="A26" s="271" t="s">
        <v>1154</v>
      </c>
      <c r="B26" s="270">
        <v>22</v>
      </c>
      <c r="C26" s="269" t="s">
        <v>1173</v>
      </c>
      <c r="D26" s="290" t="s">
        <v>1173</v>
      </c>
      <c r="E26" s="289" t="str">
        <f t="shared" si="0"/>
        <v/>
      </c>
    </row>
    <row r="27" spans="1:5" s="269" customFormat="1" ht="15.6" x14ac:dyDescent="0.3">
      <c r="A27" s="271" t="s">
        <v>1154</v>
      </c>
      <c r="B27" s="270">
        <v>23</v>
      </c>
      <c r="C27" s="269" t="s">
        <v>1174</v>
      </c>
      <c r="D27" s="290" t="s">
        <v>1174</v>
      </c>
      <c r="E27" s="289" t="str">
        <f t="shared" si="0"/>
        <v/>
      </c>
    </row>
    <row r="28" spans="1:5" s="269" customFormat="1" ht="15.6" x14ac:dyDescent="0.3">
      <c r="A28" s="271" t="s">
        <v>1154</v>
      </c>
      <c r="B28" s="270">
        <v>24</v>
      </c>
      <c r="C28" s="269" t="s">
        <v>1175</v>
      </c>
      <c r="D28" s="290" t="s">
        <v>1175</v>
      </c>
      <c r="E28" s="289" t="str">
        <f t="shared" si="0"/>
        <v/>
      </c>
    </row>
    <row r="29" spans="1:5" s="269" customFormat="1" ht="15.6" x14ac:dyDescent="0.3">
      <c r="A29" s="271" t="s">
        <v>1154</v>
      </c>
      <c r="B29" s="270">
        <v>25</v>
      </c>
      <c r="C29" s="269" t="s">
        <v>1176</v>
      </c>
      <c r="D29" s="290" t="s">
        <v>1176</v>
      </c>
      <c r="E29" s="289" t="str">
        <f t="shared" si="0"/>
        <v/>
      </c>
    </row>
    <row r="30" spans="1:5" s="269" customFormat="1" ht="15.6" x14ac:dyDescent="0.3">
      <c r="A30" s="271" t="s">
        <v>1154</v>
      </c>
      <c r="B30" s="270">
        <v>26</v>
      </c>
      <c r="C30" s="269" t="s">
        <v>1177</v>
      </c>
      <c r="D30" s="290" t="s">
        <v>1177</v>
      </c>
      <c r="E30" s="289" t="str">
        <f t="shared" si="0"/>
        <v/>
      </c>
    </row>
    <row r="31" spans="1:5" s="269" customFormat="1" ht="15.6" x14ac:dyDescent="0.3">
      <c r="A31" s="271" t="s">
        <v>1154</v>
      </c>
      <c r="B31" s="270">
        <v>27</v>
      </c>
      <c r="C31" s="269" t="s">
        <v>1178</v>
      </c>
      <c r="D31" s="290" t="s">
        <v>1178</v>
      </c>
      <c r="E31" s="289" t="str">
        <f t="shared" si="0"/>
        <v/>
      </c>
    </row>
    <row r="32" spans="1:5" s="269" customFormat="1" ht="15.6" x14ac:dyDescent="0.3">
      <c r="A32" s="271"/>
      <c r="B32" s="270"/>
      <c r="E32" s="289" t="str">
        <f t="shared" si="0"/>
        <v/>
      </c>
    </row>
    <row r="33" spans="1:5" ht="15.6" x14ac:dyDescent="0.3">
      <c r="A33" s="272" t="str">
        <f>"! --- "&amp;INDEX(MLtextDivisions,2)</f>
        <v>! --- User Interface - Tooltip text</v>
      </c>
      <c r="E33" s="289" t="str">
        <f t="shared" si="0"/>
        <v/>
      </c>
    </row>
    <row r="34" spans="1:5" s="275" customFormat="1" ht="15.6" x14ac:dyDescent="0.3">
      <c r="A34" s="273" t="s">
        <v>1179</v>
      </c>
      <c r="B34" s="274">
        <v>1</v>
      </c>
      <c r="C34" s="275" t="s">
        <v>559</v>
      </c>
      <c r="D34" s="290" t="s">
        <v>559</v>
      </c>
      <c r="E34" s="289" t="str">
        <f t="shared" si="0"/>
        <v/>
      </c>
    </row>
    <row r="35" spans="1:5" s="275" customFormat="1" ht="15.6" x14ac:dyDescent="0.3">
      <c r="A35" s="273" t="s">
        <v>1179</v>
      </c>
      <c r="B35" s="274">
        <v>2</v>
      </c>
      <c r="C35" s="275" t="s">
        <v>1180</v>
      </c>
      <c r="D35" s="290" t="s">
        <v>1180</v>
      </c>
      <c r="E35" s="289" t="str">
        <f t="shared" si="0"/>
        <v/>
      </c>
    </row>
    <row r="36" spans="1:5" s="275" customFormat="1" ht="15.6" x14ac:dyDescent="0.3">
      <c r="A36" s="273" t="s">
        <v>1179</v>
      </c>
      <c r="B36" s="274">
        <v>3</v>
      </c>
      <c r="C36" s="275" t="s">
        <v>538</v>
      </c>
      <c r="D36" s="290" t="s">
        <v>538</v>
      </c>
      <c r="E36" s="289" t="str">
        <f t="shared" si="0"/>
        <v/>
      </c>
    </row>
    <row r="37" spans="1:5" s="275" customFormat="1" ht="15.6" x14ac:dyDescent="0.3">
      <c r="A37" s="273" t="s">
        <v>1179</v>
      </c>
      <c r="B37" s="274">
        <v>4</v>
      </c>
      <c r="C37" s="275" t="s">
        <v>549</v>
      </c>
      <c r="D37" s="290" t="s">
        <v>549</v>
      </c>
      <c r="E37" s="289" t="str">
        <f t="shared" si="0"/>
        <v/>
      </c>
    </row>
    <row r="38" spans="1:5" s="275" customFormat="1" ht="15.6" x14ac:dyDescent="0.3">
      <c r="A38" s="273" t="s">
        <v>1179</v>
      </c>
      <c r="B38" s="274">
        <v>5</v>
      </c>
      <c r="C38" s="275" t="s">
        <v>602</v>
      </c>
      <c r="D38" s="290" t="s">
        <v>602</v>
      </c>
      <c r="E38" s="289" t="str">
        <f t="shared" si="0"/>
        <v/>
      </c>
    </row>
    <row r="39" spans="1:5" s="275" customFormat="1" ht="15.6" x14ac:dyDescent="0.3">
      <c r="A39" s="273" t="s">
        <v>1179</v>
      </c>
      <c r="B39" s="274">
        <v>6</v>
      </c>
      <c r="C39" s="275" t="s">
        <v>529</v>
      </c>
      <c r="D39" s="290" t="s">
        <v>529</v>
      </c>
      <c r="E39" s="289" t="str">
        <f t="shared" si="0"/>
        <v/>
      </c>
    </row>
    <row r="40" spans="1:5" s="275" customFormat="1" ht="15.6" x14ac:dyDescent="0.3">
      <c r="A40" s="273" t="s">
        <v>1179</v>
      </c>
      <c r="B40" s="274">
        <v>7</v>
      </c>
      <c r="C40" s="275" t="s">
        <v>532</v>
      </c>
      <c r="D40" s="290" t="s">
        <v>532</v>
      </c>
      <c r="E40" s="289" t="str">
        <f t="shared" si="0"/>
        <v/>
      </c>
    </row>
    <row r="41" spans="1:5" s="275" customFormat="1" ht="15.6" x14ac:dyDescent="0.3">
      <c r="A41" s="273" t="s">
        <v>1179</v>
      </c>
      <c r="B41" s="274">
        <v>8</v>
      </c>
      <c r="C41" s="275" t="s">
        <v>601</v>
      </c>
      <c r="D41" s="290" t="s">
        <v>601</v>
      </c>
      <c r="E41" s="289" t="str">
        <f t="shared" si="0"/>
        <v/>
      </c>
    </row>
    <row r="42" spans="1:5" s="275" customFormat="1" ht="15.6" x14ac:dyDescent="0.3">
      <c r="A42" s="273" t="s">
        <v>1179</v>
      </c>
      <c r="B42" s="274">
        <v>9</v>
      </c>
      <c r="C42" s="275" t="s">
        <v>566</v>
      </c>
      <c r="D42" s="290" t="s">
        <v>566</v>
      </c>
      <c r="E42" s="289" t="str">
        <f t="shared" si="0"/>
        <v/>
      </c>
    </row>
    <row r="43" spans="1:5" s="275" customFormat="1" ht="15.6" x14ac:dyDescent="0.3">
      <c r="A43" s="273" t="s">
        <v>1179</v>
      </c>
      <c r="B43" s="274">
        <v>10</v>
      </c>
      <c r="C43" s="275" t="s">
        <v>567</v>
      </c>
      <c r="D43" s="290" t="s">
        <v>567</v>
      </c>
      <c r="E43" s="289" t="str">
        <f t="shared" si="0"/>
        <v/>
      </c>
    </row>
    <row r="44" spans="1:5" s="275" customFormat="1" ht="15.6" x14ac:dyDescent="0.3">
      <c r="A44" s="273" t="s">
        <v>1179</v>
      </c>
      <c r="B44" s="274">
        <v>11</v>
      </c>
      <c r="C44" s="275" t="s">
        <v>571</v>
      </c>
      <c r="D44" s="290" t="s">
        <v>571</v>
      </c>
      <c r="E44" s="289" t="str">
        <f t="shared" si="0"/>
        <v/>
      </c>
    </row>
    <row r="45" spans="1:5" s="275" customFormat="1" ht="15.6" x14ac:dyDescent="0.3">
      <c r="A45" s="273" t="s">
        <v>1179</v>
      </c>
      <c r="B45" s="274">
        <v>12</v>
      </c>
      <c r="C45" s="275" t="s">
        <v>558</v>
      </c>
      <c r="D45" s="290" t="s">
        <v>558</v>
      </c>
      <c r="E45" s="289" t="str">
        <f t="shared" si="0"/>
        <v/>
      </c>
    </row>
    <row r="46" spans="1:5" s="275" customFormat="1" ht="15.6" x14ac:dyDescent="0.3">
      <c r="A46" s="273" t="s">
        <v>1179</v>
      </c>
      <c r="B46" s="274">
        <v>13</v>
      </c>
      <c r="C46" s="275" t="s">
        <v>557</v>
      </c>
      <c r="D46" s="290" t="s">
        <v>557</v>
      </c>
      <c r="E46" s="289" t="str">
        <f t="shared" si="0"/>
        <v/>
      </c>
    </row>
    <row r="47" spans="1:5" s="275" customFormat="1" ht="15.6" x14ac:dyDescent="0.3">
      <c r="A47" s="273" t="s">
        <v>1179</v>
      </c>
      <c r="B47" s="274">
        <v>14</v>
      </c>
      <c r="C47" s="275" t="s">
        <v>605</v>
      </c>
      <c r="D47" s="290" t="s">
        <v>605</v>
      </c>
      <c r="E47" s="289" t="str">
        <f t="shared" si="0"/>
        <v/>
      </c>
    </row>
    <row r="48" spans="1:5" s="275" customFormat="1" ht="15.6" x14ac:dyDescent="0.3">
      <c r="A48" s="273" t="s">
        <v>1179</v>
      </c>
      <c r="B48" s="274">
        <v>15</v>
      </c>
      <c r="C48" s="275" t="s">
        <v>578</v>
      </c>
      <c r="D48" s="290" t="s">
        <v>578</v>
      </c>
      <c r="E48" s="289" t="str">
        <f t="shared" si="0"/>
        <v/>
      </c>
    </row>
    <row r="49" spans="1:5" s="275" customFormat="1" ht="15.6" x14ac:dyDescent="0.3">
      <c r="A49" s="273" t="s">
        <v>1179</v>
      </c>
      <c r="B49" s="274">
        <v>16</v>
      </c>
      <c r="C49" s="275" t="s">
        <v>579</v>
      </c>
      <c r="D49" s="290" t="s">
        <v>579</v>
      </c>
      <c r="E49" s="289" t="str">
        <f t="shared" si="0"/>
        <v/>
      </c>
    </row>
    <row r="50" spans="1:5" s="275" customFormat="1" ht="15.6" x14ac:dyDescent="0.3">
      <c r="A50" s="273" t="s">
        <v>1179</v>
      </c>
      <c r="B50" s="274">
        <v>17</v>
      </c>
      <c r="C50" s="275" t="s">
        <v>598</v>
      </c>
      <c r="D50" s="290" t="s">
        <v>598</v>
      </c>
      <c r="E50" s="289" t="str">
        <f t="shared" si="0"/>
        <v/>
      </c>
    </row>
    <row r="51" spans="1:5" s="275" customFormat="1" ht="15.6" x14ac:dyDescent="0.3">
      <c r="A51" s="273" t="s">
        <v>1179</v>
      </c>
      <c r="B51" s="274">
        <v>18</v>
      </c>
      <c r="C51" s="275" t="s">
        <v>589</v>
      </c>
      <c r="D51" s="290" t="s">
        <v>589</v>
      </c>
      <c r="E51" s="289" t="str">
        <f t="shared" si="0"/>
        <v/>
      </c>
    </row>
    <row r="52" spans="1:5" s="275" customFormat="1" ht="15.6" x14ac:dyDescent="0.3">
      <c r="A52" s="273" t="s">
        <v>1179</v>
      </c>
      <c r="B52" s="274">
        <v>19</v>
      </c>
      <c r="C52" s="275" t="s">
        <v>586</v>
      </c>
      <c r="D52" s="290" t="s">
        <v>586</v>
      </c>
      <c r="E52" s="289" t="str">
        <f t="shared" si="0"/>
        <v/>
      </c>
    </row>
    <row r="53" spans="1:5" s="275" customFormat="1" ht="15.6" x14ac:dyDescent="0.3">
      <c r="A53" s="273" t="s">
        <v>1179</v>
      </c>
      <c r="B53" s="274">
        <v>20</v>
      </c>
      <c r="C53" s="275" t="s">
        <v>599</v>
      </c>
      <c r="D53" s="290" t="s">
        <v>599</v>
      </c>
      <c r="E53" s="289" t="str">
        <f t="shared" si="0"/>
        <v/>
      </c>
    </row>
    <row r="54" spans="1:5" s="275" customFormat="1" ht="15.6" x14ac:dyDescent="0.3">
      <c r="A54" s="273" t="s">
        <v>1179</v>
      </c>
      <c r="B54" s="274">
        <v>21</v>
      </c>
      <c r="C54" s="275" t="s">
        <v>545</v>
      </c>
      <c r="D54" s="290" t="s">
        <v>545</v>
      </c>
      <c r="E54" s="289" t="str">
        <f t="shared" si="0"/>
        <v/>
      </c>
    </row>
    <row r="55" spans="1:5" s="275" customFormat="1" ht="15.6" x14ac:dyDescent="0.3">
      <c r="A55" s="273" t="s">
        <v>1179</v>
      </c>
      <c r="B55" s="274">
        <v>22</v>
      </c>
      <c r="C55" s="275" t="s">
        <v>555</v>
      </c>
      <c r="D55" s="290" t="s">
        <v>555</v>
      </c>
      <c r="E55" s="289" t="str">
        <f t="shared" si="0"/>
        <v/>
      </c>
    </row>
    <row r="56" spans="1:5" s="275" customFormat="1" ht="15.6" x14ac:dyDescent="0.3">
      <c r="A56" s="273" t="s">
        <v>1179</v>
      </c>
      <c r="B56" s="274">
        <v>23</v>
      </c>
      <c r="C56" s="275" t="s">
        <v>606</v>
      </c>
      <c r="D56" s="290" t="s">
        <v>606</v>
      </c>
      <c r="E56" s="289" t="str">
        <f t="shared" si="0"/>
        <v/>
      </c>
    </row>
    <row r="57" spans="1:5" s="275" customFormat="1" ht="15.6" x14ac:dyDescent="0.3">
      <c r="A57" s="273" t="s">
        <v>1179</v>
      </c>
      <c r="B57" s="274">
        <v>24</v>
      </c>
      <c r="C57" s="275" t="s">
        <v>588</v>
      </c>
      <c r="D57" s="290" t="s">
        <v>588</v>
      </c>
      <c r="E57" s="289" t="str">
        <f t="shared" si="0"/>
        <v/>
      </c>
    </row>
    <row r="58" spans="1:5" s="275" customFormat="1" ht="15.6" x14ac:dyDescent="0.3">
      <c r="A58" s="273" t="s">
        <v>1179</v>
      </c>
      <c r="B58" s="274">
        <v>25</v>
      </c>
      <c r="C58" s="275" t="s">
        <v>587</v>
      </c>
      <c r="D58" s="290" t="s">
        <v>587</v>
      </c>
      <c r="E58" s="289" t="str">
        <f t="shared" si="0"/>
        <v/>
      </c>
    </row>
    <row r="59" spans="1:5" s="275" customFormat="1" ht="15.6" x14ac:dyDescent="0.3">
      <c r="A59" s="273" t="s">
        <v>1179</v>
      </c>
      <c r="B59" s="274">
        <v>26</v>
      </c>
      <c r="C59" s="275" t="s">
        <v>600</v>
      </c>
      <c r="D59" s="290" t="s">
        <v>600</v>
      </c>
      <c r="E59" s="289" t="str">
        <f t="shared" si="0"/>
        <v/>
      </c>
    </row>
    <row r="60" spans="1:5" s="275" customFormat="1" ht="15.6" x14ac:dyDescent="0.3">
      <c r="A60" s="273" t="s">
        <v>1179</v>
      </c>
      <c r="B60" s="274">
        <v>27</v>
      </c>
      <c r="C60" s="275" t="s">
        <v>544</v>
      </c>
      <c r="D60" s="290" t="s">
        <v>544</v>
      </c>
      <c r="E60" s="289" t="str">
        <f t="shared" si="0"/>
        <v/>
      </c>
    </row>
    <row r="61" spans="1:5" s="275" customFormat="1" ht="15.6" x14ac:dyDescent="0.3">
      <c r="A61" s="273" t="s">
        <v>1179</v>
      </c>
      <c r="B61" s="274">
        <v>28</v>
      </c>
      <c r="C61" s="275" t="s">
        <v>556</v>
      </c>
      <c r="D61" s="290" t="s">
        <v>556</v>
      </c>
      <c r="E61" s="289" t="str">
        <f t="shared" si="0"/>
        <v/>
      </c>
    </row>
    <row r="62" spans="1:5" s="275" customFormat="1" ht="15.6" x14ac:dyDescent="0.3">
      <c r="A62" s="273" t="s">
        <v>1179</v>
      </c>
      <c r="B62" s="274">
        <v>29</v>
      </c>
      <c r="C62" s="275" t="s">
        <v>607</v>
      </c>
      <c r="D62" s="290" t="s">
        <v>607</v>
      </c>
      <c r="E62" s="289" t="str">
        <f t="shared" si="0"/>
        <v/>
      </c>
    </row>
    <row r="63" spans="1:5" s="275" customFormat="1" ht="15.6" x14ac:dyDescent="0.3">
      <c r="A63" s="273" t="s">
        <v>1179</v>
      </c>
      <c r="B63" s="274">
        <v>30</v>
      </c>
      <c r="C63" s="275" t="s">
        <v>1181</v>
      </c>
      <c r="D63" s="290" t="s">
        <v>1181</v>
      </c>
      <c r="E63" s="289" t="str">
        <f t="shared" si="0"/>
        <v/>
      </c>
    </row>
    <row r="64" spans="1:5" s="275" customFormat="1" ht="15.6" x14ac:dyDescent="0.3">
      <c r="A64" s="273" t="s">
        <v>1179</v>
      </c>
      <c r="B64" s="274">
        <v>31</v>
      </c>
      <c r="C64" s="275" t="s">
        <v>1182</v>
      </c>
      <c r="D64" s="290" t="s">
        <v>1182</v>
      </c>
      <c r="E64" s="289" t="str">
        <f t="shared" si="0"/>
        <v/>
      </c>
    </row>
    <row r="65" spans="1:5" s="275" customFormat="1" ht="15.6" x14ac:dyDescent="0.3">
      <c r="A65" s="273" t="s">
        <v>1179</v>
      </c>
      <c r="B65" s="274">
        <v>32</v>
      </c>
      <c r="C65" s="275" t="s">
        <v>798</v>
      </c>
      <c r="D65" s="290" t="s">
        <v>798</v>
      </c>
      <c r="E65" s="289" t="str">
        <f t="shared" si="0"/>
        <v/>
      </c>
    </row>
    <row r="66" spans="1:5" s="275" customFormat="1" ht="15.6" x14ac:dyDescent="0.3">
      <c r="A66" s="273" t="s">
        <v>1179</v>
      </c>
      <c r="B66" s="274">
        <v>33</v>
      </c>
      <c r="C66" s="275" t="s">
        <v>1183</v>
      </c>
      <c r="D66" s="290" t="s">
        <v>1183</v>
      </c>
      <c r="E66" s="289" t="str">
        <f t="shared" si="0"/>
        <v/>
      </c>
    </row>
    <row r="67" spans="1:5" s="275" customFormat="1" ht="15.6" x14ac:dyDescent="0.3">
      <c r="A67" s="273" t="s">
        <v>1179</v>
      </c>
      <c r="B67" s="274">
        <v>34</v>
      </c>
      <c r="C67" s="275" t="s">
        <v>534</v>
      </c>
      <c r="D67" s="290" t="s">
        <v>534</v>
      </c>
      <c r="E67" s="289" t="str">
        <f t="shared" ref="E67:E77" si="1">IF(LEN($C67)-LEN(D67)&lt;0,TEXT(LEN(D67)/LEN($C67),"0 %")&amp;" ("&amp;LEN(D67)-LEN($C67)&amp;")","")</f>
        <v/>
      </c>
    </row>
    <row r="68" spans="1:5" s="275" customFormat="1" ht="15.6" x14ac:dyDescent="0.3">
      <c r="A68" s="273" t="s">
        <v>1179</v>
      </c>
      <c r="B68" s="274">
        <v>35</v>
      </c>
      <c r="C68" s="275" t="s">
        <v>608</v>
      </c>
      <c r="D68" s="290" t="s">
        <v>608</v>
      </c>
      <c r="E68" s="289" t="str">
        <f t="shared" si="1"/>
        <v/>
      </c>
    </row>
    <row r="69" spans="1:5" s="275" customFormat="1" ht="15.6" x14ac:dyDescent="0.3">
      <c r="A69" s="273" t="s">
        <v>1179</v>
      </c>
      <c r="B69" s="274">
        <v>36</v>
      </c>
      <c r="C69" s="275" t="s">
        <v>1184</v>
      </c>
      <c r="D69" s="290" t="s">
        <v>1184</v>
      </c>
      <c r="E69" s="289" t="str">
        <f t="shared" si="1"/>
        <v/>
      </c>
    </row>
    <row r="70" spans="1:5" s="275" customFormat="1" ht="15.6" x14ac:dyDescent="0.3">
      <c r="A70" s="273" t="s">
        <v>1179</v>
      </c>
      <c r="B70" s="274">
        <v>37</v>
      </c>
      <c r="C70" s="275" t="s">
        <v>1185</v>
      </c>
      <c r="D70" s="290" t="s">
        <v>1185</v>
      </c>
      <c r="E70" s="289" t="str">
        <f t="shared" si="1"/>
        <v/>
      </c>
    </row>
    <row r="71" spans="1:5" s="275" customFormat="1" ht="15.6" x14ac:dyDescent="0.3">
      <c r="A71" s="273" t="s">
        <v>1179</v>
      </c>
      <c r="B71" s="274">
        <v>38</v>
      </c>
      <c r="C71" s="275" t="s">
        <v>1186</v>
      </c>
      <c r="D71" s="290" t="s">
        <v>1186</v>
      </c>
      <c r="E71" s="289" t="str">
        <f t="shared" si="1"/>
        <v/>
      </c>
    </row>
    <row r="72" spans="1:5" s="275" customFormat="1" ht="15.6" x14ac:dyDescent="0.3">
      <c r="A72" s="273" t="s">
        <v>1179</v>
      </c>
      <c r="B72" s="274">
        <v>39</v>
      </c>
      <c r="C72" s="275" t="s">
        <v>1187</v>
      </c>
      <c r="D72" s="290" t="s">
        <v>1187</v>
      </c>
      <c r="E72" s="289" t="str">
        <f t="shared" si="1"/>
        <v/>
      </c>
    </row>
    <row r="73" spans="1:5" s="275" customFormat="1" ht="15.6" x14ac:dyDescent="0.3">
      <c r="A73" s="273" t="s">
        <v>1179</v>
      </c>
      <c r="B73" s="274">
        <v>40</v>
      </c>
      <c r="C73" s="275" t="s">
        <v>1188</v>
      </c>
      <c r="D73" s="290" t="s">
        <v>1188</v>
      </c>
      <c r="E73" s="289" t="str">
        <f t="shared" si="1"/>
        <v/>
      </c>
    </row>
    <row r="74" spans="1:5" s="275" customFormat="1" ht="15.6" x14ac:dyDescent="0.3">
      <c r="A74" s="273" t="s">
        <v>1179</v>
      </c>
      <c r="B74" s="274">
        <v>41</v>
      </c>
      <c r="C74" s="275" t="s">
        <v>1189</v>
      </c>
      <c r="D74" s="290" t="s">
        <v>1189</v>
      </c>
      <c r="E74" s="289" t="str">
        <f t="shared" si="1"/>
        <v/>
      </c>
    </row>
    <row r="75" spans="1:5" s="275" customFormat="1" ht="15.6" x14ac:dyDescent="0.3">
      <c r="A75" s="273" t="s">
        <v>1179</v>
      </c>
      <c r="B75" s="274">
        <v>42</v>
      </c>
      <c r="C75" s="275" t="s">
        <v>1190</v>
      </c>
      <c r="D75" s="290" t="s">
        <v>1190</v>
      </c>
      <c r="E75" s="289" t="str">
        <f t="shared" si="1"/>
        <v/>
      </c>
    </row>
    <row r="76" spans="1:5" s="275" customFormat="1" ht="15.6" x14ac:dyDescent="0.3">
      <c r="A76" s="273" t="s">
        <v>1179</v>
      </c>
      <c r="B76" s="274">
        <v>43</v>
      </c>
      <c r="C76" s="275" t="s">
        <v>493</v>
      </c>
      <c r="D76" s="290" t="s">
        <v>493</v>
      </c>
      <c r="E76" s="289" t="str">
        <f t="shared" si="1"/>
        <v/>
      </c>
    </row>
    <row r="77" spans="1:5" s="275" customFormat="1" ht="15.6" x14ac:dyDescent="0.3">
      <c r="A77" s="273" t="s">
        <v>1179</v>
      </c>
      <c r="B77" s="274">
        <v>44</v>
      </c>
      <c r="C77" s="275" t="s">
        <v>492</v>
      </c>
      <c r="D77" s="290" t="s">
        <v>492</v>
      </c>
      <c r="E77" s="289" t="str">
        <f t="shared" si="1"/>
        <v/>
      </c>
    </row>
    <row r="78" spans="1:5" s="275" customFormat="1" ht="15.6" x14ac:dyDescent="0.3">
      <c r="A78" s="273"/>
      <c r="B78" s="274"/>
      <c r="E78" s="289"/>
    </row>
    <row r="79" spans="1:5" ht="15.6" x14ac:dyDescent="0.3">
      <c r="A79" s="272" t="str">
        <f>"! --- "&amp;INDEX(MLtextDivisions,3)</f>
        <v>! --- Parameter Script - VALUES</v>
      </c>
      <c r="E79" s="289" t="str">
        <f t="shared" ref="E79:E92" si="2">IF(LEN($C79)-LEN(D79)&lt;0,TEXT(LEN(D79)/LEN($C79),"0 %")&amp;" ("&amp;LEN(D79)-LEN($C79)&amp;")","")</f>
        <v/>
      </c>
    </row>
    <row r="80" spans="1:5" s="275" customFormat="1" ht="15.6" x14ac:dyDescent="0.3">
      <c r="A80" s="273"/>
      <c r="B80" s="274"/>
      <c r="E80" s="289" t="str">
        <f t="shared" si="2"/>
        <v/>
      </c>
    </row>
    <row r="81" spans="1:5" ht="15.6" x14ac:dyDescent="0.3">
      <c r="A81" s="272" t="str">
        <f>"! --- "&amp;INDEX(MLtextDivisions,4)</f>
        <v>! --- Common Text</v>
      </c>
      <c r="E81" s="289" t="str">
        <f t="shared" si="2"/>
        <v/>
      </c>
    </row>
    <row r="82" spans="1:5" s="269" customFormat="1" x14ac:dyDescent="0.3">
      <c r="A82" s="274" t="s">
        <v>1142</v>
      </c>
      <c r="B82" s="270">
        <v>1</v>
      </c>
      <c r="C82" t="s">
        <v>1149</v>
      </c>
      <c r="D82" t="s">
        <v>1148</v>
      </c>
      <c r="E82" s="289" t="str">
        <f>IF(LEN($C82)-LEN(D82)&lt;0,TEXT(LEN(D82)/LEN($C82),"0 %")&amp;" ("&amp;LEN(D82)-LEN($C82)&amp;")","")</f>
        <v/>
      </c>
    </row>
    <row r="83" spans="1:5" s="269" customFormat="1" x14ac:dyDescent="0.3">
      <c r="A83" s="274" t="s">
        <v>1142</v>
      </c>
      <c r="B83" s="270">
        <v>2</v>
      </c>
      <c r="C83" s="269" t="s">
        <v>1144</v>
      </c>
      <c r="D83" t="s">
        <v>1152</v>
      </c>
      <c r="E83" s="289" t="str">
        <f>IF(LEN($C83)-LEN(D83)&lt;0,TEXT(LEN(D83)/LEN($C83),"0 %")&amp;" ("&amp;LEN(D83)-LEN($C83)&amp;")","")</f>
        <v>131 % (11)</v>
      </c>
    </row>
    <row r="84" spans="1:5" s="269" customFormat="1" x14ac:dyDescent="0.3">
      <c r="A84" s="274" t="s">
        <v>1142</v>
      </c>
      <c r="B84" s="270">
        <v>3</v>
      </c>
      <c r="C84" s="269" t="s">
        <v>1145</v>
      </c>
      <c r="D84" t="s">
        <v>1153</v>
      </c>
      <c r="E84" s="289" t="str">
        <f>IF(LEN($C84)-LEN(D84)&lt;0,TEXT(LEN(D84)/LEN($C84),"0 %")&amp;" ("&amp;LEN(D84)-LEN($C84)&amp;")","")</f>
        <v>143 % (13)</v>
      </c>
    </row>
    <row r="85" spans="1:5" s="269" customFormat="1" x14ac:dyDescent="0.3">
      <c r="A85" s="274" t="s">
        <v>1142</v>
      </c>
      <c r="B85" s="270">
        <v>4</v>
      </c>
      <c r="C85" s="269" t="s">
        <v>1146</v>
      </c>
      <c r="D85" t="s">
        <v>1150</v>
      </c>
      <c r="E85" s="289" t="str">
        <f>IF(LEN($C85)-LEN(D85)&lt;0,TEXT(LEN(D85)/LEN($C85),"0 %")&amp;" ("&amp;LEN(D85)-LEN($C85)&amp;")","")</f>
        <v>117 % (6)</v>
      </c>
    </row>
    <row r="86" spans="1:5" s="269" customFormat="1" x14ac:dyDescent="0.3">
      <c r="A86" s="274" t="s">
        <v>1142</v>
      </c>
      <c r="B86" s="270">
        <v>5</v>
      </c>
      <c r="C86" s="269" t="s">
        <v>1147</v>
      </c>
      <c r="D86" t="s">
        <v>1151</v>
      </c>
      <c r="E86" s="289" t="str">
        <f>IF(LEN($C86)-LEN(D86)&lt;0,TEXT(LEN(D86)/LEN($C86),"0 %")&amp;" ("&amp;LEN(D86)-LEN($C86)&amp;")","")</f>
        <v>133 % (11)</v>
      </c>
    </row>
    <row r="87" spans="1:5" x14ac:dyDescent="0.3">
      <c r="A87" s="274" t="s">
        <v>1136</v>
      </c>
      <c r="B87" s="251">
        <v>1</v>
      </c>
      <c r="C87" t="s">
        <v>391</v>
      </c>
      <c r="D87" t="s">
        <v>1137</v>
      </c>
      <c r="E87" s="289" t="str">
        <f t="shared" si="2"/>
        <v/>
      </c>
    </row>
    <row r="88" spans="1:5" x14ac:dyDescent="0.3">
      <c r="A88" s="274" t="s">
        <v>1136</v>
      </c>
      <c r="B88" s="251">
        <v>2</v>
      </c>
      <c r="C88" t="s">
        <v>642</v>
      </c>
      <c r="D88" t="s">
        <v>642</v>
      </c>
      <c r="E88" s="289" t="str">
        <f t="shared" si="2"/>
        <v/>
      </c>
    </row>
    <row r="89" spans="1:5" x14ac:dyDescent="0.3">
      <c r="A89" s="274" t="s">
        <v>1136</v>
      </c>
      <c r="B89" s="251">
        <v>3</v>
      </c>
      <c r="C89" t="s">
        <v>1138</v>
      </c>
      <c r="D89" t="s">
        <v>1139</v>
      </c>
      <c r="E89" s="289" t="str">
        <f t="shared" si="2"/>
        <v/>
      </c>
    </row>
    <row r="90" spans="1:5" s="275" customFormat="1" x14ac:dyDescent="0.3">
      <c r="A90" s="274" t="s">
        <v>1136</v>
      </c>
      <c r="B90" s="251">
        <v>4</v>
      </c>
      <c r="C90" t="s">
        <v>1140</v>
      </c>
      <c r="D90" t="s">
        <v>1141</v>
      </c>
      <c r="E90" s="289" t="str">
        <f t="shared" si="2"/>
        <v/>
      </c>
    </row>
    <row r="91" spans="1:5" s="275" customFormat="1" ht="15.6" x14ac:dyDescent="0.3">
      <c r="A91" s="273"/>
      <c r="B91" s="274"/>
      <c r="E91" s="289" t="str">
        <f t="shared" si="2"/>
        <v/>
      </c>
    </row>
    <row r="92" spans="1:5" ht="15.6" x14ac:dyDescent="0.3">
      <c r="A92" s="272" t="str">
        <f>"! --- END"</f>
        <v>! --- END</v>
      </c>
      <c r="E92" s="289" t="str">
        <f t="shared" si="2"/>
        <v/>
      </c>
    </row>
  </sheetData>
  <sortState ref="A37:E82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="130" zoomScaleNormal="130" workbookViewId="0"/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302" t="str">
        <f>"-&gt; PROPERTY-CONTEXT"</f>
        <v>-&gt; PROPERTY-CONTEXT</v>
      </c>
      <c r="F1" s="302"/>
      <c r="G1" s="302"/>
      <c r="H1" s="10" t="s">
        <v>12</v>
      </c>
      <c r="I1" s="10" t="s">
        <v>63</v>
      </c>
      <c r="J1" s="10" t="s">
        <v>83</v>
      </c>
      <c r="K1" s="10" t="s">
        <v>193</v>
      </c>
      <c r="L1" s="10" t="s">
        <v>198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303" t="s">
        <v>327</v>
      </c>
      <c r="T1" s="303"/>
      <c r="U1" s="10" t="s">
        <v>503</v>
      </c>
      <c r="V1" s="10" t="s">
        <v>899</v>
      </c>
      <c r="W1" s="10" t="s">
        <v>931</v>
      </c>
      <c r="X1" s="10" t="s">
        <v>932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189</v>
      </c>
      <c r="L2" s="14" t="s">
        <v>199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184</v>
      </c>
      <c r="T2" s="3" t="s">
        <v>18</v>
      </c>
      <c r="U2" s="3" t="s">
        <v>500</v>
      </c>
      <c r="V2" s="3" t="s">
        <v>794</v>
      </c>
      <c r="W2" s="3" t="s">
        <v>929</v>
      </c>
      <c r="X2" s="3" t="s">
        <v>933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6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195</v>
      </c>
      <c r="L3" s="14" t="s">
        <v>188</v>
      </c>
      <c r="M3" s="14" t="s">
        <v>92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185</v>
      </c>
      <c r="T3" s="3" t="s">
        <v>44</v>
      </c>
      <c r="U3" s="3" t="s">
        <v>501</v>
      </c>
      <c r="W3" s="3" t="s">
        <v>930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190</v>
      </c>
      <c r="L4" s="14" t="s">
        <v>200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207</v>
      </c>
      <c r="T4" s="3" t="s">
        <v>47</v>
      </c>
      <c r="U4" s="3" t="s">
        <v>502</v>
      </c>
      <c r="W4" s="3" t="s">
        <v>928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191</v>
      </c>
      <c r="L5" s="14" t="s">
        <v>201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186</v>
      </c>
      <c r="T5" s="3" t="s">
        <v>186</v>
      </c>
      <c r="W5" s="3" t="s">
        <v>934</v>
      </c>
    </row>
    <row r="6" spans="1:24" ht="17.25" customHeight="1" x14ac:dyDescent="0.25">
      <c r="A6" s="94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343</v>
      </c>
      <c r="L6" s="14" t="s">
        <v>202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208</v>
      </c>
      <c r="T6" s="3" t="s">
        <v>36</v>
      </c>
    </row>
    <row r="7" spans="1:24" ht="17.25" customHeight="1" x14ac:dyDescent="0.25">
      <c r="A7" s="94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331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332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333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188</v>
      </c>
      <c r="T9" s="3" t="s">
        <v>188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187</v>
      </c>
      <c r="T10" s="3" t="s">
        <v>199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148</v>
      </c>
      <c r="T11" s="3" t="s">
        <v>200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192</v>
      </c>
      <c r="T12" s="3" t="s">
        <v>201</v>
      </c>
    </row>
    <row r="13" spans="1:24" ht="17.25" customHeight="1" x14ac:dyDescent="0.25">
      <c r="A13" s="14"/>
      <c r="B13" s="14" t="s">
        <v>54</v>
      </c>
      <c r="C13" s="14" t="str">
        <f t="shared" si="0"/>
        <v>LightSwitch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206</v>
      </c>
      <c r="T13" s="3" t="str">
        <f>""</f>
        <v/>
      </c>
    </row>
    <row r="14" spans="1:24" ht="17.25" customHeight="1" x14ac:dyDescent="0.25">
      <c r="A14" s="14"/>
      <c r="B14" s="14" t="s">
        <v>55</v>
      </c>
      <c r="C14" s="14" t="str">
        <f t="shared" si="0"/>
        <v>Intensity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222</v>
      </c>
      <c r="T14" s="3" t="s">
        <v>328</v>
      </c>
    </row>
    <row r="15" spans="1:24" ht="17.25" customHeight="1" x14ac:dyDescent="0.25">
      <c r="A15" s="14"/>
      <c r="B15" s="14" t="s">
        <v>56</v>
      </c>
      <c r="C15" s="14" t="str">
        <f t="shared" si="0"/>
        <v>Separator</v>
      </c>
      <c r="D15" s="15"/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209</v>
      </c>
      <c r="T15" s="3" t="s">
        <v>329</v>
      </c>
    </row>
    <row r="16" spans="1:24" ht="17.25" customHeight="1" x14ac:dyDescent="0.25">
      <c r="A16" s="14"/>
      <c r="B16" s="14" t="s">
        <v>57</v>
      </c>
      <c r="C16" s="14" t="str">
        <f t="shared" si="0"/>
        <v>Title</v>
      </c>
      <c r="D16" s="15"/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210</v>
      </c>
      <c r="T16" s="3" t="s">
        <v>330</v>
      </c>
    </row>
    <row r="17" spans="1:20" ht="17.25" customHeight="1" x14ac:dyDescent="0.25">
      <c r="A17" s="14"/>
      <c r="B17" s="14" t="s">
        <v>58</v>
      </c>
      <c r="C17" s="14"/>
      <c r="D17" s="15"/>
      <c r="E17" s="14" t="s">
        <v>18</v>
      </c>
      <c r="F17" s="15" t="s">
        <v>34</v>
      </c>
      <c r="G17" s="16" t="s">
        <v>59</v>
      </c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291</v>
      </c>
      <c r="T17" s="3" t="s">
        <v>292</v>
      </c>
    </row>
    <row r="18" spans="1:20" ht="17.25" customHeight="1" x14ac:dyDescent="0.25">
      <c r="A18" s="14"/>
      <c r="B18" s="14" t="s">
        <v>60</v>
      </c>
      <c r="C18" s="14"/>
      <c r="D18" s="15"/>
      <c r="E18" s="14" t="s">
        <v>18</v>
      </c>
      <c r="F18" s="15" t="s">
        <v>61</v>
      </c>
      <c r="G18" s="16" t="s">
        <v>62</v>
      </c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E208"/>
  <sheetViews>
    <sheetView showZeros="0" topLeftCell="A4" workbookViewId="0">
      <pane ySplit="5568" topLeftCell="A82" activePane="bottomLeft"/>
      <selection activeCell="BW4" sqref="BW4"/>
      <selection pane="bottomLeft" activeCell="A112" sqref="A112:XFD114"/>
    </sheetView>
  </sheetViews>
  <sheetFormatPr baseColWidth="10" defaultColWidth="11.44140625" defaultRowHeight="13.8" outlineLevelRow="1" x14ac:dyDescent="0.25"/>
  <cols>
    <col min="1" max="1" width="20" style="148" bestFit="1" customWidth="1"/>
    <col min="2" max="2" width="20.44140625" style="144" customWidth="1"/>
    <col min="3" max="3" width="3.88671875" style="145" bestFit="1" customWidth="1"/>
    <col min="4" max="13" width="3.88671875" style="146" bestFit="1" customWidth="1"/>
    <col min="14" max="14" width="3.88671875" style="144" bestFit="1" customWidth="1"/>
    <col min="15" max="15" width="3.88671875" style="145" bestFit="1" customWidth="1"/>
    <col min="16" max="21" width="3.88671875" style="146" bestFit="1" customWidth="1"/>
    <col min="22" max="27" width="3.88671875" style="148" bestFit="1" customWidth="1"/>
    <col min="28" max="28" width="3.88671875" style="149" bestFit="1" customWidth="1"/>
    <col min="29" max="29" width="3.88671875" style="150" bestFit="1" customWidth="1"/>
    <col min="30" max="37" width="3" style="147" customWidth="1"/>
    <col min="38" max="38" width="3.5546875" style="147" customWidth="1"/>
    <col min="39" max="65" width="3" style="147" customWidth="1"/>
    <col min="66" max="66" width="3" style="191" customWidth="1"/>
    <col min="67" max="67" width="3.88671875" style="199" bestFit="1" customWidth="1"/>
    <col min="68" max="68" width="6.33203125" style="147" bestFit="1" customWidth="1"/>
    <col min="69" max="73" width="6.6640625" style="150" bestFit="1" customWidth="1"/>
    <col min="74" max="74" width="3.5546875" style="200" customWidth="1"/>
    <col min="75" max="75" width="3.88671875" style="193" bestFit="1" customWidth="1"/>
    <col min="76" max="76" width="3.88671875" style="148" bestFit="1" customWidth="1"/>
    <col min="77" max="77" width="18" style="143" customWidth="1"/>
    <col min="78" max="78" width="9.5546875" style="170" customWidth="1"/>
    <col min="79" max="79" width="12.88671875" style="51" customWidth="1"/>
    <col min="80" max="81" width="6.44140625" style="51" customWidth="1"/>
    <col min="82" max="82" width="40" style="51" customWidth="1"/>
    <col min="83" max="83" width="3.6640625" style="51" customWidth="1"/>
    <col min="84" max="16384" width="11.44140625" style="51"/>
  </cols>
  <sheetData>
    <row r="1" spans="1:83" s="125" customFormat="1" x14ac:dyDescent="0.25">
      <c r="A1" s="125">
        <f>'RAW IMPORT'!A1</f>
        <v>0</v>
      </c>
      <c r="B1" s="126">
        <f>'RAW IMPORT'!B1</f>
        <v>0</v>
      </c>
      <c r="C1" s="126">
        <f>'RAW IMPORT'!C1</f>
        <v>0</v>
      </c>
      <c r="D1" s="126">
        <f>'RAW IMPORT'!D1</f>
        <v>0</v>
      </c>
      <c r="E1" s="126">
        <f>'RAW IMPORT'!E1</f>
        <v>0</v>
      </c>
      <c r="F1" s="126">
        <f>'RAW IMPORT'!F1</f>
        <v>0</v>
      </c>
      <c r="G1" s="126">
        <f>'RAW IMPORT'!G1</f>
        <v>0</v>
      </c>
      <c r="H1" s="126">
        <f>'RAW IMPORT'!H1</f>
        <v>0</v>
      </c>
      <c r="I1" s="126">
        <f>'RAW IMPORT'!I1</f>
        <v>0</v>
      </c>
      <c r="J1" s="126">
        <f>'RAW IMPORT'!J1</f>
        <v>0</v>
      </c>
      <c r="K1" s="126">
        <f>'RAW IMPORT'!K1</f>
        <v>0</v>
      </c>
      <c r="L1" s="126">
        <f>'RAW IMPORT'!L1</f>
        <v>0</v>
      </c>
      <c r="M1" s="126">
        <f>'RAW IMPORT'!M1</f>
        <v>0</v>
      </c>
      <c r="N1" s="126">
        <f>'RAW IMPORT'!N1</f>
        <v>0</v>
      </c>
      <c r="O1" s="126">
        <f>'RAW IMPORT'!O1</f>
        <v>0</v>
      </c>
      <c r="P1" s="126">
        <f>'RAW IMPORT'!P1</f>
        <v>0</v>
      </c>
      <c r="Q1" s="126">
        <f>'RAW IMPORT'!Q1</f>
        <v>0</v>
      </c>
      <c r="R1" s="126">
        <f>'RAW IMPORT'!R1</f>
        <v>0</v>
      </c>
      <c r="S1" s="126">
        <f>'RAW IMPORT'!S1</f>
        <v>0</v>
      </c>
      <c r="T1" s="126">
        <f>'RAW IMPORT'!T1</f>
        <v>0</v>
      </c>
      <c r="U1" s="126">
        <f>'RAW IMPORT'!U1</f>
        <v>0</v>
      </c>
      <c r="V1" s="125">
        <f>'RAW IMPORT'!V1</f>
        <v>0</v>
      </c>
      <c r="W1" s="125">
        <f>'RAW IMPORT'!W1</f>
        <v>0</v>
      </c>
      <c r="X1" s="125">
        <f>'RAW IMPORT'!X1</f>
        <v>0</v>
      </c>
      <c r="Y1" s="125">
        <f>'RAW IMPORT'!Y1</f>
        <v>0</v>
      </c>
      <c r="Z1" s="125">
        <f>'RAW IMPORT'!Z1</f>
        <v>0</v>
      </c>
      <c r="AA1" s="125">
        <f>'RAW IMPORT'!AA1</f>
        <v>0</v>
      </c>
      <c r="AB1" s="125">
        <f>'RAW IMPORT'!AB1</f>
        <v>0</v>
      </c>
      <c r="AC1" s="304" t="str">
        <f>'RAW IMPORT'!AC1</f>
        <v>DIN EN 1906</v>
      </c>
      <c r="AD1" s="304">
        <f>'RAW IMPORT'!AD1</f>
        <v>0</v>
      </c>
      <c r="AE1" s="304">
        <f>'RAW IMPORT'!AE1</f>
        <v>0</v>
      </c>
      <c r="AF1" s="304">
        <f>'RAW IMPORT'!AF1</f>
        <v>0</v>
      </c>
      <c r="AG1" s="304">
        <f>'RAW IMPORT'!AG1</f>
        <v>0</v>
      </c>
      <c r="AH1" s="304">
        <f>'RAW IMPORT'!AH1</f>
        <v>0</v>
      </c>
      <c r="AI1" s="304">
        <f>'RAW IMPORT'!AI1</f>
        <v>0</v>
      </c>
      <c r="AJ1" s="304">
        <f>'RAW IMPORT'!AJ1</f>
        <v>0</v>
      </c>
      <c r="AK1" s="304">
        <f>'RAW IMPORT'!AK1</f>
        <v>0</v>
      </c>
      <c r="AL1" s="304">
        <f>'RAW IMPORT'!AL1</f>
        <v>0</v>
      </c>
      <c r="AM1" s="127">
        <f>'RAW IMPORT'!AM1</f>
        <v>0</v>
      </c>
      <c r="AN1" s="127">
        <f>'RAW IMPORT'!AN1</f>
        <v>0</v>
      </c>
      <c r="AO1" s="127">
        <f>'RAW IMPORT'!AO1</f>
        <v>0</v>
      </c>
      <c r="AP1" s="127">
        <f>'RAW IMPORT'!AP1</f>
        <v>0</v>
      </c>
      <c r="AQ1" s="127">
        <f>'RAW IMPORT'!AQ1</f>
        <v>0</v>
      </c>
      <c r="AR1" s="127">
        <f>'RAW IMPORT'!AR1</f>
        <v>0</v>
      </c>
      <c r="AS1" s="127">
        <f>'RAW IMPORT'!AS1</f>
        <v>0</v>
      </c>
      <c r="AT1" s="127">
        <f>'RAW IMPORT'!AT1</f>
        <v>0</v>
      </c>
      <c r="AU1" s="127">
        <f>'RAW IMPORT'!AU1</f>
        <v>0</v>
      </c>
      <c r="AV1" s="127">
        <f>'RAW IMPORT'!AV1</f>
        <v>0</v>
      </c>
      <c r="AW1" s="127">
        <f>'RAW IMPORT'!AW1</f>
        <v>0</v>
      </c>
      <c r="AX1" s="127">
        <f>'RAW IMPORT'!AX1</f>
        <v>0</v>
      </c>
      <c r="AY1" s="127">
        <f>'RAW IMPORT'!AY1</f>
        <v>0</v>
      </c>
      <c r="AZ1" s="127">
        <f>'RAW IMPORT'!AZ1</f>
        <v>0</v>
      </c>
      <c r="BA1" s="127">
        <f>'RAW IMPORT'!BA1</f>
        <v>0</v>
      </c>
      <c r="BB1" s="127">
        <f>'RAW IMPORT'!BB1</f>
        <v>0</v>
      </c>
      <c r="BC1" s="127">
        <f>'RAW IMPORT'!BC1</f>
        <v>0</v>
      </c>
      <c r="BD1" s="127">
        <f>'RAW IMPORT'!BD1</f>
        <v>0</v>
      </c>
      <c r="BE1" s="127">
        <f>'RAW IMPORT'!BE1</f>
        <v>0</v>
      </c>
      <c r="BF1" s="127">
        <f>'RAW IMPORT'!BF1</f>
        <v>0</v>
      </c>
      <c r="BG1" s="127">
        <f>'RAW IMPORT'!BG1</f>
        <v>0</v>
      </c>
      <c r="BH1" s="127">
        <f>'RAW IMPORT'!BH1</f>
        <v>0</v>
      </c>
      <c r="BI1" s="127">
        <f>'RAW IMPORT'!BI1</f>
        <v>0</v>
      </c>
      <c r="BJ1" s="127">
        <f>'RAW IMPORT'!BJ1</f>
        <v>0</v>
      </c>
      <c r="BK1" s="127">
        <f>'RAW IMPORT'!BK1</f>
        <v>0</v>
      </c>
      <c r="BL1" s="127">
        <f>'RAW IMPORT'!BL1</f>
        <v>0</v>
      </c>
      <c r="BM1" s="127">
        <f>'RAW IMPORT'!BM1</f>
        <v>0</v>
      </c>
      <c r="BN1" s="127">
        <f>'RAW IMPORT'!BN1</f>
        <v>0</v>
      </c>
      <c r="BO1" s="127">
        <f>'RAW IMPORT'!BO1</f>
        <v>0</v>
      </c>
      <c r="BP1" s="127"/>
      <c r="BQ1" s="127"/>
      <c r="BR1" s="127"/>
      <c r="BS1" s="127"/>
      <c r="BT1" s="127"/>
      <c r="BU1" s="127"/>
      <c r="BW1" s="241">
        <f>'RAW IMPORT'!BZ1</f>
        <v>0</v>
      </c>
      <c r="BX1" s="241">
        <f>'RAW IMPORT'!CA1</f>
        <v>0</v>
      </c>
      <c r="BY1" s="126"/>
      <c r="BZ1" s="126"/>
    </row>
    <row r="2" spans="1:83" s="125" customFormat="1" ht="21" customHeight="1" x14ac:dyDescent="0.25">
      <c r="A2" s="125">
        <f>'RAW IMPORT'!A2</f>
        <v>0</v>
      </c>
      <c r="B2" s="126">
        <f>'RAW IMPORT'!B2</f>
        <v>0</v>
      </c>
      <c r="C2" s="126">
        <f>'RAW IMPORT'!C2</f>
        <v>0</v>
      </c>
      <c r="D2" s="126">
        <f>'RAW IMPORT'!D2</f>
        <v>0</v>
      </c>
      <c r="E2" s="126">
        <f>'RAW IMPORT'!E2</f>
        <v>0</v>
      </c>
      <c r="F2" s="126">
        <f>'RAW IMPORT'!F2</f>
        <v>0</v>
      </c>
      <c r="G2" s="126">
        <f>'RAW IMPORT'!G2</f>
        <v>0</v>
      </c>
      <c r="H2" s="126">
        <f>'RAW IMPORT'!H2</f>
        <v>0</v>
      </c>
      <c r="I2" s="126">
        <f>'RAW IMPORT'!I2</f>
        <v>0</v>
      </c>
      <c r="J2" s="126">
        <f>'RAW IMPORT'!J2</f>
        <v>0</v>
      </c>
      <c r="K2" s="126">
        <f>'RAW IMPORT'!K2</f>
        <v>0</v>
      </c>
      <c r="L2" s="126">
        <f>'RAW IMPORT'!L2</f>
        <v>0</v>
      </c>
      <c r="M2" s="126">
        <f>'RAW IMPORT'!M2</f>
        <v>0</v>
      </c>
      <c r="N2" s="126">
        <f>'RAW IMPORT'!N2</f>
        <v>0</v>
      </c>
      <c r="O2" s="126">
        <f>'RAW IMPORT'!O2</f>
        <v>0</v>
      </c>
      <c r="P2" s="126">
        <f>'RAW IMPORT'!P2</f>
        <v>0</v>
      </c>
      <c r="Q2" s="126">
        <f>'RAW IMPORT'!Q2</f>
        <v>0</v>
      </c>
      <c r="R2" s="126">
        <f>'RAW IMPORT'!R2</f>
        <v>0</v>
      </c>
      <c r="S2" s="126">
        <f>'RAW IMPORT'!S2</f>
        <v>0</v>
      </c>
      <c r="T2" s="126">
        <f>'RAW IMPORT'!T2</f>
        <v>0</v>
      </c>
      <c r="U2" s="126">
        <f>'RAW IMPORT'!U2</f>
        <v>0</v>
      </c>
      <c r="V2" s="125">
        <f>'RAW IMPORT'!V2</f>
        <v>0</v>
      </c>
      <c r="W2" s="125">
        <f>'RAW IMPORT'!W2</f>
        <v>0</v>
      </c>
      <c r="X2" s="125">
        <f>'RAW IMPORT'!X2</f>
        <v>0</v>
      </c>
      <c r="Y2" s="125">
        <f>'RAW IMPORT'!Y2</f>
        <v>0</v>
      </c>
      <c r="Z2" s="125">
        <f>'RAW IMPORT'!Z2</f>
        <v>0</v>
      </c>
      <c r="AA2" s="125">
        <f>'RAW IMPORT'!AA2</f>
        <v>0</v>
      </c>
      <c r="AB2" s="125">
        <f>'RAW IMPORT'!AB2</f>
        <v>0</v>
      </c>
      <c r="AC2" s="125">
        <f>'RAW IMPORT'!AC2</f>
        <v>0</v>
      </c>
      <c r="AD2" s="127">
        <f>'RAW IMPORT'!AD2</f>
        <v>0</v>
      </c>
      <c r="AE2" s="127">
        <f>'RAW IMPORT'!AE2</f>
        <v>0</v>
      </c>
      <c r="AF2" s="125">
        <f>'RAW IMPORT'!AF2</f>
        <v>0</v>
      </c>
      <c r="AG2" s="125">
        <f>'RAW IMPORT'!AG2</f>
        <v>0</v>
      </c>
      <c r="AH2" s="125">
        <f>'RAW IMPORT'!AH2</f>
        <v>0</v>
      </c>
      <c r="AI2" s="125">
        <f>'RAW IMPORT'!AI2</f>
        <v>0</v>
      </c>
      <c r="AJ2" s="127" t="str">
        <f>'RAW IMPORT'!AJ2</f>
        <v>Ausführg.</v>
      </c>
      <c r="AK2" s="127">
        <f>'RAW IMPORT'!AK2</f>
        <v>0</v>
      </c>
      <c r="AL2" s="127">
        <f>'RAW IMPORT'!AL2</f>
        <v>0</v>
      </c>
      <c r="AM2" s="127" t="str">
        <f>'RAW IMPORT'!AM2</f>
        <v>Material</v>
      </c>
      <c r="AN2" s="127">
        <f>'RAW IMPORT'!AN2</f>
        <v>0</v>
      </c>
      <c r="AO2" s="127">
        <f>'RAW IMPORT'!AO2</f>
        <v>0</v>
      </c>
      <c r="AP2" s="127">
        <f>'RAW IMPORT'!AP2</f>
        <v>0</v>
      </c>
      <c r="AQ2" s="127" t="str">
        <f>'RAW IMPORT'!AQ2</f>
        <v>Typ</v>
      </c>
      <c r="AR2" s="127">
        <f>'RAW IMPORT'!AR2</f>
        <v>0</v>
      </c>
      <c r="AS2" s="127">
        <f>'RAW IMPORT'!AS2</f>
        <v>0</v>
      </c>
      <c r="AT2" s="127">
        <f>'RAW IMPORT'!AT2</f>
        <v>0</v>
      </c>
      <c r="AU2" s="125">
        <f>'RAW IMPORT'!AU2</f>
        <v>0</v>
      </c>
      <c r="AV2" s="127">
        <f>'RAW IMPORT'!AV2</f>
        <v>0</v>
      </c>
      <c r="AW2" s="127" t="str">
        <f>'RAW IMPORT'!AW2</f>
        <v>Vollblatt</v>
      </c>
      <c r="AX2" s="127">
        <f>'RAW IMPORT'!AX2</f>
        <v>0</v>
      </c>
      <c r="AY2" s="127">
        <f>'RAW IMPORT'!AY2</f>
        <v>0</v>
      </c>
      <c r="AZ2" s="127">
        <f>'RAW IMPORT'!AZ2</f>
        <v>0</v>
      </c>
      <c r="BA2" s="127">
        <f>'RAW IMPORT'!BA2</f>
        <v>0</v>
      </c>
      <c r="BB2" s="125">
        <f>'RAW IMPORT'!BB2</f>
        <v>0</v>
      </c>
      <c r="BC2" s="127" t="str">
        <f>'RAW IMPORT'!BC2</f>
        <v>Profiltür</v>
      </c>
      <c r="BD2" s="125">
        <f>'RAW IMPORT'!BD2</f>
        <v>0</v>
      </c>
      <c r="BE2" s="127">
        <f>'RAW IMPORT'!BE2</f>
        <v>0</v>
      </c>
      <c r="BF2" s="127">
        <f>'RAW IMPORT'!BF2</f>
        <v>0</v>
      </c>
      <c r="BG2" s="127" t="str">
        <f>'RAW IMPORT'!BG2</f>
        <v>Lochung</v>
      </c>
      <c r="BH2" s="127">
        <f>'RAW IMPORT'!BH2</f>
        <v>0</v>
      </c>
      <c r="BI2" s="127">
        <f>'RAW IMPORT'!BI2</f>
        <v>0</v>
      </c>
      <c r="BJ2" s="127">
        <f>'RAW IMPORT'!BJ2</f>
        <v>0</v>
      </c>
      <c r="BK2" s="127">
        <f>'RAW IMPORT'!BK2</f>
        <v>0</v>
      </c>
      <c r="BL2" s="127">
        <f>'RAW IMPORT'!BL2</f>
        <v>0</v>
      </c>
      <c r="BM2" s="127">
        <f>'RAW IMPORT'!BM2</f>
        <v>0</v>
      </c>
      <c r="BN2" s="127">
        <f>'RAW IMPORT'!BN2</f>
        <v>0</v>
      </c>
      <c r="BO2" s="127">
        <f>'RAW IMPORT'!BO2</f>
        <v>0</v>
      </c>
      <c r="BP2" s="127" t="str">
        <f>'RAW IMPORT'!BP2</f>
        <v>Darstellung</v>
      </c>
      <c r="BQ2" s="127">
        <f>'RAW IMPORT'!BQ2</f>
        <v>0</v>
      </c>
      <c r="BR2" s="127">
        <f>'RAW IMPORT'!BR2</f>
        <v>0</v>
      </c>
      <c r="BS2" s="127">
        <f>'RAW IMPORT'!BS2</f>
        <v>0</v>
      </c>
      <c r="BT2" s="127">
        <f>'RAW IMPORT'!BT2</f>
        <v>0</v>
      </c>
      <c r="BU2" s="127">
        <f>'RAW IMPORT'!BU2</f>
        <v>0</v>
      </c>
      <c r="BV2" s="127">
        <f>'RAW IMPORT'!BV2</f>
        <v>0</v>
      </c>
      <c r="BW2" s="241">
        <f>'RAW IMPORT'!BZ2</f>
        <v>0</v>
      </c>
      <c r="BX2" s="241">
        <f>'RAW IMPORT'!CA2</f>
        <v>0</v>
      </c>
      <c r="BY2" s="126"/>
      <c r="BZ2" s="126"/>
    </row>
    <row r="3" spans="1:83" ht="169.5" customHeight="1" thickBot="1" x14ac:dyDescent="0.3">
      <c r="A3" s="305" t="str">
        <f>'RAW IMPORT'!A3</f>
        <v>Produkt</v>
      </c>
      <c r="B3" s="305">
        <f>'RAW IMPORT'!B3</f>
        <v>0</v>
      </c>
      <c r="C3" s="242" t="str">
        <f>'RAW IMPORT'!C3</f>
        <v>Brandschutz</v>
      </c>
      <c r="D3" s="242" t="str">
        <f>'RAW IMPORT'!D3</f>
        <v>Rauchschutz</v>
      </c>
      <c r="E3" s="242" t="str">
        <f>'RAW IMPORT'!E3</f>
        <v>Schallschutz</v>
      </c>
      <c r="F3" s="243" t="str">
        <f>'RAW IMPORT'!F3</f>
        <v>U-Wert</v>
      </c>
      <c r="G3" s="242" t="str">
        <f>'RAW IMPORT'!G3</f>
        <v>Einbruchschutz</v>
      </c>
      <c r="H3" s="243" t="str">
        <f>'RAW IMPORT'!H3</f>
        <v>Beschußsicherheit</v>
      </c>
      <c r="I3" s="243" t="str">
        <f>'RAW IMPORT'!I3</f>
        <v>Sprengwirkungsschutz</v>
      </c>
      <c r="J3" s="243" t="str">
        <f>'RAW IMPORT'!J3</f>
        <v>Strahlenschutz</v>
      </c>
      <c r="K3" s="243" t="str">
        <f>'RAW IMPORT'!K3</f>
        <v>Laserschutz</v>
      </c>
      <c r="L3" s="243" t="str">
        <f>'RAW IMPORT'!L3</f>
        <v>Hochwasserschutz</v>
      </c>
      <c r="M3" s="243" t="str">
        <f>'RAW IMPORT'!M3</f>
        <v>Vandalismus</v>
      </c>
      <c r="N3" s="243" t="str">
        <f>'RAW IMPORT'!N3</f>
        <v>Gasschutz</v>
      </c>
      <c r="O3" s="243" t="str">
        <f>'RAW IMPORT'!O3</f>
        <v>Flucht- und Rettungsweg</v>
      </c>
      <c r="P3" s="243" t="str">
        <f>'RAW IMPORT'!P3</f>
        <v>Hygiene</v>
      </c>
      <c r="Q3" s="243" t="str">
        <f>'RAW IMPORT'!Q3</f>
        <v>Nachhaltigkeit</v>
      </c>
      <c r="R3" s="243" t="str">
        <f>'RAW IMPORT'!R3</f>
        <v>Explosionsschutz</v>
      </c>
      <c r="S3" s="243" t="str">
        <f>'RAW IMPORT'!S3</f>
        <v>Mechanische Beanspruchung</v>
      </c>
      <c r="T3" s="243" t="str">
        <f>'RAW IMPORT'!T3</f>
        <v>Korrosionschutz</v>
      </c>
      <c r="U3" s="243" t="str">
        <f>'RAW IMPORT'!U3</f>
        <v>Nutzungsdauer</v>
      </c>
      <c r="V3" s="243" t="str">
        <f>'RAW IMPORT'!V3</f>
        <v>Nutzungsintensität</v>
      </c>
      <c r="W3" s="243" t="str">
        <f>'RAW IMPORT'!W3</f>
        <v>Elektrom. Abschirmung</v>
      </c>
      <c r="X3" s="243" t="str">
        <f>'RAW IMPORT'!X3</f>
        <v>Nutzungstyp</v>
      </c>
      <c r="Y3" s="243" t="str">
        <f>'RAW IMPORT'!Y3</f>
        <v>Einbruchmeldeanlage</v>
      </c>
      <c r="Z3" s="243" t="str">
        <f>'RAW IMPORT'!Z3</f>
        <v>Unfallverhütung</v>
      </c>
      <c r="AA3" s="243" t="str">
        <f>'RAW IMPORT'!AA3</f>
        <v>Barrierefreiheit</v>
      </c>
      <c r="AB3" s="243" t="str">
        <f>'RAW IMPORT'!AB3</f>
        <v>Bedienkraft</v>
      </c>
      <c r="AC3" s="243" t="str">
        <f>'RAW IMPORT'!AC3</f>
        <v>Gebrauchskategorie</v>
      </c>
      <c r="AD3" s="243" t="str">
        <f>'RAW IMPORT'!AD3</f>
        <v>Dauerhaftigkeit</v>
      </c>
      <c r="AE3" s="243" t="str">
        <f>'RAW IMPORT'!AE3</f>
        <v>max. Gewicht</v>
      </c>
      <c r="AF3" s="243" t="str">
        <f>'RAW IMPORT'!AF3</f>
        <v>Feuerbeständigkeit</v>
      </c>
      <c r="AG3" s="243" t="str">
        <f>'RAW IMPORT'!AG3</f>
        <v>Sicherheitsklasse</v>
      </c>
      <c r="AH3" s="243" t="str">
        <f>'RAW IMPORT'!AH3</f>
        <v>Korrosionsbeständigkeit</v>
      </c>
      <c r="AI3" s="243" t="str">
        <f>'RAW IMPORT'!AI3</f>
        <v>Einbruchschutz</v>
      </c>
      <c r="AJ3" s="243" t="str">
        <f>'RAW IMPORT'!AJ3</f>
        <v>Federunterstützt</v>
      </c>
      <c r="AK3" s="243" t="str">
        <f>'RAW IMPORT'!AK3</f>
        <v>Federvorspannung</v>
      </c>
      <c r="AL3" s="243" t="str">
        <f>'RAW IMPORT'!AL3</f>
        <v>ohne Feder</v>
      </c>
      <c r="AM3" s="244" t="str">
        <f>'RAW IMPORT'!AM3</f>
        <v>Edelstahl Rostfrei ER</v>
      </c>
      <c r="AN3" s="244" t="str">
        <f>'RAW IMPORT'!AN3</f>
        <v>ER Oberfläche gebürstet (default)</v>
      </c>
      <c r="AO3" s="244" t="str">
        <f>'RAW IMPORT'!AO3</f>
        <v>ER Oberfläche poliert</v>
      </c>
      <c r="AP3" s="244" t="str">
        <f>'RAW IMPORT'!AP3</f>
        <v>Aluminium gebürstet ALU</v>
      </c>
      <c r="AQ3" s="243" t="str">
        <f>'RAW IMPORT'!AQ3</f>
        <v>Drücker/Drücker</v>
      </c>
      <c r="AR3" s="243" t="str">
        <f>'RAW IMPORT'!AR3</f>
        <v>Drücker/Knopf</v>
      </c>
      <c r="AS3" s="243" t="str">
        <f>'RAW IMPORT'!AS3</f>
        <v>Drücker/Blind</v>
      </c>
      <c r="AT3" s="243" t="str">
        <f>'RAW IMPORT'!AT3</f>
        <v>Drücker/Halbgarnitur</v>
      </c>
      <c r="AU3" s="243" t="str">
        <f>'RAW IMPORT'!AU3</f>
        <v>Drücker Brailleschrift</v>
      </c>
      <c r="AV3" s="243" t="str">
        <f>'RAW IMPORT'!AV3</f>
        <v>Drücker Standflügelverriegelung</v>
      </c>
      <c r="AW3" s="245" t="str">
        <f>'RAW IMPORT'!AW3</f>
        <v>Rosetten rund</v>
      </c>
      <c r="AX3" s="245" t="str">
        <f>'RAW IMPORT'!AX3</f>
        <v>Langschild rund</v>
      </c>
      <c r="AY3" s="245" t="str">
        <f>'RAW IMPORT'!AY3</f>
        <v>Langschild käntig</v>
      </c>
      <c r="AZ3" s="245" t="str">
        <f>'RAW IMPORT'!AZ3</f>
        <v>Kurzsschild rund</v>
      </c>
      <c r="BA3" s="245" t="str">
        <f>'RAW IMPORT'!BA3</f>
        <v>Kurzschild käntig</v>
      </c>
      <c r="BB3" s="245" t="str">
        <f>'RAW IMPORT'!BB3</f>
        <v>Breitschild</v>
      </c>
      <c r="BC3" s="243" t="str">
        <f>'RAW IMPORT'!BC3</f>
        <v>Drücker verkröpft / abgewinkelt</v>
      </c>
      <c r="BD3" s="245" t="str">
        <f>'RAW IMPORT'!BD3</f>
        <v>Profilrosetten rund</v>
      </c>
      <c r="BE3" s="245" t="str">
        <f>'RAW IMPORT'!BE3</f>
        <v>Profilrosetten Käntig</v>
      </c>
      <c r="BF3" s="245" t="str">
        <f>'RAW IMPORT'!BF3</f>
        <v>Profil-Langschild</v>
      </c>
      <c r="BG3" s="245" t="str">
        <f>'RAW IMPORT'!BG3</f>
        <v>Buntbart</v>
      </c>
      <c r="BH3" s="245" t="str">
        <f>'RAW IMPORT'!BH3</f>
        <v>Profilzylinder</v>
      </c>
      <c r="BI3" s="245" t="str">
        <f>'RAW IMPORT'!BI3</f>
        <v>Rundzylinder (nicht bei Profiltür)</v>
      </c>
      <c r="BJ3" s="245" t="str">
        <f>'RAW IMPORT'!BJ3</f>
        <v>Ovalzylinder (nicht bei Profiltür)</v>
      </c>
      <c r="BK3" s="245" t="str">
        <f>'RAW IMPORT'!BK3</f>
        <v>Blind ohne Lochung</v>
      </c>
      <c r="BL3" s="245" t="str">
        <f>'RAW IMPORT'!BL3</f>
        <v>WC Knebel Schaubild</v>
      </c>
      <c r="BM3" s="243" t="str">
        <f>'RAW IMPORT'!BM3</f>
        <v>Art Drücker=1, Knopf=2, Knopf drehbar=3, 10+ Schilder</v>
      </c>
      <c r="BN3" s="243" t="str">
        <f>'RAW IMPORT'!BN3</f>
        <v>CH - Lochung</v>
      </c>
      <c r="BO3" s="243" t="str">
        <f>'RAW IMPORT'!BO3</f>
        <v>LoD</v>
      </c>
      <c r="BP3" s="243" t="str">
        <f>'RAW IMPORT'!BP3</f>
        <v>2D-Modell</v>
      </c>
      <c r="BQ3" s="243" t="str">
        <f>'RAW IMPORT'!BQ3</f>
        <v>3D-Modell</v>
      </c>
      <c r="BR3" s="243" t="str">
        <f>'RAW IMPORT'!BR3</f>
        <v>Dorn/Dicke</v>
      </c>
      <c r="BS3" s="243" t="str">
        <f>'RAW IMPORT'!BS3</f>
        <v>Breite</v>
      </c>
      <c r="BT3" s="243" t="str">
        <f>'RAW IMPORT'!BT3</f>
        <v>Tiefe</v>
      </c>
      <c r="BU3" s="243" t="str">
        <f>'RAW IMPORT'!BU3</f>
        <v>VersatzX</v>
      </c>
      <c r="BV3" s="243">
        <f>'RAW IMPORT'!BV3</f>
        <v>0</v>
      </c>
      <c r="BW3" s="243">
        <f>'RAW IMPORT'!BW3</f>
        <v>0</v>
      </c>
      <c r="BX3" s="243">
        <f>'RAW IMPORT'!BX3</f>
        <v>0</v>
      </c>
      <c r="BY3" s="171" t="s">
        <v>750</v>
      </c>
      <c r="BZ3" s="171"/>
      <c r="CB3" s="306" t="s">
        <v>795</v>
      </c>
      <c r="CC3" s="306"/>
    </row>
    <row r="4" spans="1:83" ht="126.6" outlineLevel="1" thickTop="1" x14ac:dyDescent="0.25">
      <c r="A4" s="211" t="str">
        <f>A14</f>
        <v>Serie</v>
      </c>
      <c r="B4" s="212" t="str">
        <f>B14</f>
        <v>Bezeichnung</v>
      </c>
      <c r="C4" s="212" t="str">
        <f>C3</f>
        <v>Brandschutz</v>
      </c>
      <c r="D4" s="212" t="str">
        <f t="shared" ref="D4:BH4" si="0">D3</f>
        <v>Rauchschutz</v>
      </c>
      <c r="E4" s="212" t="str">
        <f t="shared" si="0"/>
        <v>Schallschutz</v>
      </c>
      <c r="F4" s="212" t="str">
        <f t="shared" si="0"/>
        <v>U-Wert</v>
      </c>
      <c r="G4" s="212" t="str">
        <f t="shared" si="0"/>
        <v>Einbruchschutz</v>
      </c>
      <c r="H4" s="212" t="str">
        <f t="shared" si="0"/>
        <v>Beschußsicherheit</v>
      </c>
      <c r="I4" s="212" t="str">
        <f t="shared" si="0"/>
        <v>Sprengwirkungsschutz</v>
      </c>
      <c r="J4" s="212" t="str">
        <f t="shared" si="0"/>
        <v>Strahlenschutz</v>
      </c>
      <c r="K4" s="212" t="str">
        <f t="shared" si="0"/>
        <v>Laserschutz</v>
      </c>
      <c r="L4" s="212" t="str">
        <f t="shared" si="0"/>
        <v>Hochwasserschutz</v>
      </c>
      <c r="M4" s="212" t="str">
        <f t="shared" si="0"/>
        <v>Vandalismus</v>
      </c>
      <c r="N4" s="212" t="str">
        <f t="shared" si="0"/>
        <v>Gasschutz</v>
      </c>
      <c r="O4" s="212" t="s">
        <v>751</v>
      </c>
      <c r="P4" s="212" t="str">
        <f t="shared" si="0"/>
        <v>Hygiene</v>
      </c>
      <c r="Q4" s="212" t="str">
        <f t="shared" si="0"/>
        <v>Nachhaltigkeit</v>
      </c>
      <c r="R4" s="212" t="str">
        <f t="shared" si="0"/>
        <v>Explosionsschutz</v>
      </c>
      <c r="S4" s="212" t="s">
        <v>752</v>
      </c>
      <c r="T4" s="212" t="str">
        <f t="shared" si="0"/>
        <v>Korrosionschutz</v>
      </c>
      <c r="U4" s="212" t="str">
        <f t="shared" si="0"/>
        <v>Nutzungsdauer</v>
      </c>
      <c r="V4" s="212" t="str">
        <f t="shared" si="0"/>
        <v>Nutzungsintensität</v>
      </c>
      <c r="W4" s="212" t="str">
        <f t="shared" si="0"/>
        <v>Elektrom. Abschirmung</v>
      </c>
      <c r="X4" s="212" t="str">
        <f t="shared" si="0"/>
        <v>Nutzungstyp</v>
      </c>
      <c r="Y4" s="212" t="str">
        <f t="shared" si="0"/>
        <v>Einbruchmeldeanlage</v>
      </c>
      <c r="Z4" s="212" t="str">
        <f t="shared" si="0"/>
        <v>Unfallverhütung</v>
      </c>
      <c r="AA4" s="212" t="str">
        <f t="shared" si="0"/>
        <v>Barrierefreiheit</v>
      </c>
      <c r="AB4" s="212" t="str">
        <f t="shared" si="0"/>
        <v>Bedienkraft</v>
      </c>
      <c r="AC4" s="212" t="str">
        <f t="shared" si="0"/>
        <v>Gebrauchskategorie</v>
      </c>
      <c r="AD4" s="212" t="str">
        <f t="shared" si="0"/>
        <v>Dauerhaftigkeit</v>
      </c>
      <c r="AE4" s="212" t="s">
        <v>151</v>
      </c>
      <c r="AF4" s="212" t="s">
        <v>753</v>
      </c>
      <c r="AG4" s="212" t="str">
        <f t="shared" si="0"/>
        <v>Sicherheitsklasse</v>
      </c>
      <c r="AH4" s="212" t="s">
        <v>754</v>
      </c>
      <c r="AI4" s="212" t="s">
        <v>755</v>
      </c>
      <c r="AJ4" s="212" t="str">
        <f t="shared" si="0"/>
        <v>Federunterstützt</v>
      </c>
      <c r="AK4" s="212" t="str">
        <f t="shared" si="0"/>
        <v>Federvorspannung</v>
      </c>
      <c r="AL4" s="212" t="s">
        <v>756</v>
      </c>
      <c r="AM4" s="212" t="s">
        <v>757</v>
      </c>
      <c r="AN4" s="212" t="s">
        <v>758</v>
      </c>
      <c r="AO4" s="212" t="s">
        <v>759</v>
      </c>
      <c r="AP4" s="212" t="s">
        <v>760</v>
      </c>
      <c r="AQ4" s="212" t="s">
        <v>761</v>
      </c>
      <c r="AR4" s="212" t="s">
        <v>343</v>
      </c>
      <c r="AS4" s="212" t="s">
        <v>762</v>
      </c>
      <c r="AT4" s="212" t="s">
        <v>763</v>
      </c>
      <c r="AU4" s="212" t="s">
        <v>764</v>
      </c>
      <c r="AV4" s="212" t="s">
        <v>765</v>
      </c>
      <c r="AW4" s="212" t="s">
        <v>766</v>
      </c>
      <c r="AX4" s="212" t="s">
        <v>767</v>
      </c>
      <c r="AY4" s="212" t="s">
        <v>768</v>
      </c>
      <c r="AZ4" s="212" t="s">
        <v>769</v>
      </c>
      <c r="BA4" s="212" t="s">
        <v>770</v>
      </c>
      <c r="BB4" s="212" t="str">
        <f t="shared" si="0"/>
        <v>Breitschild</v>
      </c>
      <c r="BC4" s="212" t="s">
        <v>771</v>
      </c>
      <c r="BD4" s="212" t="s">
        <v>772</v>
      </c>
      <c r="BE4" s="212" t="s">
        <v>773</v>
      </c>
      <c r="BF4" s="212" t="s">
        <v>774</v>
      </c>
      <c r="BG4" s="212" t="str">
        <f t="shared" si="0"/>
        <v>Buntbart</v>
      </c>
      <c r="BH4" s="212" t="str">
        <f t="shared" si="0"/>
        <v>Profilzylinder</v>
      </c>
      <c r="BI4" s="212" t="s">
        <v>775</v>
      </c>
      <c r="BJ4" s="212" t="s">
        <v>776</v>
      </c>
      <c r="BK4" s="212" t="s">
        <v>777</v>
      </c>
      <c r="BL4" s="212" t="s">
        <v>778</v>
      </c>
      <c r="BM4" s="212" t="s">
        <v>205</v>
      </c>
      <c r="BN4" s="213" t="s">
        <v>836</v>
      </c>
      <c r="BO4" s="211" t="str">
        <f>BO3</f>
        <v>LoD</v>
      </c>
      <c r="BP4" s="214" t="str">
        <f>BP3</f>
        <v>2D-Modell</v>
      </c>
      <c r="BQ4" s="212" t="str">
        <f>BQ3</f>
        <v>3D-Modell</v>
      </c>
      <c r="BR4" s="212" t="s">
        <v>896</v>
      </c>
      <c r="BS4" s="212" t="str">
        <f>BS3</f>
        <v>Breite</v>
      </c>
      <c r="BT4" s="212" t="str">
        <f>BT3</f>
        <v>Tiefe</v>
      </c>
      <c r="BU4" s="212" t="str">
        <f>BU3</f>
        <v>VersatzX</v>
      </c>
      <c r="BV4" s="215" t="s">
        <v>885</v>
      </c>
      <c r="BW4" s="212" t="s">
        <v>788</v>
      </c>
      <c r="BX4" s="212" t="s">
        <v>789</v>
      </c>
      <c r="BY4" s="246" t="s">
        <v>906</v>
      </c>
      <c r="BZ4" s="247" t="s">
        <v>907</v>
      </c>
      <c r="CB4" s="168" t="s">
        <v>617</v>
      </c>
      <c r="CC4" s="168" t="s">
        <v>818</v>
      </c>
      <c r="CD4" s="203" t="s">
        <v>877</v>
      </c>
    </row>
    <row r="5" spans="1:83" s="153" customFormat="1" ht="14.4" outlineLevel="1" x14ac:dyDescent="0.25">
      <c r="A5" s="194">
        <v>1</v>
      </c>
      <c r="B5" s="152">
        <f>A5+1</f>
        <v>2</v>
      </c>
      <c r="C5" s="151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90"/>
      <c r="BO5" s="194"/>
      <c r="BP5" s="152"/>
      <c r="BQ5" s="151"/>
      <c r="BR5" s="151"/>
      <c r="BS5" s="151"/>
      <c r="BT5" s="151"/>
      <c r="BU5" s="151"/>
      <c r="BV5" s="195"/>
      <c r="BW5" s="151"/>
      <c r="BX5" s="152"/>
      <c r="BY5" s="249" t="s">
        <v>780</v>
      </c>
      <c r="BZ5" s="248">
        <v>0</v>
      </c>
    </row>
    <row r="6" spans="1:83" s="153" customFormat="1" ht="14.4" outlineLevel="1" x14ac:dyDescent="0.25">
      <c r="A6" s="194"/>
      <c r="B6" s="151"/>
      <c r="C6" s="152">
        <v>1</v>
      </c>
      <c r="D6" s="152">
        <f>C6+1</f>
        <v>2</v>
      </c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>
        <v>3</v>
      </c>
      <c r="P6" s="152">
        <f>O6+1</f>
        <v>4</v>
      </c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  <c r="AH6" s="152"/>
      <c r="AI6" s="152"/>
      <c r="AJ6" s="152"/>
      <c r="AK6" s="152"/>
      <c r="AL6" s="152"/>
      <c r="AM6" s="152"/>
      <c r="AN6" s="152"/>
      <c r="AO6" s="152"/>
      <c r="AP6" s="152"/>
      <c r="AQ6" s="152"/>
      <c r="AR6" s="152"/>
      <c r="AS6" s="152"/>
      <c r="AT6" s="152"/>
      <c r="AU6" s="152"/>
      <c r="AV6" s="152">
        <v>5</v>
      </c>
      <c r="AW6" s="152"/>
      <c r="AX6" s="152"/>
      <c r="AY6" s="152"/>
      <c r="AZ6" s="152"/>
      <c r="BA6" s="152"/>
      <c r="BB6" s="152"/>
      <c r="BC6" s="152">
        <v>6</v>
      </c>
      <c r="BD6" s="152"/>
      <c r="BE6" s="152"/>
      <c r="BF6" s="152"/>
      <c r="BG6" s="152"/>
      <c r="BH6" s="152"/>
      <c r="BI6" s="152"/>
      <c r="BJ6" s="152"/>
      <c r="BK6" s="152"/>
      <c r="BL6" s="152"/>
      <c r="BM6" s="152"/>
      <c r="BN6" s="190"/>
      <c r="BO6" s="194"/>
      <c r="BP6" s="152"/>
      <c r="BQ6" s="151"/>
      <c r="BR6" s="151"/>
      <c r="BS6" s="151"/>
      <c r="BT6" s="151"/>
      <c r="BU6" s="151"/>
      <c r="BV6" s="195"/>
      <c r="BW6" s="151"/>
      <c r="BX6" s="152"/>
      <c r="BY6" s="249" t="s">
        <v>781</v>
      </c>
      <c r="BZ6" s="248">
        <v>0</v>
      </c>
    </row>
    <row r="7" spans="1:83" s="153" customFormat="1" ht="14.4" outlineLevel="1" x14ac:dyDescent="0.25">
      <c r="A7" s="194"/>
      <c r="B7" s="151"/>
      <c r="C7" s="151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  <c r="AW7" s="152"/>
      <c r="AX7" s="152"/>
      <c r="AY7" s="152"/>
      <c r="AZ7" s="152"/>
      <c r="BA7" s="152"/>
      <c r="BB7" s="152"/>
      <c r="BC7" s="152"/>
      <c r="BD7" s="152"/>
      <c r="BE7" s="152"/>
      <c r="BF7" s="152"/>
      <c r="BG7" s="152"/>
      <c r="BH7" s="152"/>
      <c r="BI7" s="152"/>
      <c r="BJ7" s="152"/>
      <c r="BK7" s="152"/>
      <c r="BL7" s="152"/>
      <c r="BM7" s="152">
        <v>1</v>
      </c>
      <c r="BN7" s="190"/>
      <c r="BO7" s="194"/>
      <c r="BP7" s="152"/>
      <c r="BQ7" s="151"/>
      <c r="BR7" s="151"/>
      <c r="BS7" s="151"/>
      <c r="BT7" s="151"/>
      <c r="BU7" s="151"/>
      <c r="BV7" s="195"/>
      <c r="BW7" s="151">
        <v>2</v>
      </c>
      <c r="BX7" s="152">
        <f>BW7+1</f>
        <v>3</v>
      </c>
      <c r="BY7" s="249" t="s">
        <v>837</v>
      </c>
      <c r="BZ7" s="248">
        <v>0</v>
      </c>
    </row>
    <row r="8" spans="1:83" s="153" customFormat="1" ht="14.4" outlineLevel="1" x14ac:dyDescent="0.25">
      <c r="A8" s="194"/>
      <c r="B8" s="151"/>
      <c r="C8" s="151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>
        <v>1</v>
      </c>
      <c r="AD8" s="152">
        <f>AC8+1</f>
        <v>2</v>
      </c>
      <c r="AE8" s="152"/>
      <c r="AF8" s="152">
        <v>3</v>
      </c>
      <c r="AG8" s="152">
        <f>AF8+1</f>
        <v>4</v>
      </c>
      <c r="AH8" s="152">
        <f>AG8+1</f>
        <v>5</v>
      </c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52">
        <v>6</v>
      </c>
      <c r="AV8" s="152"/>
      <c r="AW8" s="152"/>
      <c r="AX8" s="152"/>
      <c r="AY8" s="152"/>
      <c r="AZ8" s="152"/>
      <c r="BA8" s="152"/>
      <c r="BB8" s="152"/>
      <c r="BC8" s="152"/>
      <c r="BD8" s="152"/>
      <c r="BE8" s="152"/>
      <c r="BF8" s="152"/>
      <c r="BG8" s="152"/>
      <c r="BH8" s="152"/>
      <c r="BI8" s="152"/>
      <c r="BJ8" s="152"/>
      <c r="BK8" s="152"/>
      <c r="BL8" s="152"/>
      <c r="BM8" s="152"/>
      <c r="BN8" s="190"/>
      <c r="BO8" s="194"/>
      <c r="BP8" s="152"/>
      <c r="BQ8" s="151"/>
      <c r="BR8" s="151"/>
      <c r="BS8" s="151"/>
      <c r="BT8" s="151"/>
      <c r="BU8" s="151"/>
      <c r="BV8" s="195"/>
      <c r="BW8" s="151"/>
      <c r="BX8" s="152"/>
      <c r="BY8" s="249" t="s">
        <v>782</v>
      </c>
      <c r="BZ8" s="248">
        <v>0</v>
      </c>
    </row>
    <row r="9" spans="1:83" s="153" customFormat="1" ht="14.4" outlineLevel="1" x14ac:dyDescent="0.25">
      <c r="A9" s="194"/>
      <c r="B9" s="151"/>
      <c r="C9" s="151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>
        <f>AL9+1</f>
        <v>1</v>
      </c>
      <c r="AN9" s="152">
        <f>AM9+1</f>
        <v>2</v>
      </c>
      <c r="AO9" s="152">
        <f>AN9+1</f>
        <v>3</v>
      </c>
      <c r="AP9" s="152">
        <f>AO9+1</f>
        <v>4</v>
      </c>
      <c r="AQ9" s="152"/>
      <c r="AR9" s="152"/>
      <c r="AS9" s="152"/>
      <c r="AT9" s="152"/>
      <c r="AU9" s="152"/>
      <c r="AV9" s="152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2"/>
      <c r="BJ9" s="152"/>
      <c r="BK9" s="152"/>
      <c r="BL9" s="152"/>
      <c r="BM9" s="152"/>
      <c r="BN9" s="190"/>
      <c r="BO9" s="194"/>
      <c r="BP9" s="152"/>
      <c r="BQ9" s="151"/>
      <c r="BR9" s="151"/>
      <c r="BS9" s="151"/>
      <c r="BT9" s="151"/>
      <c r="BU9" s="151"/>
      <c r="BV9" s="195"/>
      <c r="BW9" s="151"/>
      <c r="BX9" s="152"/>
      <c r="BY9" s="249" t="s">
        <v>812</v>
      </c>
      <c r="BZ9" s="248">
        <v>0</v>
      </c>
    </row>
    <row r="10" spans="1:83" s="153" customFormat="1" ht="14.4" outlineLevel="1" x14ac:dyDescent="0.25">
      <c r="A10" s="194"/>
      <c r="B10" s="151"/>
      <c r="C10" s="151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  <c r="AH10" s="152"/>
      <c r="AI10" s="152"/>
      <c r="AJ10" s="152"/>
      <c r="AK10" s="152"/>
      <c r="AL10" s="152"/>
      <c r="AM10" s="152"/>
      <c r="AN10" s="152"/>
      <c r="AO10" s="152"/>
      <c r="AP10" s="152"/>
      <c r="AQ10" s="152"/>
      <c r="AR10" s="152"/>
      <c r="AS10" s="152"/>
      <c r="AT10" s="152"/>
      <c r="AU10" s="152"/>
      <c r="AV10" s="152"/>
      <c r="AW10" s="152">
        <f t="shared" ref="AW10:BB10" si="1">AV10+1</f>
        <v>1</v>
      </c>
      <c r="AX10" s="152">
        <f t="shared" si="1"/>
        <v>2</v>
      </c>
      <c r="AY10" s="152">
        <f t="shared" si="1"/>
        <v>3</v>
      </c>
      <c r="AZ10" s="152">
        <f t="shared" si="1"/>
        <v>4</v>
      </c>
      <c r="BA10" s="152">
        <f t="shared" si="1"/>
        <v>5</v>
      </c>
      <c r="BB10" s="152">
        <f t="shared" si="1"/>
        <v>6</v>
      </c>
      <c r="BC10" s="152"/>
      <c r="BD10" s="152"/>
      <c r="BE10" s="152"/>
      <c r="BF10" s="152"/>
      <c r="BG10" s="152"/>
      <c r="BH10" s="152"/>
      <c r="BI10" s="152"/>
      <c r="BJ10" s="152"/>
      <c r="BK10" s="152"/>
      <c r="BL10" s="152"/>
      <c r="BM10" s="152"/>
      <c r="BN10" s="190"/>
      <c r="BO10" s="194"/>
      <c r="BP10" s="152"/>
      <c r="BQ10" s="151"/>
      <c r="BR10" s="151"/>
      <c r="BS10" s="151"/>
      <c r="BT10" s="151"/>
      <c r="BU10" s="151"/>
      <c r="BV10" s="195">
        <v>7</v>
      </c>
      <c r="BW10" s="151"/>
      <c r="BX10" s="152"/>
      <c r="BY10" s="249" t="s">
        <v>810</v>
      </c>
      <c r="BZ10" s="248">
        <v>0</v>
      </c>
    </row>
    <row r="11" spans="1:83" s="153" customFormat="1" ht="14.4" outlineLevel="1" x14ac:dyDescent="0.25">
      <c r="A11" s="194"/>
      <c r="B11" s="151"/>
      <c r="C11" s="151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D11" s="152">
        <v>1</v>
      </c>
      <c r="BE11" s="152">
        <f>BD11+1</f>
        <v>2</v>
      </c>
      <c r="BF11" s="152">
        <f>BE11+1</f>
        <v>3</v>
      </c>
      <c r="BG11" s="152"/>
      <c r="BH11" s="152"/>
      <c r="BI11" s="152"/>
      <c r="BJ11" s="152"/>
      <c r="BK11" s="152"/>
      <c r="BL11" s="152"/>
      <c r="BM11" s="152"/>
      <c r="BN11" s="190"/>
      <c r="BO11" s="194"/>
      <c r="BP11" s="152"/>
      <c r="BQ11" s="151"/>
      <c r="BR11" s="151"/>
      <c r="BS11" s="151"/>
      <c r="BT11" s="151"/>
      <c r="BU11" s="151"/>
      <c r="BV11" s="195"/>
      <c r="BW11" s="151"/>
      <c r="BX11" s="152"/>
      <c r="BY11" s="249" t="s">
        <v>811</v>
      </c>
      <c r="BZ11" s="248">
        <v>0</v>
      </c>
    </row>
    <row r="12" spans="1:83" s="153" customFormat="1" ht="14.4" outlineLevel="1" x14ac:dyDescent="0.25">
      <c r="A12" s="194"/>
      <c r="B12" s="151"/>
      <c r="C12" s="151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>
        <v>1</v>
      </c>
      <c r="BH12" s="152">
        <f>BG12+1</f>
        <v>2</v>
      </c>
      <c r="BI12" s="152">
        <f>BH12+1</f>
        <v>3</v>
      </c>
      <c r="BJ12" s="152">
        <f>BI12+1</f>
        <v>4</v>
      </c>
      <c r="BK12" s="152">
        <f>BJ12+1</f>
        <v>5</v>
      </c>
      <c r="BL12" s="152">
        <f>BK12+1</f>
        <v>6</v>
      </c>
      <c r="BM12" s="152"/>
      <c r="BN12" s="190">
        <v>7</v>
      </c>
      <c r="BO12" s="194"/>
      <c r="BP12" s="152"/>
      <c r="BQ12" s="151"/>
      <c r="BR12" s="151"/>
      <c r="BS12" s="151"/>
      <c r="BT12" s="151"/>
      <c r="BU12" s="151"/>
      <c r="BV12" s="195"/>
      <c r="BW12" s="151"/>
      <c r="BX12" s="152"/>
      <c r="BY12" s="249" t="s">
        <v>816</v>
      </c>
      <c r="BZ12" s="248">
        <v>0</v>
      </c>
    </row>
    <row r="13" spans="1:83" s="153" customFormat="1" ht="15" outlineLevel="1" thickBot="1" x14ac:dyDescent="0.3">
      <c r="A13" s="216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8"/>
      <c r="BO13" s="216"/>
      <c r="BP13" s="219"/>
      <c r="BQ13" s="217"/>
      <c r="BR13" s="217">
        <v>1</v>
      </c>
      <c r="BS13" s="219">
        <f>BR13+1</f>
        <v>2</v>
      </c>
      <c r="BT13" s="219">
        <f>BS13+1</f>
        <v>3</v>
      </c>
      <c r="BU13" s="219">
        <f>BT13+1</f>
        <v>4</v>
      </c>
      <c r="BV13" s="220"/>
      <c r="BW13" s="217"/>
      <c r="BX13" s="217"/>
      <c r="BY13" s="250" t="s">
        <v>890</v>
      </c>
      <c r="BZ13" s="248">
        <v>0</v>
      </c>
    </row>
    <row r="14" spans="1:83" ht="15.75" customHeight="1" thickTop="1" thickBot="1" x14ac:dyDescent="0.3">
      <c r="A14" s="154" t="str">
        <f>'RAW IMPORT'!A4</f>
        <v>Serie</v>
      </c>
      <c r="B14" s="155" t="str">
        <f>'RAW IMPORT'!B4</f>
        <v>Bezeichnung</v>
      </c>
      <c r="C14" s="156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5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5"/>
      <c r="AC14" s="156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8"/>
      <c r="BO14" s="156"/>
      <c r="BP14" s="157"/>
      <c r="BQ14" s="192"/>
      <c r="BR14" s="192"/>
      <c r="BS14" s="192"/>
      <c r="BT14" s="192"/>
      <c r="BU14" s="192"/>
      <c r="BV14" s="196"/>
      <c r="BW14" s="192"/>
      <c r="BX14" s="157"/>
      <c r="BZ14" s="51"/>
    </row>
    <row r="15" spans="1:83" s="143" customFormat="1" ht="15" customHeight="1" thickTop="1" x14ac:dyDescent="0.25">
      <c r="A15" s="138" t="str">
        <f>'RAW IMPORT'!A5</f>
        <v>OGRO</v>
      </c>
      <c r="B15" s="139">
        <f>'RAW IMPORT'!B5</f>
        <v>8016</v>
      </c>
      <c r="C15" s="142">
        <f>IF('RAW IMPORT'!C5&lt;&gt;"",1,0)</f>
        <v>0</v>
      </c>
      <c r="D15" s="142">
        <f>IF('RAW IMPORT'!D5&lt;&gt;"",1,0)</f>
        <v>0</v>
      </c>
      <c r="E15" s="142">
        <f>IF('RAW IMPORT'!E5&lt;&gt;"",1,0)</f>
        <v>0</v>
      </c>
      <c r="F15" s="142">
        <f>IF('RAW IMPORT'!F5&lt;&gt;"",1,0)</f>
        <v>0</v>
      </c>
      <c r="G15" s="142">
        <f>IF('RAW IMPORT'!G5&lt;&gt;"",1,0)</f>
        <v>0</v>
      </c>
      <c r="H15" s="142">
        <f>IF('RAW IMPORT'!H5&lt;&gt;"",1,0)</f>
        <v>0</v>
      </c>
      <c r="I15" s="142">
        <f>IF('RAW IMPORT'!I5&lt;&gt;"",1,0)</f>
        <v>0</v>
      </c>
      <c r="J15" s="142">
        <f>IF('RAW IMPORT'!J5&lt;&gt;"",1,0)</f>
        <v>0</v>
      </c>
      <c r="K15" s="142">
        <f>IF('RAW IMPORT'!K5&lt;&gt;"",1,0)</f>
        <v>0</v>
      </c>
      <c r="L15" s="142">
        <f>IF('RAW IMPORT'!L5&lt;&gt;"",1,0)</f>
        <v>0</v>
      </c>
      <c r="M15" s="142">
        <f>IF('RAW IMPORT'!M5&lt;&gt;"",1,0)</f>
        <v>0</v>
      </c>
      <c r="N15" s="165">
        <f>IF('RAW IMPORT'!N5&lt;&gt;"",1,0)</f>
        <v>0</v>
      </c>
      <c r="O15" s="167">
        <f>IF('RAW IMPORT'!O5&lt;&gt;"",1,0)</f>
        <v>0</v>
      </c>
      <c r="P15" s="142">
        <f>IF('RAW IMPORT'!P5&lt;&gt;"",1,0)</f>
        <v>0</v>
      </c>
      <c r="Q15" s="142">
        <f>IF('RAW IMPORT'!Q5&lt;&gt;"",1,0)</f>
        <v>0</v>
      </c>
      <c r="R15" s="138">
        <f>'RAW IMPORT'!R5</f>
        <v>0</v>
      </c>
      <c r="S15" s="138">
        <f>'RAW IMPORT'!S5</f>
        <v>7</v>
      </c>
      <c r="T15" s="138">
        <f>'RAW IMPORT'!T5</f>
        <v>5</v>
      </c>
      <c r="U15" s="138">
        <f>'RAW IMPORT'!U5</f>
        <v>0</v>
      </c>
      <c r="V15" s="138">
        <f>'RAW IMPORT'!V5</f>
        <v>0</v>
      </c>
      <c r="W15" s="138">
        <f>'RAW IMPORT'!W5</f>
        <v>0</v>
      </c>
      <c r="X15" s="138">
        <f>'RAW IMPORT'!X5</f>
        <v>0</v>
      </c>
      <c r="Y15" s="138">
        <f>'RAW IMPORT'!Y5</f>
        <v>0</v>
      </c>
      <c r="Z15" s="138">
        <f>'RAW IMPORT'!Z5</f>
        <v>0</v>
      </c>
      <c r="AA15" s="138">
        <f>'RAW IMPORT'!AA5</f>
        <v>0</v>
      </c>
      <c r="AB15" s="139">
        <f>'RAW IMPORT'!AB5</f>
        <v>0</v>
      </c>
      <c r="AC15" s="141">
        <f>'RAW IMPORT'!AC5</f>
        <v>4</v>
      </c>
      <c r="AD15" s="142">
        <f>'RAW IMPORT'!AD5</f>
        <v>7</v>
      </c>
      <c r="AE15" s="142">
        <f>'RAW IMPORT'!AE5</f>
        <v>0</v>
      </c>
      <c r="AF15" s="142">
        <f>IF('RAW IMPORT'!AF5="C1",3,IF('RAW IMPORT'!AF5="D1",4,0))</f>
        <v>0</v>
      </c>
      <c r="AG15" s="142">
        <f>'RAW IMPORT'!AG5</f>
        <v>1</v>
      </c>
      <c r="AH15" s="142">
        <f>'RAW IMPORT'!AH5</f>
        <v>5</v>
      </c>
      <c r="AI15" s="142">
        <f>IF('RAW IMPORT'!AI5="U",1,0)</f>
        <v>0</v>
      </c>
      <c r="AJ15" s="142">
        <f>IF('RAW IMPORT'!AJ5="A",1,0)</f>
        <v>1</v>
      </c>
      <c r="AK15" s="142">
        <f>IF('RAW IMPORT'!AK5="B",1,0)</f>
        <v>1</v>
      </c>
      <c r="AL15" s="142">
        <f>IF('RAW IMPORT'!AL5="U",1,0)</f>
        <v>1</v>
      </c>
      <c r="AM15" s="142">
        <f>IF('RAW IMPORT'!AM5&lt;&gt;"",1,0)</f>
        <v>0</v>
      </c>
      <c r="AN15" s="142">
        <f>IF('RAW IMPORT'!AN5&lt;&gt;"",1,0)</f>
        <v>0</v>
      </c>
      <c r="AO15" s="142">
        <f>IF('RAW IMPORT'!AO5&lt;&gt;"",1,0)</f>
        <v>0</v>
      </c>
      <c r="AP15" s="142">
        <f>IF('RAW IMPORT'!AP5&lt;&gt;"",1,0)</f>
        <v>1</v>
      </c>
      <c r="AQ15" s="142">
        <f>IF('RAW IMPORT'!AQ5&lt;&gt;"",1,0)</f>
        <v>1</v>
      </c>
      <c r="AR15" s="142">
        <f>IF('RAW IMPORT'!AR5&lt;&gt;"",1,0)</f>
        <v>1</v>
      </c>
      <c r="AS15" s="142">
        <f>IF('RAW IMPORT'!AS5&lt;&gt;"",1,0)</f>
        <v>1</v>
      </c>
      <c r="AT15" s="142">
        <f>IF('RAW IMPORT'!AT5&lt;&gt;"",1,0)</f>
        <v>1</v>
      </c>
      <c r="AU15" s="142">
        <f>IF('RAW IMPORT'!AU5&lt;&gt;"",1,0)</f>
        <v>0</v>
      </c>
      <c r="AV15" s="142">
        <f>IF('RAW IMPORT'!AV5&lt;&gt;"",1,0)</f>
        <v>1</v>
      </c>
      <c r="AW15" s="142">
        <f>IF('RAW IMPORT'!AW5&lt;&gt;"",1,0)</f>
        <v>1</v>
      </c>
      <c r="AX15" s="142">
        <f>IF('RAW IMPORT'!AX5&lt;&gt;"",1,0)</f>
        <v>1</v>
      </c>
      <c r="AY15" s="142">
        <f>IF('RAW IMPORT'!AY5&lt;&gt;"",1,0)</f>
        <v>1</v>
      </c>
      <c r="AZ15" s="142">
        <f>IF('RAW IMPORT'!AZ5&lt;&gt;"",1,0)</f>
        <v>1</v>
      </c>
      <c r="BA15" s="142">
        <f>IF('RAW IMPORT'!BA5&lt;&gt;"",1,0)</f>
        <v>1</v>
      </c>
      <c r="BB15" s="142">
        <f>IF('RAW IMPORT'!BB5&lt;&gt;"",1,0)</f>
        <v>1</v>
      </c>
      <c r="BC15" s="142">
        <f>IF('RAW IMPORT'!BC5&lt;&gt;"",1,0)</f>
        <v>0</v>
      </c>
      <c r="BD15" s="142">
        <f>IF('RAW IMPORT'!BD5&lt;&gt;"",1,0)</f>
        <v>1</v>
      </c>
      <c r="BE15" s="142">
        <f>IF('RAW IMPORT'!BE5&lt;&gt;"",1,0)</f>
        <v>1</v>
      </c>
      <c r="BF15" s="142">
        <f>IF('RAW IMPORT'!BF5&lt;&gt;"",1,0)</f>
        <v>0</v>
      </c>
      <c r="BG15" s="142">
        <f>IF('RAW IMPORT'!BG5&lt;&gt;"",1,0)</f>
        <v>1</v>
      </c>
      <c r="BH15" s="142">
        <f>IF('RAW IMPORT'!BH5&lt;&gt;"",1,0)</f>
        <v>1</v>
      </c>
      <c r="BI15" s="142">
        <f>IF('RAW IMPORT'!BI5&lt;&gt;"",1,0)</f>
        <v>1</v>
      </c>
      <c r="BJ15" s="142">
        <f>IF('RAW IMPORT'!BJ5&lt;&gt;"",1,0)</f>
        <v>1</v>
      </c>
      <c r="BK15" s="142">
        <f>IF('RAW IMPORT'!BK5&lt;&gt;"",1,0)</f>
        <v>1</v>
      </c>
      <c r="BL15" s="142">
        <v>1</v>
      </c>
      <c r="BM15" s="142">
        <f>'RAW IMPORT'!BM5</f>
        <v>1</v>
      </c>
      <c r="BN15" s="165">
        <f>'RAW IMPORT'!BN5</f>
        <v>0</v>
      </c>
      <c r="BO15" s="197">
        <f>'RAW IMPORT'!BO5</f>
        <v>3</v>
      </c>
      <c r="BP15" s="142" t="str">
        <f>'RAW IMPORT'!BP5</f>
        <v>DWG</v>
      </c>
      <c r="BQ15" s="141" t="str">
        <f>'RAW IMPORT'!BQ5</f>
        <v>STEP</v>
      </c>
      <c r="BR15" s="141">
        <f>'RAW IMPORT'!BR5</f>
        <v>0.02</v>
      </c>
      <c r="BS15" s="141">
        <f>'RAW IMPORT'!BS5</f>
        <v>0.13</v>
      </c>
      <c r="BT15" s="141">
        <f>'RAW IMPORT'!BT5</f>
        <v>0.06</v>
      </c>
      <c r="BU15" s="141">
        <f>'RAW IMPORT'!BU5</f>
        <v>0.01</v>
      </c>
      <c r="BV15" s="198">
        <f>'RAW IMPORT'!BV5</f>
        <v>0</v>
      </c>
      <c r="BW15" s="141">
        <f>'RAW IMPORT'!BW5</f>
        <v>1</v>
      </c>
      <c r="BX15" s="165">
        <f>'RAW IMPORT'!BX5</f>
        <v>0</v>
      </c>
      <c r="BY15" s="240"/>
      <c r="BZ15" s="126"/>
      <c r="CA15" s="143">
        <f t="shared" ref="CA15:CA46" si="2">ROW()-ROW($BZ$14)</f>
        <v>1</v>
      </c>
      <c r="CB15" s="143">
        <f t="shared" ref="CB15:CB46" ca="1" si="3">IFERROR(VLOOKUP(CB$4,OFFSET($A$15:$CA$207,CB14,0),COLUMNS($A$1:$CB$4)-1,0),"")</f>
        <v>1</v>
      </c>
      <c r="CC15" s="170">
        <f t="shared" ref="CC15:CC46" ca="1" si="4">IFERROR(VLOOKUP(CC$4,OFFSET($A$15:$CA$207,CC14,0),COLUMNS($A$1:$CB$4)-1,0),"")</f>
        <v>23</v>
      </c>
      <c r="CD15" s="204" t="str">
        <f t="shared" ref="CD15:CD46" si="5">HK&amp;"Model-"&amp;B15&amp;HK&amp;":"&amp;CRLF&amp;TB&amp;"RETURN"</f>
        <v>"Model-8016":
    RETURN</v>
      </c>
      <c r="CE15" s="170"/>
    </row>
    <row r="16" spans="1:83" ht="15" customHeight="1" x14ac:dyDescent="0.25">
      <c r="A16" s="138" t="str">
        <f>'RAW IMPORT'!A6</f>
        <v>OGRO</v>
      </c>
      <c r="B16" s="139">
        <f>'RAW IMPORT'!B6</f>
        <v>8056</v>
      </c>
      <c r="C16" s="142">
        <f>IF('RAW IMPORT'!C6&lt;&gt;"",1,0)</f>
        <v>1</v>
      </c>
      <c r="D16" s="142">
        <f>IF('RAW IMPORT'!D6&lt;&gt;"",1,0)</f>
        <v>1</v>
      </c>
      <c r="E16" s="142">
        <f>IF('RAW IMPORT'!E6&lt;&gt;"",1,0)</f>
        <v>0</v>
      </c>
      <c r="F16" s="142">
        <f>IF('RAW IMPORT'!F6&lt;&gt;"",1,0)</f>
        <v>0</v>
      </c>
      <c r="G16" s="142">
        <f>IF('RAW IMPORT'!G6&lt;&gt;"",1,0)</f>
        <v>0</v>
      </c>
      <c r="H16" s="142">
        <f>IF('RAW IMPORT'!H6&lt;&gt;"",1,0)</f>
        <v>0</v>
      </c>
      <c r="I16" s="142">
        <f>IF('RAW IMPORT'!I6&lt;&gt;"",1,0)</f>
        <v>0</v>
      </c>
      <c r="J16" s="142">
        <f>IF('RAW IMPORT'!J6&lt;&gt;"",1,0)</f>
        <v>0</v>
      </c>
      <c r="K16" s="142">
        <f>IF('RAW IMPORT'!K6&lt;&gt;"",1,0)</f>
        <v>0</v>
      </c>
      <c r="L16" s="142">
        <f>IF('RAW IMPORT'!L6&lt;&gt;"",1,0)</f>
        <v>0</v>
      </c>
      <c r="M16" s="142">
        <f>IF('RAW IMPORT'!M6&lt;&gt;"",1,0)</f>
        <v>0</v>
      </c>
      <c r="N16" s="165">
        <f>IF('RAW IMPORT'!N6&lt;&gt;"",1,0)</f>
        <v>0</v>
      </c>
      <c r="O16" s="167">
        <f>IF('RAW IMPORT'!O6&lt;&gt;"",1,0)</f>
        <v>0</v>
      </c>
      <c r="P16" s="142">
        <f>IF('RAW IMPORT'!P6&lt;&gt;"",1,0)</f>
        <v>0</v>
      </c>
      <c r="Q16" s="142">
        <f>IF('RAW IMPORT'!Q6&lt;&gt;"",1,0)</f>
        <v>0</v>
      </c>
      <c r="R16" s="138">
        <f>'RAW IMPORT'!R6</f>
        <v>0</v>
      </c>
      <c r="S16" s="138">
        <f>'RAW IMPORT'!S6</f>
        <v>7</v>
      </c>
      <c r="T16" s="138">
        <f>'RAW IMPORT'!T6</f>
        <v>5</v>
      </c>
      <c r="U16" s="138">
        <f>'RAW IMPORT'!U6</f>
        <v>0</v>
      </c>
      <c r="V16" s="138">
        <f>'RAW IMPORT'!V6</f>
        <v>0</v>
      </c>
      <c r="W16" s="138">
        <f>'RAW IMPORT'!W6</f>
        <v>0</v>
      </c>
      <c r="X16" s="138">
        <f>'RAW IMPORT'!X6</f>
        <v>0</v>
      </c>
      <c r="Y16" s="138">
        <f>'RAW IMPORT'!Y6</f>
        <v>0</v>
      </c>
      <c r="Z16" s="138">
        <f>'RAW IMPORT'!Z6</f>
        <v>0</v>
      </c>
      <c r="AA16" s="138">
        <f>'RAW IMPORT'!AA6</f>
        <v>0</v>
      </c>
      <c r="AB16" s="139">
        <f>'RAW IMPORT'!AB6</f>
        <v>0</v>
      </c>
      <c r="AC16" s="141">
        <f>'RAW IMPORT'!AC6</f>
        <v>4</v>
      </c>
      <c r="AD16" s="142">
        <f>'RAW IMPORT'!AD6</f>
        <v>7</v>
      </c>
      <c r="AE16" s="142">
        <f>'RAW IMPORT'!AE6</f>
        <v>0</v>
      </c>
      <c r="AF16" s="142">
        <f>IF('RAW IMPORT'!AF6="C1",3,IF('RAW IMPORT'!AF6="D1",4,0))</f>
        <v>4</v>
      </c>
      <c r="AG16" s="142">
        <f>'RAW IMPORT'!AG6</f>
        <v>1</v>
      </c>
      <c r="AH16" s="142">
        <f>'RAW IMPORT'!AH6</f>
        <v>5</v>
      </c>
      <c r="AI16" s="142">
        <f>IF('RAW IMPORT'!AI6="U",1,0)</f>
        <v>0</v>
      </c>
      <c r="AJ16" s="142">
        <f>IF('RAW IMPORT'!AJ6="A",1,0)</f>
        <v>1</v>
      </c>
      <c r="AK16" s="142">
        <f>IF('RAW IMPORT'!AK6="B",1,0)</f>
        <v>1</v>
      </c>
      <c r="AL16" s="142">
        <f>IF('RAW IMPORT'!AL6="U",1,0)</f>
        <v>1</v>
      </c>
      <c r="AM16" s="142">
        <f>IF('RAW IMPORT'!AM6&lt;&gt;"",1,0)</f>
        <v>0</v>
      </c>
      <c r="AN16" s="142">
        <f>IF('RAW IMPORT'!AN6&lt;&gt;"",1,0)</f>
        <v>0</v>
      </c>
      <c r="AO16" s="142">
        <f>IF('RAW IMPORT'!AO6&lt;&gt;"",1,0)</f>
        <v>0</v>
      </c>
      <c r="AP16" s="142">
        <f>IF('RAW IMPORT'!AP6&lt;&gt;"",1,0)</f>
        <v>1</v>
      </c>
      <c r="AQ16" s="142">
        <f>IF('RAW IMPORT'!AQ6&lt;&gt;"",1,0)</f>
        <v>1</v>
      </c>
      <c r="AR16" s="142">
        <f>IF('RAW IMPORT'!AR6&lt;&gt;"",1,0)</f>
        <v>1</v>
      </c>
      <c r="AS16" s="142">
        <f>IF('RAW IMPORT'!AS6&lt;&gt;"",1,0)</f>
        <v>1</v>
      </c>
      <c r="AT16" s="142">
        <f>IF('RAW IMPORT'!AT6&lt;&gt;"",1,0)</f>
        <v>1</v>
      </c>
      <c r="AU16" s="142">
        <f>IF('RAW IMPORT'!AU6&lt;&gt;"",1,0)</f>
        <v>1</v>
      </c>
      <c r="AV16" s="142">
        <f>IF('RAW IMPORT'!AV6&lt;&gt;"",1,0)</f>
        <v>1</v>
      </c>
      <c r="AW16" s="142">
        <f>IF('RAW IMPORT'!AW6&lt;&gt;"",1,0)</f>
        <v>1</v>
      </c>
      <c r="AX16" s="142">
        <f>IF('RAW IMPORT'!AX6&lt;&gt;"",1,0)</f>
        <v>1</v>
      </c>
      <c r="AY16" s="142">
        <f>IF('RAW IMPORT'!AY6&lt;&gt;"",1,0)</f>
        <v>1</v>
      </c>
      <c r="AZ16" s="142">
        <f>IF('RAW IMPORT'!AZ6&lt;&gt;"",1,0)</f>
        <v>1</v>
      </c>
      <c r="BA16" s="142">
        <f>IF('RAW IMPORT'!BA6&lt;&gt;"",1,0)</f>
        <v>1</v>
      </c>
      <c r="BB16" s="142">
        <f>IF('RAW IMPORT'!BB6&lt;&gt;"",1,0)</f>
        <v>1</v>
      </c>
      <c r="BC16" s="142">
        <f>IF('RAW IMPORT'!BC6&lt;&gt;"",1,0)</f>
        <v>0</v>
      </c>
      <c r="BD16" s="142">
        <f>IF('RAW IMPORT'!BD6&lt;&gt;"",1,0)</f>
        <v>1</v>
      </c>
      <c r="BE16" s="142">
        <f>IF('RAW IMPORT'!BE6&lt;&gt;"",1,0)</f>
        <v>1</v>
      </c>
      <c r="BF16" s="142">
        <f>IF('RAW IMPORT'!BF6&lt;&gt;"",1,0)</f>
        <v>0</v>
      </c>
      <c r="BG16" s="142">
        <f>IF('RAW IMPORT'!BG6&lt;&gt;"",1,0)</f>
        <v>1</v>
      </c>
      <c r="BH16" s="142">
        <f>IF('RAW IMPORT'!BH6&lt;&gt;"",1,0)</f>
        <v>1</v>
      </c>
      <c r="BI16" s="142">
        <f>IF('RAW IMPORT'!BI6&lt;&gt;"",1,0)</f>
        <v>1</v>
      </c>
      <c r="BJ16" s="142">
        <f>IF('RAW IMPORT'!BJ6&lt;&gt;"",1,0)</f>
        <v>1</v>
      </c>
      <c r="BK16" s="142">
        <f>IF('RAW IMPORT'!BK6&lt;&gt;"",1,0)</f>
        <v>1</v>
      </c>
      <c r="BL16" s="142">
        <f>IF('RAW IMPORT'!BL6&lt;&gt;"",1,0)</f>
        <v>1</v>
      </c>
      <c r="BM16" s="142">
        <f>'RAW IMPORT'!BM6</f>
        <v>1</v>
      </c>
      <c r="BN16" s="165">
        <f>'RAW IMPORT'!BN6</f>
        <v>0</v>
      </c>
      <c r="BO16" s="197">
        <f>'RAW IMPORT'!BO6</f>
        <v>3</v>
      </c>
      <c r="BP16" s="142" t="str">
        <f>'RAW IMPORT'!BP6</f>
        <v>DWG</v>
      </c>
      <c r="BQ16" s="141" t="str">
        <f>'RAW IMPORT'!BQ6</f>
        <v>STEP</v>
      </c>
      <c r="BR16" s="141">
        <f>'RAW IMPORT'!BR6</f>
        <v>0.02</v>
      </c>
      <c r="BS16" s="141">
        <f>'RAW IMPORT'!BS6</f>
        <v>0.12</v>
      </c>
      <c r="BT16" s="141">
        <f>'RAW IMPORT'!BT6</f>
        <v>5.8999999999999997E-2</v>
      </c>
      <c r="BU16" s="141">
        <f>'RAW IMPORT'!BU6</f>
        <v>0.01</v>
      </c>
      <c r="BV16" s="198">
        <f>'RAW IMPORT'!BV6</f>
        <v>0</v>
      </c>
      <c r="BW16" s="141">
        <f>'RAW IMPORT'!BW6</f>
        <v>2</v>
      </c>
      <c r="BX16" s="165">
        <f>'RAW IMPORT'!BX6</f>
        <v>0</v>
      </c>
      <c r="BY16" s="240"/>
      <c r="BZ16" s="126"/>
      <c r="CA16" s="143">
        <f t="shared" si="2"/>
        <v>2</v>
      </c>
      <c r="CB16" s="170">
        <f t="shared" ca="1" si="3"/>
        <v>2</v>
      </c>
      <c r="CC16" s="170">
        <f t="shared" ca="1" si="4"/>
        <v>37</v>
      </c>
      <c r="CD16" s="204" t="str">
        <f t="shared" si="5"/>
        <v>"Model-8056":
    RETURN</v>
      </c>
      <c r="CE16" s="170"/>
    </row>
    <row r="17" spans="1:83" ht="15" customHeight="1" x14ac:dyDescent="0.25">
      <c r="A17" s="138" t="str">
        <f>'RAW IMPORT'!A7</f>
        <v>OGRO</v>
      </c>
      <c r="B17" s="139">
        <f>'RAW IMPORT'!B7</f>
        <v>8100</v>
      </c>
      <c r="C17" s="142">
        <f>IF('RAW IMPORT'!C7&lt;&gt;"",1,0)</f>
        <v>1</v>
      </c>
      <c r="D17" s="142">
        <f>IF('RAW IMPORT'!D7&lt;&gt;"",1,0)</f>
        <v>1</v>
      </c>
      <c r="E17" s="142">
        <f>IF('RAW IMPORT'!E7&lt;&gt;"",1,0)</f>
        <v>0</v>
      </c>
      <c r="F17" s="142">
        <f>IF('RAW IMPORT'!F7&lt;&gt;"",1,0)</f>
        <v>0</v>
      </c>
      <c r="G17" s="142">
        <f>IF('RAW IMPORT'!G7&lt;&gt;"",1,0)</f>
        <v>0</v>
      </c>
      <c r="H17" s="142">
        <f>IF('RAW IMPORT'!H7&lt;&gt;"",1,0)</f>
        <v>0</v>
      </c>
      <c r="I17" s="142">
        <f>IF('RAW IMPORT'!I7&lt;&gt;"",1,0)</f>
        <v>0</v>
      </c>
      <c r="J17" s="142">
        <f>IF('RAW IMPORT'!J7&lt;&gt;"",1,0)</f>
        <v>0</v>
      </c>
      <c r="K17" s="142">
        <f>IF('RAW IMPORT'!K7&lt;&gt;"",1,0)</f>
        <v>0</v>
      </c>
      <c r="L17" s="142">
        <f>IF('RAW IMPORT'!L7&lt;&gt;"",1,0)</f>
        <v>0</v>
      </c>
      <c r="M17" s="142">
        <f>IF('RAW IMPORT'!M7&lt;&gt;"",1,0)</f>
        <v>0</v>
      </c>
      <c r="N17" s="165">
        <f>IF('RAW IMPORT'!N7&lt;&gt;"",1,0)</f>
        <v>0</v>
      </c>
      <c r="O17" s="167">
        <f>IF('RAW IMPORT'!O7&lt;&gt;"",1,0)</f>
        <v>1</v>
      </c>
      <c r="P17" s="142">
        <f>IF('RAW IMPORT'!P7&lt;&gt;"",1,0)</f>
        <v>0</v>
      </c>
      <c r="Q17" s="142">
        <f>IF('RAW IMPORT'!Q7&lt;&gt;"",1,0)</f>
        <v>0</v>
      </c>
      <c r="R17" s="138">
        <f>'RAW IMPORT'!R7</f>
        <v>0</v>
      </c>
      <c r="S17" s="138">
        <f>'RAW IMPORT'!S7</f>
        <v>7</v>
      </c>
      <c r="T17" s="138">
        <f>'RAW IMPORT'!T7</f>
        <v>5</v>
      </c>
      <c r="U17" s="138">
        <f>'RAW IMPORT'!U7</f>
        <v>0</v>
      </c>
      <c r="V17" s="138">
        <f>'RAW IMPORT'!V7</f>
        <v>0</v>
      </c>
      <c r="W17" s="138">
        <f>'RAW IMPORT'!W7</f>
        <v>0</v>
      </c>
      <c r="X17" s="138">
        <f>'RAW IMPORT'!X7</f>
        <v>0</v>
      </c>
      <c r="Y17" s="138">
        <f>'RAW IMPORT'!Y7</f>
        <v>0</v>
      </c>
      <c r="Z17" s="138">
        <f>'RAW IMPORT'!Z7</f>
        <v>0</v>
      </c>
      <c r="AA17" s="138">
        <f>'RAW IMPORT'!AA7</f>
        <v>0</v>
      </c>
      <c r="AB17" s="139">
        <f>'RAW IMPORT'!AB7</f>
        <v>0</v>
      </c>
      <c r="AC17" s="141">
        <f>'RAW IMPORT'!AC7</f>
        <v>4</v>
      </c>
      <c r="AD17" s="142">
        <f>'RAW IMPORT'!AD7</f>
        <v>7</v>
      </c>
      <c r="AE17" s="142">
        <f>'RAW IMPORT'!AE7</f>
        <v>0</v>
      </c>
      <c r="AF17" s="142">
        <f>IF('RAW IMPORT'!AF7="C1",3,IF('RAW IMPORT'!AF7="D1",4,0))</f>
        <v>4</v>
      </c>
      <c r="AG17" s="142">
        <f>'RAW IMPORT'!AG7</f>
        <v>1</v>
      </c>
      <c r="AH17" s="142">
        <f>'RAW IMPORT'!AH7</f>
        <v>5</v>
      </c>
      <c r="AI17" s="142">
        <f>IF('RAW IMPORT'!AI7="U",1,0)</f>
        <v>0</v>
      </c>
      <c r="AJ17" s="142">
        <f>IF('RAW IMPORT'!AJ7="A",1,0)</f>
        <v>1</v>
      </c>
      <c r="AK17" s="142">
        <f>IF('RAW IMPORT'!AK7="B",1,0)</f>
        <v>1</v>
      </c>
      <c r="AL17" s="142">
        <f>IF('RAW IMPORT'!AL7="U",1,0)</f>
        <v>1</v>
      </c>
      <c r="AM17" s="142">
        <f>IF('RAW IMPORT'!AM7&lt;&gt;"",1,0)</f>
        <v>1</v>
      </c>
      <c r="AN17" s="142">
        <f>IF('RAW IMPORT'!AN7&lt;&gt;"",1,0)</f>
        <v>1</v>
      </c>
      <c r="AO17" s="142">
        <f>IF('RAW IMPORT'!AO7&lt;&gt;"",1,0)</f>
        <v>1</v>
      </c>
      <c r="AP17" s="142">
        <f>IF('RAW IMPORT'!AP7&lt;&gt;"",1,0)</f>
        <v>1</v>
      </c>
      <c r="AQ17" s="142">
        <f>IF('RAW IMPORT'!AQ7&lt;&gt;"",1,0)</f>
        <v>1</v>
      </c>
      <c r="AR17" s="142">
        <f>IF('RAW IMPORT'!AR7&lt;&gt;"",1,0)</f>
        <v>1</v>
      </c>
      <c r="AS17" s="142">
        <f>IF('RAW IMPORT'!AS7&lt;&gt;"",1,0)</f>
        <v>1</v>
      </c>
      <c r="AT17" s="142">
        <f>IF('RAW IMPORT'!AT7&lt;&gt;"",1,0)</f>
        <v>1</v>
      </c>
      <c r="AU17" s="142">
        <f>IF('RAW IMPORT'!AU7&lt;&gt;"",1,0)</f>
        <v>1</v>
      </c>
      <c r="AV17" s="142">
        <f>IF('RAW IMPORT'!AV7&lt;&gt;"",1,0)</f>
        <v>1</v>
      </c>
      <c r="AW17" s="142">
        <f>IF('RAW IMPORT'!AW7&lt;&gt;"",1,0)</f>
        <v>1</v>
      </c>
      <c r="AX17" s="142">
        <f>IF('RAW IMPORT'!AX7&lt;&gt;"",1,0)</f>
        <v>1</v>
      </c>
      <c r="AY17" s="142">
        <f>IF('RAW IMPORT'!AY7&lt;&gt;"",1,0)</f>
        <v>1</v>
      </c>
      <c r="AZ17" s="142">
        <f>IF('RAW IMPORT'!AZ7&lt;&gt;"",1,0)</f>
        <v>1</v>
      </c>
      <c r="BA17" s="142">
        <f>IF('RAW IMPORT'!BA7&lt;&gt;"",1,0)</f>
        <v>1</v>
      </c>
      <c r="BB17" s="142">
        <f>IF('RAW IMPORT'!BB7&lt;&gt;"",1,0)</f>
        <v>1</v>
      </c>
      <c r="BC17" s="142">
        <f>IF('RAW IMPORT'!BC7&lt;&gt;"",1,0)</f>
        <v>0</v>
      </c>
      <c r="BD17" s="142">
        <f>IF('RAW IMPORT'!BD7&lt;&gt;"",1,0)</f>
        <v>1</v>
      </c>
      <c r="BE17" s="142">
        <f>IF('RAW IMPORT'!BE7&lt;&gt;"",1,0)</f>
        <v>1</v>
      </c>
      <c r="BF17" s="142">
        <f>IF('RAW IMPORT'!BF7&lt;&gt;"",1,0)</f>
        <v>0</v>
      </c>
      <c r="BG17" s="142">
        <f>IF('RAW IMPORT'!BG7&lt;&gt;"",1,0)</f>
        <v>1</v>
      </c>
      <c r="BH17" s="142">
        <f>IF('RAW IMPORT'!BH7&lt;&gt;"",1,0)</f>
        <v>1</v>
      </c>
      <c r="BI17" s="142">
        <f>IF('RAW IMPORT'!BI7&lt;&gt;"",1,0)</f>
        <v>1</v>
      </c>
      <c r="BJ17" s="142">
        <f>IF('RAW IMPORT'!BJ7&lt;&gt;"",1,0)</f>
        <v>1</v>
      </c>
      <c r="BK17" s="142">
        <f>IF('RAW IMPORT'!BK7&lt;&gt;"",1,0)</f>
        <v>1</v>
      </c>
      <c r="BL17" s="142">
        <f>IF('RAW IMPORT'!BL7&lt;&gt;"",1,0)</f>
        <v>1</v>
      </c>
      <c r="BM17" s="142">
        <f>'RAW IMPORT'!BM7</f>
        <v>1</v>
      </c>
      <c r="BN17" s="165">
        <f>'RAW IMPORT'!BN7</f>
        <v>0</v>
      </c>
      <c r="BO17" s="197" t="str">
        <f>'RAW IMPORT'!BO7</f>
        <v>x</v>
      </c>
      <c r="BP17" s="142" t="str">
        <f>'RAW IMPORT'!BP7</f>
        <v>PDF</v>
      </c>
      <c r="BQ17" s="141" t="str">
        <f>'RAW IMPORT'!BQ7</f>
        <v>GDL</v>
      </c>
      <c r="BR17" s="141">
        <f>'RAW IMPORT'!BR7</f>
        <v>0.02</v>
      </c>
      <c r="BS17" s="141">
        <f>'RAW IMPORT'!BS7</f>
        <v>0.14299999999999999</v>
      </c>
      <c r="BT17" s="141">
        <f>'RAW IMPORT'!BT7</f>
        <v>6.4000000000000001E-2</v>
      </c>
      <c r="BU17" s="141">
        <f>'RAW IMPORT'!BU7</f>
        <v>0.01</v>
      </c>
      <c r="BV17" s="198">
        <f>'RAW IMPORT'!BV7</f>
        <v>0</v>
      </c>
      <c r="BW17" s="141">
        <f>'RAW IMPORT'!BW7</f>
        <v>3</v>
      </c>
      <c r="BX17" s="165">
        <f>'RAW IMPORT'!BX7</f>
        <v>57</v>
      </c>
      <c r="BY17" s="240"/>
      <c r="BZ17" s="126"/>
      <c r="CA17" s="143">
        <f t="shared" si="2"/>
        <v>3</v>
      </c>
      <c r="CB17" s="170">
        <f t="shared" ca="1" si="3"/>
        <v>3</v>
      </c>
      <c r="CC17" s="170">
        <f t="shared" ca="1" si="4"/>
        <v>38</v>
      </c>
      <c r="CD17" s="204" t="str">
        <f t="shared" si="5"/>
        <v>"Model-8100":
    RETURN</v>
      </c>
      <c r="CE17" s="170">
        <v>1</v>
      </c>
    </row>
    <row r="18" spans="1:83" ht="15" customHeight="1" x14ac:dyDescent="0.25">
      <c r="A18" s="138" t="str">
        <f>'RAW IMPORT'!A8</f>
        <v>OGRO</v>
      </c>
      <c r="B18" s="139" t="str">
        <f>'RAW IMPORT'!B8</f>
        <v>8100A</v>
      </c>
      <c r="C18" s="142">
        <f>IF('RAW IMPORT'!C8&lt;&gt;"",1,0)</f>
        <v>1</v>
      </c>
      <c r="D18" s="142">
        <f>IF('RAW IMPORT'!D8&lt;&gt;"",1,0)</f>
        <v>1</v>
      </c>
      <c r="E18" s="142">
        <f>IF('RAW IMPORT'!E8&lt;&gt;"",1,0)</f>
        <v>0</v>
      </c>
      <c r="F18" s="142">
        <f>IF('RAW IMPORT'!F8&lt;&gt;"",1,0)</f>
        <v>0</v>
      </c>
      <c r="G18" s="142">
        <f>IF('RAW IMPORT'!G8&lt;&gt;"",1,0)</f>
        <v>0</v>
      </c>
      <c r="H18" s="142">
        <f>IF('RAW IMPORT'!H8&lt;&gt;"",1,0)</f>
        <v>0</v>
      </c>
      <c r="I18" s="142">
        <f>IF('RAW IMPORT'!I8&lt;&gt;"",1,0)</f>
        <v>0</v>
      </c>
      <c r="J18" s="142">
        <f>IF('RAW IMPORT'!J8&lt;&gt;"",1,0)</f>
        <v>0</v>
      </c>
      <c r="K18" s="142">
        <f>IF('RAW IMPORT'!K8&lt;&gt;"",1,0)</f>
        <v>0</v>
      </c>
      <c r="L18" s="142">
        <f>IF('RAW IMPORT'!L8&lt;&gt;"",1,0)</f>
        <v>0</v>
      </c>
      <c r="M18" s="142">
        <f>IF('RAW IMPORT'!M8&lt;&gt;"",1,0)</f>
        <v>0</v>
      </c>
      <c r="N18" s="165">
        <f>IF('RAW IMPORT'!N8&lt;&gt;"",1,0)</f>
        <v>0</v>
      </c>
      <c r="O18" s="167">
        <f>IF('RAW IMPORT'!O8&lt;&gt;"",1,0)</f>
        <v>1</v>
      </c>
      <c r="P18" s="142">
        <f>IF('RAW IMPORT'!P8&lt;&gt;"",1,0)</f>
        <v>0</v>
      </c>
      <c r="Q18" s="142">
        <f>IF('RAW IMPORT'!Q8&lt;&gt;"",1,0)</f>
        <v>0</v>
      </c>
      <c r="R18" s="138">
        <f>'RAW IMPORT'!R8</f>
        <v>0</v>
      </c>
      <c r="S18" s="138">
        <f>'RAW IMPORT'!S8</f>
        <v>7</v>
      </c>
      <c r="T18" s="138">
        <f>'RAW IMPORT'!T8</f>
        <v>5</v>
      </c>
      <c r="U18" s="138">
        <f>'RAW IMPORT'!U8</f>
        <v>0</v>
      </c>
      <c r="V18" s="138">
        <f>'RAW IMPORT'!V8</f>
        <v>0</v>
      </c>
      <c r="W18" s="138">
        <f>'RAW IMPORT'!W8</f>
        <v>0</v>
      </c>
      <c r="X18" s="138">
        <f>'RAW IMPORT'!X8</f>
        <v>0</v>
      </c>
      <c r="Y18" s="138">
        <f>'RAW IMPORT'!Y8</f>
        <v>0</v>
      </c>
      <c r="Z18" s="138">
        <f>'RAW IMPORT'!Z8</f>
        <v>0</v>
      </c>
      <c r="AA18" s="138">
        <f>'RAW IMPORT'!AA8</f>
        <v>0</v>
      </c>
      <c r="AB18" s="139">
        <f>'RAW IMPORT'!AB8</f>
        <v>0</v>
      </c>
      <c r="AC18" s="141">
        <f>'RAW IMPORT'!AC8</f>
        <v>4</v>
      </c>
      <c r="AD18" s="142">
        <f>'RAW IMPORT'!AD8</f>
        <v>7</v>
      </c>
      <c r="AE18" s="142">
        <f>'RAW IMPORT'!AE8</f>
        <v>0</v>
      </c>
      <c r="AF18" s="142">
        <f>IF('RAW IMPORT'!AF8="C1",3,IF('RAW IMPORT'!AF8="D1",4,0))</f>
        <v>4</v>
      </c>
      <c r="AG18" s="142">
        <f>'RAW IMPORT'!AG8</f>
        <v>1</v>
      </c>
      <c r="AH18" s="142">
        <f>'RAW IMPORT'!AH8</f>
        <v>5</v>
      </c>
      <c r="AI18" s="142">
        <f>IF('RAW IMPORT'!AI8="U",1,0)</f>
        <v>0</v>
      </c>
      <c r="AJ18" s="142">
        <f>IF('RAW IMPORT'!AJ8="A",1,0)</f>
        <v>1</v>
      </c>
      <c r="AK18" s="142">
        <f>IF('RAW IMPORT'!AK8="B",1,0)</f>
        <v>1</v>
      </c>
      <c r="AL18" s="142">
        <f>IF('RAW IMPORT'!AL8="U",1,0)</f>
        <v>1</v>
      </c>
      <c r="AM18" s="142">
        <f>IF('RAW IMPORT'!AM8&lt;&gt;"",1,0)</f>
        <v>1</v>
      </c>
      <c r="AN18" s="142">
        <f>IF('RAW IMPORT'!AN8&lt;&gt;"",1,0)</f>
        <v>1</v>
      </c>
      <c r="AO18" s="142">
        <f>IF('RAW IMPORT'!AO8&lt;&gt;"",1,0)</f>
        <v>1</v>
      </c>
      <c r="AP18" s="142">
        <f>IF('RAW IMPORT'!AP8&lt;&gt;"",1,0)</f>
        <v>1</v>
      </c>
      <c r="AQ18" s="142">
        <f>IF('RAW IMPORT'!AQ8&lt;&gt;"",1,0)</f>
        <v>1</v>
      </c>
      <c r="AR18" s="142">
        <f>IF('RAW IMPORT'!AR8&lt;&gt;"",1,0)</f>
        <v>1</v>
      </c>
      <c r="AS18" s="142">
        <f>IF('RAW IMPORT'!AS8&lt;&gt;"",1,0)</f>
        <v>1</v>
      </c>
      <c r="AT18" s="142">
        <f>IF('RAW IMPORT'!AT8&lt;&gt;"",1,0)</f>
        <v>1</v>
      </c>
      <c r="AU18" s="142">
        <f>IF('RAW IMPORT'!AU8&lt;&gt;"",1,0)</f>
        <v>1</v>
      </c>
      <c r="AV18" s="142">
        <f>IF('RAW IMPORT'!AV8&lt;&gt;"",1,0)</f>
        <v>1</v>
      </c>
      <c r="AW18" s="142">
        <f>IF('RAW IMPORT'!AW8&lt;&gt;"",1,0)</f>
        <v>0</v>
      </c>
      <c r="AX18" s="142">
        <f>IF('RAW IMPORT'!AX8&lt;&gt;"",1,0)</f>
        <v>0</v>
      </c>
      <c r="AY18" s="142">
        <f>IF('RAW IMPORT'!AY8&lt;&gt;"",1,0)</f>
        <v>0</v>
      </c>
      <c r="AZ18" s="142">
        <f>IF('RAW IMPORT'!AZ8&lt;&gt;"",1,0)</f>
        <v>0</v>
      </c>
      <c r="BA18" s="142">
        <f>IF('RAW IMPORT'!BA8&lt;&gt;"",1,0)</f>
        <v>0</v>
      </c>
      <c r="BB18" s="142">
        <f>IF('RAW IMPORT'!BB8&lt;&gt;"",1,0)</f>
        <v>0</v>
      </c>
      <c r="BC18" s="142">
        <f>IF('RAW IMPORT'!BC8&lt;&gt;"",1,0)</f>
        <v>1</v>
      </c>
      <c r="BD18" s="142">
        <f>IF('RAW IMPORT'!BD8&lt;&gt;"",1,0)</f>
        <v>1</v>
      </c>
      <c r="BE18" s="142">
        <f>IF('RAW IMPORT'!BE8&lt;&gt;"",1,0)</f>
        <v>1</v>
      </c>
      <c r="BF18" s="142">
        <f>IF('RAW IMPORT'!BF8&lt;&gt;"",1,0)</f>
        <v>0</v>
      </c>
      <c r="BG18" s="142">
        <f>IF('RAW IMPORT'!BG8&lt;&gt;"",1,0)</f>
        <v>1</v>
      </c>
      <c r="BH18" s="142">
        <f>IF('RAW IMPORT'!BH8&lt;&gt;"",1,0)</f>
        <v>1</v>
      </c>
      <c r="BI18" s="142">
        <f>IF('RAW IMPORT'!BI8&lt;&gt;"",1,0)</f>
        <v>1</v>
      </c>
      <c r="BJ18" s="142">
        <f>IF('RAW IMPORT'!BJ8&lt;&gt;"",1,0)</f>
        <v>1</v>
      </c>
      <c r="BK18" s="142">
        <f>IF('RAW IMPORT'!BK8&lt;&gt;"",1,0)</f>
        <v>1</v>
      </c>
      <c r="BL18" s="142">
        <f>IF('RAW IMPORT'!BL8&lt;&gt;"",1,0)</f>
        <v>0</v>
      </c>
      <c r="BM18" s="142">
        <f>'RAW IMPORT'!BM8</f>
        <v>1</v>
      </c>
      <c r="BN18" s="165">
        <f>'RAW IMPORT'!BN8</f>
        <v>0</v>
      </c>
      <c r="BO18" s="197">
        <f>'RAW IMPORT'!BO8</f>
        <v>0</v>
      </c>
      <c r="BP18" s="142" t="str">
        <f>'RAW IMPORT'!BP8</f>
        <v>PDF</v>
      </c>
      <c r="BQ18" s="141">
        <f>'RAW IMPORT'!BQ8</f>
        <v>0</v>
      </c>
      <c r="BR18" s="141">
        <f>'RAW IMPORT'!BR8</f>
        <v>0.02</v>
      </c>
      <c r="BS18" s="141">
        <f>'RAW IMPORT'!BS8</f>
        <v>0.16300000000000001</v>
      </c>
      <c r="BT18" s="141">
        <f>'RAW IMPORT'!BT8</f>
        <v>8.1000000000000003E-2</v>
      </c>
      <c r="BU18" s="141">
        <f>'RAW IMPORT'!BU8</f>
        <v>0.01</v>
      </c>
      <c r="BV18" s="198">
        <f>'RAW IMPORT'!BV8</f>
        <v>0</v>
      </c>
      <c r="BW18" s="141">
        <f>'RAW IMPORT'!BW8</f>
        <v>0</v>
      </c>
      <c r="BX18" s="165">
        <f>'RAW IMPORT'!BX8</f>
        <v>58</v>
      </c>
      <c r="BY18" s="240"/>
      <c r="BZ18" s="126"/>
      <c r="CA18" s="143">
        <f t="shared" si="2"/>
        <v>4</v>
      </c>
      <c r="CB18" s="170">
        <f t="shared" ca="1" si="3"/>
        <v>4</v>
      </c>
      <c r="CC18" s="170">
        <f t="shared" ca="1" si="4"/>
        <v>43</v>
      </c>
      <c r="CD18" s="204" t="str">
        <f t="shared" si="5"/>
        <v>"Model-8100A":
    RETURN</v>
      </c>
      <c r="CE18" s="170"/>
    </row>
    <row r="19" spans="1:83" ht="15" customHeight="1" x14ac:dyDescent="0.25">
      <c r="A19" s="138" t="str">
        <f>'RAW IMPORT'!A9</f>
        <v>OGRO</v>
      </c>
      <c r="B19" s="139" t="str">
        <f>'RAW IMPORT'!B9</f>
        <v>8100V</v>
      </c>
      <c r="C19" s="142">
        <f>IF('RAW IMPORT'!C9&lt;&gt;"",1,0)</f>
        <v>1</v>
      </c>
      <c r="D19" s="142">
        <f>IF('RAW IMPORT'!D9&lt;&gt;"",1,0)</f>
        <v>1</v>
      </c>
      <c r="E19" s="142">
        <f>IF('RAW IMPORT'!E9&lt;&gt;"",1,0)</f>
        <v>0</v>
      </c>
      <c r="F19" s="142">
        <f>IF('RAW IMPORT'!F9&lt;&gt;"",1,0)</f>
        <v>0</v>
      </c>
      <c r="G19" s="142">
        <f>IF('RAW IMPORT'!G9&lt;&gt;"",1,0)</f>
        <v>0</v>
      </c>
      <c r="H19" s="142">
        <f>IF('RAW IMPORT'!H9&lt;&gt;"",1,0)</f>
        <v>0</v>
      </c>
      <c r="I19" s="142">
        <f>IF('RAW IMPORT'!I9&lt;&gt;"",1,0)</f>
        <v>0</v>
      </c>
      <c r="J19" s="142">
        <f>IF('RAW IMPORT'!J9&lt;&gt;"",1,0)</f>
        <v>0</v>
      </c>
      <c r="K19" s="142">
        <f>IF('RAW IMPORT'!K9&lt;&gt;"",1,0)</f>
        <v>0</v>
      </c>
      <c r="L19" s="142">
        <f>IF('RAW IMPORT'!L9&lt;&gt;"",1,0)</f>
        <v>0</v>
      </c>
      <c r="M19" s="142">
        <f>IF('RAW IMPORT'!M9&lt;&gt;"",1,0)</f>
        <v>0</v>
      </c>
      <c r="N19" s="165">
        <f>IF('RAW IMPORT'!N9&lt;&gt;"",1,0)</f>
        <v>0</v>
      </c>
      <c r="O19" s="167">
        <f>IF('RAW IMPORT'!O9&lt;&gt;"",1,0)</f>
        <v>1</v>
      </c>
      <c r="P19" s="142">
        <f>IF('RAW IMPORT'!P9&lt;&gt;"",1,0)</f>
        <v>0</v>
      </c>
      <c r="Q19" s="142">
        <f>IF('RAW IMPORT'!Q9&lt;&gt;"",1,0)</f>
        <v>0</v>
      </c>
      <c r="R19" s="138">
        <f>'RAW IMPORT'!R9</f>
        <v>0</v>
      </c>
      <c r="S19" s="138">
        <f>'RAW IMPORT'!S9</f>
        <v>7</v>
      </c>
      <c r="T19" s="138">
        <f>'RAW IMPORT'!T9</f>
        <v>5</v>
      </c>
      <c r="U19" s="138">
        <f>'RAW IMPORT'!U9</f>
        <v>0</v>
      </c>
      <c r="V19" s="138">
        <f>'RAW IMPORT'!V9</f>
        <v>0</v>
      </c>
      <c r="W19" s="138">
        <f>'RAW IMPORT'!W9</f>
        <v>0</v>
      </c>
      <c r="X19" s="138">
        <f>'RAW IMPORT'!X9</f>
        <v>0</v>
      </c>
      <c r="Y19" s="138">
        <f>'RAW IMPORT'!Y9</f>
        <v>0</v>
      </c>
      <c r="Z19" s="138">
        <f>'RAW IMPORT'!Z9</f>
        <v>0</v>
      </c>
      <c r="AA19" s="138">
        <f>'RAW IMPORT'!AA9</f>
        <v>0</v>
      </c>
      <c r="AB19" s="139">
        <f>'RAW IMPORT'!AB9</f>
        <v>0</v>
      </c>
      <c r="AC19" s="141">
        <f>'RAW IMPORT'!AC9</f>
        <v>4</v>
      </c>
      <c r="AD19" s="142">
        <f>'RAW IMPORT'!AD9</f>
        <v>7</v>
      </c>
      <c r="AE19" s="142">
        <f>'RAW IMPORT'!AE9</f>
        <v>0</v>
      </c>
      <c r="AF19" s="142">
        <f>IF('RAW IMPORT'!AF9="C1",3,IF('RAW IMPORT'!AF9="D1",4,0))</f>
        <v>4</v>
      </c>
      <c r="AG19" s="142">
        <f>'RAW IMPORT'!AG9</f>
        <v>1</v>
      </c>
      <c r="AH19" s="142">
        <f>'RAW IMPORT'!AH9</f>
        <v>5</v>
      </c>
      <c r="AI19" s="142">
        <f>IF('RAW IMPORT'!AI9="U",1,0)</f>
        <v>0</v>
      </c>
      <c r="AJ19" s="142">
        <f>IF('RAW IMPORT'!AJ9="A",1,0)</f>
        <v>1</v>
      </c>
      <c r="AK19" s="142">
        <f>IF('RAW IMPORT'!AK9="B",1,0)</f>
        <v>1</v>
      </c>
      <c r="AL19" s="142">
        <f>IF('RAW IMPORT'!AL9="U",1,0)</f>
        <v>1</v>
      </c>
      <c r="AM19" s="142">
        <f>IF('RAW IMPORT'!AM9&lt;&gt;"",1,0)</f>
        <v>1</v>
      </c>
      <c r="AN19" s="142">
        <f>IF('RAW IMPORT'!AN9&lt;&gt;"",1,0)</f>
        <v>1</v>
      </c>
      <c r="AO19" s="142">
        <f>IF('RAW IMPORT'!AO9&lt;&gt;"",1,0)</f>
        <v>1</v>
      </c>
      <c r="AP19" s="142">
        <f>IF('RAW IMPORT'!AP9&lt;&gt;"",1,0)</f>
        <v>1</v>
      </c>
      <c r="AQ19" s="142">
        <f>IF('RAW IMPORT'!AQ9&lt;&gt;"",1,0)</f>
        <v>1</v>
      </c>
      <c r="AR19" s="142">
        <f>IF('RAW IMPORT'!AR9&lt;&gt;"",1,0)</f>
        <v>1</v>
      </c>
      <c r="AS19" s="142">
        <f>IF('RAW IMPORT'!AS9&lt;&gt;"",1,0)</f>
        <v>1</v>
      </c>
      <c r="AT19" s="142">
        <f>IF('RAW IMPORT'!AT9&lt;&gt;"",1,0)</f>
        <v>1</v>
      </c>
      <c r="AU19" s="142">
        <f>IF('RAW IMPORT'!AU9&lt;&gt;"",1,0)</f>
        <v>1</v>
      </c>
      <c r="AV19" s="142">
        <f>IF('RAW IMPORT'!AV9&lt;&gt;"",1,0)</f>
        <v>1</v>
      </c>
      <c r="AW19" s="142">
        <f>IF('RAW IMPORT'!AW9&lt;&gt;"",1,0)</f>
        <v>0</v>
      </c>
      <c r="AX19" s="142">
        <f>IF('RAW IMPORT'!AX9&lt;&gt;"",1,0)</f>
        <v>0</v>
      </c>
      <c r="AY19" s="142">
        <f>IF('RAW IMPORT'!AY9&lt;&gt;"",1,0)</f>
        <v>0</v>
      </c>
      <c r="AZ19" s="142">
        <f>IF('RAW IMPORT'!AZ9&lt;&gt;"",1,0)</f>
        <v>0</v>
      </c>
      <c r="BA19" s="142">
        <f>IF('RAW IMPORT'!BA9&lt;&gt;"",1,0)</f>
        <v>0</v>
      </c>
      <c r="BB19" s="142">
        <f>IF('RAW IMPORT'!BB9&lt;&gt;"",1,0)</f>
        <v>0</v>
      </c>
      <c r="BC19" s="142">
        <f>IF('RAW IMPORT'!BC9&lt;&gt;"",1,0)</f>
        <v>1</v>
      </c>
      <c r="BD19" s="142">
        <f>IF('RAW IMPORT'!BD9&lt;&gt;"",1,0)</f>
        <v>1</v>
      </c>
      <c r="BE19" s="142">
        <f>IF('RAW IMPORT'!BE9&lt;&gt;"",1,0)</f>
        <v>1</v>
      </c>
      <c r="BF19" s="142">
        <f>IF('RAW IMPORT'!BF9&lt;&gt;"",1,0)</f>
        <v>0</v>
      </c>
      <c r="BG19" s="142">
        <f>IF('RAW IMPORT'!BG9&lt;&gt;"",1,0)</f>
        <v>1</v>
      </c>
      <c r="BH19" s="142">
        <f>IF('RAW IMPORT'!BH9&lt;&gt;"",1,0)</f>
        <v>1</v>
      </c>
      <c r="BI19" s="142">
        <f>IF('RAW IMPORT'!BI9&lt;&gt;"",1,0)</f>
        <v>1</v>
      </c>
      <c r="BJ19" s="142">
        <f>IF('RAW IMPORT'!BJ9&lt;&gt;"",1,0)</f>
        <v>1</v>
      </c>
      <c r="BK19" s="142">
        <f>IF('RAW IMPORT'!BK9&lt;&gt;"",1,0)</f>
        <v>1</v>
      </c>
      <c r="BL19" s="142">
        <f>IF('RAW IMPORT'!BL9&lt;&gt;"",1,0)</f>
        <v>0</v>
      </c>
      <c r="BM19" s="142">
        <f>'RAW IMPORT'!BM9</f>
        <v>1</v>
      </c>
      <c r="BN19" s="165">
        <f>'RAW IMPORT'!BN9</f>
        <v>0</v>
      </c>
      <c r="BO19" s="197">
        <f>'RAW IMPORT'!BO9</f>
        <v>0</v>
      </c>
      <c r="BP19" s="142" t="str">
        <f>'RAW IMPORT'!BP9</f>
        <v>PDF</v>
      </c>
      <c r="BQ19" s="141">
        <f>'RAW IMPORT'!BQ9</f>
        <v>0</v>
      </c>
      <c r="BR19" s="141">
        <f>'RAW IMPORT'!BR9</f>
        <v>0.02</v>
      </c>
      <c r="BS19" s="141">
        <f>'RAW IMPORT'!BS9</f>
        <v>0.152</v>
      </c>
      <c r="BT19" s="141">
        <f>'RAW IMPORT'!BT9</f>
        <v>5.8999999999999997E-2</v>
      </c>
      <c r="BU19" s="141">
        <f>'RAW IMPORT'!BU9</f>
        <v>0.01</v>
      </c>
      <c r="BV19" s="198">
        <f>'RAW IMPORT'!BV9</f>
        <v>0</v>
      </c>
      <c r="BW19" s="141">
        <f>'RAW IMPORT'!BW9</f>
        <v>0</v>
      </c>
      <c r="BX19" s="165">
        <f>'RAW IMPORT'!BX9</f>
        <v>59</v>
      </c>
      <c r="BY19" s="240"/>
      <c r="BZ19" s="126"/>
      <c r="CA19" s="143">
        <f t="shared" si="2"/>
        <v>5</v>
      </c>
      <c r="CB19" s="170">
        <f t="shared" ca="1" si="3"/>
        <v>5</v>
      </c>
      <c r="CC19" s="170">
        <f t="shared" ca="1" si="4"/>
        <v>44</v>
      </c>
      <c r="CD19" s="204" t="str">
        <f t="shared" si="5"/>
        <v>"Model-8100V":
    RETURN</v>
      </c>
      <c r="CE19" s="170"/>
    </row>
    <row r="20" spans="1:83" ht="15" customHeight="1" x14ac:dyDescent="0.25">
      <c r="A20" s="138" t="str">
        <f>'RAW IMPORT'!A10</f>
        <v>OGRO</v>
      </c>
      <c r="B20" s="139">
        <f>'RAW IMPORT'!B10</f>
        <v>8101</v>
      </c>
      <c r="C20" s="142">
        <f>IF('RAW IMPORT'!C10&lt;&gt;"",1,0)</f>
        <v>1</v>
      </c>
      <c r="D20" s="142">
        <f>IF('RAW IMPORT'!D10&lt;&gt;"",1,0)</f>
        <v>1</v>
      </c>
      <c r="E20" s="142">
        <f>IF('RAW IMPORT'!E10&lt;&gt;"",1,0)</f>
        <v>0</v>
      </c>
      <c r="F20" s="142">
        <f>IF('RAW IMPORT'!F10&lt;&gt;"",1,0)</f>
        <v>0</v>
      </c>
      <c r="G20" s="142">
        <f>IF('RAW IMPORT'!G10&lt;&gt;"",1,0)</f>
        <v>0</v>
      </c>
      <c r="H20" s="142">
        <f>IF('RAW IMPORT'!H10&lt;&gt;"",1,0)</f>
        <v>0</v>
      </c>
      <c r="I20" s="142">
        <f>IF('RAW IMPORT'!I10&lt;&gt;"",1,0)</f>
        <v>0</v>
      </c>
      <c r="J20" s="142">
        <f>IF('RAW IMPORT'!J10&lt;&gt;"",1,0)</f>
        <v>0</v>
      </c>
      <c r="K20" s="142">
        <f>IF('RAW IMPORT'!K10&lt;&gt;"",1,0)</f>
        <v>0</v>
      </c>
      <c r="L20" s="142">
        <f>IF('RAW IMPORT'!L10&lt;&gt;"",1,0)</f>
        <v>0</v>
      </c>
      <c r="M20" s="142">
        <f>IF('RAW IMPORT'!M10&lt;&gt;"",1,0)</f>
        <v>0</v>
      </c>
      <c r="N20" s="165">
        <f>IF('RAW IMPORT'!N10&lt;&gt;"",1,0)</f>
        <v>0</v>
      </c>
      <c r="O20" s="167">
        <f>IF('RAW IMPORT'!O10&lt;&gt;"",1,0)</f>
        <v>1</v>
      </c>
      <c r="P20" s="142">
        <f>IF('RAW IMPORT'!P10&lt;&gt;"",1,0)</f>
        <v>0</v>
      </c>
      <c r="Q20" s="142">
        <f>IF('RAW IMPORT'!Q10&lt;&gt;"",1,0)</f>
        <v>0</v>
      </c>
      <c r="R20" s="138">
        <f>'RAW IMPORT'!R10</f>
        <v>0</v>
      </c>
      <c r="S20" s="138">
        <f>'RAW IMPORT'!S10</f>
        <v>7</v>
      </c>
      <c r="T20" s="138">
        <f>'RAW IMPORT'!T10</f>
        <v>5</v>
      </c>
      <c r="U20" s="138">
        <f>'RAW IMPORT'!U10</f>
        <v>0</v>
      </c>
      <c r="V20" s="138">
        <f>'RAW IMPORT'!V10</f>
        <v>0</v>
      </c>
      <c r="W20" s="138">
        <f>'RAW IMPORT'!W10</f>
        <v>0</v>
      </c>
      <c r="X20" s="138">
        <f>'RAW IMPORT'!X10</f>
        <v>0</v>
      </c>
      <c r="Y20" s="138">
        <f>'RAW IMPORT'!Y10</f>
        <v>0</v>
      </c>
      <c r="Z20" s="138">
        <f>'RAW IMPORT'!Z10</f>
        <v>0</v>
      </c>
      <c r="AA20" s="138">
        <f>'RAW IMPORT'!AA10</f>
        <v>0</v>
      </c>
      <c r="AB20" s="139">
        <f>'RAW IMPORT'!AB10</f>
        <v>0</v>
      </c>
      <c r="AC20" s="141">
        <f>'RAW IMPORT'!AC10</f>
        <v>4</v>
      </c>
      <c r="AD20" s="142">
        <f>'RAW IMPORT'!AD10</f>
        <v>7</v>
      </c>
      <c r="AE20" s="142">
        <f>'RAW IMPORT'!AE10</f>
        <v>0</v>
      </c>
      <c r="AF20" s="142">
        <f>IF('RAW IMPORT'!AF10="C1",3,IF('RAW IMPORT'!AF10="D1",4,0))</f>
        <v>4</v>
      </c>
      <c r="AG20" s="142">
        <f>'RAW IMPORT'!AG10</f>
        <v>1</v>
      </c>
      <c r="AH20" s="142">
        <f>'RAW IMPORT'!AH10</f>
        <v>5</v>
      </c>
      <c r="AI20" s="142">
        <f>IF('RAW IMPORT'!AI10="U",1,0)</f>
        <v>0</v>
      </c>
      <c r="AJ20" s="142">
        <f>IF('RAW IMPORT'!AJ10="A",1,0)</f>
        <v>1</v>
      </c>
      <c r="AK20" s="142">
        <f>IF('RAW IMPORT'!AK10="B",1,0)</f>
        <v>1</v>
      </c>
      <c r="AL20" s="142">
        <f>IF('RAW IMPORT'!AL10="U",1,0)</f>
        <v>1</v>
      </c>
      <c r="AM20" s="142">
        <f>IF('RAW IMPORT'!AM10&lt;&gt;"",1,0)</f>
        <v>1</v>
      </c>
      <c r="AN20" s="142">
        <f>IF('RAW IMPORT'!AN10&lt;&gt;"",1,0)</f>
        <v>1</v>
      </c>
      <c r="AO20" s="142">
        <f>IF('RAW IMPORT'!AO10&lt;&gt;"",1,0)</f>
        <v>1</v>
      </c>
      <c r="AP20" s="142">
        <f>IF('RAW IMPORT'!AP10&lt;&gt;"",1,0)</f>
        <v>1</v>
      </c>
      <c r="AQ20" s="142">
        <f>IF('RAW IMPORT'!AQ10&lt;&gt;"",1,0)</f>
        <v>1</v>
      </c>
      <c r="AR20" s="142">
        <f>IF('RAW IMPORT'!AR10&lt;&gt;"",1,0)</f>
        <v>1</v>
      </c>
      <c r="AS20" s="142">
        <f>IF('RAW IMPORT'!AS10&lt;&gt;"",1,0)</f>
        <v>1</v>
      </c>
      <c r="AT20" s="142">
        <f>IF('RAW IMPORT'!AT10&lt;&gt;"",1,0)</f>
        <v>1</v>
      </c>
      <c r="AU20" s="142">
        <f>IF('RAW IMPORT'!AU10&lt;&gt;"",1,0)</f>
        <v>1</v>
      </c>
      <c r="AV20" s="142">
        <f>IF('RAW IMPORT'!AV10&lt;&gt;"",1,0)</f>
        <v>1</v>
      </c>
      <c r="AW20" s="142">
        <f>IF('RAW IMPORT'!AW10&lt;&gt;"",1,0)</f>
        <v>1</v>
      </c>
      <c r="AX20" s="142">
        <f>IF('RAW IMPORT'!AX10&lt;&gt;"",1,0)</f>
        <v>1</v>
      </c>
      <c r="AY20" s="142">
        <f>IF('RAW IMPORT'!AY10&lt;&gt;"",1,0)</f>
        <v>1</v>
      </c>
      <c r="AZ20" s="142">
        <f>IF('RAW IMPORT'!AZ10&lt;&gt;"",1,0)</f>
        <v>1</v>
      </c>
      <c r="BA20" s="142">
        <f>IF('RAW IMPORT'!BA10&lt;&gt;"",1,0)</f>
        <v>1</v>
      </c>
      <c r="BB20" s="142">
        <f>IF('RAW IMPORT'!BB10&lt;&gt;"",1,0)</f>
        <v>1</v>
      </c>
      <c r="BC20" s="142">
        <f>IF('RAW IMPORT'!BC10&lt;&gt;"",1,0)</f>
        <v>0</v>
      </c>
      <c r="BD20" s="142">
        <f>IF('RAW IMPORT'!BD10&lt;&gt;"",1,0)</f>
        <v>1</v>
      </c>
      <c r="BE20" s="142">
        <f>IF('RAW IMPORT'!BE10&lt;&gt;"",1,0)</f>
        <v>1</v>
      </c>
      <c r="BF20" s="142">
        <f>IF('RAW IMPORT'!BF10&lt;&gt;"",1,0)</f>
        <v>0</v>
      </c>
      <c r="BG20" s="142">
        <f>IF('RAW IMPORT'!BG10&lt;&gt;"",1,0)</f>
        <v>1</v>
      </c>
      <c r="BH20" s="142">
        <f>IF('RAW IMPORT'!BH10&lt;&gt;"",1,0)</f>
        <v>1</v>
      </c>
      <c r="BI20" s="142">
        <f>IF('RAW IMPORT'!BI10&lt;&gt;"",1,0)</f>
        <v>1</v>
      </c>
      <c r="BJ20" s="142">
        <f>IF('RAW IMPORT'!BJ10&lt;&gt;"",1,0)</f>
        <v>1</v>
      </c>
      <c r="BK20" s="142">
        <f>IF('RAW IMPORT'!BK10&lt;&gt;"",1,0)</f>
        <v>1</v>
      </c>
      <c r="BL20" s="142">
        <f>IF('RAW IMPORT'!BL10&lt;&gt;"",1,0)</f>
        <v>1</v>
      </c>
      <c r="BM20" s="142">
        <f>'RAW IMPORT'!BM10</f>
        <v>1</v>
      </c>
      <c r="BN20" s="165">
        <f>'RAW IMPORT'!BN10</f>
        <v>0</v>
      </c>
      <c r="BO20" s="197">
        <f>'RAW IMPORT'!BO10</f>
        <v>0</v>
      </c>
      <c r="BP20" s="142" t="str">
        <f>'RAW IMPORT'!BP10</f>
        <v>PDF</v>
      </c>
      <c r="BQ20" s="141">
        <f>'RAW IMPORT'!BQ10</f>
        <v>0</v>
      </c>
      <c r="BR20" s="141">
        <f>'RAW IMPORT'!BR10</f>
        <v>0.02</v>
      </c>
      <c r="BS20" s="141">
        <f>'RAW IMPORT'!BS10</f>
        <v>0.14299999999999999</v>
      </c>
      <c r="BT20" s="141">
        <f>'RAW IMPORT'!BT10</f>
        <v>6.4000000000000001E-2</v>
      </c>
      <c r="BU20" s="141">
        <f>'RAW IMPORT'!BU10</f>
        <v>0.01</v>
      </c>
      <c r="BV20" s="198">
        <f>'RAW IMPORT'!BV10</f>
        <v>0</v>
      </c>
      <c r="BW20" s="141">
        <f>'RAW IMPORT'!BW10</f>
        <v>4</v>
      </c>
      <c r="BX20" s="165">
        <f>'RAW IMPORT'!BX10</f>
        <v>60</v>
      </c>
      <c r="BY20" s="240"/>
      <c r="BZ20" s="126"/>
      <c r="CA20" s="143">
        <f t="shared" si="2"/>
        <v>6</v>
      </c>
      <c r="CB20" s="170">
        <f t="shared" ca="1" si="3"/>
        <v>6</v>
      </c>
      <c r="CC20" s="170">
        <f t="shared" ca="1" si="4"/>
        <v>52</v>
      </c>
      <c r="CD20" s="204" t="str">
        <f t="shared" si="5"/>
        <v>"Model-8101":
    RETURN</v>
      </c>
      <c r="CE20" s="170"/>
    </row>
    <row r="21" spans="1:83" ht="15" customHeight="1" x14ac:dyDescent="0.25">
      <c r="A21" s="138" t="str">
        <f>'RAW IMPORT'!A11</f>
        <v>OGRO</v>
      </c>
      <c r="B21" s="139" t="str">
        <f>'RAW IMPORT'!B11</f>
        <v>8101A</v>
      </c>
      <c r="C21" s="142">
        <f>IF('RAW IMPORT'!C11&lt;&gt;"",1,0)</f>
        <v>1</v>
      </c>
      <c r="D21" s="142">
        <f>IF('RAW IMPORT'!D11&lt;&gt;"",1,0)</f>
        <v>1</v>
      </c>
      <c r="E21" s="142">
        <f>IF('RAW IMPORT'!E11&lt;&gt;"",1,0)</f>
        <v>0</v>
      </c>
      <c r="F21" s="142">
        <f>IF('RAW IMPORT'!F11&lt;&gt;"",1,0)</f>
        <v>0</v>
      </c>
      <c r="G21" s="142">
        <f>IF('RAW IMPORT'!G11&lt;&gt;"",1,0)</f>
        <v>0</v>
      </c>
      <c r="H21" s="142">
        <f>IF('RAW IMPORT'!H11&lt;&gt;"",1,0)</f>
        <v>0</v>
      </c>
      <c r="I21" s="142">
        <f>IF('RAW IMPORT'!I11&lt;&gt;"",1,0)</f>
        <v>0</v>
      </c>
      <c r="J21" s="142">
        <f>IF('RAW IMPORT'!J11&lt;&gt;"",1,0)</f>
        <v>0</v>
      </c>
      <c r="K21" s="142">
        <f>IF('RAW IMPORT'!K11&lt;&gt;"",1,0)</f>
        <v>0</v>
      </c>
      <c r="L21" s="142">
        <f>IF('RAW IMPORT'!L11&lt;&gt;"",1,0)</f>
        <v>0</v>
      </c>
      <c r="M21" s="142">
        <f>IF('RAW IMPORT'!M11&lt;&gt;"",1,0)</f>
        <v>0</v>
      </c>
      <c r="N21" s="165">
        <f>IF('RAW IMPORT'!N11&lt;&gt;"",1,0)</f>
        <v>0</v>
      </c>
      <c r="O21" s="167">
        <f>IF('RAW IMPORT'!O11&lt;&gt;"",1,0)</f>
        <v>1</v>
      </c>
      <c r="P21" s="142">
        <f>IF('RAW IMPORT'!P11&lt;&gt;"",1,0)</f>
        <v>0</v>
      </c>
      <c r="Q21" s="142">
        <f>IF('RAW IMPORT'!Q11&lt;&gt;"",1,0)</f>
        <v>0</v>
      </c>
      <c r="R21" s="138">
        <f>'RAW IMPORT'!R11</f>
        <v>0</v>
      </c>
      <c r="S21" s="138">
        <f>'RAW IMPORT'!S11</f>
        <v>7</v>
      </c>
      <c r="T21" s="138">
        <f>'RAW IMPORT'!T11</f>
        <v>5</v>
      </c>
      <c r="U21" s="138">
        <f>'RAW IMPORT'!U11</f>
        <v>0</v>
      </c>
      <c r="V21" s="138">
        <f>'RAW IMPORT'!V11</f>
        <v>0</v>
      </c>
      <c r="W21" s="138">
        <f>'RAW IMPORT'!W11</f>
        <v>0</v>
      </c>
      <c r="X21" s="138">
        <f>'RAW IMPORT'!X11</f>
        <v>0</v>
      </c>
      <c r="Y21" s="138">
        <f>'RAW IMPORT'!Y11</f>
        <v>0</v>
      </c>
      <c r="Z21" s="138">
        <f>'RAW IMPORT'!Z11</f>
        <v>0</v>
      </c>
      <c r="AA21" s="138">
        <f>'RAW IMPORT'!AA11</f>
        <v>0</v>
      </c>
      <c r="AB21" s="139">
        <f>'RAW IMPORT'!AB11</f>
        <v>0</v>
      </c>
      <c r="AC21" s="141">
        <f>'RAW IMPORT'!AC11</f>
        <v>4</v>
      </c>
      <c r="AD21" s="142">
        <f>'RAW IMPORT'!AD11</f>
        <v>7</v>
      </c>
      <c r="AE21" s="142">
        <f>'RAW IMPORT'!AE11</f>
        <v>0</v>
      </c>
      <c r="AF21" s="142">
        <f>IF('RAW IMPORT'!AF11="C1",3,IF('RAW IMPORT'!AF11="D1",4,0))</f>
        <v>4</v>
      </c>
      <c r="AG21" s="142">
        <f>'RAW IMPORT'!AG11</f>
        <v>1</v>
      </c>
      <c r="AH21" s="142">
        <f>'RAW IMPORT'!AH11</f>
        <v>5</v>
      </c>
      <c r="AI21" s="142">
        <f>IF('RAW IMPORT'!AI11="U",1,0)</f>
        <v>0</v>
      </c>
      <c r="AJ21" s="142">
        <f>IF('RAW IMPORT'!AJ11="A",1,0)</f>
        <v>1</v>
      </c>
      <c r="AK21" s="142">
        <f>IF('RAW IMPORT'!AK11="B",1,0)</f>
        <v>1</v>
      </c>
      <c r="AL21" s="142">
        <f>IF('RAW IMPORT'!AL11="U",1,0)</f>
        <v>1</v>
      </c>
      <c r="AM21" s="142">
        <f>IF('RAW IMPORT'!AM11&lt;&gt;"",1,0)</f>
        <v>1</v>
      </c>
      <c r="AN21" s="142">
        <f>IF('RAW IMPORT'!AN11&lt;&gt;"",1,0)</f>
        <v>1</v>
      </c>
      <c r="AO21" s="142">
        <f>IF('RAW IMPORT'!AO11&lt;&gt;"",1,0)</f>
        <v>1</v>
      </c>
      <c r="AP21" s="142">
        <f>IF('RAW IMPORT'!AP11&lt;&gt;"",1,0)</f>
        <v>1</v>
      </c>
      <c r="AQ21" s="142">
        <f>IF('RAW IMPORT'!AQ11&lt;&gt;"",1,0)</f>
        <v>1</v>
      </c>
      <c r="AR21" s="142">
        <f>IF('RAW IMPORT'!AR11&lt;&gt;"",1,0)</f>
        <v>1</v>
      </c>
      <c r="AS21" s="142">
        <f>IF('RAW IMPORT'!AS11&lt;&gt;"",1,0)</f>
        <v>1</v>
      </c>
      <c r="AT21" s="142">
        <f>IF('RAW IMPORT'!AT11&lt;&gt;"",1,0)</f>
        <v>1</v>
      </c>
      <c r="AU21" s="142">
        <f>IF('RAW IMPORT'!AU11&lt;&gt;"",1,0)</f>
        <v>1</v>
      </c>
      <c r="AV21" s="142">
        <f>IF('RAW IMPORT'!AV11&lt;&gt;"",1,0)</f>
        <v>1</v>
      </c>
      <c r="AW21" s="142">
        <f>IF('RAW IMPORT'!AW11&lt;&gt;"",1,0)</f>
        <v>0</v>
      </c>
      <c r="AX21" s="142">
        <f>IF('RAW IMPORT'!AX11&lt;&gt;"",1,0)</f>
        <v>0</v>
      </c>
      <c r="AY21" s="142">
        <f>IF('RAW IMPORT'!AY11&lt;&gt;"",1,0)</f>
        <v>0</v>
      </c>
      <c r="AZ21" s="142">
        <f>IF('RAW IMPORT'!AZ11&lt;&gt;"",1,0)</f>
        <v>0</v>
      </c>
      <c r="BA21" s="142">
        <f>IF('RAW IMPORT'!BA11&lt;&gt;"",1,0)</f>
        <v>0</v>
      </c>
      <c r="BB21" s="142">
        <f>IF('RAW IMPORT'!BB11&lt;&gt;"",1,0)</f>
        <v>0</v>
      </c>
      <c r="BC21" s="142">
        <f>IF('RAW IMPORT'!BC11&lt;&gt;"",1,0)</f>
        <v>1</v>
      </c>
      <c r="BD21" s="142">
        <f>IF('RAW IMPORT'!BD11&lt;&gt;"",1,0)</f>
        <v>1</v>
      </c>
      <c r="BE21" s="142">
        <f>IF('RAW IMPORT'!BE11&lt;&gt;"",1,0)</f>
        <v>1</v>
      </c>
      <c r="BF21" s="142">
        <f>IF('RAW IMPORT'!BF11&lt;&gt;"",1,0)</f>
        <v>0</v>
      </c>
      <c r="BG21" s="142">
        <f>IF('RAW IMPORT'!BG11&lt;&gt;"",1,0)</f>
        <v>1</v>
      </c>
      <c r="BH21" s="142">
        <f>IF('RAW IMPORT'!BH11&lt;&gt;"",1,0)</f>
        <v>1</v>
      </c>
      <c r="BI21" s="142">
        <f>IF('RAW IMPORT'!BI11&lt;&gt;"",1,0)</f>
        <v>1</v>
      </c>
      <c r="BJ21" s="142">
        <f>IF('RAW IMPORT'!BJ11&lt;&gt;"",1,0)</f>
        <v>1</v>
      </c>
      <c r="BK21" s="142">
        <f>IF('RAW IMPORT'!BK11&lt;&gt;"",1,0)</f>
        <v>1</v>
      </c>
      <c r="BL21" s="142">
        <f>IF('RAW IMPORT'!BL11&lt;&gt;"",1,0)</f>
        <v>0</v>
      </c>
      <c r="BM21" s="142">
        <f>'RAW IMPORT'!BM11</f>
        <v>1</v>
      </c>
      <c r="BN21" s="165">
        <f>'RAW IMPORT'!BN11</f>
        <v>0</v>
      </c>
      <c r="BO21" s="197">
        <f>'RAW IMPORT'!BO11</f>
        <v>0</v>
      </c>
      <c r="BP21" s="142" t="str">
        <f>'RAW IMPORT'!BP11</f>
        <v>PDF</v>
      </c>
      <c r="BQ21" s="141">
        <f>'RAW IMPORT'!BQ11</f>
        <v>0</v>
      </c>
      <c r="BR21" s="141">
        <f>'RAW IMPORT'!BR11</f>
        <v>0.02</v>
      </c>
      <c r="BS21" s="141">
        <f>'RAW IMPORT'!BS11</f>
        <v>0.16300000000000001</v>
      </c>
      <c r="BT21" s="141">
        <f>'RAW IMPORT'!BT11</f>
        <v>8.1000000000000003E-2</v>
      </c>
      <c r="BU21" s="141">
        <f>'RAW IMPORT'!BU11</f>
        <v>0.01</v>
      </c>
      <c r="BV21" s="198">
        <f>'RAW IMPORT'!BV11</f>
        <v>0</v>
      </c>
      <c r="BW21" s="141">
        <f>'RAW IMPORT'!BW11</f>
        <v>0</v>
      </c>
      <c r="BX21" s="165">
        <f>'RAW IMPORT'!BX11</f>
        <v>61</v>
      </c>
      <c r="BY21" s="240"/>
      <c r="BZ21" s="126"/>
      <c r="CA21" s="143">
        <f t="shared" si="2"/>
        <v>7</v>
      </c>
      <c r="CB21" s="170">
        <f t="shared" ca="1" si="3"/>
        <v>7</v>
      </c>
      <c r="CC21" s="170">
        <f t="shared" ca="1" si="4"/>
        <v>53</v>
      </c>
      <c r="CD21" s="204" t="str">
        <f t="shared" si="5"/>
        <v>"Model-8101A":
    RETURN</v>
      </c>
      <c r="CE21" s="170"/>
    </row>
    <row r="22" spans="1:83" ht="15" customHeight="1" x14ac:dyDescent="0.25">
      <c r="A22" s="138" t="str">
        <f>'RAW IMPORT'!A12</f>
        <v>OGRO</v>
      </c>
      <c r="B22" s="139">
        <f>'RAW IMPORT'!B12</f>
        <v>8103</v>
      </c>
      <c r="C22" s="142">
        <f>IF('RAW IMPORT'!C12&lt;&gt;"",1,0)</f>
        <v>1</v>
      </c>
      <c r="D22" s="142">
        <f>IF('RAW IMPORT'!D12&lt;&gt;"",1,0)</f>
        <v>1</v>
      </c>
      <c r="E22" s="142">
        <f>IF('RAW IMPORT'!E12&lt;&gt;"",1,0)</f>
        <v>0</v>
      </c>
      <c r="F22" s="142">
        <f>IF('RAW IMPORT'!F12&lt;&gt;"",1,0)</f>
        <v>0</v>
      </c>
      <c r="G22" s="142">
        <f>IF('RAW IMPORT'!G12&lt;&gt;"",1,0)</f>
        <v>0</v>
      </c>
      <c r="H22" s="142">
        <f>IF('RAW IMPORT'!H12&lt;&gt;"",1,0)</f>
        <v>0</v>
      </c>
      <c r="I22" s="142">
        <f>IF('RAW IMPORT'!I12&lt;&gt;"",1,0)</f>
        <v>0</v>
      </c>
      <c r="J22" s="142">
        <f>IF('RAW IMPORT'!J12&lt;&gt;"",1,0)</f>
        <v>0</v>
      </c>
      <c r="K22" s="142">
        <f>IF('RAW IMPORT'!K12&lt;&gt;"",1,0)</f>
        <v>0</v>
      </c>
      <c r="L22" s="142">
        <f>IF('RAW IMPORT'!L12&lt;&gt;"",1,0)</f>
        <v>0</v>
      </c>
      <c r="M22" s="142">
        <f>IF('RAW IMPORT'!M12&lt;&gt;"",1,0)</f>
        <v>0</v>
      </c>
      <c r="N22" s="165">
        <f>IF('RAW IMPORT'!N12&lt;&gt;"",1,0)</f>
        <v>0</v>
      </c>
      <c r="O22" s="167">
        <f>IF('RAW IMPORT'!O12&lt;&gt;"",1,0)</f>
        <v>1</v>
      </c>
      <c r="P22" s="142">
        <f>IF('RAW IMPORT'!P12&lt;&gt;"",1,0)</f>
        <v>1</v>
      </c>
      <c r="Q22" s="142">
        <f>IF('RAW IMPORT'!Q12&lt;&gt;"",1,0)</f>
        <v>0</v>
      </c>
      <c r="R22" s="138">
        <f>'RAW IMPORT'!R12</f>
        <v>0</v>
      </c>
      <c r="S22" s="138">
        <f>'RAW IMPORT'!S12</f>
        <v>7</v>
      </c>
      <c r="T22" s="138">
        <f>'RAW IMPORT'!T12</f>
        <v>5</v>
      </c>
      <c r="U22" s="138">
        <f>'RAW IMPORT'!U12</f>
        <v>0</v>
      </c>
      <c r="V22" s="138">
        <f>'RAW IMPORT'!V12</f>
        <v>0</v>
      </c>
      <c r="W22" s="138">
        <f>'RAW IMPORT'!W12</f>
        <v>0</v>
      </c>
      <c r="X22" s="138">
        <f>'RAW IMPORT'!X12</f>
        <v>0</v>
      </c>
      <c r="Y22" s="138">
        <f>'RAW IMPORT'!Y12</f>
        <v>0</v>
      </c>
      <c r="Z22" s="138">
        <f>'RAW IMPORT'!Z12</f>
        <v>0</v>
      </c>
      <c r="AA22" s="138">
        <f>'RAW IMPORT'!AA12</f>
        <v>0</v>
      </c>
      <c r="AB22" s="139">
        <f>'RAW IMPORT'!AB12</f>
        <v>0</v>
      </c>
      <c r="AC22" s="141">
        <f>'RAW IMPORT'!AC12</f>
        <v>4</v>
      </c>
      <c r="AD22" s="142">
        <f>'RAW IMPORT'!AD12</f>
        <v>7</v>
      </c>
      <c r="AE22" s="142">
        <f>'RAW IMPORT'!AE12</f>
        <v>0</v>
      </c>
      <c r="AF22" s="142">
        <f>IF('RAW IMPORT'!AF12="C1",3,IF('RAW IMPORT'!AF12="D1",4,0))</f>
        <v>3</v>
      </c>
      <c r="AG22" s="142">
        <f>'RAW IMPORT'!AG12</f>
        <v>1</v>
      </c>
      <c r="AH22" s="142">
        <f>'RAW IMPORT'!AH12</f>
        <v>5</v>
      </c>
      <c r="AI22" s="142">
        <f>IF('RAW IMPORT'!AI12="U",1,0)</f>
        <v>0</v>
      </c>
      <c r="AJ22" s="142">
        <f>IF('RAW IMPORT'!AJ12="A",1,0)</f>
        <v>1</v>
      </c>
      <c r="AK22" s="142">
        <f>IF('RAW IMPORT'!AK12="B",1,0)</f>
        <v>1</v>
      </c>
      <c r="AL22" s="142">
        <f>IF('RAW IMPORT'!AL12="U",1,0)</f>
        <v>1</v>
      </c>
      <c r="AM22" s="142">
        <f>IF('RAW IMPORT'!AM12&lt;&gt;"",1,0)</f>
        <v>1</v>
      </c>
      <c r="AN22" s="142">
        <f>IF('RAW IMPORT'!AN12&lt;&gt;"",1,0)</f>
        <v>1</v>
      </c>
      <c r="AO22" s="142">
        <f>IF('RAW IMPORT'!AO12&lt;&gt;"",1,0)</f>
        <v>1</v>
      </c>
      <c r="AP22" s="142">
        <f>IF('RAW IMPORT'!AP12&lt;&gt;"",1,0)</f>
        <v>0</v>
      </c>
      <c r="AQ22" s="142">
        <f>IF('RAW IMPORT'!AQ12&lt;&gt;"",1,0)</f>
        <v>1</v>
      </c>
      <c r="AR22" s="142">
        <f>IF('RAW IMPORT'!AR12&lt;&gt;"",1,0)</f>
        <v>1</v>
      </c>
      <c r="AS22" s="142">
        <f>IF('RAW IMPORT'!AS12&lt;&gt;"",1,0)</f>
        <v>1</v>
      </c>
      <c r="AT22" s="142">
        <f>IF('RAW IMPORT'!AT12&lt;&gt;"",1,0)</f>
        <v>1</v>
      </c>
      <c r="AU22" s="142">
        <f>IF('RAW IMPORT'!AU12&lt;&gt;"",1,0)</f>
        <v>1</v>
      </c>
      <c r="AV22" s="142">
        <f>IF('RAW IMPORT'!AV12&lt;&gt;"",1,0)</f>
        <v>1</v>
      </c>
      <c r="AW22" s="142">
        <f>IF('RAW IMPORT'!AW12&lt;&gt;"",1,0)</f>
        <v>1</v>
      </c>
      <c r="AX22" s="142">
        <f>IF('RAW IMPORT'!AX12&lt;&gt;"",1,0)</f>
        <v>1</v>
      </c>
      <c r="AY22" s="142">
        <f>IF('RAW IMPORT'!AY12&lt;&gt;"",1,0)</f>
        <v>1</v>
      </c>
      <c r="AZ22" s="142">
        <f>IF('RAW IMPORT'!AZ12&lt;&gt;"",1,0)</f>
        <v>1</v>
      </c>
      <c r="BA22" s="142">
        <f>IF('RAW IMPORT'!BA12&lt;&gt;"",1,0)</f>
        <v>1</v>
      </c>
      <c r="BB22" s="142">
        <f>IF('RAW IMPORT'!BB12&lt;&gt;"",1,0)</f>
        <v>1</v>
      </c>
      <c r="BC22" s="142">
        <f>IF('RAW IMPORT'!BC12&lt;&gt;"",1,0)</f>
        <v>0</v>
      </c>
      <c r="BD22" s="142">
        <f>IF('RAW IMPORT'!BD12&lt;&gt;"",1,0)</f>
        <v>1</v>
      </c>
      <c r="BE22" s="142">
        <f>IF('RAW IMPORT'!BE12&lt;&gt;"",1,0)</f>
        <v>1</v>
      </c>
      <c r="BF22" s="142">
        <f>IF('RAW IMPORT'!BF12&lt;&gt;"",1,0)</f>
        <v>0</v>
      </c>
      <c r="BG22" s="142">
        <f>IF('RAW IMPORT'!BG12&lt;&gt;"",1,0)</f>
        <v>1</v>
      </c>
      <c r="BH22" s="142">
        <f>IF('RAW IMPORT'!BH12&lt;&gt;"",1,0)</f>
        <v>1</v>
      </c>
      <c r="BI22" s="142">
        <f>IF('RAW IMPORT'!BI12&lt;&gt;"",1,0)</f>
        <v>1</v>
      </c>
      <c r="BJ22" s="142">
        <f>IF('RAW IMPORT'!BJ12&lt;&gt;"",1,0)</f>
        <v>1</v>
      </c>
      <c r="BK22" s="142">
        <f>IF('RAW IMPORT'!BK12&lt;&gt;"",1,0)</f>
        <v>1</v>
      </c>
      <c r="BL22" s="142">
        <f>IF('RAW IMPORT'!BL12&lt;&gt;"",1,0)</f>
        <v>1</v>
      </c>
      <c r="BM22" s="142">
        <f>'RAW IMPORT'!BM12</f>
        <v>1</v>
      </c>
      <c r="BN22" s="165">
        <f>'RAW IMPORT'!BN12</f>
        <v>0</v>
      </c>
      <c r="BO22" s="197">
        <f>'RAW IMPORT'!BO12</f>
        <v>0</v>
      </c>
      <c r="BP22" s="142" t="str">
        <f>'RAW IMPORT'!BP12</f>
        <v>PDF</v>
      </c>
      <c r="BQ22" s="141">
        <f>'RAW IMPORT'!BQ12</f>
        <v>0</v>
      </c>
      <c r="BR22" s="141">
        <f>'RAW IMPORT'!BR12</f>
        <v>0.02</v>
      </c>
      <c r="BS22" s="141">
        <f>'RAW IMPORT'!BS12</f>
        <v>0.17499999999999999</v>
      </c>
      <c r="BT22" s="141">
        <f>'RAW IMPORT'!BT12</f>
        <v>6.5000000000000002E-2</v>
      </c>
      <c r="BU22" s="141">
        <f>'RAW IMPORT'!BU12</f>
        <v>0.01</v>
      </c>
      <c r="BV22" s="198">
        <f>'RAW IMPORT'!BV12</f>
        <v>0</v>
      </c>
      <c r="BW22" s="141">
        <f>'RAW IMPORT'!BW12</f>
        <v>5</v>
      </c>
      <c r="BX22" s="165">
        <f>'RAW IMPORT'!BX12</f>
        <v>0</v>
      </c>
      <c r="BY22" s="240"/>
      <c r="BZ22" s="126"/>
      <c r="CA22" s="143">
        <f t="shared" si="2"/>
        <v>8</v>
      </c>
      <c r="CB22" s="170">
        <f t="shared" ca="1" si="3"/>
        <v>8</v>
      </c>
      <c r="CC22" s="170">
        <f t="shared" ca="1" si="4"/>
        <v>54</v>
      </c>
      <c r="CD22" s="204" t="str">
        <f t="shared" si="5"/>
        <v>"Model-8103":
    RETURN</v>
      </c>
      <c r="CE22" s="170"/>
    </row>
    <row r="23" spans="1:83" ht="15" customHeight="1" x14ac:dyDescent="0.25">
      <c r="A23" s="138" t="str">
        <f>'RAW IMPORT'!A13</f>
        <v>OGRO</v>
      </c>
      <c r="B23" s="139">
        <f>'RAW IMPORT'!B13</f>
        <v>8111</v>
      </c>
      <c r="C23" s="142">
        <f>IF('RAW IMPORT'!C13&lt;&gt;"",1,0)</f>
        <v>1</v>
      </c>
      <c r="D23" s="142">
        <f>IF('RAW IMPORT'!D13&lt;&gt;"",1,0)</f>
        <v>1</v>
      </c>
      <c r="E23" s="142">
        <f>IF('RAW IMPORT'!E13&lt;&gt;"",1,0)</f>
        <v>0</v>
      </c>
      <c r="F23" s="142">
        <f>IF('RAW IMPORT'!F13&lt;&gt;"",1,0)</f>
        <v>0</v>
      </c>
      <c r="G23" s="142">
        <f>IF('RAW IMPORT'!G13&lt;&gt;"",1,0)</f>
        <v>0</v>
      </c>
      <c r="H23" s="142">
        <f>IF('RAW IMPORT'!H13&lt;&gt;"",1,0)</f>
        <v>0</v>
      </c>
      <c r="I23" s="142">
        <f>IF('RAW IMPORT'!I13&lt;&gt;"",1,0)</f>
        <v>0</v>
      </c>
      <c r="J23" s="142">
        <f>IF('RAW IMPORT'!J13&lt;&gt;"",1,0)</f>
        <v>0</v>
      </c>
      <c r="K23" s="142">
        <f>IF('RAW IMPORT'!K13&lt;&gt;"",1,0)</f>
        <v>0</v>
      </c>
      <c r="L23" s="142">
        <f>IF('RAW IMPORT'!L13&lt;&gt;"",1,0)</f>
        <v>0</v>
      </c>
      <c r="M23" s="142">
        <f>IF('RAW IMPORT'!M13&lt;&gt;"",1,0)</f>
        <v>0</v>
      </c>
      <c r="N23" s="165">
        <f>IF('RAW IMPORT'!N13&lt;&gt;"",1,0)</f>
        <v>0</v>
      </c>
      <c r="O23" s="167">
        <f>IF('RAW IMPORT'!O13&lt;&gt;"",1,0)</f>
        <v>0</v>
      </c>
      <c r="P23" s="142">
        <f>IF('RAW IMPORT'!P13&lt;&gt;"",1,0)</f>
        <v>0</v>
      </c>
      <c r="Q23" s="142">
        <f>IF('RAW IMPORT'!Q13&lt;&gt;"",1,0)</f>
        <v>0</v>
      </c>
      <c r="R23" s="138">
        <f>'RAW IMPORT'!R13</f>
        <v>0</v>
      </c>
      <c r="S23" s="138">
        <f>'RAW IMPORT'!S13</f>
        <v>7</v>
      </c>
      <c r="T23" s="138">
        <f>'RAW IMPORT'!T13</f>
        <v>5</v>
      </c>
      <c r="U23" s="138">
        <f>'RAW IMPORT'!U13</f>
        <v>0</v>
      </c>
      <c r="V23" s="138">
        <f>'RAW IMPORT'!V13</f>
        <v>0</v>
      </c>
      <c r="W23" s="138">
        <f>'RAW IMPORT'!W13</f>
        <v>0</v>
      </c>
      <c r="X23" s="138">
        <f>'RAW IMPORT'!X13</f>
        <v>0</v>
      </c>
      <c r="Y23" s="138">
        <f>'RAW IMPORT'!Y13</f>
        <v>0</v>
      </c>
      <c r="Z23" s="138">
        <f>'RAW IMPORT'!Z13</f>
        <v>0</v>
      </c>
      <c r="AA23" s="138">
        <f>'RAW IMPORT'!AA13</f>
        <v>0</v>
      </c>
      <c r="AB23" s="139">
        <f>'RAW IMPORT'!AB13</f>
        <v>0</v>
      </c>
      <c r="AC23" s="141">
        <f>'RAW IMPORT'!AC13</f>
        <v>4</v>
      </c>
      <c r="AD23" s="142">
        <f>'RAW IMPORT'!AD13</f>
        <v>7</v>
      </c>
      <c r="AE23" s="142">
        <f>'RAW IMPORT'!AE13</f>
        <v>0</v>
      </c>
      <c r="AF23" s="142">
        <f>IF('RAW IMPORT'!AF13="C1",3,IF('RAW IMPORT'!AF13="D1",4,0))</f>
        <v>3</v>
      </c>
      <c r="AG23" s="142">
        <f>'RAW IMPORT'!AG13</f>
        <v>1</v>
      </c>
      <c r="AH23" s="142">
        <f>'RAW IMPORT'!AH13</f>
        <v>5</v>
      </c>
      <c r="AI23" s="142">
        <f>IF('RAW IMPORT'!AI13="U",1,0)</f>
        <v>0</v>
      </c>
      <c r="AJ23" s="142">
        <f>IF('RAW IMPORT'!AJ13="A",1,0)</f>
        <v>1</v>
      </c>
      <c r="AK23" s="142">
        <f>IF('RAW IMPORT'!AK13="B",1,0)</f>
        <v>1</v>
      </c>
      <c r="AL23" s="142">
        <f>IF('RAW IMPORT'!AL13="U",1,0)</f>
        <v>1</v>
      </c>
      <c r="AM23" s="142">
        <f>IF('RAW IMPORT'!AM13&lt;&gt;"",1,0)</f>
        <v>1</v>
      </c>
      <c r="AN23" s="142">
        <f>IF('RAW IMPORT'!AN13&lt;&gt;"",1,0)</f>
        <v>1</v>
      </c>
      <c r="AO23" s="142">
        <f>IF('RAW IMPORT'!AO13&lt;&gt;"",1,0)</f>
        <v>1</v>
      </c>
      <c r="AP23" s="142">
        <f>IF('RAW IMPORT'!AP13&lt;&gt;"",1,0)</f>
        <v>0</v>
      </c>
      <c r="AQ23" s="142">
        <f>IF('RAW IMPORT'!AQ13&lt;&gt;"",1,0)</f>
        <v>1</v>
      </c>
      <c r="AR23" s="142">
        <f>IF('RAW IMPORT'!AR13&lt;&gt;"",1,0)</f>
        <v>1</v>
      </c>
      <c r="AS23" s="142">
        <f>IF('RAW IMPORT'!AS13&lt;&gt;"",1,0)</f>
        <v>1</v>
      </c>
      <c r="AT23" s="142">
        <f>IF('RAW IMPORT'!AT13&lt;&gt;"",1,0)</f>
        <v>1</v>
      </c>
      <c r="AU23" s="142">
        <f>IF('RAW IMPORT'!AU13&lt;&gt;"",1,0)</f>
        <v>0</v>
      </c>
      <c r="AV23" s="142">
        <f>IF('RAW IMPORT'!AV13&lt;&gt;"",1,0)</f>
        <v>1</v>
      </c>
      <c r="AW23" s="142">
        <f>IF('RAW IMPORT'!AW13&lt;&gt;"",1,0)</f>
        <v>1</v>
      </c>
      <c r="AX23" s="142">
        <f>IF('RAW IMPORT'!AX13&lt;&gt;"",1,0)</f>
        <v>1</v>
      </c>
      <c r="AY23" s="142">
        <f>IF('RAW IMPORT'!AY13&lt;&gt;"",1,0)</f>
        <v>1</v>
      </c>
      <c r="AZ23" s="142">
        <f>IF('RAW IMPORT'!AZ13&lt;&gt;"",1,0)</f>
        <v>1</v>
      </c>
      <c r="BA23" s="142">
        <f>IF('RAW IMPORT'!BA13&lt;&gt;"",1,0)</f>
        <v>1</v>
      </c>
      <c r="BB23" s="142">
        <f>IF('RAW IMPORT'!BB13&lt;&gt;"",1,0)</f>
        <v>1</v>
      </c>
      <c r="BC23" s="142">
        <f>IF('RAW IMPORT'!BC13&lt;&gt;"",1,0)</f>
        <v>0</v>
      </c>
      <c r="BD23" s="142">
        <f>IF('RAW IMPORT'!BD13&lt;&gt;"",1,0)</f>
        <v>1</v>
      </c>
      <c r="BE23" s="142">
        <f>IF('RAW IMPORT'!BE13&lt;&gt;"",1,0)</f>
        <v>1</v>
      </c>
      <c r="BF23" s="142">
        <f>IF('RAW IMPORT'!BF13&lt;&gt;"",1,0)</f>
        <v>0</v>
      </c>
      <c r="BG23" s="142">
        <f>IF('RAW IMPORT'!BG13&lt;&gt;"",1,0)</f>
        <v>1</v>
      </c>
      <c r="BH23" s="142">
        <f>IF('RAW IMPORT'!BH13&lt;&gt;"",1,0)</f>
        <v>1</v>
      </c>
      <c r="BI23" s="142">
        <f>IF('RAW IMPORT'!BI13&lt;&gt;"",1,0)</f>
        <v>1</v>
      </c>
      <c r="BJ23" s="142">
        <f>IF('RAW IMPORT'!BJ13&lt;&gt;"",1,0)</f>
        <v>1</v>
      </c>
      <c r="BK23" s="142">
        <f>IF('RAW IMPORT'!BK13&lt;&gt;"",1,0)</f>
        <v>1</v>
      </c>
      <c r="BL23" s="142">
        <f>IF('RAW IMPORT'!BL13&lt;&gt;"",1,0)</f>
        <v>1</v>
      </c>
      <c r="BM23" s="142">
        <f>'RAW IMPORT'!BM13</f>
        <v>1</v>
      </c>
      <c r="BN23" s="165">
        <f>'RAW IMPORT'!BN13</f>
        <v>0</v>
      </c>
      <c r="BO23" s="197">
        <f>'RAW IMPORT'!BO13</f>
        <v>0</v>
      </c>
      <c r="BP23" s="142" t="str">
        <f>'RAW IMPORT'!BP13</f>
        <v>PDF</v>
      </c>
      <c r="BQ23" s="141">
        <f>'RAW IMPORT'!BQ13</f>
        <v>0</v>
      </c>
      <c r="BR23" s="141">
        <f>'RAW IMPORT'!BR13</f>
        <v>0.02</v>
      </c>
      <c r="BS23" s="141">
        <f>'RAW IMPORT'!BS13</f>
        <v>0.14499999999999999</v>
      </c>
      <c r="BT23" s="141">
        <f>'RAW IMPORT'!BT13</f>
        <v>0.06</v>
      </c>
      <c r="BU23" s="141">
        <f>'RAW IMPORT'!BU13</f>
        <v>0.01</v>
      </c>
      <c r="BV23" s="198">
        <f>'RAW IMPORT'!BV13</f>
        <v>0</v>
      </c>
      <c r="BW23" s="141">
        <f>'RAW IMPORT'!BW13</f>
        <v>6</v>
      </c>
      <c r="BX23" s="165">
        <f>'RAW IMPORT'!BX13</f>
        <v>62</v>
      </c>
      <c r="BY23" s="240"/>
      <c r="BZ23" s="126"/>
      <c r="CA23" s="143">
        <f t="shared" si="2"/>
        <v>9</v>
      </c>
      <c r="CB23" s="170">
        <f t="shared" ca="1" si="3"/>
        <v>9</v>
      </c>
      <c r="CC23" s="170">
        <f t="shared" ca="1" si="4"/>
        <v>55</v>
      </c>
      <c r="CD23" s="204" t="str">
        <f t="shared" si="5"/>
        <v>"Model-8111":
    RETURN</v>
      </c>
      <c r="CE23" s="170"/>
    </row>
    <row r="24" spans="1:83" ht="15" customHeight="1" x14ac:dyDescent="0.25">
      <c r="A24" s="138" t="str">
        <f>'RAW IMPORT'!A14</f>
        <v>OGRO</v>
      </c>
      <c r="B24" s="139">
        <f>'RAW IMPORT'!B14</f>
        <v>8112</v>
      </c>
      <c r="C24" s="142">
        <f>IF('RAW IMPORT'!C14&lt;&gt;"",1,0)</f>
        <v>1</v>
      </c>
      <c r="D24" s="142">
        <f>IF('RAW IMPORT'!D14&lt;&gt;"",1,0)</f>
        <v>1</v>
      </c>
      <c r="E24" s="142">
        <f>IF('RAW IMPORT'!E14&lt;&gt;"",1,0)</f>
        <v>0</v>
      </c>
      <c r="F24" s="142">
        <f>IF('RAW IMPORT'!F14&lt;&gt;"",1,0)</f>
        <v>0</v>
      </c>
      <c r="G24" s="142">
        <f>IF('RAW IMPORT'!G14&lt;&gt;"",1,0)</f>
        <v>0</v>
      </c>
      <c r="H24" s="142">
        <f>IF('RAW IMPORT'!H14&lt;&gt;"",1,0)</f>
        <v>0</v>
      </c>
      <c r="I24" s="142">
        <f>IF('RAW IMPORT'!I14&lt;&gt;"",1,0)</f>
        <v>0</v>
      </c>
      <c r="J24" s="142">
        <f>IF('RAW IMPORT'!J14&lt;&gt;"",1,0)</f>
        <v>0</v>
      </c>
      <c r="K24" s="142">
        <f>IF('RAW IMPORT'!K14&lt;&gt;"",1,0)</f>
        <v>0</v>
      </c>
      <c r="L24" s="142">
        <f>IF('RAW IMPORT'!L14&lt;&gt;"",1,0)</f>
        <v>0</v>
      </c>
      <c r="M24" s="142">
        <f>IF('RAW IMPORT'!M14&lt;&gt;"",1,0)</f>
        <v>0</v>
      </c>
      <c r="N24" s="165">
        <f>IF('RAW IMPORT'!N14&lt;&gt;"",1,0)</f>
        <v>0</v>
      </c>
      <c r="O24" s="167">
        <f>IF('RAW IMPORT'!O14&lt;&gt;"",1,0)</f>
        <v>1</v>
      </c>
      <c r="P24" s="142">
        <f>IF('RAW IMPORT'!P14&lt;&gt;"",1,0)</f>
        <v>0</v>
      </c>
      <c r="Q24" s="142">
        <f>IF('RAW IMPORT'!Q14&lt;&gt;"",1,0)</f>
        <v>0</v>
      </c>
      <c r="R24" s="138">
        <f>'RAW IMPORT'!R14</f>
        <v>0</v>
      </c>
      <c r="S24" s="138">
        <f>'RAW IMPORT'!S14</f>
        <v>7</v>
      </c>
      <c r="T24" s="138">
        <f>'RAW IMPORT'!T14</f>
        <v>5</v>
      </c>
      <c r="U24" s="138">
        <f>'RAW IMPORT'!U14</f>
        <v>0</v>
      </c>
      <c r="V24" s="138">
        <f>'RAW IMPORT'!V14</f>
        <v>0</v>
      </c>
      <c r="W24" s="138">
        <f>'RAW IMPORT'!W14</f>
        <v>0</v>
      </c>
      <c r="X24" s="138">
        <f>'RAW IMPORT'!X14</f>
        <v>0</v>
      </c>
      <c r="Y24" s="138">
        <f>'RAW IMPORT'!Y14</f>
        <v>0</v>
      </c>
      <c r="Z24" s="138">
        <f>'RAW IMPORT'!Z14</f>
        <v>0</v>
      </c>
      <c r="AA24" s="138">
        <f>'RAW IMPORT'!AA14</f>
        <v>0</v>
      </c>
      <c r="AB24" s="139">
        <f>'RAW IMPORT'!AB14</f>
        <v>0</v>
      </c>
      <c r="AC24" s="141">
        <f>'RAW IMPORT'!AC14</f>
        <v>4</v>
      </c>
      <c r="AD24" s="142">
        <f>'RAW IMPORT'!AD14</f>
        <v>7</v>
      </c>
      <c r="AE24" s="142">
        <f>'RAW IMPORT'!AE14</f>
        <v>0</v>
      </c>
      <c r="AF24" s="142">
        <f>IF('RAW IMPORT'!AF14="C1",3,IF('RAW IMPORT'!AF14="D1",4,0))</f>
        <v>3</v>
      </c>
      <c r="AG24" s="142">
        <f>'RAW IMPORT'!AG14</f>
        <v>1</v>
      </c>
      <c r="AH24" s="142">
        <f>'RAW IMPORT'!AH14</f>
        <v>5</v>
      </c>
      <c r="AI24" s="142">
        <f>IF('RAW IMPORT'!AI14="U",1,0)</f>
        <v>0</v>
      </c>
      <c r="AJ24" s="142">
        <f>IF('RAW IMPORT'!AJ14="A",1,0)</f>
        <v>1</v>
      </c>
      <c r="AK24" s="142">
        <f>IF('RAW IMPORT'!AK14="B",1,0)</f>
        <v>1</v>
      </c>
      <c r="AL24" s="142">
        <f>IF('RAW IMPORT'!AL14="U",1,0)</f>
        <v>1</v>
      </c>
      <c r="AM24" s="142">
        <f>IF('RAW IMPORT'!AM14&lt;&gt;"",1,0)</f>
        <v>1</v>
      </c>
      <c r="AN24" s="142">
        <f>IF('RAW IMPORT'!AN14&lt;&gt;"",1,0)</f>
        <v>1</v>
      </c>
      <c r="AO24" s="142">
        <f>IF('RAW IMPORT'!AO14&lt;&gt;"",1,0)</f>
        <v>1</v>
      </c>
      <c r="AP24" s="142">
        <f>IF('RAW IMPORT'!AP14&lt;&gt;"",1,0)</f>
        <v>0</v>
      </c>
      <c r="AQ24" s="142">
        <f>IF('RAW IMPORT'!AQ14&lt;&gt;"",1,0)</f>
        <v>1</v>
      </c>
      <c r="AR24" s="142">
        <f>IF('RAW IMPORT'!AR14&lt;&gt;"",1,0)</f>
        <v>1</v>
      </c>
      <c r="AS24" s="142">
        <f>IF('RAW IMPORT'!AS14&lt;&gt;"",1,0)</f>
        <v>1</v>
      </c>
      <c r="AT24" s="142">
        <f>IF('RAW IMPORT'!AT14&lt;&gt;"",1,0)</f>
        <v>1</v>
      </c>
      <c r="AU24" s="142">
        <f>IF('RAW IMPORT'!AU14&lt;&gt;"",1,0)</f>
        <v>0</v>
      </c>
      <c r="AV24" s="142">
        <f>IF('RAW IMPORT'!AV14&lt;&gt;"",1,0)</f>
        <v>1</v>
      </c>
      <c r="AW24" s="142">
        <f>IF('RAW IMPORT'!AW14&lt;&gt;"",1,0)</f>
        <v>1</v>
      </c>
      <c r="AX24" s="142">
        <f>IF('RAW IMPORT'!AX14&lt;&gt;"",1,0)</f>
        <v>1</v>
      </c>
      <c r="AY24" s="142">
        <f>IF('RAW IMPORT'!AY14&lt;&gt;"",1,0)</f>
        <v>1</v>
      </c>
      <c r="AZ24" s="142">
        <f>IF('RAW IMPORT'!AZ14&lt;&gt;"",1,0)</f>
        <v>1</v>
      </c>
      <c r="BA24" s="142">
        <f>IF('RAW IMPORT'!BA14&lt;&gt;"",1,0)</f>
        <v>1</v>
      </c>
      <c r="BB24" s="142">
        <f>IF('RAW IMPORT'!BB14&lt;&gt;"",1,0)</f>
        <v>1</v>
      </c>
      <c r="BC24" s="142">
        <f>IF('RAW IMPORT'!BC14&lt;&gt;"",1,0)</f>
        <v>0</v>
      </c>
      <c r="BD24" s="142">
        <f>IF('RAW IMPORT'!BD14&lt;&gt;"",1,0)</f>
        <v>1</v>
      </c>
      <c r="BE24" s="142">
        <f>IF('RAW IMPORT'!BE14&lt;&gt;"",1,0)</f>
        <v>1</v>
      </c>
      <c r="BF24" s="142">
        <f>IF('RAW IMPORT'!BF14&lt;&gt;"",1,0)</f>
        <v>0</v>
      </c>
      <c r="BG24" s="142">
        <f>IF('RAW IMPORT'!BG14&lt;&gt;"",1,0)</f>
        <v>1</v>
      </c>
      <c r="BH24" s="142">
        <f>IF('RAW IMPORT'!BH14&lt;&gt;"",1,0)</f>
        <v>1</v>
      </c>
      <c r="BI24" s="142">
        <f>IF('RAW IMPORT'!BI14&lt;&gt;"",1,0)</f>
        <v>1</v>
      </c>
      <c r="BJ24" s="142">
        <f>IF('RAW IMPORT'!BJ14&lt;&gt;"",1,0)</f>
        <v>1</v>
      </c>
      <c r="BK24" s="142">
        <f>IF('RAW IMPORT'!BK14&lt;&gt;"",1,0)</f>
        <v>1</v>
      </c>
      <c r="BL24" s="142">
        <f>IF('RAW IMPORT'!BL14&lt;&gt;"",1,0)</f>
        <v>1</v>
      </c>
      <c r="BM24" s="142">
        <f>'RAW IMPORT'!BM14</f>
        <v>1</v>
      </c>
      <c r="BN24" s="165">
        <f>'RAW IMPORT'!BN14</f>
        <v>0</v>
      </c>
      <c r="BO24" s="197">
        <f>'RAW IMPORT'!BO14</f>
        <v>0</v>
      </c>
      <c r="BP24" s="142" t="str">
        <f>'RAW IMPORT'!BP14</f>
        <v>PDF</v>
      </c>
      <c r="BQ24" s="141">
        <f>'RAW IMPORT'!BQ14</f>
        <v>0</v>
      </c>
      <c r="BR24" s="141">
        <f>'RAW IMPORT'!BR14</f>
        <v>0.02</v>
      </c>
      <c r="BS24" s="141">
        <f>'RAW IMPORT'!BS14</f>
        <v>0.14199999999999999</v>
      </c>
      <c r="BT24" s="141">
        <f>'RAW IMPORT'!BT14</f>
        <v>0.06</v>
      </c>
      <c r="BU24" s="141">
        <f>'RAW IMPORT'!BU14</f>
        <v>0.01</v>
      </c>
      <c r="BV24" s="198">
        <f>'RAW IMPORT'!BV14</f>
        <v>0</v>
      </c>
      <c r="BW24" s="141">
        <f>'RAW IMPORT'!BW14</f>
        <v>7</v>
      </c>
      <c r="BX24" s="165">
        <f>'RAW IMPORT'!BX14</f>
        <v>63</v>
      </c>
      <c r="BY24" s="240"/>
      <c r="BZ24" s="126"/>
      <c r="CA24" s="143">
        <f t="shared" si="2"/>
        <v>10</v>
      </c>
      <c r="CB24" s="170">
        <f t="shared" ca="1" si="3"/>
        <v>10</v>
      </c>
      <c r="CC24" s="170">
        <f t="shared" ca="1" si="4"/>
        <v>56</v>
      </c>
      <c r="CD24" s="204" t="str">
        <f t="shared" si="5"/>
        <v>"Model-8112":
    RETURN</v>
      </c>
      <c r="CE24" s="170"/>
    </row>
    <row r="25" spans="1:83" ht="15" customHeight="1" x14ac:dyDescent="0.25">
      <c r="A25" s="138" t="str">
        <f>'RAW IMPORT'!A15</f>
        <v>OGRO</v>
      </c>
      <c r="B25" s="139">
        <f>'RAW IMPORT'!B15</f>
        <v>8115</v>
      </c>
      <c r="C25" s="142">
        <f>IF('RAW IMPORT'!C15&lt;&gt;"",1,0)</f>
        <v>1</v>
      </c>
      <c r="D25" s="142">
        <f>IF('RAW IMPORT'!D15&lt;&gt;"",1,0)</f>
        <v>1</v>
      </c>
      <c r="E25" s="142">
        <f>IF('RAW IMPORT'!E15&lt;&gt;"",1,0)</f>
        <v>0</v>
      </c>
      <c r="F25" s="142">
        <f>IF('RAW IMPORT'!F15&lt;&gt;"",1,0)</f>
        <v>0</v>
      </c>
      <c r="G25" s="142">
        <f>IF('RAW IMPORT'!G15&lt;&gt;"",1,0)</f>
        <v>0</v>
      </c>
      <c r="H25" s="142">
        <f>IF('RAW IMPORT'!H15&lt;&gt;"",1,0)</f>
        <v>0</v>
      </c>
      <c r="I25" s="142">
        <f>IF('RAW IMPORT'!I15&lt;&gt;"",1,0)</f>
        <v>0</v>
      </c>
      <c r="J25" s="142">
        <f>IF('RAW IMPORT'!J15&lt;&gt;"",1,0)</f>
        <v>0</v>
      </c>
      <c r="K25" s="142">
        <f>IF('RAW IMPORT'!K15&lt;&gt;"",1,0)</f>
        <v>0</v>
      </c>
      <c r="L25" s="142">
        <f>IF('RAW IMPORT'!L15&lt;&gt;"",1,0)</f>
        <v>0</v>
      </c>
      <c r="M25" s="142">
        <f>IF('RAW IMPORT'!M15&lt;&gt;"",1,0)</f>
        <v>0</v>
      </c>
      <c r="N25" s="165">
        <f>IF('RAW IMPORT'!N15&lt;&gt;"",1,0)</f>
        <v>0</v>
      </c>
      <c r="O25" s="167">
        <f>IF('RAW IMPORT'!O15&lt;&gt;"",1,0)</f>
        <v>0</v>
      </c>
      <c r="P25" s="142">
        <f>IF('RAW IMPORT'!P15&lt;&gt;"",1,0)</f>
        <v>0</v>
      </c>
      <c r="Q25" s="142">
        <f>IF('RAW IMPORT'!Q15&lt;&gt;"",1,0)</f>
        <v>0</v>
      </c>
      <c r="R25" s="138">
        <f>'RAW IMPORT'!R15</f>
        <v>0</v>
      </c>
      <c r="S25" s="138">
        <f>'RAW IMPORT'!S15</f>
        <v>7</v>
      </c>
      <c r="T25" s="138">
        <f>'RAW IMPORT'!T15</f>
        <v>5</v>
      </c>
      <c r="U25" s="138">
        <f>'RAW IMPORT'!U15</f>
        <v>0</v>
      </c>
      <c r="V25" s="138">
        <f>'RAW IMPORT'!V15</f>
        <v>0</v>
      </c>
      <c r="W25" s="138">
        <f>'RAW IMPORT'!W15</f>
        <v>0</v>
      </c>
      <c r="X25" s="138">
        <f>'RAW IMPORT'!X15</f>
        <v>0</v>
      </c>
      <c r="Y25" s="138">
        <f>'RAW IMPORT'!Y15</f>
        <v>0</v>
      </c>
      <c r="Z25" s="138">
        <f>'RAW IMPORT'!Z15</f>
        <v>0</v>
      </c>
      <c r="AA25" s="138">
        <f>'RAW IMPORT'!AA15</f>
        <v>0</v>
      </c>
      <c r="AB25" s="139">
        <f>'RAW IMPORT'!AB15</f>
        <v>0</v>
      </c>
      <c r="AC25" s="141">
        <f>'RAW IMPORT'!AC15</f>
        <v>4</v>
      </c>
      <c r="AD25" s="142">
        <f>'RAW IMPORT'!AD15</f>
        <v>7</v>
      </c>
      <c r="AE25" s="142">
        <f>'RAW IMPORT'!AE15</f>
        <v>0</v>
      </c>
      <c r="AF25" s="142">
        <f>IF('RAW IMPORT'!AF15="C1",3,IF('RAW IMPORT'!AF15="D1",4,0))</f>
        <v>4</v>
      </c>
      <c r="AG25" s="142">
        <f>'RAW IMPORT'!AG15</f>
        <v>1</v>
      </c>
      <c r="AH25" s="142">
        <f>'RAW IMPORT'!AH15</f>
        <v>5</v>
      </c>
      <c r="AI25" s="142">
        <f>IF('RAW IMPORT'!AI15="U",1,0)</f>
        <v>0</v>
      </c>
      <c r="AJ25" s="142">
        <f>IF('RAW IMPORT'!AJ15="A",1,0)</f>
        <v>1</v>
      </c>
      <c r="AK25" s="142">
        <f>IF('RAW IMPORT'!AK15="B",1,0)</f>
        <v>1</v>
      </c>
      <c r="AL25" s="142">
        <f>IF('RAW IMPORT'!AL15="U",1,0)</f>
        <v>1</v>
      </c>
      <c r="AM25" s="142">
        <f>IF('RAW IMPORT'!AM15&lt;&gt;"",1,0)</f>
        <v>1</v>
      </c>
      <c r="AN25" s="142">
        <f>IF('RAW IMPORT'!AN15&lt;&gt;"",1,0)</f>
        <v>1</v>
      </c>
      <c r="AO25" s="142">
        <f>IF('RAW IMPORT'!AO15&lt;&gt;"",1,0)</f>
        <v>1</v>
      </c>
      <c r="AP25" s="142">
        <f>IF('RAW IMPORT'!AP15&lt;&gt;"",1,0)</f>
        <v>1</v>
      </c>
      <c r="AQ25" s="142">
        <f>IF('RAW IMPORT'!AQ15&lt;&gt;"",1,0)</f>
        <v>1</v>
      </c>
      <c r="AR25" s="142">
        <f>IF('RAW IMPORT'!AR15&lt;&gt;"",1,0)</f>
        <v>1</v>
      </c>
      <c r="AS25" s="142">
        <f>IF('RAW IMPORT'!AS15&lt;&gt;"",1,0)</f>
        <v>1</v>
      </c>
      <c r="AT25" s="142">
        <f>IF('RAW IMPORT'!AT15&lt;&gt;"",1,0)</f>
        <v>1</v>
      </c>
      <c r="AU25" s="142">
        <f>IF('RAW IMPORT'!AU15&lt;&gt;"",1,0)</f>
        <v>1</v>
      </c>
      <c r="AV25" s="142">
        <f>IF('RAW IMPORT'!AV15&lt;&gt;"",1,0)</f>
        <v>1</v>
      </c>
      <c r="AW25" s="142">
        <f>IF('RAW IMPORT'!AW15&lt;&gt;"",1,0)</f>
        <v>1</v>
      </c>
      <c r="AX25" s="142">
        <f>IF('RAW IMPORT'!AX15&lt;&gt;"",1,0)</f>
        <v>1</v>
      </c>
      <c r="AY25" s="142">
        <f>IF('RAW IMPORT'!AY15&lt;&gt;"",1,0)</f>
        <v>1</v>
      </c>
      <c r="AZ25" s="142">
        <f>IF('RAW IMPORT'!AZ15&lt;&gt;"",1,0)</f>
        <v>1</v>
      </c>
      <c r="BA25" s="142">
        <f>IF('RAW IMPORT'!BA15&lt;&gt;"",1,0)</f>
        <v>1</v>
      </c>
      <c r="BB25" s="142">
        <f>IF('RAW IMPORT'!BB15&lt;&gt;"",1,0)</f>
        <v>1</v>
      </c>
      <c r="BC25" s="142">
        <f>IF('RAW IMPORT'!BC15&lt;&gt;"",1,0)</f>
        <v>0</v>
      </c>
      <c r="BD25" s="142">
        <f>IF('RAW IMPORT'!BD15&lt;&gt;"",1,0)</f>
        <v>1</v>
      </c>
      <c r="BE25" s="142">
        <f>IF('RAW IMPORT'!BE15&lt;&gt;"",1,0)</f>
        <v>1</v>
      </c>
      <c r="BF25" s="142">
        <f>IF('RAW IMPORT'!BF15&lt;&gt;"",1,0)</f>
        <v>0</v>
      </c>
      <c r="BG25" s="142">
        <f>IF('RAW IMPORT'!BG15&lt;&gt;"",1,0)</f>
        <v>1</v>
      </c>
      <c r="BH25" s="142">
        <f>IF('RAW IMPORT'!BH15&lt;&gt;"",1,0)</f>
        <v>1</v>
      </c>
      <c r="BI25" s="142">
        <f>IF('RAW IMPORT'!BI15&lt;&gt;"",1,0)</f>
        <v>1</v>
      </c>
      <c r="BJ25" s="142">
        <f>IF('RAW IMPORT'!BJ15&lt;&gt;"",1,0)</f>
        <v>1</v>
      </c>
      <c r="BK25" s="142">
        <f>IF('RAW IMPORT'!BK15&lt;&gt;"",1,0)</f>
        <v>1</v>
      </c>
      <c r="BL25" s="142">
        <f>IF('RAW IMPORT'!BL15&lt;&gt;"",1,0)</f>
        <v>1</v>
      </c>
      <c r="BM25" s="142">
        <f>'RAW IMPORT'!BM15</f>
        <v>1</v>
      </c>
      <c r="BN25" s="165">
        <f>'RAW IMPORT'!BN15</f>
        <v>0</v>
      </c>
      <c r="BO25" s="197">
        <f>'RAW IMPORT'!BO15</f>
        <v>0</v>
      </c>
      <c r="BP25" s="142" t="str">
        <f>'RAW IMPORT'!BP15</f>
        <v>PDF</v>
      </c>
      <c r="BQ25" s="141">
        <f>'RAW IMPORT'!BQ15</f>
        <v>0</v>
      </c>
      <c r="BR25" s="141">
        <f>'RAW IMPORT'!BR15</f>
        <v>2.35E-2</v>
      </c>
      <c r="BS25" s="141">
        <f>'RAW IMPORT'!BS15</f>
        <v>0.14000000000000001</v>
      </c>
      <c r="BT25" s="141">
        <f>'RAW IMPORT'!BT15</f>
        <v>6.7000000000000004E-2</v>
      </c>
      <c r="BU25" s="141">
        <f>'RAW IMPORT'!BU15</f>
        <v>1.175E-2</v>
      </c>
      <c r="BV25" s="198">
        <f>'RAW IMPORT'!BV15</f>
        <v>0</v>
      </c>
      <c r="BW25" s="141">
        <f>'RAW IMPORT'!BW15</f>
        <v>8</v>
      </c>
      <c r="BX25" s="165">
        <f>'RAW IMPORT'!BX15</f>
        <v>0</v>
      </c>
      <c r="BY25" s="240"/>
      <c r="BZ25" s="126"/>
      <c r="CA25" s="143">
        <f t="shared" si="2"/>
        <v>11</v>
      </c>
      <c r="CB25" s="170">
        <f t="shared" ca="1" si="3"/>
        <v>11</v>
      </c>
      <c r="CC25" s="170">
        <f t="shared" ca="1" si="4"/>
        <v>57</v>
      </c>
      <c r="CD25" s="204" t="str">
        <f t="shared" si="5"/>
        <v>"Model-8115":
    RETURN</v>
      </c>
      <c r="CE25" s="170"/>
    </row>
    <row r="26" spans="1:83" ht="15" customHeight="1" x14ac:dyDescent="0.25">
      <c r="A26" s="138" t="str">
        <f>'RAW IMPORT'!A16</f>
        <v>OGRO</v>
      </c>
      <c r="B26" s="139" t="str">
        <f>'RAW IMPORT'!B16</f>
        <v>8115V</v>
      </c>
      <c r="C26" s="142">
        <f>IF('RAW IMPORT'!C16&lt;&gt;"",1,0)</f>
        <v>1</v>
      </c>
      <c r="D26" s="142">
        <f>IF('RAW IMPORT'!D16&lt;&gt;"",1,0)</f>
        <v>1</v>
      </c>
      <c r="E26" s="142">
        <f>IF('RAW IMPORT'!E16&lt;&gt;"",1,0)</f>
        <v>0</v>
      </c>
      <c r="F26" s="142">
        <f>IF('RAW IMPORT'!F16&lt;&gt;"",1,0)</f>
        <v>0</v>
      </c>
      <c r="G26" s="142">
        <f>IF('RAW IMPORT'!G16&lt;&gt;"",1,0)</f>
        <v>0</v>
      </c>
      <c r="H26" s="142">
        <f>IF('RAW IMPORT'!H16&lt;&gt;"",1,0)</f>
        <v>0</v>
      </c>
      <c r="I26" s="142">
        <f>IF('RAW IMPORT'!I16&lt;&gt;"",1,0)</f>
        <v>0</v>
      </c>
      <c r="J26" s="142">
        <f>IF('RAW IMPORT'!J16&lt;&gt;"",1,0)</f>
        <v>0</v>
      </c>
      <c r="K26" s="142">
        <f>IF('RAW IMPORT'!K16&lt;&gt;"",1,0)</f>
        <v>0</v>
      </c>
      <c r="L26" s="142">
        <f>IF('RAW IMPORT'!L16&lt;&gt;"",1,0)</f>
        <v>0</v>
      </c>
      <c r="M26" s="142">
        <f>IF('RAW IMPORT'!M16&lt;&gt;"",1,0)</f>
        <v>0</v>
      </c>
      <c r="N26" s="165">
        <f>IF('RAW IMPORT'!N16&lt;&gt;"",1,0)</f>
        <v>0</v>
      </c>
      <c r="O26" s="167">
        <f>IF('RAW IMPORT'!O16&lt;&gt;"",1,0)</f>
        <v>0</v>
      </c>
      <c r="P26" s="142">
        <f>IF('RAW IMPORT'!P16&lt;&gt;"",1,0)</f>
        <v>0</v>
      </c>
      <c r="Q26" s="142">
        <f>IF('RAW IMPORT'!Q16&lt;&gt;"",1,0)</f>
        <v>0</v>
      </c>
      <c r="R26" s="138">
        <f>'RAW IMPORT'!R16</f>
        <v>0</v>
      </c>
      <c r="S26" s="138">
        <f>'RAW IMPORT'!S16</f>
        <v>7</v>
      </c>
      <c r="T26" s="138">
        <f>'RAW IMPORT'!T16</f>
        <v>5</v>
      </c>
      <c r="U26" s="138">
        <f>'RAW IMPORT'!U16</f>
        <v>0</v>
      </c>
      <c r="V26" s="138">
        <f>'RAW IMPORT'!V16</f>
        <v>0</v>
      </c>
      <c r="W26" s="138">
        <f>'RAW IMPORT'!W16</f>
        <v>0</v>
      </c>
      <c r="X26" s="138">
        <f>'RAW IMPORT'!X16</f>
        <v>0</v>
      </c>
      <c r="Y26" s="138">
        <f>'RAW IMPORT'!Y16</f>
        <v>0</v>
      </c>
      <c r="Z26" s="138">
        <f>'RAW IMPORT'!Z16</f>
        <v>0</v>
      </c>
      <c r="AA26" s="138">
        <f>'RAW IMPORT'!AA16</f>
        <v>0</v>
      </c>
      <c r="AB26" s="139">
        <f>'RAW IMPORT'!AB16</f>
        <v>0</v>
      </c>
      <c r="AC26" s="141">
        <f>'RAW IMPORT'!AC16</f>
        <v>4</v>
      </c>
      <c r="AD26" s="142">
        <f>'RAW IMPORT'!AD16</f>
        <v>7</v>
      </c>
      <c r="AE26" s="142">
        <f>'RAW IMPORT'!AE16</f>
        <v>0</v>
      </c>
      <c r="AF26" s="142">
        <f>IF('RAW IMPORT'!AF16="C1",3,IF('RAW IMPORT'!AF16="D1",4,0))</f>
        <v>4</v>
      </c>
      <c r="AG26" s="142">
        <f>'RAW IMPORT'!AG16</f>
        <v>1</v>
      </c>
      <c r="AH26" s="142">
        <f>'RAW IMPORT'!AH16</f>
        <v>5</v>
      </c>
      <c r="AI26" s="142">
        <f>IF('RAW IMPORT'!AI16="U",1,0)</f>
        <v>0</v>
      </c>
      <c r="AJ26" s="142">
        <f>IF('RAW IMPORT'!AJ16="A",1,0)</f>
        <v>1</v>
      </c>
      <c r="AK26" s="142">
        <f>IF('RAW IMPORT'!AK16="B",1,0)</f>
        <v>1</v>
      </c>
      <c r="AL26" s="142">
        <f>IF('RAW IMPORT'!AL16="U",1,0)</f>
        <v>1</v>
      </c>
      <c r="AM26" s="142">
        <f>IF('RAW IMPORT'!AM16&lt;&gt;"",1,0)</f>
        <v>1</v>
      </c>
      <c r="AN26" s="142">
        <f>IF('RAW IMPORT'!AN16&lt;&gt;"",1,0)</f>
        <v>1</v>
      </c>
      <c r="AO26" s="142">
        <f>IF('RAW IMPORT'!AO16&lt;&gt;"",1,0)</f>
        <v>1</v>
      </c>
      <c r="AP26" s="142">
        <f>IF('RAW IMPORT'!AP16&lt;&gt;"",1,0)</f>
        <v>1</v>
      </c>
      <c r="AQ26" s="142">
        <f>IF('RAW IMPORT'!AQ16&lt;&gt;"",1,0)</f>
        <v>1</v>
      </c>
      <c r="AR26" s="142">
        <f>IF('RAW IMPORT'!AR16&lt;&gt;"",1,0)</f>
        <v>1</v>
      </c>
      <c r="AS26" s="142">
        <f>IF('RAW IMPORT'!AS16&lt;&gt;"",1,0)</f>
        <v>1</v>
      </c>
      <c r="AT26" s="142">
        <f>IF('RAW IMPORT'!AT16&lt;&gt;"",1,0)</f>
        <v>1</v>
      </c>
      <c r="AU26" s="142">
        <f>IF('RAW IMPORT'!AU16&lt;&gt;"",1,0)</f>
        <v>1</v>
      </c>
      <c r="AV26" s="142">
        <f>IF('RAW IMPORT'!AV16&lt;&gt;"",1,0)</f>
        <v>1</v>
      </c>
      <c r="AW26" s="142">
        <f>IF('RAW IMPORT'!AW16&lt;&gt;"",1,0)</f>
        <v>0</v>
      </c>
      <c r="AX26" s="142">
        <f>IF('RAW IMPORT'!AX16&lt;&gt;"",1,0)</f>
        <v>0</v>
      </c>
      <c r="AY26" s="142">
        <f>IF('RAW IMPORT'!AY16&lt;&gt;"",1,0)</f>
        <v>0</v>
      </c>
      <c r="AZ26" s="142">
        <f>IF('RAW IMPORT'!AZ16&lt;&gt;"",1,0)</f>
        <v>0</v>
      </c>
      <c r="BA26" s="142">
        <f>IF('RAW IMPORT'!BA16&lt;&gt;"",1,0)</f>
        <v>0</v>
      </c>
      <c r="BB26" s="142">
        <f>IF('RAW IMPORT'!BB16&lt;&gt;"",1,0)</f>
        <v>0</v>
      </c>
      <c r="BC26" s="142">
        <f>IF('RAW IMPORT'!BC16&lt;&gt;"",1,0)</f>
        <v>1</v>
      </c>
      <c r="BD26" s="142">
        <f>IF('RAW IMPORT'!BD16&lt;&gt;"",1,0)</f>
        <v>1</v>
      </c>
      <c r="BE26" s="142">
        <f>IF('RAW IMPORT'!BE16&lt;&gt;"",1,0)</f>
        <v>1</v>
      </c>
      <c r="BF26" s="142">
        <f>IF('RAW IMPORT'!BF16&lt;&gt;"",1,0)</f>
        <v>0</v>
      </c>
      <c r="BG26" s="142">
        <f>IF('RAW IMPORT'!BG16&lt;&gt;"",1,0)</f>
        <v>1</v>
      </c>
      <c r="BH26" s="142">
        <f>IF('RAW IMPORT'!BH16&lt;&gt;"",1,0)</f>
        <v>1</v>
      </c>
      <c r="BI26" s="142">
        <f>IF('RAW IMPORT'!BI16&lt;&gt;"",1,0)</f>
        <v>1</v>
      </c>
      <c r="BJ26" s="142">
        <f>IF('RAW IMPORT'!BJ16&lt;&gt;"",1,0)</f>
        <v>1</v>
      </c>
      <c r="BK26" s="142">
        <f>IF('RAW IMPORT'!BK16&lt;&gt;"",1,0)</f>
        <v>1</v>
      </c>
      <c r="BL26" s="142">
        <f>IF('RAW IMPORT'!BL16&lt;&gt;"",1,0)</f>
        <v>0</v>
      </c>
      <c r="BM26" s="142">
        <f>'RAW IMPORT'!BM16</f>
        <v>1</v>
      </c>
      <c r="BN26" s="165">
        <f>'RAW IMPORT'!BN16</f>
        <v>0</v>
      </c>
      <c r="BO26" s="197">
        <f>'RAW IMPORT'!BO16</f>
        <v>0</v>
      </c>
      <c r="BP26" s="142" t="str">
        <f>'RAW IMPORT'!BP16</f>
        <v>PDF</v>
      </c>
      <c r="BQ26" s="141">
        <f>'RAW IMPORT'!BQ16</f>
        <v>0</v>
      </c>
      <c r="BR26" s="141">
        <f>'RAW IMPORT'!BR16</f>
        <v>2.35E-2</v>
      </c>
      <c r="BS26" s="141">
        <f>'RAW IMPORT'!BS16</f>
        <v>0.155</v>
      </c>
      <c r="BT26" s="141">
        <f>'RAW IMPORT'!BT16</f>
        <v>6.7000000000000004E-2</v>
      </c>
      <c r="BU26" s="141">
        <f>'RAW IMPORT'!BU16</f>
        <v>1.175E-2</v>
      </c>
      <c r="BV26" s="198">
        <f>'RAW IMPORT'!BV16</f>
        <v>0</v>
      </c>
      <c r="BW26" s="141">
        <f>'RAW IMPORT'!BW16</f>
        <v>0</v>
      </c>
      <c r="BX26" s="165">
        <f>'RAW IMPORT'!BX16</f>
        <v>64</v>
      </c>
      <c r="BY26" s="240"/>
      <c r="BZ26" s="126"/>
      <c r="CA26" s="143">
        <f t="shared" si="2"/>
        <v>12</v>
      </c>
      <c r="CB26" s="170">
        <f t="shared" ca="1" si="3"/>
        <v>12</v>
      </c>
      <c r="CC26" s="170">
        <f t="shared" ca="1" si="4"/>
        <v>60</v>
      </c>
      <c r="CD26" s="204" t="str">
        <f t="shared" si="5"/>
        <v>"Model-8115V":
    RETURN</v>
      </c>
      <c r="CE26" s="170"/>
    </row>
    <row r="27" spans="1:83" ht="15" customHeight="1" x14ac:dyDescent="0.25">
      <c r="A27" s="138" t="str">
        <f>'RAW IMPORT'!A17</f>
        <v>OGRO</v>
      </c>
      <c r="B27" s="139">
        <f>'RAW IMPORT'!B17</f>
        <v>8116</v>
      </c>
      <c r="C27" s="142">
        <f>IF('RAW IMPORT'!C17&lt;&gt;"",1,0)</f>
        <v>1</v>
      </c>
      <c r="D27" s="142">
        <f>IF('RAW IMPORT'!D17&lt;&gt;"",1,0)</f>
        <v>1</v>
      </c>
      <c r="E27" s="142">
        <f>IF('RAW IMPORT'!E17&lt;&gt;"",1,0)</f>
        <v>0</v>
      </c>
      <c r="F27" s="142">
        <f>IF('RAW IMPORT'!F17&lt;&gt;"",1,0)</f>
        <v>0</v>
      </c>
      <c r="G27" s="142">
        <f>IF('RAW IMPORT'!G17&lt;&gt;"",1,0)</f>
        <v>0</v>
      </c>
      <c r="H27" s="142">
        <f>IF('RAW IMPORT'!H17&lt;&gt;"",1,0)</f>
        <v>0</v>
      </c>
      <c r="I27" s="142">
        <f>IF('RAW IMPORT'!I17&lt;&gt;"",1,0)</f>
        <v>0</v>
      </c>
      <c r="J27" s="142">
        <f>IF('RAW IMPORT'!J17&lt;&gt;"",1,0)</f>
        <v>0</v>
      </c>
      <c r="K27" s="142">
        <f>IF('RAW IMPORT'!K17&lt;&gt;"",1,0)</f>
        <v>0</v>
      </c>
      <c r="L27" s="142">
        <f>IF('RAW IMPORT'!L17&lt;&gt;"",1,0)</f>
        <v>0</v>
      </c>
      <c r="M27" s="142">
        <f>IF('RAW IMPORT'!M17&lt;&gt;"",1,0)</f>
        <v>0</v>
      </c>
      <c r="N27" s="165">
        <f>IF('RAW IMPORT'!N17&lt;&gt;"",1,0)</f>
        <v>0</v>
      </c>
      <c r="O27" s="167">
        <f>IF('RAW IMPORT'!O17&lt;&gt;"",1,0)</f>
        <v>1</v>
      </c>
      <c r="P27" s="142">
        <f>IF('RAW IMPORT'!P17&lt;&gt;"",1,0)</f>
        <v>0</v>
      </c>
      <c r="Q27" s="142">
        <f>IF('RAW IMPORT'!Q17&lt;&gt;"",1,0)</f>
        <v>0</v>
      </c>
      <c r="R27" s="138">
        <f>'RAW IMPORT'!R17</f>
        <v>0</v>
      </c>
      <c r="S27" s="138">
        <f>'RAW IMPORT'!S17</f>
        <v>7</v>
      </c>
      <c r="T27" s="138">
        <f>'RAW IMPORT'!T17</f>
        <v>5</v>
      </c>
      <c r="U27" s="138">
        <f>'RAW IMPORT'!U17</f>
        <v>0</v>
      </c>
      <c r="V27" s="138">
        <f>'RAW IMPORT'!V17</f>
        <v>0</v>
      </c>
      <c r="W27" s="138">
        <f>'RAW IMPORT'!W17</f>
        <v>0</v>
      </c>
      <c r="X27" s="138">
        <f>'RAW IMPORT'!X17</f>
        <v>0</v>
      </c>
      <c r="Y27" s="138">
        <f>'RAW IMPORT'!Y17</f>
        <v>0</v>
      </c>
      <c r="Z27" s="138">
        <f>'RAW IMPORT'!Z17</f>
        <v>0</v>
      </c>
      <c r="AA27" s="138">
        <f>'RAW IMPORT'!AA17</f>
        <v>0</v>
      </c>
      <c r="AB27" s="139">
        <f>'RAW IMPORT'!AB17</f>
        <v>0</v>
      </c>
      <c r="AC27" s="141">
        <f>'RAW IMPORT'!AC17</f>
        <v>4</v>
      </c>
      <c r="AD27" s="142">
        <f>'RAW IMPORT'!AD17</f>
        <v>7</v>
      </c>
      <c r="AE27" s="142">
        <f>'RAW IMPORT'!AE17</f>
        <v>0</v>
      </c>
      <c r="AF27" s="142">
        <f>IF('RAW IMPORT'!AF17="C1",3,IF('RAW IMPORT'!AF17="D1",4,0))</f>
        <v>4</v>
      </c>
      <c r="AG27" s="142">
        <f>'RAW IMPORT'!AG17</f>
        <v>1</v>
      </c>
      <c r="AH27" s="142">
        <f>'RAW IMPORT'!AH17</f>
        <v>5</v>
      </c>
      <c r="AI27" s="142">
        <f>IF('RAW IMPORT'!AI17="U",1,0)</f>
        <v>0</v>
      </c>
      <c r="AJ27" s="142">
        <f>IF('RAW IMPORT'!AJ17="A",1,0)</f>
        <v>1</v>
      </c>
      <c r="AK27" s="142">
        <f>IF('RAW IMPORT'!AK17="B",1,0)</f>
        <v>1</v>
      </c>
      <c r="AL27" s="142">
        <f>IF('RAW IMPORT'!AL17="U",1,0)</f>
        <v>1</v>
      </c>
      <c r="AM27" s="142">
        <f>IF('RAW IMPORT'!AM17&lt;&gt;"",1,0)</f>
        <v>1</v>
      </c>
      <c r="AN27" s="142">
        <f>IF('RAW IMPORT'!AN17&lt;&gt;"",1,0)</f>
        <v>1</v>
      </c>
      <c r="AO27" s="142">
        <f>IF('RAW IMPORT'!AO17&lt;&gt;"",1,0)</f>
        <v>1</v>
      </c>
      <c r="AP27" s="142">
        <f>IF('RAW IMPORT'!AP17&lt;&gt;"",1,0)</f>
        <v>1</v>
      </c>
      <c r="AQ27" s="142">
        <f>IF('RAW IMPORT'!AQ17&lt;&gt;"",1,0)</f>
        <v>1</v>
      </c>
      <c r="AR27" s="142">
        <f>IF('RAW IMPORT'!AR17&lt;&gt;"",1,0)</f>
        <v>1</v>
      </c>
      <c r="AS27" s="142">
        <f>IF('RAW IMPORT'!AS17&lt;&gt;"",1,0)</f>
        <v>1</v>
      </c>
      <c r="AT27" s="142">
        <f>IF('RAW IMPORT'!AT17&lt;&gt;"",1,0)</f>
        <v>1</v>
      </c>
      <c r="AU27" s="142">
        <f>IF('RAW IMPORT'!AU17&lt;&gt;"",1,0)</f>
        <v>1</v>
      </c>
      <c r="AV27" s="142">
        <f>IF('RAW IMPORT'!AV17&lt;&gt;"",1,0)</f>
        <v>1</v>
      </c>
      <c r="AW27" s="142">
        <f>IF('RAW IMPORT'!AW17&lt;&gt;"",1,0)</f>
        <v>1</v>
      </c>
      <c r="AX27" s="142">
        <f>IF('RAW IMPORT'!AX17&lt;&gt;"",1,0)</f>
        <v>1</v>
      </c>
      <c r="AY27" s="142">
        <f>IF('RAW IMPORT'!AY17&lt;&gt;"",1,0)</f>
        <v>1</v>
      </c>
      <c r="AZ27" s="142">
        <f>IF('RAW IMPORT'!AZ17&lt;&gt;"",1,0)</f>
        <v>1</v>
      </c>
      <c r="BA27" s="142">
        <f>IF('RAW IMPORT'!BA17&lt;&gt;"",1,0)</f>
        <v>1</v>
      </c>
      <c r="BB27" s="142">
        <f>IF('RAW IMPORT'!BB17&lt;&gt;"",1,0)</f>
        <v>1</v>
      </c>
      <c r="BC27" s="142">
        <f>IF('RAW IMPORT'!BC17&lt;&gt;"",1,0)</f>
        <v>0</v>
      </c>
      <c r="BD27" s="142">
        <f>IF('RAW IMPORT'!BD17&lt;&gt;"",1,0)</f>
        <v>1</v>
      </c>
      <c r="BE27" s="142">
        <f>IF('RAW IMPORT'!BE17&lt;&gt;"",1,0)</f>
        <v>1</v>
      </c>
      <c r="BF27" s="142">
        <f>IF('RAW IMPORT'!BF17&lt;&gt;"",1,0)</f>
        <v>0</v>
      </c>
      <c r="BG27" s="142">
        <f>IF('RAW IMPORT'!BG17&lt;&gt;"",1,0)</f>
        <v>1</v>
      </c>
      <c r="BH27" s="142">
        <f>IF('RAW IMPORT'!BH17&lt;&gt;"",1,0)</f>
        <v>1</v>
      </c>
      <c r="BI27" s="142">
        <f>IF('RAW IMPORT'!BI17&lt;&gt;"",1,0)</f>
        <v>1</v>
      </c>
      <c r="BJ27" s="142">
        <f>IF('RAW IMPORT'!BJ17&lt;&gt;"",1,0)</f>
        <v>1</v>
      </c>
      <c r="BK27" s="142">
        <f>IF('RAW IMPORT'!BK17&lt;&gt;"",1,0)</f>
        <v>1</v>
      </c>
      <c r="BL27" s="142">
        <f>IF('RAW IMPORT'!BL17&lt;&gt;"",1,0)</f>
        <v>1</v>
      </c>
      <c r="BM27" s="142">
        <f>'RAW IMPORT'!BM17</f>
        <v>1</v>
      </c>
      <c r="BN27" s="165">
        <f>'RAW IMPORT'!BN17</f>
        <v>0</v>
      </c>
      <c r="BO27" s="197">
        <f>'RAW IMPORT'!BO17</f>
        <v>0</v>
      </c>
      <c r="BP27" s="142" t="str">
        <f>'RAW IMPORT'!BP17</f>
        <v>PDF</v>
      </c>
      <c r="BQ27" s="141">
        <f>'RAW IMPORT'!BQ17</f>
        <v>0</v>
      </c>
      <c r="BR27" s="141">
        <f>'RAW IMPORT'!BR17</f>
        <v>2.35E-2</v>
      </c>
      <c r="BS27" s="141">
        <f>'RAW IMPORT'!BS17</f>
        <v>0.14899999999999999</v>
      </c>
      <c r="BT27" s="141">
        <f>'RAW IMPORT'!BT17</f>
        <v>6.7000000000000004E-2</v>
      </c>
      <c r="BU27" s="141">
        <f>'RAW IMPORT'!BU17</f>
        <v>1.175E-2</v>
      </c>
      <c r="BV27" s="198">
        <f>'RAW IMPORT'!BV17</f>
        <v>0</v>
      </c>
      <c r="BW27" s="141">
        <f>'RAW IMPORT'!BW17</f>
        <v>9</v>
      </c>
      <c r="BX27" s="165">
        <f>'RAW IMPORT'!BX17</f>
        <v>0</v>
      </c>
      <c r="BY27" s="240"/>
      <c r="BZ27" s="126"/>
      <c r="CA27" s="143">
        <f t="shared" si="2"/>
        <v>13</v>
      </c>
      <c r="CB27" s="170">
        <f t="shared" ca="1" si="3"/>
        <v>13</v>
      </c>
      <c r="CC27" s="170">
        <f t="shared" ca="1" si="4"/>
        <v>61</v>
      </c>
      <c r="CD27" s="204" t="str">
        <f t="shared" si="5"/>
        <v>"Model-8116":
    RETURN</v>
      </c>
      <c r="CE27" s="170"/>
    </row>
    <row r="28" spans="1:83" ht="15" customHeight="1" x14ac:dyDescent="0.25">
      <c r="A28" s="138" t="str">
        <f>'RAW IMPORT'!A18</f>
        <v>OGRO</v>
      </c>
      <c r="B28" s="139" t="str">
        <f>'RAW IMPORT'!B18</f>
        <v>8116V</v>
      </c>
      <c r="C28" s="142">
        <f>IF('RAW IMPORT'!C18&lt;&gt;"",1,0)</f>
        <v>1</v>
      </c>
      <c r="D28" s="142">
        <f>IF('RAW IMPORT'!D18&lt;&gt;"",1,0)</f>
        <v>1</v>
      </c>
      <c r="E28" s="142">
        <f>IF('RAW IMPORT'!E18&lt;&gt;"",1,0)</f>
        <v>0</v>
      </c>
      <c r="F28" s="142">
        <f>IF('RAW IMPORT'!F18&lt;&gt;"",1,0)</f>
        <v>0</v>
      </c>
      <c r="G28" s="142">
        <f>IF('RAW IMPORT'!G18&lt;&gt;"",1,0)</f>
        <v>0</v>
      </c>
      <c r="H28" s="142">
        <f>IF('RAW IMPORT'!H18&lt;&gt;"",1,0)</f>
        <v>0</v>
      </c>
      <c r="I28" s="142">
        <f>IF('RAW IMPORT'!I18&lt;&gt;"",1,0)</f>
        <v>0</v>
      </c>
      <c r="J28" s="142">
        <f>IF('RAW IMPORT'!J18&lt;&gt;"",1,0)</f>
        <v>0</v>
      </c>
      <c r="K28" s="142">
        <f>IF('RAW IMPORT'!K18&lt;&gt;"",1,0)</f>
        <v>0</v>
      </c>
      <c r="L28" s="142">
        <f>IF('RAW IMPORT'!L18&lt;&gt;"",1,0)</f>
        <v>0</v>
      </c>
      <c r="M28" s="142">
        <f>IF('RAW IMPORT'!M18&lt;&gt;"",1,0)</f>
        <v>0</v>
      </c>
      <c r="N28" s="165">
        <f>IF('RAW IMPORT'!N18&lt;&gt;"",1,0)</f>
        <v>0</v>
      </c>
      <c r="O28" s="167">
        <f>IF('RAW IMPORT'!O18&lt;&gt;"",1,0)</f>
        <v>1</v>
      </c>
      <c r="P28" s="142">
        <f>IF('RAW IMPORT'!P18&lt;&gt;"",1,0)</f>
        <v>0</v>
      </c>
      <c r="Q28" s="142">
        <f>IF('RAW IMPORT'!Q18&lt;&gt;"",1,0)</f>
        <v>0</v>
      </c>
      <c r="R28" s="138">
        <f>'RAW IMPORT'!R18</f>
        <v>0</v>
      </c>
      <c r="S28" s="138">
        <f>'RAW IMPORT'!S18</f>
        <v>7</v>
      </c>
      <c r="T28" s="138">
        <f>'RAW IMPORT'!T18</f>
        <v>5</v>
      </c>
      <c r="U28" s="138">
        <f>'RAW IMPORT'!U18</f>
        <v>0</v>
      </c>
      <c r="V28" s="138">
        <f>'RAW IMPORT'!V18</f>
        <v>0</v>
      </c>
      <c r="W28" s="138">
        <f>'RAW IMPORT'!W18</f>
        <v>0</v>
      </c>
      <c r="X28" s="138">
        <f>'RAW IMPORT'!X18</f>
        <v>0</v>
      </c>
      <c r="Y28" s="138">
        <f>'RAW IMPORT'!Y18</f>
        <v>0</v>
      </c>
      <c r="Z28" s="138">
        <f>'RAW IMPORT'!Z18</f>
        <v>0</v>
      </c>
      <c r="AA28" s="138">
        <f>'RAW IMPORT'!AA18</f>
        <v>0</v>
      </c>
      <c r="AB28" s="139">
        <f>'RAW IMPORT'!AB18</f>
        <v>0</v>
      </c>
      <c r="AC28" s="141">
        <f>'RAW IMPORT'!AC18</f>
        <v>4</v>
      </c>
      <c r="AD28" s="142">
        <f>'RAW IMPORT'!AD18</f>
        <v>7</v>
      </c>
      <c r="AE28" s="142">
        <f>'RAW IMPORT'!AE18</f>
        <v>0</v>
      </c>
      <c r="AF28" s="142">
        <f>IF('RAW IMPORT'!AF18="C1",3,IF('RAW IMPORT'!AF18="D1",4,0))</f>
        <v>4</v>
      </c>
      <c r="AG28" s="142">
        <f>'RAW IMPORT'!AG18</f>
        <v>1</v>
      </c>
      <c r="AH28" s="142">
        <f>'RAW IMPORT'!AH18</f>
        <v>5</v>
      </c>
      <c r="AI28" s="142">
        <f>IF('RAW IMPORT'!AI18="U",1,0)</f>
        <v>0</v>
      </c>
      <c r="AJ28" s="142">
        <f>IF('RAW IMPORT'!AJ18="A",1,0)</f>
        <v>1</v>
      </c>
      <c r="AK28" s="142">
        <f>IF('RAW IMPORT'!AK18="B",1,0)</f>
        <v>1</v>
      </c>
      <c r="AL28" s="142">
        <f>IF('RAW IMPORT'!AL18="U",1,0)</f>
        <v>1</v>
      </c>
      <c r="AM28" s="142">
        <f>IF('RAW IMPORT'!AM18&lt;&gt;"",1,0)</f>
        <v>1</v>
      </c>
      <c r="AN28" s="142">
        <f>IF('RAW IMPORT'!AN18&lt;&gt;"",1,0)</f>
        <v>1</v>
      </c>
      <c r="AO28" s="142">
        <f>IF('RAW IMPORT'!AO18&lt;&gt;"",1,0)</f>
        <v>1</v>
      </c>
      <c r="AP28" s="142">
        <f>IF('RAW IMPORT'!AP18&lt;&gt;"",1,0)</f>
        <v>1</v>
      </c>
      <c r="AQ28" s="142">
        <f>IF('RAW IMPORT'!AQ18&lt;&gt;"",1,0)</f>
        <v>1</v>
      </c>
      <c r="AR28" s="142">
        <f>IF('RAW IMPORT'!AR18&lt;&gt;"",1,0)</f>
        <v>1</v>
      </c>
      <c r="AS28" s="142">
        <f>IF('RAW IMPORT'!AS18&lt;&gt;"",1,0)</f>
        <v>1</v>
      </c>
      <c r="AT28" s="142">
        <f>IF('RAW IMPORT'!AT18&lt;&gt;"",1,0)</f>
        <v>1</v>
      </c>
      <c r="AU28" s="142">
        <f>IF('RAW IMPORT'!AU18&lt;&gt;"",1,0)</f>
        <v>1</v>
      </c>
      <c r="AV28" s="142">
        <f>IF('RAW IMPORT'!AV18&lt;&gt;"",1,0)</f>
        <v>1</v>
      </c>
      <c r="AW28" s="142">
        <f>IF('RAW IMPORT'!AW18&lt;&gt;"",1,0)</f>
        <v>0</v>
      </c>
      <c r="AX28" s="142">
        <f>IF('RAW IMPORT'!AX18&lt;&gt;"",1,0)</f>
        <v>0</v>
      </c>
      <c r="AY28" s="142">
        <f>IF('RAW IMPORT'!AY18&lt;&gt;"",1,0)</f>
        <v>0</v>
      </c>
      <c r="AZ28" s="142">
        <f>IF('RAW IMPORT'!AZ18&lt;&gt;"",1,0)</f>
        <v>0</v>
      </c>
      <c r="BA28" s="142">
        <f>IF('RAW IMPORT'!BA18&lt;&gt;"",1,0)</f>
        <v>0</v>
      </c>
      <c r="BB28" s="142">
        <f>IF('RAW IMPORT'!BB18&lt;&gt;"",1,0)</f>
        <v>0</v>
      </c>
      <c r="BC28" s="142">
        <f>IF('RAW IMPORT'!BC18&lt;&gt;"",1,0)</f>
        <v>1</v>
      </c>
      <c r="BD28" s="142">
        <f>IF('RAW IMPORT'!BD18&lt;&gt;"",1,0)</f>
        <v>1</v>
      </c>
      <c r="BE28" s="142">
        <f>IF('RAW IMPORT'!BE18&lt;&gt;"",1,0)</f>
        <v>1</v>
      </c>
      <c r="BF28" s="142">
        <f>IF('RAW IMPORT'!BF18&lt;&gt;"",1,0)</f>
        <v>0</v>
      </c>
      <c r="BG28" s="142">
        <f>IF('RAW IMPORT'!BG18&lt;&gt;"",1,0)</f>
        <v>1</v>
      </c>
      <c r="BH28" s="142">
        <f>IF('RAW IMPORT'!BH18&lt;&gt;"",1,0)</f>
        <v>1</v>
      </c>
      <c r="BI28" s="142">
        <f>IF('RAW IMPORT'!BI18&lt;&gt;"",1,0)</f>
        <v>1</v>
      </c>
      <c r="BJ28" s="142">
        <f>IF('RAW IMPORT'!BJ18&lt;&gt;"",1,0)</f>
        <v>1</v>
      </c>
      <c r="BK28" s="142">
        <f>IF('RAW IMPORT'!BK18&lt;&gt;"",1,0)</f>
        <v>1</v>
      </c>
      <c r="BL28" s="142">
        <f>IF('RAW IMPORT'!BL18&lt;&gt;"",1,0)</f>
        <v>0</v>
      </c>
      <c r="BM28" s="142">
        <f>'RAW IMPORT'!BM18</f>
        <v>1</v>
      </c>
      <c r="BN28" s="165">
        <f>'RAW IMPORT'!BN18</f>
        <v>0</v>
      </c>
      <c r="BO28" s="197">
        <f>'RAW IMPORT'!BO18</f>
        <v>0</v>
      </c>
      <c r="BP28" s="142" t="str">
        <f>'RAW IMPORT'!BP18</f>
        <v>PDF</v>
      </c>
      <c r="BQ28" s="141">
        <f>'RAW IMPORT'!BQ18</f>
        <v>0</v>
      </c>
      <c r="BR28" s="141">
        <f>'RAW IMPORT'!BR18</f>
        <v>2.35E-2</v>
      </c>
      <c r="BS28" s="141">
        <f>'RAW IMPORT'!BS18</f>
        <v>0.156</v>
      </c>
      <c r="BT28" s="141">
        <f>'RAW IMPORT'!BT18</f>
        <v>6.7000000000000004E-2</v>
      </c>
      <c r="BU28" s="141">
        <f>'RAW IMPORT'!BU18</f>
        <v>1.175E-2</v>
      </c>
      <c r="BV28" s="198">
        <f>'RAW IMPORT'!BV18</f>
        <v>0</v>
      </c>
      <c r="BW28" s="141">
        <f>'RAW IMPORT'!BW18</f>
        <v>0</v>
      </c>
      <c r="BX28" s="165">
        <f>'RAW IMPORT'!BX18</f>
        <v>65</v>
      </c>
      <c r="BY28" s="240"/>
      <c r="BZ28" s="126"/>
      <c r="CA28" s="143">
        <f t="shared" si="2"/>
        <v>14</v>
      </c>
      <c r="CB28" s="170">
        <f t="shared" ca="1" si="3"/>
        <v>14</v>
      </c>
      <c r="CC28" s="170">
        <f t="shared" ca="1" si="4"/>
        <v>63</v>
      </c>
      <c r="CD28" s="204" t="str">
        <f t="shared" si="5"/>
        <v>"Model-8116V":
    RETURN</v>
      </c>
      <c r="CE28" s="170"/>
    </row>
    <row r="29" spans="1:83" ht="15" customHeight="1" x14ac:dyDescent="0.25">
      <c r="A29" s="138" t="str">
        <f>'RAW IMPORT'!A19</f>
        <v>OGRO</v>
      </c>
      <c r="B29" s="139">
        <f>'RAW IMPORT'!B19</f>
        <v>8130</v>
      </c>
      <c r="C29" s="142">
        <f>IF('RAW IMPORT'!C19&lt;&gt;"",1,0)</f>
        <v>1</v>
      </c>
      <c r="D29" s="142">
        <f>IF('RAW IMPORT'!D19&lt;&gt;"",1,0)</f>
        <v>1</v>
      </c>
      <c r="E29" s="142">
        <f>IF('RAW IMPORT'!E19&lt;&gt;"",1,0)</f>
        <v>0</v>
      </c>
      <c r="F29" s="142">
        <f>IF('RAW IMPORT'!F19&lt;&gt;"",1,0)</f>
        <v>0</v>
      </c>
      <c r="G29" s="142">
        <f>IF('RAW IMPORT'!G19&lt;&gt;"",1,0)</f>
        <v>0</v>
      </c>
      <c r="H29" s="142">
        <f>IF('RAW IMPORT'!H19&lt;&gt;"",1,0)</f>
        <v>0</v>
      </c>
      <c r="I29" s="142">
        <f>IF('RAW IMPORT'!I19&lt;&gt;"",1,0)</f>
        <v>0</v>
      </c>
      <c r="J29" s="142">
        <f>IF('RAW IMPORT'!J19&lt;&gt;"",1,0)</f>
        <v>0</v>
      </c>
      <c r="K29" s="142">
        <f>IF('RAW IMPORT'!K19&lt;&gt;"",1,0)</f>
        <v>0</v>
      </c>
      <c r="L29" s="142">
        <f>IF('RAW IMPORT'!L19&lt;&gt;"",1,0)</f>
        <v>0</v>
      </c>
      <c r="M29" s="142">
        <f>IF('RAW IMPORT'!M19&lt;&gt;"",1,0)</f>
        <v>0</v>
      </c>
      <c r="N29" s="165">
        <f>IF('RAW IMPORT'!N19&lt;&gt;"",1,0)</f>
        <v>0</v>
      </c>
      <c r="O29" s="167">
        <f>IF('RAW IMPORT'!O19&lt;&gt;"",1,0)</f>
        <v>0</v>
      </c>
      <c r="P29" s="142">
        <f>IF('RAW IMPORT'!P19&lt;&gt;"",1,0)</f>
        <v>0</v>
      </c>
      <c r="Q29" s="142">
        <f>IF('RAW IMPORT'!Q19&lt;&gt;"",1,0)</f>
        <v>0</v>
      </c>
      <c r="R29" s="138">
        <f>'RAW IMPORT'!R19</f>
        <v>0</v>
      </c>
      <c r="S29" s="138">
        <f>'RAW IMPORT'!S19</f>
        <v>7</v>
      </c>
      <c r="T29" s="138">
        <f>'RAW IMPORT'!T19</f>
        <v>5</v>
      </c>
      <c r="U29" s="138">
        <f>'RAW IMPORT'!U19</f>
        <v>0</v>
      </c>
      <c r="V29" s="138">
        <f>'RAW IMPORT'!V19</f>
        <v>0</v>
      </c>
      <c r="W29" s="138">
        <f>'RAW IMPORT'!W19</f>
        <v>0</v>
      </c>
      <c r="X29" s="138">
        <f>'RAW IMPORT'!X19</f>
        <v>0</v>
      </c>
      <c r="Y29" s="138">
        <f>'RAW IMPORT'!Y19</f>
        <v>0</v>
      </c>
      <c r="Z29" s="138">
        <f>'RAW IMPORT'!Z19</f>
        <v>0</v>
      </c>
      <c r="AA29" s="138">
        <f>'RAW IMPORT'!AA19</f>
        <v>0</v>
      </c>
      <c r="AB29" s="139">
        <f>'RAW IMPORT'!AB19</f>
        <v>0</v>
      </c>
      <c r="AC29" s="141">
        <f>'RAW IMPORT'!AC19</f>
        <v>4</v>
      </c>
      <c r="AD29" s="142">
        <f>'RAW IMPORT'!AD19</f>
        <v>7</v>
      </c>
      <c r="AE29" s="142">
        <f>'RAW IMPORT'!AE19</f>
        <v>0</v>
      </c>
      <c r="AF29" s="142">
        <f>IF('RAW IMPORT'!AF19="C1",3,IF('RAW IMPORT'!AF19="D1",4,0))</f>
        <v>4</v>
      </c>
      <c r="AG29" s="142">
        <f>'RAW IMPORT'!AG19</f>
        <v>1</v>
      </c>
      <c r="AH29" s="142">
        <f>'RAW IMPORT'!AH19</f>
        <v>5</v>
      </c>
      <c r="AI29" s="142">
        <f>IF('RAW IMPORT'!AI19="U",1,0)</f>
        <v>0</v>
      </c>
      <c r="AJ29" s="142">
        <f>IF('RAW IMPORT'!AJ19="A",1,0)</f>
        <v>1</v>
      </c>
      <c r="AK29" s="142">
        <f>IF('RAW IMPORT'!AK19="B",1,0)</f>
        <v>1</v>
      </c>
      <c r="AL29" s="142">
        <f>IF('RAW IMPORT'!AL19="U",1,0)</f>
        <v>1</v>
      </c>
      <c r="AM29" s="142">
        <f>IF('RAW IMPORT'!AM19&lt;&gt;"",1,0)</f>
        <v>1</v>
      </c>
      <c r="AN29" s="142">
        <f>IF('RAW IMPORT'!AN19&lt;&gt;"",1,0)</f>
        <v>1</v>
      </c>
      <c r="AO29" s="142">
        <f>IF('RAW IMPORT'!AO19&lt;&gt;"",1,0)</f>
        <v>1</v>
      </c>
      <c r="AP29" s="142">
        <f>IF('RAW IMPORT'!AP19&lt;&gt;"",1,0)</f>
        <v>1</v>
      </c>
      <c r="AQ29" s="142">
        <f>IF('RAW IMPORT'!AQ19&lt;&gt;"",1,0)</f>
        <v>1</v>
      </c>
      <c r="AR29" s="142">
        <f>IF('RAW IMPORT'!AR19&lt;&gt;"",1,0)</f>
        <v>1</v>
      </c>
      <c r="AS29" s="142">
        <f>IF('RAW IMPORT'!AS19&lt;&gt;"",1,0)</f>
        <v>1</v>
      </c>
      <c r="AT29" s="142">
        <f>IF('RAW IMPORT'!AT19&lt;&gt;"",1,0)</f>
        <v>1</v>
      </c>
      <c r="AU29" s="142">
        <f>IF('RAW IMPORT'!AU19&lt;&gt;"",1,0)</f>
        <v>0</v>
      </c>
      <c r="AV29" s="142">
        <f>IF('RAW IMPORT'!AV19&lt;&gt;"",1,0)</f>
        <v>1</v>
      </c>
      <c r="AW29" s="142">
        <f>IF('RAW IMPORT'!AW19&lt;&gt;"",1,0)</f>
        <v>1</v>
      </c>
      <c r="AX29" s="142">
        <f>IF('RAW IMPORT'!AX19&lt;&gt;"",1,0)</f>
        <v>1</v>
      </c>
      <c r="AY29" s="142">
        <f>IF('RAW IMPORT'!AY19&lt;&gt;"",1,0)</f>
        <v>1</v>
      </c>
      <c r="AZ29" s="142">
        <f>IF('RAW IMPORT'!AZ19&lt;&gt;"",1,0)</f>
        <v>1</v>
      </c>
      <c r="BA29" s="142">
        <f>IF('RAW IMPORT'!BA19&lt;&gt;"",1,0)</f>
        <v>1</v>
      </c>
      <c r="BB29" s="142">
        <f>IF('RAW IMPORT'!BB19&lt;&gt;"",1,0)</f>
        <v>1</v>
      </c>
      <c r="BC29" s="142">
        <f>IF('RAW IMPORT'!BC19&lt;&gt;"",1,0)</f>
        <v>0</v>
      </c>
      <c r="BD29" s="142">
        <f>IF('RAW IMPORT'!BD19&lt;&gt;"",1,0)</f>
        <v>1</v>
      </c>
      <c r="BE29" s="142">
        <f>IF('RAW IMPORT'!BE19&lt;&gt;"",1,0)</f>
        <v>1</v>
      </c>
      <c r="BF29" s="142">
        <f>IF('RAW IMPORT'!BF19&lt;&gt;"",1,0)</f>
        <v>0</v>
      </c>
      <c r="BG29" s="142">
        <f>IF('RAW IMPORT'!BG19&lt;&gt;"",1,0)</f>
        <v>1</v>
      </c>
      <c r="BH29" s="142">
        <f>IF('RAW IMPORT'!BH19&lt;&gt;"",1,0)</f>
        <v>1</v>
      </c>
      <c r="BI29" s="142">
        <f>IF('RAW IMPORT'!BI19&lt;&gt;"",1,0)</f>
        <v>1</v>
      </c>
      <c r="BJ29" s="142">
        <f>IF('RAW IMPORT'!BJ19&lt;&gt;"",1,0)</f>
        <v>1</v>
      </c>
      <c r="BK29" s="142">
        <f>IF('RAW IMPORT'!BK19&lt;&gt;"",1,0)</f>
        <v>1</v>
      </c>
      <c r="BL29" s="142">
        <f>IF('RAW IMPORT'!BL19&lt;&gt;"",1,0)</f>
        <v>1</v>
      </c>
      <c r="BM29" s="142">
        <f>'RAW IMPORT'!BM19</f>
        <v>1</v>
      </c>
      <c r="BN29" s="165">
        <f>'RAW IMPORT'!BN19</f>
        <v>0</v>
      </c>
      <c r="BO29" s="197">
        <f>'RAW IMPORT'!BO19</f>
        <v>0</v>
      </c>
      <c r="BP29" s="142" t="str">
        <f>'RAW IMPORT'!BP19</f>
        <v>PDF</v>
      </c>
      <c r="BQ29" s="141">
        <f>'RAW IMPORT'!BQ19</f>
        <v>0</v>
      </c>
      <c r="BR29" s="141">
        <f>'RAW IMPORT'!BR19</f>
        <v>0.02</v>
      </c>
      <c r="BS29" s="141">
        <f>'RAW IMPORT'!BS19</f>
        <v>0.14000000000000001</v>
      </c>
      <c r="BT29" s="141">
        <f>'RAW IMPORT'!BT19</f>
        <v>0.06</v>
      </c>
      <c r="BU29" s="141">
        <f>'RAW IMPORT'!BU19</f>
        <v>0.01</v>
      </c>
      <c r="BV29" s="198">
        <f>'RAW IMPORT'!BV19</f>
        <v>0</v>
      </c>
      <c r="BW29" s="141">
        <f>'RAW IMPORT'!BW19</f>
        <v>10</v>
      </c>
      <c r="BX29" s="165">
        <f>'RAW IMPORT'!BX19</f>
        <v>0</v>
      </c>
      <c r="BY29" s="240"/>
      <c r="BZ29" s="126"/>
      <c r="CA29" s="143">
        <f t="shared" si="2"/>
        <v>15</v>
      </c>
      <c r="CB29" s="170">
        <f t="shared" ca="1" si="3"/>
        <v>15</v>
      </c>
      <c r="CC29" s="170">
        <f t="shared" ca="1" si="4"/>
        <v>64</v>
      </c>
      <c r="CD29" s="204" t="str">
        <f t="shared" si="5"/>
        <v>"Model-8130":
    RETURN</v>
      </c>
      <c r="CE29" s="170"/>
    </row>
    <row r="30" spans="1:83" ht="15" customHeight="1" x14ac:dyDescent="0.25">
      <c r="A30" s="138" t="str">
        <f>'RAW IMPORT'!A20</f>
        <v>OGRO</v>
      </c>
      <c r="B30" s="139">
        <f>'RAW IMPORT'!B20</f>
        <v>8140</v>
      </c>
      <c r="C30" s="142">
        <f>IF('RAW IMPORT'!C20&lt;&gt;"",1,0)</f>
        <v>1</v>
      </c>
      <c r="D30" s="142">
        <f>IF('RAW IMPORT'!D20&lt;&gt;"",1,0)</f>
        <v>1</v>
      </c>
      <c r="E30" s="142">
        <f>IF('RAW IMPORT'!E20&lt;&gt;"",1,0)</f>
        <v>0</v>
      </c>
      <c r="F30" s="142">
        <f>IF('RAW IMPORT'!F20&lt;&gt;"",1,0)</f>
        <v>0</v>
      </c>
      <c r="G30" s="142">
        <f>IF('RAW IMPORT'!G20&lt;&gt;"",1,0)</f>
        <v>0</v>
      </c>
      <c r="H30" s="142">
        <f>IF('RAW IMPORT'!H20&lt;&gt;"",1,0)</f>
        <v>0</v>
      </c>
      <c r="I30" s="142">
        <f>IF('RAW IMPORT'!I20&lt;&gt;"",1,0)</f>
        <v>0</v>
      </c>
      <c r="J30" s="142">
        <f>IF('RAW IMPORT'!J20&lt;&gt;"",1,0)</f>
        <v>0</v>
      </c>
      <c r="K30" s="142">
        <f>IF('RAW IMPORT'!K20&lt;&gt;"",1,0)</f>
        <v>0</v>
      </c>
      <c r="L30" s="142">
        <f>IF('RAW IMPORT'!L20&lt;&gt;"",1,0)</f>
        <v>0</v>
      </c>
      <c r="M30" s="142">
        <f>IF('RAW IMPORT'!M20&lt;&gt;"",1,0)</f>
        <v>0</v>
      </c>
      <c r="N30" s="165">
        <f>IF('RAW IMPORT'!N20&lt;&gt;"",1,0)</f>
        <v>0</v>
      </c>
      <c r="O30" s="167">
        <f>IF('RAW IMPORT'!O20&lt;&gt;"",1,0)</f>
        <v>0</v>
      </c>
      <c r="P30" s="142">
        <f>IF('RAW IMPORT'!P20&lt;&gt;"",1,0)</f>
        <v>0</v>
      </c>
      <c r="Q30" s="142">
        <f>IF('RAW IMPORT'!Q20&lt;&gt;"",1,0)</f>
        <v>0</v>
      </c>
      <c r="R30" s="138">
        <f>'RAW IMPORT'!R20</f>
        <v>0</v>
      </c>
      <c r="S30" s="138">
        <f>'RAW IMPORT'!S20</f>
        <v>7</v>
      </c>
      <c r="T30" s="138">
        <f>'RAW IMPORT'!T20</f>
        <v>5</v>
      </c>
      <c r="U30" s="138">
        <f>'RAW IMPORT'!U20</f>
        <v>0</v>
      </c>
      <c r="V30" s="138">
        <f>'RAW IMPORT'!V20</f>
        <v>0</v>
      </c>
      <c r="W30" s="138">
        <f>'RAW IMPORT'!W20</f>
        <v>0</v>
      </c>
      <c r="X30" s="138">
        <f>'RAW IMPORT'!X20</f>
        <v>0</v>
      </c>
      <c r="Y30" s="138">
        <f>'RAW IMPORT'!Y20</f>
        <v>0</v>
      </c>
      <c r="Z30" s="138">
        <f>'RAW IMPORT'!Z20</f>
        <v>0</v>
      </c>
      <c r="AA30" s="138">
        <f>'RAW IMPORT'!AA20</f>
        <v>0</v>
      </c>
      <c r="AB30" s="139">
        <f>'RAW IMPORT'!AB20</f>
        <v>0</v>
      </c>
      <c r="AC30" s="141">
        <f>'RAW IMPORT'!AC20</f>
        <v>4</v>
      </c>
      <c r="AD30" s="142">
        <f>'RAW IMPORT'!AD20</f>
        <v>7</v>
      </c>
      <c r="AE30" s="142">
        <f>'RAW IMPORT'!AE20</f>
        <v>0</v>
      </c>
      <c r="AF30" s="142">
        <f>IF('RAW IMPORT'!AF20="C1",3,IF('RAW IMPORT'!AF20="D1",4,0))</f>
        <v>3</v>
      </c>
      <c r="AG30" s="142">
        <f>'RAW IMPORT'!AG20</f>
        <v>1</v>
      </c>
      <c r="AH30" s="142">
        <f>'RAW IMPORT'!AH20</f>
        <v>5</v>
      </c>
      <c r="AI30" s="142">
        <f>IF('RAW IMPORT'!AI20="U",1,0)</f>
        <v>0</v>
      </c>
      <c r="AJ30" s="142">
        <f>IF('RAW IMPORT'!AJ20="A",1,0)</f>
        <v>1</v>
      </c>
      <c r="AK30" s="142">
        <f>IF('RAW IMPORT'!AK20="B",1,0)</f>
        <v>1</v>
      </c>
      <c r="AL30" s="142">
        <f>IF('RAW IMPORT'!AL20="U",1,0)</f>
        <v>1</v>
      </c>
      <c r="AM30" s="142">
        <f>IF('RAW IMPORT'!AM20&lt;&gt;"",1,0)</f>
        <v>1</v>
      </c>
      <c r="AN30" s="142">
        <f>IF('RAW IMPORT'!AN20&lt;&gt;"",1,0)</f>
        <v>1</v>
      </c>
      <c r="AO30" s="142">
        <f>IF('RAW IMPORT'!AO20&lt;&gt;"",1,0)</f>
        <v>1</v>
      </c>
      <c r="AP30" s="142">
        <f>IF('RAW IMPORT'!AP20&lt;&gt;"",1,0)</f>
        <v>0</v>
      </c>
      <c r="AQ30" s="142">
        <f>IF('RAW IMPORT'!AQ20&lt;&gt;"",1,0)</f>
        <v>1</v>
      </c>
      <c r="AR30" s="142">
        <f>IF('RAW IMPORT'!AR20&lt;&gt;"",1,0)</f>
        <v>1</v>
      </c>
      <c r="AS30" s="142">
        <f>IF('RAW IMPORT'!AS20&lt;&gt;"",1,0)</f>
        <v>1</v>
      </c>
      <c r="AT30" s="142">
        <f>IF('RAW IMPORT'!AT20&lt;&gt;"",1,0)</f>
        <v>1</v>
      </c>
      <c r="AU30" s="142">
        <f>IF('RAW IMPORT'!AU20&lt;&gt;"",1,0)</f>
        <v>0</v>
      </c>
      <c r="AV30" s="142">
        <f>IF('RAW IMPORT'!AV20&lt;&gt;"",1,0)</f>
        <v>1</v>
      </c>
      <c r="AW30" s="142">
        <f>IF('RAW IMPORT'!AW20&lt;&gt;"",1,0)</f>
        <v>1</v>
      </c>
      <c r="AX30" s="142">
        <f>IF('RAW IMPORT'!AX20&lt;&gt;"",1,0)</f>
        <v>1</v>
      </c>
      <c r="AY30" s="142">
        <f>IF('RAW IMPORT'!AY20&lt;&gt;"",1,0)</f>
        <v>1</v>
      </c>
      <c r="AZ30" s="142">
        <f>IF('RAW IMPORT'!AZ20&lt;&gt;"",1,0)</f>
        <v>1</v>
      </c>
      <c r="BA30" s="142">
        <f>IF('RAW IMPORT'!BA20&lt;&gt;"",1,0)</f>
        <v>1</v>
      </c>
      <c r="BB30" s="142">
        <f>IF('RAW IMPORT'!BB20&lt;&gt;"",1,0)</f>
        <v>1</v>
      </c>
      <c r="BC30" s="142">
        <f>IF('RAW IMPORT'!BC20&lt;&gt;"",1,0)</f>
        <v>0</v>
      </c>
      <c r="BD30" s="142">
        <f>IF('RAW IMPORT'!BD20&lt;&gt;"",1,0)</f>
        <v>1</v>
      </c>
      <c r="BE30" s="142">
        <f>IF('RAW IMPORT'!BE20&lt;&gt;"",1,0)</f>
        <v>1</v>
      </c>
      <c r="BF30" s="142">
        <f>IF('RAW IMPORT'!BF20&lt;&gt;"",1,0)</f>
        <v>0</v>
      </c>
      <c r="BG30" s="142">
        <f>IF('RAW IMPORT'!BG20&lt;&gt;"",1,0)</f>
        <v>1</v>
      </c>
      <c r="BH30" s="142">
        <f>IF('RAW IMPORT'!BH20&lt;&gt;"",1,0)</f>
        <v>1</v>
      </c>
      <c r="BI30" s="142">
        <f>IF('RAW IMPORT'!BI20&lt;&gt;"",1,0)</f>
        <v>1</v>
      </c>
      <c r="BJ30" s="142">
        <f>IF('RAW IMPORT'!BJ20&lt;&gt;"",1,0)</f>
        <v>1</v>
      </c>
      <c r="BK30" s="142">
        <f>IF('RAW IMPORT'!BK20&lt;&gt;"",1,0)</f>
        <v>1</v>
      </c>
      <c r="BL30" s="142">
        <f>IF('RAW IMPORT'!BL20&lt;&gt;"",1,0)</f>
        <v>1</v>
      </c>
      <c r="BM30" s="142">
        <f>'RAW IMPORT'!BM20</f>
        <v>1</v>
      </c>
      <c r="BN30" s="165">
        <f>'RAW IMPORT'!BN20</f>
        <v>0</v>
      </c>
      <c r="BO30" s="197">
        <f>'RAW IMPORT'!BO20</f>
        <v>0</v>
      </c>
      <c r="BP30" s="142" t="str">
        <f>'RAW IMPORT'!BP20</f>
        <v>PDF</v>
      </c>
      <c r="BQ30" s="141">
        <f>'RAW IMPORT'!BQ20</f>
        <v>0</v>
      </c>
      <c r="BR30" s="141">
        <f>'RAW IMPORT'!BR20</f>
        <v>0.02</v>
      </c>
      <c r="BS30" s="141">
        <f>'RAW IMPORT'!BS20</f>
        <v>0.14000000000000001</v>
      </c>
      <c r="BT30" s="141">
        <f>'RAW IMPORT'!BT20</f>
        <v>6.4000000000000001E-2</v>
      </c>
      <c r="BU30" s="141">
        <f>'RAW IMPORT'!BU20</f>
        <v>0.01</v>
      </c>
      <c r="BV30" s="198">
        <f>'RAW IMPORT'!BV20</f>
        <v>0</v>
      </c>
      <c r="BW30" s="141">
        <f>'RAW IMPORT'!BW20</f>
        <v>11</v>
      </c>
      <c r="BX30" s="165">
        <f>'RAW IMPORT'!BX20</f>
        <v>66</v>
      </c>
      <c r="BY30" s="240"/>
      <c r="BZ30" s="126"/>
      <c r="CA30" s="143">
        <f t="shared" si="2"/>
        <v>16</v>
      </c>
      <c r="CB30" s="170">
        <f t="shared" ca="1" si="3"/>
        <v>16</v>
      </c>
      <c r="CC30" s="170">
        <f t="shared" ca="1" si="4"/>
        <v>65</v>
      </c>
      <c r="CD30" s="204" t="str">
        <f t="shared" si="5"/>
        <v>"Model-8140":
    RETURN</v>
      </c>
      <c r="CE30" s="170"/>
    </row>
    <row r="31" spans="1:83" ht="15" customHeight="1" x14ac:dyDescent="0.25">
      <c r="A31" s="138" t="str">
        <f>'RAW IMPORT'!A21</f>
        <v>OGRO</v>
      </c>
      <c r="B31" s="139" t="str">
        <f>'RAW IMPORT'!B21</f>
        <v>8140A</v>
      </c>
      <c r="C31" s="142">
        <f>IF('RAW IMPORT'!C21&lt;&gt;"",1,0)</f>
        <v>1</v>
      </c>
      <c r="D31" s="142">
        <f>IF('RAW IMPORT'!D21&lt;&gt;"",1,0)</f>
        <v>1</v>
      </c>
      <c r="E31" s="142">
        <f>IF('RAW IMPORT'!E21&lt;&gt;"",1,0)</f>
        <v>0</v>
      </c>
      <c r="F31" s="142">
        <f>IF('RAW IMPORT'!F21&lt;&gt;"",1,0)</f>
        <v>0</v>
      </c>
      <c r="G31" s="142">
        <f>IF('RAW IMPORT'!G21&lt;&gt;"",1,0)</f>
        <v>0</v>
      </c>
      <c r="H31" s="142">
        <f>IF('RAW IMPORT'!H21&lt;&gt;"",1,0)</f>
        <v>0</v>
      </c>
      <c r="I31" s="142">
        <f>IF('RAW IMPORT'!I21&lt;&gt;"",1,0)</f>
        <v>0</v>
      </c>
      <c r="J31" s="142">
        <f>IF('RAW IMPORT'!J21&lt;&gt;"",1,0)</f>
        <v>0</v>
      </c>
      <c r="K31" s="142">
        <f>IF('RAW IMPORT'!K21&lt;&gt;"",1,0)</f>
        <v>0</v>
      </c>
      <c r="L31" s="142">
        <f>IF('RAW IMPORT'!L21&lt;&gt;"",1,0)</f>
        <v>0</v>
      </c>
      <c r="M31" s="142">
        <f>IF('RAW IMPORT'!M21&lt;&gt;"",1,0)</f>
        <v>0</v>
      </c>
      <c r="N31" s="165">
        <f>IF('RAW IMPORT'!N21&lt;&gt;"",1,0)</f>
        <v>0</v>
      </c>
      <c r="O31" s="167">
        <f>IF('RAW IMPORT'!O21&lt;&gt;"",1,0)</f>
        <v>0</v>
      </c>
      <c r="P31" s="142">
        <f>IF('RAW IMPORT'!P21&lt;&gt;"",1,0)</f>
        <v>0</v>
      </c>
      <c r="Q31" s="142">
        <f>IF('RAW IMPORT'!Q21&lt;&gt;"",1,0)</f>
        <v>0</v>
      </c>
      <c r="R31" s="138">
        <f>'RAW IMPORT'!R21</f>
        <v>0</v>
      </c>
      <c r="S31" s="138">
        <f>'RAW IMPORT'!S21</f>
        <v>7</v>
      </c>
      <c r="T31" s="138">
        <f>'RAW IMPORT'!T21</f>
        <v>5</v>
      </c>
      <c r="U31" s="138">
        <f>'RAW IMPORT'!U21</f>
        <v>0</v>
      </c>
      <c r="V31" s="138">
        <f>'RAW IMPORT'!V21</f>
        <v>0</v>
      </c>
      <c r="W31" s="138">
        <f>'RAW IMPORT'!W21</f>
        <v>0</v>
      </c>
      <c r="X31" s="138">
        <f>'RAW IMPORT'!X21</f>
        <v>0</v>
      </c>
      <c r="Y31" s="138">
        <f>'RAW IMPORT'!Y21</f>
        <v>0</v>
      </c>
      <c r="Z31" s="138">
        <f>'RAW IMPORT'!Z21</f>
        <v>0</v>
      </c>
      <c r="AA31" s="138">
        <f>'RAW IMPORT'!AA21</f>
        <v>0</v>
      </c>
      <c r="AB31" s="139">
        <f>'RAW IMPORT'!AB21</f>
        <v>0</v>
      </c>
      <c r="AC31" s="141">
        <f>'RAW IMPORT'!AC21</f>
        <v>4</v>
      </c>
      <c r="AD31" s="142">
        <f>'RAW IMPORT'!AD21</f>
        <v>7</v>
      </c>
      <c r="AE31" s="142">
        <f>'RAW IMPORT'!AE21</f>
        <v>0</v>
      </c>
      <c r="AF31" s="142">
        <f>IF('RAW IMPORT'!AF21="C1",3,IF('RAW IMPORT'!AF21="D1",4,0))</f>
        <v>3</v>
      </c>
      <c r="AG31" s="142">
        <f>'RAW IMPORT'!AG21</f>
        <v>1</v>
      </c>
      <c r="AH31" s="142">
        <f>'RAW IMPORT'!AH21</f>
        <v>5</v>
      </c>
      <c r="AI31" s="142">
        <f>IF('RAW IMPORT'!AI21="U",1,0)</f>
        <v>0</v>
      </c>
      <c r="AJ31" s="142">
        <f>IF('RAW IMPORT'!AJ21="A",1,0)</f>
        <v>1</v>
      </c>
      <c r="AK31" s="142">
        <f>IF('RAW IMPORT'!AK21="B",1,0)</f>
        <v>1</v>
      </c>
      <c r="AL31" s="142">
        <f>IF('RAW IMPORT'!AL21="U",1,0)</f>
        <v>1</v>
      </c>
      <c r="AM31" s="142">
        <f>IF('RAW IMPORT'!AM21&lt;&gt;"",1,0)</f>
        <v>1</v>
      </c>
      <c r="AN31" s="142">
        <f>IF('RAW IMPORT'!AN21&lt;&gt;"",1,0)</f>
        <v>1</v>
      </c>
      <c r="AO31" s="142">
        <f>IF('RAW IMPORT'!AO21&lt;&gt;"",1,0)</f>
        <v>1</v>
      </c>
      <c r="AP31" s="142">
        <f>IF('RAW IMPORT'!AP21&lt;&gt;"",1,0)</f>
        <v>0</v>
      </c>
      <c r="AQ31" s="142">
        <f>IF('RAW IMPORT'!AQ21&lt;&gt;"",1,0)</f>
        <v>1</v>
      </c>
      <c r="AR31" s="142">
        <f>IF('RAW IMPORT'!AR21&lt;&gt;"",1,0)</f>
        <v>1</v>
      </c>
      <c r="AS31" s="142">
        <f>IF('RAW IMPORT'!AS21&lt;&gt;"",1,0)</f>
        <v>1</v>
      </c>
      <c r="AT31" s="142">
        <f>IF('RAW IMPORT'!AT21&lt;&gt;"",1,0)</f>
        <v>1</v>
      </c>
      <c r="AU31" s="142">
        <f>IF('RAW IMPORT'!AU21&lt;&gt;"",1,0)</f>
        <v>0</v>
      </c>
      <c r="AV31" s="142">
        <f>IF('RAW IMPORT'!AV21&lt;&gt;"",1,0)</f>
        <v>1</v>
      </c>
      <c r="AW31" s="142">
        <f>IF('RAW IMPORT'!AW21&lt;&gt;"",1,0)</f>
        <v>0</v>
      </c>
      <c r="AX31" s="142">
        <f>IF('RAW IMPORT'!AX21&lt;&gt;"",1,0)</f>
        <v>0</v>
      </c>
      <c r="AY31" s="142">
        <f>IF('RAW IMPORT'!AY21&lt;&gt;"",1,0)</f>
        <v>0</v>
      </c>
      <c r="AZ31" s="142">
        <f>IF('RAW IMPORT'!AZ21&lt;&gt;"",1,0)</f>
        <v>0</v>
      </c>
      <c r="BA31" s="142">
        <f>IF('RAW IMPORT'!BA21&lt;&gt;"",1,0)</f>
        <v>0</v>
      </c>
      <c r="BB31" s="142">
        <f>IF('RAW IMPORT'!BB21&lt;&gt;"",1,0)</f>
        <v>0</v>
      </c>
      <c r="BC31" s="142">
        <f>IF('RAW IMPORT'!BC21&lt;&gt;"",1,0)</f>
        <v>1</v>
      </c>
      <c r="BD31" s="142">
        <f>IF('RAW IMPORT'!BD21&lt;&gt;"",1,0)</f>
        <v>1</v>
      </c>
      <c r="BE31" s="142">
        <f>IF('RAW IMPORT'!BE21&lt;&gt;"",1,0)</f>
        <v>1</v>
      </c>
      <c r="BF31" s="142">
        <f>IF('RAW IMPORT'!BF21&lt;&gt;"",1,0)</f>
        <v>0</v>
      </c>
      <c r="BG31" s="142">
        <f>IF('RAW IMPORT'!BG21&lt;&gt;"",1,0)</f>
        <v>1</v>
      </c>
      <c r="BH31" s="142">
        <f>IF('RAW IMPORT'!BH21&lt;&gt;"",1,0)</f>
        <v>1</v>
      </c>
      <c r="BI31" s="142">
        <f>IF('RAW IMPORT'!BI21&lt;&gt;"",1,0)</f>
        <v>1</v>
      </c>
      <c r="BJ31" s="142">
        <f>IF('RAW IMPORT'!BJ21&lt;&gt;"",1,0)</f>
        <v>1</v>
      </c>
      <c r="BK31" s="142">
        <f>IF('RAW IMPORT'!BK21&lt;&gt;"",1,0)</f>
        <v>1</v>
      </c>
      <c r="BL31" s="142">
        <f>IF('RAW IMPORT'!BL21&lt;&gt;"",1,0)</f>
        <v>0</v>
      </c>
      <c r="BM31" s="142">
        <f>'RAW IMPORT'!BM21</f>
        <v>1</v>
      </c>
      <c r="BN31" s="165">
        <f>'RAW IMPORT'!BN21</f>
        <v>0</v>
      </c>
      <c r="BO31" s="197">
        <f>'RAW IMPORT'!BO21</f>
        <v>0</v>
      </c>
      <c r="BP31" s="142" t="str">
        <f>'RAW IMPORT'!BP21</f>
        <v>PDF</v>
      </c>
      <c r="BQ31" s="141">
        <f>'RAW IMPORT'!BQ21</f>
        <v>0</v>
      </c>
      <c r="BR31" s="141">
        <f>'RAW IMPORT'!BR21</f>
        <v>0.02</v>
      </c>
      <c r="BS31" s="141">
        <f>'RAW IMPORT'!BS21</f>
        <v>0.14000000000000001</v>
      </c>
      <c r="BT31" s="141">
        <f>'RAW IMPORT'!BT21</f>
        <v>6.4000000000000001E-2</v>
      </c>
      <c r="BU31" s="141">
        <f>'RAW IMPORT'!BU21</f>
        <v>0.01</v>
      </c>
      <c r="BV31" s="198">
        <f>'RAW IMPORT'!BV21</f>
        <v>0</v>
      </c>
      <c r="BW31" s="141">
        <f>'RAW IMPORT'!BW21</f>
        <v>0</v>
      </c>
      <c r="BX31" s="165">
        <f>'RAW IMPORT'!BX21</f>
        <v>67</v>
      </c>
      <c r="BY31" s="240"/>
      <c r="BZ31" s="126"/>
      <c r="CA31" s="143">
        <f t="shared" si="2"/>
        <v>17</v>
      </c>
      <c r="CB31" s="170">
        <f t="shared" ca="1" si="3"/>
        <v>17</v>
      </c>
      <c r="CC31" s="170">
        <f t="shared" ca="1" si="4"/>
        <v>66</v>
      </c>
      <c r="CD31" s="204" t="str">
        <f t="shared" si="5"/>
        <v>"Model-8140A":
    RETURN</v>
      </c>
      <c r="CE31" s="170"/>
    </row>
    <row r="32" spans="1:83" ht="15" customHeight="1" x14ac:dyDescent="0.25">
      <c r="A32" s="138" t="str">
        <f>'RAW IMPORT'!A22</f>
        <v>OGRO</v>
      </c>
      <c r="B32" s="139">
        <f>'RAW IMPORT'!B22</f>
        <v>8141</v>
      </c>
      <c r="C32" s="142">
        <f>IF('RAW IMPORT'!C22&lt;&gt;"",1,0)</f>
        <v>1</v>
      </c>
      <c r="D32" s="142">
        <f>IF('RAW IMPORT'!D22&lt;&gt;"",1,0)</f>
        <v>1</v>
      </c>
      <c r="E32" s="142">
        <f>IF('RAW IMPORT'!E22&lt;&gt;"",1,0)</f>
        <v>0</v>
      </c>
      <c r="F32" s="142">
        <f>IF('RAW IMPORT'!F22&lt;&gt;"",1,0)</f>
        <v>0</v>
      </c>
      <c r="G32" s="142">
        <f>IF('RAW IMPORT'!G22&lt;&gt;"",1,0)</f>
        <v>0</v>
      </c>
      <c r="H32" s="142">
        <f>IF('RAW IMPORT'!H22&lt;&gt;"",1,0)</f>
        <v>0</v>
      </c>
      <c r="I32" s="142">
        <f>IF('RAW IMPORT'!I22&lt;&gt;"",1,0)</f>
        <v>0</v>
      </c>
      <c r="J32" s="142">
        <f>IF('RAW IMPORT'!J22&lt;&gt;"",1,0)</f>
        <v>0</v>
      </c>
      <c r="K32" s="142">
        <f>IF('RAW IMPORT'!K22&lt;&gt;"",1,0)</f>
        <v>0</v>
      </c>
      <c r="L32" s="142">
        <f>IF('RAW IMPORT'!L22&lt;&gt;"",1,0)</f>
        <v>0</v>
      </c>
      <c r="M32" s="142">
        <f>IF('RAW IMPORT'!M22&lt;&gt;"",1,0)</f>
        <v>0</v>
      </c>
      <c r="N32" s="165">
        <f>IF('RAW IMPORT'!N22&lt;&gt;"",1,0)</f>
        <v>0</v>
      </c>
      <c r="O32" s="167">
        <f>IF('RAW IMPORT'!O22&lt;&gt;"",1,0)</f>
        <v>0</v>
      </c>
      <c r="P32" s="142">
        <f>IF('RAW IMPORT'!P22&lt;&gt;"",1,0)</f>
        <v>0</v>
      </c>
      <c r="Q32" s="142">
        <f>IF('RAW IMPORT'!Q22&lt;&gt;"",1,0)</f>
        <v>0</v>
      </c>
      <c r="R32" s="138">
        <f>'RAW IMPORT'!R22</f>
        <v>0</v>
      </c>
      <c r="S32" s="138">
        <f>'RAW IMPORT'!S22</f>
        <v>7</v>
      </c>
      <c r="T32" s="138">
        <f>'RAW IMPORT'!T22</f>
        <v>5</v>
      </c>
      <c r="U32" s="138">
        <f>'RAW IMPORT'!U22</f>
        <v>0</v>
      </c>
      <c r="V32" s="138">
        <f>'RAW IMPORT'!V22</f>
        <v>0</v>
      </c>
      <c r="W32" s="138">
        <f>'RAW IMPORT'!W22</f>
        <v>0</v>
      </c>
      <c r="X32" s="138">
        <f>'RAW IMPORT'!X22</f>
        <v>0</v>
      </c>
      <c r="Y32" s="138">
        <f>'RAW IMPORT'!Y22</f>
        <v>0</v>
      </c>
      <c r="Z32" s="138">
        <f>'RAW IMPORT'!Z22</f>
        <v>0</v>
      </c>
      <c r="AA32" s="138">
        <f>'RAW IMPORT'!AA22</f>
        <v>0</v>
      </c>
      <c r="AB32" s="139">
        <f>'RAW IMPORT'!AB22</f>
        <v>0</v>
      </c>
      <c r="AC32" s="141">
        <f>'RAW IMPORT'!AC22</f>
        <v>4</v>
      </c>
      <c r="AD32" s="142">
        <f>'RAW IMPORT'!AD22</f>
        <v>7</v>
      </c>
      <c r="AE32" s="142">
        <f>'RAW IMPORT'!AE22</f>
        <v>0</v>
      </c>
      <c r="AF32" s="142">
        <f>IF('RAW IMPORT'!AF22="C1",3,IF('RAW IMPORT'!AF22="D1",4,0))</f>
        <v>3</v>
      </c>
      <c r="AG32" s="142">
        <f>'RAW IMPORT'!AG22</f>
        <v>1</v>
      </c>
      <c r="AH32" s="142">
        <f>'RAW IMPORT'!AH22</f>
        <v>5</v>
      </c>
      <c r="AI32" s="142">
        <f>IF('RAW IMPORT'!AI22="U",1,0)</f>
        <v>0</v>
      </c>
      <c r="AJ32" s="142">
        <f>IF('RAW IMPORT'!AJ22="A",1,0)</f>
        <v>1</v>
      </c>
      <c r="AK32" s="142">
        <f>IF('RAW IMPORT'!AK22="B",1,0)</f>
        <v>1</v>
      </c>
      <c r="AL32" s="142">
        <f>IF('RAW IMPORT'!AL22="U",1,0)</f>
        <v>1</v>
      </c>
      <c r="AM32" s="142">
        <f>IF('RAW IMPORT'!AM22&lt;&gt;"",1,0)</f>
        <v>1</v>
      </c>
      <c r="AN32" s="142">
        <f>IF('RAW IMPORT'!AN22&lt;&gt;"",1,0)</f>
        <v>1</v>
      </c>
      <c r="AO32" s="142">
        <f>IF('RAW IMPORT'!AO22&lt;&gt;"",1,0)</f>
        <v>1</v>
      </c>
      <c r="AP32" s="142">
        <f>IF('RAW IMPORT'!AP22&lt;&gt;"",1,0)</f>
        <v>0</v>
      </c>
      <c r="AQ32" s="142">
        <f>IF('RAW IMPORT'!AQ22&lt;&gt;"",1,0)</f>
        <v>1</v>
      </c>
      <c r="AR32" s="142">
        <f>IF('RAW IMPORT'!AR22&lt;&gt;"",1,0)</f>
        <v>1</v>
      </c>
      <c r="AS32" s="142">
        <f>IF('RAW IMPORT'!AS22&lt;&gt;"",1,0)</f>
        <v>1</v>
      </c>
      <c r="AT32" s="142">
        <f>IF('RAW IMPORT'!AT22&lt;&gt;"",1,0)</f>
        <v>1</v>
      </c>
      <c r="AU32" s="142">
        <f>IF('RAW IMPORT'!AU22&lt;&gt;"",1,0)</f>
        <v>0</v>
      </c>
      <c r="AV32" s="142">
        <f>IF('RAW IMPORT'!AV22&lt;&gt;"",1,0)</f>
        <v>1</v>
      </c>
      <c r="AW32" s="142">
        <f>IF('RAW IMPORT'!AW22&lt;&gt;"",1,0)</f>
        <v>1</v>
      </c>
      <c r="AX32" s="142">
        <f>IF('RAW IMPORT'!AX22&lt;&gt;"",1,0)</f>
        <v>1</v>
      </c>
      <c r="AY32" s="142">
        <f>IF('RAW IMPORT'!AY22&lt;&gt;"",1,0)</f>
        <v>1</v>
      </c>
      <c r="AZ32" s="142">
        <f>IF('RAW IMPORT'!AZ22&lt;&gt;"",1,0)</f>
        <v>1</v>
      </c>
      <c r="BA32" s="142">
        <f>IF('RAW IMPORT'!BA22&lt;&gt;"",1,0)</f>
        <v>1</v>
      </c>
      <c r="BB32" s="142">
        <f>IF('RAW IMPORT'!BB22&lt;&gt;"",1,0)</f>
        <v>1</v>
      </c>
      <c r="BC32" s="142">
        <f>IF('RAW IMPORT'!BC22&lt;&gt;"",1,0)</f>
        <v>0</v>
      </c>
      <c r="BD32" s="142">
        <f>IF('RAW IMPORT'!BD22&lt;&gt;"",1,0)</f>
        <v>1</v>
      </c>
      <c r="BE32" s="142">
        <f>IF('RAW IMPORT'!BE22&lt;&gt;"",1,0)</f>
        <v>1</v>
      </c>
      <c r="BF32" s="142">
        <f>IF('RAW IMPORT'!BF22&lt;&gt;"",1,0)</f>
        <v>0</v>
      </c>
      <c r="BG32" s="142">
        <f>IF('RAW IMPORT'!BG22&lt;&gt;"",1,0)</f>
        <v>1</v>
      </c>
      <c r="BH32" s="142">
        <f>IF('RAW IMPORT'!BH22&lt;&gt;"",1,0)</f>
        <v>1</v>
      </c>
      <c r="BI32" s="142">
        <f>IF('RAW IMPORT'!BI22&lt;&gt;"",1,0)</f>
        <v>1</v>
      </c>
      <c r="BJ32" s="142">
        <f>IF('RAW IMPORT'!BJ22&lt;&gt;"",1,0)</f>
        <v>1</v>
      </c>
      <c r="BK32" s="142">
        <f>IF('RAW IMPORT'!BK22&lt;&gt;"",1,0)</f>
        <v>1</v>
      </c>
      <c r="BL32" s="142">
        <f>IF('RAW IMPORT'!BL22&lt;&gt;"",1,0)</f>
        <v>1</v>
      </c>
      <c r="BM32" s="142">
        <f>'RAW IMPORT'!BM22</f>
        <v>1</v>
      </c>
      <c r="BN32" s="165">
        <f>'RAW IMPORT'!BN22</f>
        <v>0</v>
      </c>
      <c r="BO32" s="197">
        <f>'RAW IMPORT'!BO22</f>
        <v>0</v>
      </c>
      <c r="BP32" s="142" t="str">
        <f>'RAW IMPORT'!BP22</f>
        <v>PDF</v>
      </c>
      <c r="BQ32" s="141">
        <f>'RAW IMPORT'!BQ22</f>
        <v>0</v>
      </c>
      <c r="BR32" s="141">
        <f>'RAW IMPORT'!BR22</f>
        <v>0.02</v>
      </c>
      <c r="BS32" s="141">
        <f>'RAW IMPORT'!BS22</f>
        <v>0.14499999999999999</v>
      </c>
      <c r="BT32" s="141">
        <f>'RAW IMPORT'!BT22</f>
        <v>6.4000000000000001E-2</v>
      </c>
      <c r="BU32" s="141">
        <f>'RAW IMPORT'!BU22</f>
        <v>0.01</v>
      </c>
      <c r="BV32" s="198">
        <f>'RAW IMPORT'!BV22</f>
        <v>0</v>
      </c>
      <c r="BW32" s="141">
        <f>'RAW IMPORT'!BW22</f>
        <v>12</v>
      </c>
      <c r="BX32" s="165">
        <f>'RAW IMPORT'!BX22</f>
        <v>68</v>
      </c>
      <c r="BY32" s="240"/>
      <c r="BZ32" s="126"/>
      <c r="CA32" s="143">
        <f t="shared" si="2"/>
        <v>18</v>
      </c>
      <c r="CB32" s="170">
        <f t="shared" ca="1" si="3"/>
        <v>18</v>
      </c>
      <c r="CC32" s="170">
        <f t="shared" ca="1" si="4"/>
        <v>67</v>
      </c>
      <c r="CD32" s="204" t="str">
        <f t="shared" si="5"/>
        <v>"Model-8141":
    RETURN</v>
      </c>
      <c r="CE32" s="170"/>
    </row>
    <row r="33" spans="1:83" ht="15" customHeight="1" x14ac:dyDescent="0.25">
      <c r="A33" s="138" t="str">
        <f>'RAW IMPORT'!A23</f>
        <v>OGRO</v>
      </c>
      <c r="B33" s="139" t="str">
        <f>'RAW IMPORT'!B23</f>
        <v>8141A</v>
      </c>
      <c r="C33" s="142">
        <f>IF('RAW IMPORT'!C23&lt;&gt;"",1,0)</f>
        <v>1</v>
      </c>
      <c r="D33" s="142">
        <f>IF('RAW IMPORT'!D23&lt;&gt;"",1,0)</f>
        <v>1</v>
      </c>
      <c r="E33" s="142">
        <f>IF('RAW IMPORT'!E23&lt;&gt;"",1,0)</f>
        <v>0</v>
      </c>
      <c r="F33" s="142">
        <f>IF('RAW IMPORT'!F23&lt;&gt;"",1,0)</f>
        <v>0</v>
      </c>
      <c r="G33" s="142">
        <f>IF('RAW IMPORT'!G23&lt;&gt;"",1,0)</f>
        <v>0</v>
      </c>
      <c r="H33" s="142">
        <f>IF('RAW IMPORT'!H23&lt;&gt;"",1,0)</f>
        <v>0</v>
      </c>
      <c r="I33" s="142">
        <f>IF('RAW IMPORT'!I23&lt;&gt;"",1,0)</f>
        <v>0</v>
      </c>
      <c r="J33" s="142">
        <f>IF('RAW IMPORT'!J23&lt;&gt;"",1,0)</f>
        <v>0</v>
      </c>
      <c r="K33" s="142">
        <f>IF('RAW IMPORT'!K23&lt;&gt;"",1,0)</f>
        <v>0</v>
      </c>
      <c r="L33" s="142">
        <f>IF('RAW IMPORT'!L23&lt;&gt;"",1,0)</f>
        <v>0</v>
      </c>
      <c r="M33" s="142">
        <f>IF('RAW IMPORT'!M23&lt;&gt;"",1,0)</f>
        <v>0</v>
      </c>
      <c r="N33" s="165">
        <f>IF('RAW IMPORT'!N23&lt;&gt;"",1,0)</f>
        <v>0</v>
      </c>
      <c r="O33" s="167">
        <f>IF('RAW IMPORT'!O23&lt;&gt;"",1,0)</f>
        <v>0</v>
      </c>
      <c r="P33" s="142">
        <f>IF('RAW IMPORT'!P23&lt;&gt;"",1,0)</f>
        <v>0</v>
      </c>
      <c r="Q33" s="142">
        <f>IF('RAW IMPORT'!Q23&lt;&gt;"",1,0)</f>
        <v>0</v>
      </c>
      <c r="R33" s="138">
        <f>'RAW IMPORT'!R23</f>
        <v>0</v>
      </c>
      <c r="S33" s="138">
        <f>'RAW IMPORT'!S23</f>
        <v>7</v>
      </c>
      <c r="T33" s="138">
        <f>'RAW IMPORT'!T23</f>
        <v>5</v>
      </c>
      <c r="U33" s="138">
        <f>'RAW IMPORT'!U23</f>
        <v>0</v>
      </c>
      <c r="V33" s="138">
        <f>'RAW IMPORT'!V23</f>
        <v>0</v>
      </c>
      <c r="W33" s="138">
        <f>'RAW IMPORT'!W23</f>
        <v>0</v>
      </c>
      <c r="X33" s="138">
        <f>'RAW IMPORT'!X23</f>
        <v>0</v>
      </c>
      <c r="Y33" s="138">
        <f>'RAW IMPORT'!Y23</f>
        <v>0</v>
      </c>
      <c r="Z33" s="138">
        <f>'RAW IMPORT'!Z23</f>
        <v>0</v>
      </c>
      <c r="AA33" s="138">
        <f>'RAW IMPORT'!AA23</f>
        <v>0</v>
      </c>
      <c r="AB33" s="139">
        <f>'RAW IMPORT'!AB23</f>
        <v>0</v>
      </c>
      <c r="AC33" s="141">
        <f>'RAW IMPORT'!AC23</f>
        <v>4</v>
      </c>
      <c r="AD33" s="142">
        <f>'RAW IMPORT'!AD23</f>
        <v>7</v>
      </c>
      <c r="AE33" s="142">
        <f>'RAW IMPORT'!AE23</f>
        <v>0</v>
      </c>
      <c r="AF33" s="142">
        <f>IF('RAW IMPORT'!AF23="C1",3,IF('RAW IMPORT'!AF23="D1",4,0))</f>
        <v>3</v>
      </c>
      <c r="AG33" s="142">
        <f>'RAW IMPORT'!AG23</f>
        <v>1</v>
      </c>
      <c r="AH33" s="142">
        <f>'RAW IMPORT'!AH23</f>
        <v>5</v>
      </c>
      <c r="AI33" s="142">
        <f>IF('RAW IMPORT'!AI23="U",1,0)</f>
        <v>0</v>
      </c>
      <c r="AJ33" s="142">
        <f>IF('RAW IMPORT'!AJ23="A",1,0)</f>
        <v>1</v>
      </c>
      <c r="AK33" s="142">
        <f>IF('RAW IMPORT'!AK23="B",1,0)</f>
        <v>1</v>
      </c>
      <c r="AL33" s="142">
        <f>IF('RAW IMPORT'!AL23="U",1,0)</f>
        <v>1</v>
      </c>
      <c r="AM33" s="142">
        <f>IF('RAW IMPORT'!AM23&lt;&gt;"",1,0)</f>
        <v>1</v>
      </c>
      <c r="AN33" s="142">
        <f>IF('RAW IMPORT'!AN23&lt;&gt;"",1,0)</f>
        <v>1</v>
      </c>
      <c r="AO33" s="142">
        <f>IF('RAW IMPORT'!AO23&lt;&gt;"",1,0)</f>
        <v>1</v>
      </c>
      <c r="AP33" s="142">
        <f>IF('RAW IMPORT'!AP23&lt;&gt;"",1,0)</f>
        <v>0</v>
      </c>
      <c r="AQ33" s="142">
        <f>IF('RAW IMPORT'!AQ23&lt;&gt;"",1,0)</f>
        <v>1</v>
      </c>
      <c r="AR33" s="142">
        <f>IF('RAW IMPORT'!AR23&lt;&gt;"",1,0)</f>
        <v>1</v>
      </c>
      <c r="AS33" s="142">
        <f>IF('RAW IMPORT'!AS23&lt;&gt;"",1,0)</f>
        <v>1</v>
      </c>
      <c r="AT33" s="142">
        <f>IF('RAW IMPORT'!AT23&lt;&gt;"",1,0)</f>
        <v>1</v>
      </c>
      <c r="AU33" s="142">
        <f>IF('RAW IMPORT'!AU23&lt;&gt;"",1,0)</f>
        <v>0</v>
      </c>
      <c r="AV33" s="142">
        <f>IF('RAW IMPORT'!AV23&lt;&gt;"",1,0)</f>
        <v>1</v>
      </c>
      <c r="AW33" s="142">
        <f>IF('RAW IMPORT'!AW23&lt;&gt;"",1,0)</f>
        <v>0</v>
      </c>
      <c r="AX33" s="142">
        <f>IF('RAW IMPORT'!AX23&lt;&gt;"",1,0)</f>
        <v>0</v>
      </c>
      <c r="AY33" s="142">
        <f>IF('RAW IMPORT'!AY23&lt;&gt;"",1,0)</f>
        <v>0</v>
      </c>
      <c r="AZ33" s="142">
        <f>IF('RAW IMPORT'!AZ23&lt;&gt;"",1,0)</f>
        <v>0</v>
      </c>
      <c r="BA33" s="142">
        <f>IF('RAW IMPORT'!BA23&lt;&gt;"",1,0)</f>
        <v>0</v>
      </c>
      <c r="BB33" s="142">
        <f>IF('RAW IMPORT'!BB23&lt;&gt;"",1,0)</f>
        <v>0</v>
      </c>
      <c r="BC33" s="142">
        <f>IF('RAW IMPORT'!BC23&lt;&gt;"",1,0)</f>
        <v>1</v>
      </c>
      <c r="BD33" s="142">
        <f>IF('RAW IMPORT'!BD23&lt;&gt;"",1,0)</f>
        <v>1</v>
      </c>
      <c r="BE33" s="142">
        <f>IF('RAW IMPORT'!BE23&lt;&gt;"",1,0)</f>
        <v>1</v>
      </c>
      <c r="BF33" s="142">
        <f>IF('RAW IMPORT'!BF23&lt;&gt;"",1,0)</f>
        <v>0</v>
      </c>
      <c r="BG33" s="142">
        <f>IF('RAW IMPORT'!BG23&lt;&gt;"",1,0)</f>
        <v>1</v>
      </c>
      <c r="BH33" s="142">
        <f>IF('RAW IMPORT'!BH23&lt;&gt;"",1,0)</f>
        <v>1</v>
      </c>
      <c r="BI33" s="142">
        <f>IF('RAW IMPORT'!BI23&lt;&gt;"",1,0)</f>
        <v>1</v>
      </c>
      <c r="BJ33" s="142">
        <f>IF('RAW IMPORT'!BJ23&lt;&gt;"",1,0)</f>
        <v>1</v>
      </c>
      <c r="BK33" s="142">
        <f>IF('RAW IMPORT'!BK23&lt;&gt;"",1,0)</f>
        <v>1</v>
      </c>
      <c r="BL33" s="142">
        <f>IF('RAW IMPORT'!BL23&lt;&gt;"",1,0)</f>
        <v>0</v>
      </c>
      <c r="BM33" s="142">
        <f>'RAW IMPORT'!BM23</f>
        <v>1</v>
      </c>
      <c r="BN33" s="165">
        <f>'RAW IMPORT'!BN23</f>
        <v>0</v>
      </c>
      <c r="BO33" s="197">
        <f>'RAW IMPORT'!BO23</f>
        <v>0</v>
      </c>
      <c r="BP33" s="142" t="str">
        <f>'RAW IMPORT'!BP23</f>
        <v>PDF</v>
      </c>
      <c r="BQ33" s="141">
        <f>'RAW IMPORT'!BQ23</f>
        <v>0</v>
      </c>
      <c r="BR33" s="141">
        <f>'RAW IMPORT'!BR23</f>
        <v>0.02</v>
      </c>
      <c r="BS33" s="141">
        <f>'RAW IMPORT'!BS23</f>
        <v>0.16500000000000001</v>
      </c>
      <c r="BT33" s="141">
        <f>'RAW IMPORT'!BT23</f>
        <v>8.1000000000000003E-2</v>
      </c>
      <c r="BU33" s="141">
        <f>'RAW IMPORT'!BU23</f>
        <v>0.01</v>
      </c>
      <c r="BV33" s="198">
        <f>'RAW IMPORT'!BV23</f>
        <v>0</v>
      </c>
      <c r="BW33" s="141">
        <f>'RAW IMPORT'!BW23</f>
        <v>0</v>
      </c>
      <c r="BX33" s="165">
        <f>'RAW IMPORT'!BX23</f>
        <v>69</v>
      </c>
      <c r="BY33" s="240"/>
      <c r="BZ33" s="126"/>
      <c r="CA33" s="143">
        <f t="shared" si="2"/>
        <v>19</v>
      </c>
      <c r="CB33" s="170">
        <f t="shared" ca="1" si="3"/>
        <v>19</v>
      </c>
      <c r="CC33" s="170">
        <f t="shared" ca="1" si="4"/>
        <v>68</v>
      </c>
      <c r="CD33" s="204" t="str">
        <f t="shared" si="5"/>
        <v>"Model-8141A":
    RETURN</v>
      </c>
      <c r="CE33" s="170"/>
    </row>
    <row r="34" spans="1:83" ht="15" customHeight="1" x14ac:dyDescent="0.25">
      <c r="A34" s="138" t="str">
        <f>'RAW IMPORT'!A24</f>
        <v>OGRO</v>
      </c>
      <c r="B34" s="139">
        <f>'RAW IMPORT'!B24</f>
        <v>8155</v>
      </c>
      <c r="C34" s="142">
        <f>IF('RAW IMPORT'!C24&lt;&gt;"",1,0)</f>
        <v>1</v>
      </c>
      <c r="D34" s="142">
        <f>IF('RAW IMPORT'!D24&lt;&gt;"",1,0)</f>
        <v>1</v>
      </c>
      <c r="E34" s="142">
        <f>IF('RAW IMPORT'!E24&lt;&gt;"",1,0)</f>
        <v>0</v>
      </c>
      <c r="F34" s="142">
        <f>IF('RAW IMPORT'!F24&lt;&gt;"",1,0)</f>
        <v>0</v>
      </c>
      <c r="G34" s="142">
        <f>IF('RAW IMPORT'!G24&lt;&gt;"",1,0)</f>
        <v>0</v>
      </c>
      <c r="H34" s="142">
        <f>IF('RAW IMPORT'!H24&lt;&gt;"",1,0)</f>
        <v>0</v>
      </c>
      <c r="I34" s="142">
        <f>IF('RAW IMPORT'!I24&lt;&gt;"",1,0)</f>
        <v>0</v>
      </c>
      <c r="J34" s="142">
        <f>IF('RAW IMPORT'!J24&lt;&gt;"",1,0)</f>
        <v>0</v>
      </c>
      <c r="K34" s="142">
        <f>IF('RAW IMPORT'!K24&lt;&gt;"",1,0)</f>
        <v>0</v>
      </c>
      <c r="L34" s="142">
        <f>IF('RAW IMPORT'!L24&lt;&gt;"",1,0)</f>
        <v>0</v>
      </c>
      <c r="M34" s="142">
        <f>IF('RAW IMPORT'!M24&lt;&gt;"",1,0)</f>
        <v>0</v>
      </c>
      <c r="N34" s="165">
        <f>IF('RAW IMPORT'!N24&lt;&gt;"",1,0)</f>
        <v>0</v>
      </c>
      <c r="O34" s="167">
        <f>IF('RAW IMPORT'!O24&lt;&gt;"",1,0)</f>
        <v>0</v>
      </c>
      <c r="P34" s="142">
        <f>IF('RAW IMPORT'!P24&lt;&gt;"",1,0)</f>
        <v>0</v>
      </c>
      <c r="Q34" s="142">
        <f>IF('RAW IMPORT'!Q24&lt;&gt;"",1,0)</f>
        <v>0</v>
      </c>
      <c r="R34" s="138">
        <f>'RAW IMPORT'!R24</f>
        <v>0</v>
      </c>
      <c r="S34" s="138">
        <f>'RAW IMPORT'!S24</f>
        <v>7</v>
      </c>
      <c r="T34" s="138">
        <f>'RAW IMPORT'!T24</f>
        <v>5</v>
      </c>
      <c r="U34" s="138">
        <f>'RAW IMPORT'!U24</f>
        <v>0</v>
      </c>
      <c r="V34" s="138">
        <f>'RAW IMPORT'!V24</f>
        <v>0</v>
      </c>
      <c r="W34" s="138">
        <f>'RAW IMPORT'!W24</f>
        <v>0</v>
      </c>
      <c r="X34" s="138">
        <f>'RAW IMPORT'!X24</f>
        <v>0</v>
      </c>
      <c r="Y34" s="138">
        <f>'RAW IMPORT'!Y24</f>
        <v>0</v>
      </c>
      <c r="Z34" s="138">
        <f>'RAW IMPORT'!Z24</f>
        <v>0</v>
      </c>
      <c r="AA34" s="138">
        <f>'RAW IMPORT'!AA24</f>
        <v>0</v>
      </c>
      <c r="AB34" s="139">
        <f>'RAW IMPORT'!AB24</f>
        <v>0</v>
      </c>
      <c r="AC34" s="141">
        <f>'RAW IMPORT'!AC24</f>
        <v>4</v>
      </c>
      <c r="AD34" s="142">
        <f>'RAW IMPORT'!AD24</f>
        <v>7</v>
      </c>
      <c r="AE34" s="142">
        <f>'RAW IMPORT'!AE24</f>
        <v>0</v>
      </c>
      <c r="AF34" s="142">
        <f>IF('RAW IMPORT'!AF24="C1",3,IF('RAW IMPORT'!AF24="D1",4,0))</f>
        <v>4</v>
      </c>
      <c r="AG34" s="142">
        <f>'RAW IMPORT'!AG24</f>
        <v>1</v>
      </c>
      <c r="AH34" s="142">
        <f>'RAW IMPORT'!AH24</f>
        <v>5</v>
      </c>
      <c r="AI34" s="142">
        <f>IF('RAW IMPORT'!AI24="U",1,0)</f>
        <v>0</v>
      </c>
      <c r="AJ34" s="142">
        <f>IF('RAW IMPORT'!AJ24="A",1,0)</f>
        <v>1</v>
      </c>
      <c r="AK34" s="142">
        <f>IF('RAW IMPORT'!AK24="B",1,0)</f>
        <v>1</v>
      </c>
      <c r="AL34" s="142">
        <f>IF('RAW IMPORT'!AL24="U",1,0)</f>
        <v>1</v>
      </c>
      <c r="AM34" s="142">
        <f>IF('RAW IMPORT'!AM24&lt;&gt;"",1,0)</f>
        <v>1</v>
      </c>
      <c r="AN34" s="142">
        <f>IF('RAW IMPORT'!AN24&lt;&gt;"",1,0)</f>
        <v>1</v>
      </c>
      <c r="AO34" s="142">
        <f>IF('RAW IMPORT'!AO24&lt;&gt;"",1,0)</f>
        <v>1</v>
      </c>
      <c r="AP34" s="142">
        <f>IF('RAW IMPORT'!AP24&lt;&gt;"",1,0)</f>
        <v>1</v>
      </c>
      <c r="AQ34" s="142">
        <f>IF('RAW IMPORT'!AQ24&lt;&gt;"",1,0)</f>
        <v>1</v>
      </c>
      <c r="AR34" s="142">
        <f>IF('RAW IMPORT'!AR24&lt;&gt;"",1,0)</f>
        <v>1</v>
      </c>
      <c r="AS34" s="142">
        <f>IF('RAW IMPORT'!AS24&lt;&gt;"",1,0)</f>
        <v>1</v>
      </c>
      <c r="AT34" s="142">
        <f>IF('RAW IMPORT'!AT24&lt;&gt;"",1,0)</f>
        <v>1</v>
      </c>
      <c r="AU34" s="142">
        <f>IF('RAW IMPORT'!AU24&lt;&gt;"",1,0)</f>
        <v>1</v>
      </c>
      <c r="AV34" s="142">
        <f>IF('RAW IMPORT'!AV24&lt;&gt;"",1,0)</f>
        <v>1</v>
      </c>
      <c r="AW34" s="142">
        <f>IF('RAW IMPORT'!AW24&lt;&gt;"",1,0)</f>
        <v>1</v>
      </c>
      <c r="AX34" s="142">
        <f>IF('RAW IMPORT'!AX24&lt;&gt;"",1,0)</f>
        <v>1</v>
      </c>
      <c r="AY34" s="142">
        <f>IF('RAW IMPORT'!AY24&lt;&gt;"",1,0)</f>
        <v>1</v>
      </c>
      <c r="AZ34" s="142">
        <f>IF('RAW IMPORT'!AZ24&lt;&gt;"",1,0)</f>
        <v>1</v>
      </c>
      <c r="BA34" s="142">
        <f>IF('RAW IMPORT'!BA24&lt;&gt;"",1,0)</f>
        <v>1</v>
      </c>
      <c r="BB34" s="142">
        <f>IF('RAW IMPORT'!BB24&lt;&gt;"",1,0)</f>
        <v>1</v>
      </c>
      <c r="BC34" s="142">
        <f>IF('RAW IMPORT'!BC24&lt;&gt;"",1,0)</f>
        <v>0</v>
      </c>
      <c r="BD34" s="142">
        <f>IF('RAW IMPORT'!BD24&lt;&gt;"",1,0)</f>
        <v>1</v>
      </c>
      <c r="BE34" s="142">
        <f>IF('RAW IMPORT'!BE24&lt;&gt;"",1,0)</f>
        <v>1</v>
      </c>
      <c r="BF34" s="142">
        <f>IF('RAW IMPORT'!BF24&lt;&gt;"",1,0)</f>
        <v>0</v>
      </c>
      <c r="BG34" s="142">
        <f>IF('RAW IMPORT'!BG24&lt;&gt;"",1,0)</f>
        <v>1</v>
      </c>
      <c r="BH34" s="142">
        <f>IF('RAW IMPORT'!BH24&lt;&gt;"",1,0)</f>
        <v>1</v>
      </c>
      <c r="BI34" s="142">
        <f>IF('RAW IMPORT'!BI24&lt;&gt;"",1,0)</f>
        <v>1</v>
      </c>
      <c r="BJ34" s="142">
        <f>IF('RAW IMPORT'!BJ24&lt;&gt;"",1,0)</f>
        <v>1</v>
      </c>
      <c r="BK34" s="142">
        <f>IF('RAW IMPORT'!BK24&lt;&gt;"",1,0)</f>
        <v>1</v>
      </c>
      <c r="BL34" s="142">
        <f>IF('RAW IMPORT'!BL24&lt;&gt;"",1,0)</f>
        <v>1</v>
      </c>
      <c r="BM34" s="142">
        <f>'RAW IMPORT'!BM24</f>
        <v>1</v>
      </c>
      <c r="BN34" s="165">
        <f>'RAW IMPORT'!BN24</f>
        <v>0</v>
      </c>
      <c r="BO34" s="197" t="str">
        <f>'RAW IMPORT'!BO24</f>
        <v>x</v>
      </c>
      <c r="BP34" s="142" t="str">
        <f>'RAW IMPORT'!BP24</f>
        <v>PDF</v>
      </c>
      <c r="BQ34" s="141" t="str">
        <f>'RAW IMPORT'!BQ24</f>
        <v>GDL</v>
      </c>
      <c r="BR34" s="141">
        <f>'RAW IMPORT'!BR24</f>
        <v>0.02</v>
      </c>
      <c r="BS34" s="141">
        <f>'RAW IMPORT'!BS24</f>
        <v>0.13500000000000001</v>
      </c>
      <c r="BT34" s="141">
        <f>'RAW IMPORT'!BT24</f>
        <v>6.5000000000000002E-2</v>
      </c>
      <c r="BU34" s="141">
        <f>'RAW IMPORT'!BU24</f>
        <v>0.01</v>
      </c>
      <c r="BV34" s="198">
        <f>'RAW IMPORT'!BV24</f>
        <v>0</v>
      </c>
      <c r="BW34" s="141">
        <f>'RAW IMPORT'!BW24</f>
        <v>13</v>
      </c>
      <c r="BX34" s="165">
        <f>'RAW IMPORT'!BX24</f>
        <v>0</v>
      </c>
      <c r="BY34" s="240"/>
      <c r="BZ34" s="126"/>
      <c r="CA34" s="143">
        <f t="shared" si="2"/>
        <v>20</v>
      </c>
      <c r="CB34" s="170">
        <f t="shared" ca="1" si="3"/>
        <v>20</v>
      </c>
      <c r="CC34" s="170" t="str">
        <f t="shared" ca="1" si="4"/>
        <v/>
      </c>
      <c r="CD34" s="204" t="str">
        <f t="shared" si="5"/>
        <v>"Model-8155":
    RETURN</v>
      </c>
      <c r="CE34" s="170">
        <v>2</v>
      </c>
    </row>
    <row r="35" spans="1:83" ht="15" customHeight="1" x14ac:dyDescent="0.25">
      <c r="A35" s="138" t="str">
        <f>'RAW IMPORT'!A25</f>
        <v>OGRO</v>
      </c>
      <c r="B35" s="139" t="str">
        <f>'RAW IMPORT'!B25</f>
        <v>8155V</v>
      </c>
      <c r="C35" s="142">
        <f>IF('RAW IMPORT'!C25&lt;&gt;"",1,0)</f>
        <v>1</v>
      </c>
      <c r="D35" s="142">
        <f>IF('RAW IMPORT'!D25&lt;&gt;"",1,0)</f>
        <v>1</v>
      </c>
      <c r="E35" s="142">
        <f>IF('RAW IMPORT'!E25&lt;&gt;"",1,0)</f>
        <v>0</v>
      </c>
      <c r="F35" s="142">
        <f>IF('RAW IMPORT'!F25&lt;&gt;"",1,0)</f>
        <v>0</v>
      </c>
      <c r="G35" s="142">
        <f>IF('RAW IMPORT'!G25&lt;&gt;"",1,0)</f>
        <v>0</v>
      </c>
      <c r="H35" s="142">
        <f>IF('RAW IMPORT'!H25&lt;&gt;"",1,0)</f>
        <v>0</v>
      </c>
      <c r="I35" s="142">
        <f>IF('RAW IMPORT'!I25&lt;&gt;"",1,0)</f>
        <v>0</v>
      </c>
      <c r="J35" s="142">
        <f>IF('RAW IMPORT'!J25&lt;&gt;"",1,0)</f>
        <v>0</v>
      </c>
      <c r="K35" s="142">
        <f>IF('RAW IMPORT'!K25&lt;&gt;"",1,0)</f>
        <v>0</v>
      </c>
      <c r="L35" s="142">
        <f>IF('RAW IMPORT'!L25&lt;&gt;"",1,0)</f>
        <v>0</v>
      </c>
      <c r="M35" s="142">
        <f>IF('RAW IMPORT'!M25&lt;&gt;"",1,0)</f>
        <v>0</v>
      </c>
      <c r="N35" s="165">
        <f>IF('RAW IMPORT'!N25&lt;&gt;"",1,0)</f>
        <v>0</v>
      </c>
      <c r="O35" s="167">
        <f>IF('RAW IMPORT'!O25&lt;&gt;"",1,0)</f>
        <v>0</v>
      </c>
      <c r="P35" s="142">
        <f>IF('RAW IMPORT'!P25&lt;&gt;"",1,0)</f>
        <v>0</v>
      </c>
      <c r="Q35" s="142">
        <f>IF('RAW IMPORT'!Q25&lt;&gt;"",1,0)</f>
        <v>0</v>
      </c>
      <c r="R35" s="138">
        <f>'RAW IMPORT'!R25</f>
        <v>0</v>
      </c>
      <c r="S35" s="138">
        <f>'RAW IMPORT'!S25</f>
        <v>7</v>
      </c>
      <c r="T35" s="138">
        <f>'RAW IMPORT'!T25</f>
        <v>5</v>
      </c>
      <c r="U35" s="138">
        <f>'RAW IMPORT'!U25</f>
        <v>0</v>
      </c>
      <c r="V35" s="138">
        <f>'RAW IMPORT'!V25</f>
        <v>0</v>
      </c>
      <c r="W35" s="138">
        <f>'RAW IMPORT'!W25</f>
        <v>0</v>
      </c>
      <c r="X35" s="138">
        <f>'RAW IMPORT'!X25</f>
        <v>0</v>
      </c>
      <c r="Y35" s="138">
        <f>'RAW IMPORT'!Y25</f>
        <v>0</v>
      </c>
      <c r="Z35" s="138">
        <f>'RAW IMPORT'!Z25</f>
        <v>0</v>
      </c>
      <c r="AA35" s="138">
        <f>'RAW IMPORT'!AA25</f>
        <v>0</v>
      </c>
      <c r="AB35" s="139">
        <f>'RAW IMPORT'!AB25</f>
        <v>0</v>
      </c>
      <c r="AC35" s="141">
        <f>'RAW IMPORT'!AC25</f>
        <v>4</v>
      </c>
      <c r="AD35" s="142">
        <f>'RAW IMPORT'!AD25</f>
        <v>7</v>
      </c>
      <c r="AE35" s="142">
        <f>'RAW IMPORT'!AE25</f>
        <v>0</v>
      </c>
      <c r="AF35" s="142">
        <f>IF('RAW IMPORT'!AF25="C1",3,IF('RAW IMPORT'!AF25="D1",4,0))</f>
        <v>4</v>
      </c>
      <c r="AG35" s="142">
        <f>'RAW IMPORT'!AG25</f>
        <v>1</v>
      </c>
      <c r="AH35" s="142">
        <f>'RAW IMPORT'!AH25</f>
        <v>5</v>
      </c>
      <c r="AI35" s="142">
        <f>IF('RAW IMPORT'!AI25="U",1,0)</f>
        <v>0</v>
      </c>
      <c r="AJ35" s="142">
        <f>IF('RAW IMPORT'!AJ25="A",1,0)</f>
        <v>1</v>
      </c>
      <c r="AK35" s="142">
        <f>IF('RAW IMPORT'!AK25="B",1,0)</f>
        <v>1</v>
      </c>
      <c r="AL35" s="142">
        <f>IF('RAW IMPORT'!AL25="U",1,0)</f>
        <v>1</v>
      </c>
      <c r="AM35" s="142">
        <f>IF('RAW IMPORT'!AM25&lt;&gt;"",1,0)</f>
        <v>1</v>
      </c>
      <c r="AN35" s="142">
        <f>IF('RAW IMPORT'!AN25&lt;&gt;"",1,0)</f>
        <v>1</v>
      </c>
      <c r="AO35" s="142">
        <f>IF('RAW IMPORT'!AO25&lt;&gt;"",1,0)</f>
        <v>1</v>
      </c>
      <c r="AP35" s="142">
        <f>IF('RAW IMPORT'!AP25&lt;&gt;"",1,0)</f>
        <v>1</v>
      </c>
      <c r="AQ35" s="142">
        <f>IF('RAW IMPORT'!AQ25&lt;&gt;"",1,0)</f>
        <v>1</v>
      </c>
      <c r="AR35" s="142">
        <f>IF('RAW IMPORT'!AR25&lt;&gt;"",1,0)</f>
        <v>1</v>
      </c>
      <c r="AS35" s="142">
        <f>IF('RAW IMPORT'!AS25&lt;&gt;"",1,0)</f>
        <v>1</v>
      </c>
      <c r="AT35" s="142">
        <f>IF('RAW IMPORT'!AT25&lt;&gt;"",1,0)</f>
        <v>1</v>
      </c>
      <c r="AU35" s="142">
        <f>IF('RAW IMPORT'!AU25&lt;&gt;"",1,0)</f>
        <v>1</v>
      </c>
      <c r="AV35" s="142">
        <f>IF('RAW IMPORT'!AV25&lt;&gt;"",1,0)</f>
        <v>1</v>
      </c>
      <c r="AW35" s="142">
        <f>IF('RAW IMPORT'!AW25&lt;&gt;"",1,0)</f>
        <v>0</v>
      </c>
      <c r="AX35" s="142">
        <f>IF('RAW IMPORT'!AX25&lt;&gt;"",1,0)</f>
        <v>0</v>
      </c>
      <c r="AY35" s="142">
        <f>IF('RAW IMPORT'!AY25&lt;&gt;"",1,0)</f>
        <v>0</v>
      </c>
      <c r="AZ35" s="142">
        <f>IF('RAW IMPORT'!AZ25&lt;&gt;"",1,0)</f>
        <v>0</v>
      </c>
      <c r="BA35" s="142">
        <f>IF('RAW IMPORT'!BA25&lt;&gt;"",1,0)</f>
        <v>0</v>
      </c>
      <c r="BB35" s="142">
        <f>IF('RAW IMPORT'!BB25&lt;&gt;"",1,0)</f>
        <v>0</v>
      </c>
      <c r="BC35" s="142">
        <f>IF('RAW IMPORT'!BC25&lt;&gt;"",1,0)</f>
        <v>1</v>
      </c>
      <c r="BD35" s="142">
        <f>IF('RAW IMPORT'!BD25&lt;&gt;"",1,0)</f>
        <v>1</v>
      </c>
      <c r="BE35" s="142">
        <f>IF('RAW IMPORT'!BE25&lt;&gt;"",1,0)</f>
        <v>1</v>
      </c>
      <c r="BF35" s="142">
        <f>IF('RAW IMPORT'!BF25&lt;&gt;"",1,0)</f>
        <v>0</v>
      </c>
      <c r="BG35" s="142">
        <f>IF('RAW IMPORT'!BG25&lt;&gt;"",1,0)</f>
        <v>1</v>
      </c>
      <c r="BH35" s="142">
        <f>IF('RAW IMPORT'!BH25&lt;&gt;"",1,0)</f>
        <v>1</v>
      </c>
      <c r="BI35" s="142">
        <f>IF('RAW IMPORT'!BI25&lt;&gt;"",1,0)</f>
        <v>1</v>
      </c>
      <c r="BJ35" s="142">
        <f>IF('RAW IMPORT'!BJ25&lt;&gt;"",1,0)</f>
        <v>1</v>
      </c>
      <c r="BK35" s="142">
        <f>IF('RAW IMPORT'!BK25&lt;&gt;"",1,0)</f>
        <v>1</v>
      </c>
      <c r="BL35" s="142">
        <f>IF('RAW IMPORT'!BL25&lt;&gt;"",1,0)</f>
        <v>0</v>
      </c>
      <c r="BM35" s="142">
        <f>'RAW IMPORT'!BM25</f>
        <v>1</v>
      </c>
      <c r="BN35" s="165">
        <f>'RAW IMPORT'!BN25</f>
        <v>0</v>
      </c>
      <c r="BO35" s="197">
        <f>'RAW IMPORT'!BO25</f>
        <v>0</v>
      </c>
      <c r="BP35" s="142" t="str">
        <f>'RAW IMPORT'!BP25</f>
        <v>PDF</v>
      </c>
      <c r="BQ35" s="141">
        <f>'RAW IMPORT'!BQ25</f>
        <v>0</v>
      </c>
      <c r="BR35" s="141">
        <f>'RAW IMPORT'!BR25</f>
        <v>2.1999999999999999E-2</v>
      </c>
      <c r="BS35" s="141">
        <f>'RAW IMPORT'!BS25</f>
        <v>0.14000000000000001</v>
      </c>
      <c r="BT35" s="141">
        <f>'RAW IMPORT'!BT25</f>
        <v>6.0999999999999999E-2</v>
      </c>
      <c r="BU35" s="141">
        <f>'RAW IMPORT'!BU25</f>
        <v>1.0999999999999999E-2</v>
      </c>
      <c r="BV35" s="198">
        <f>'RAW IMPORT'!BV25</f>
        <v>0</v>
      </c>
      <c r="BW35" s="141">
        <f>'RAW IMPORT'!BW25</f>
        <v>0</v>
      </c>
      <c r="BX35" s="165">
        <f>'RAW IMPORT'!BX25</f>
        <v>70</v>
      </c>
      <c r="BY35" s="240"/>
      <c r="BZ35" s="126"/>
      <c r="CA35" s="143">
        <f t="shared" si="2"/>
        <v>21</v>
      </c>
      <c r="CB35" s="170">
        <f t="shared" ca="1" si="3"/>
        <v>21</v>
      </c>
      <c r="CC35" s="170" t="str">
        <f t="shared" ca="1" si="4"/>
        <v/>
      </c>
      <c r="CD35" s="204" t="str">
        <f t="shared" si="5"/>
        <v>"Model-8155V":
    RETURN</v>
      </c>
      <c r="CE35" s="170"/>
    </row>
    <row r="36" spans="1:83" ht="15" customHeight="1" x14ac:dyDescent="0.25">
      <c r="A36" s="138" t="str">
        <f>'RAW IMPORT'!A26</f>
        <v>OGRO</v>
      </c>
      <c r="B36" s="139">
        <f>'RAW IMPORT'!B26</f>
        <v>8156</v>
      </c>
      <c r="C36" s="142">
        <f>IF('RAW IMPORT'!C26&lt;&gt;"",1,0)</f>
        <v>1</v>
      </c>
      <c r="D36" s="142">
        <f>IF('RAW IMPORT'!D26&lt;&gt;"",1,0)</f>
        <v>1</v>
      </c>
      <c r="E36" s="142">
        <f>IF('RAW IMPORT'!E26&lt;&gt;"",1,0)</f>
        <v>0</v>
      </c>
      <c r="F36" s="142">
        <f>IF('RAW IMPORT'!F26&lt;&gt;"",1,0)</f>
        <v>0</v>
      </c>
      <c r="G36" s="142">
        <f>IF('RAW IMPORT'!G26&lt;&gt;"",1,0)</f>
        <v>0</v>
      </c>
      <c r="H36" s="142">
        <f>IF('RAW IMPORT'!H26&lt;&gt;"",1,0)</f>
        <v>0</v>
      </c>
      <c r="I36" s="142">
        <f>IF('RAW IMPORT'!I26&lt;&gt;"",1,0)</f>
        <v>0</v>
      </c>
      <c r="J36" s="142">
        <f>IF('RAW IMPORT'!J26&lt;&gt;"",1,0)</f>
        <v>0</v>
      </c>
      <c r="K36" s="142">
        <f>IF('RAW IMPORT'!K26&lt;&gt;"",1,0)</f>
        <v>0</v>
      </c>
      <c r="L36" s="142">
        <f>IF('RAW IMPORT'!L26&lt;&gt;"",1,0)</f>
        <v>0</v>
      </c>
      <c r="M36" s="142">
        <f>IF('RAW IMPORT'!M26&lt;&gt;"",1,0)</f>
        <v>0</v>
      </c>
      <c r="N36" s="165">
        <f>IF('RAW IMPORT'!N26&lt;&gt;"",1,0)</f>
        <v>0</v>
      </c>
      <c r="O36" s="167">
        <f>IF('RAW IMPORT'!O26&lt;&gt;"",1,0)</f>
        <v>0</v>
      </c>
      <c r="P36" s="142">
        <f>IF('RAW IMPORT'!P26&lt;&gt;"",1,0)</f>
        <v>0</v>
      </c>
      <c r="Q36" s="142">
        <f>IF('RAW IMPORT'!Q26&lt;&gt;"",1,0)</f>
        <v>0</v>
      </c>
      <c r="R36" s="138">
        <f>'RAW IMPORT'!R26</f>
        <v>0</v>
      </c>
      <c r="S36" s="138">
        <f>'RAW IMPORT'!S26</f>
        <v>7</v>
      </c>
      <c r="T36" s="138">
        <f>'RAW IMPORT'!T26</f>
        <v>5</v>
      </c>
      <c r="U36" s="138">
        <f>'RAW IMPORT'!U26</f>
        <v>0</v>
      </c>
      <c r="V36" s="138">
        <f>'RAW IMPORT'!V26</f>
        <v>0</v>
      </c>
      <c r="W36" s="138">
        <f>'RAW IMPORT'!W26</f>
        <v>0</v>
      </c>
      <c r="X36" s="138">
        <f>'RAW IMPORT'!X26</f>
        <v>0</v>
      </c>
      <c r="Y36" s="138">
        <f>'RAW IMPORT'!Y26</f>
        <v>0</v>
      </c>
      <c r="Z36" s="138">
        <f>'RAW IMPORT'!Z26</f>
        <v>0</v>
      </c>
      <c r="AA36" s="138">
        <f>'RAW IMPORT'!AA26</f>
        <v>0</v>
      </c>
      <c r="AB36" s="139">
        <f>'RAW IMPORT'!AB26</f>
        <v>0</v>
      </c>
      <c r="AC36" s="141">
        <f>'RAW IMPORT'!AC26</f>
        <v>4</v>
      </c>
      <c r="AD36" s="142">
        <f>'RAW IMPORT'!AD26</f>
        <v>7</v>
      </c>
      <c r="AE36" s="142">
        <f>'RAW IMPORT'!AE26</f>
        <v>0</v>
      </c>
      <c r="AF36" s="142">
        <f>IF('RAW IMPORT'!AF26="C1",3,IF('RAW IMPORT'!AF26="D1",4,0))</f>
        <v>4</v>
      </c>
      <c r="AG36" s="142">
        <f>'RAW IMPORT'!AG26</f>
        <v>1</v>
      </c>
      <c r="AH36" s="142">
        <f>'RAW IMPORT'!AH26</f>
        <v>5</v>
      </c>
      <c r="AI36" s="142">
        <f>IF('RAW IMPORT'!AI26="U",1,0)</f>
        <v>0</v>
      </c>
      <c r="AJ36" s="142">
        <f>IF('RAW IMPORT'!AJ26="A",1,0)</f>
        <v>1</v>
      </c>
      <c r="AK36" s="142">
        <f>IF('RAW IMPORT'!AK26="B",1,0)</f>
        <v>1</v>
      </c>
      <c r="AL36" s="142">
        <f>IF('RAW IMPORT'!AL26="U",1,0)</f>
        <v>1</v>
      </c>
      <c r="AM36" s="142">
        <f>IF('RAW IMPORT'!AM26&lt;&gt;"",1,0)</f>
        <v>1</v>
      </c>
      <c r="AN36" s="142">
        <f>IF('RAW IMPORT'!AN26&lt;&gt;"",1,0)</f>
        <v>1</v>
      </c>
      <c r="AO36" s="142">
        <f>IF('RAW IMPORT'!AO26&lt;&gt;"",1,0)</f>
        <v>1</v>
      </c>
      <c r="AP36" s="142">
        <f>IF('RAW IMPORT'!AP26&lt;&gt;"",1,0)</f>
        <v>1</v>
      </c>
      <c r="AQ36" s="142">
        <f>IF('RAW IMPORT'!AQ26&lt;&gt;"",1,0)</f>
        <v>1</v>
      </c>
      <c r="AR36" s="142">
        <f>IF('RAW IMPORT'!AR26&lt;&gt;"",1,0)</f>
        <v>1</v>
      </c>
      <c r="AS36" s="142">
        <f>IF('RAW IMPORT'!AS26&lt;&gt;"",1,0)</f>
        <v>1</v>
      </c>
      <c r="AT36" s="142">
        <f>IF('RAW IMPORT'!AT26&lt;&gt;"",1,0)</f>
        <v>1</v>
      </c>
      <c r="AU36" s="142">
        <f>IF('RAW IMPORT'!AU26&lt;&gt;"",1,0)</f>
        <v>1</v>
      </c>
      <c r="AV36" s="142">
        <f>IF('RAW IMPORT'!AV26&lt;&gt;"",1,0)</f>
        <v>1</v>
      </c>
      <c r="AW36" s="142">
        <f>IF('RAW IMPORT'!AW26&lt;&gt;"",1,0)</f>
        <v>1</v>
      </c>
      <c r="AX36" s="142">
        <f>IF('RAW IMPORT'!AX26&lt;&gt;"",1,0)</f>
        <v>1</v>
      </c>
      <c r="AY36" s="142">
        <f>IF('RAW IMPORT'!AY26&lt;&gt;"",1,0)</f>
        <v>1</v>
      </c>
      <c r="AZ36" s="142">
        <f>IF('RAW IMPORT'!AZ26&lt;&gt;"",1,0)</f>
        <v>1</v>
      </c>
      <c r="BA36" s="142">
        <f>IF('RAW IMPORT'!BA26&lt;&gt;"",1,0)</f>
        <v>1</v>
      </c>
      <c r="BB36" s="142">
        <f>IF('RAW IMPORT'!BB26&lt;&gt;"",1,0)</f>
        <v>1</v>
      </c>
      <c r="BC36" s="142">
        <f>IF('RAW IMPORT'!BC26&lt;&gt;"",1,0)</f>
        <v>0</v>
      </c>
      <c r="BD36" s="142">
        <f>IF('RAW IMPORT'!BD26&lt;&gt;"",1,0)</f>
        <v>1</v>
      </c>
      <c r="BE36" s="142">
        <f>IF('RAW IMPORT'!BE26&lt;&gt;"",1,0)</f>
        <v>1</v>
      </c>
      <c r="BF36" s="142">
        <f>IF('RAW IMPORT'!BF26&lt;&gt;"",1,0)</f>
        <v>0</v>
      </c>
      <c r="BG36" s="142">
        <f>IF('RAW IMPORT'!BG26&lt;&gt;"",1,0)</f>
        <v>1</v>
      </c>
      <c r="BH36" s="142">
        <f>IF('RAW IMPORT'!BH26&lt;&gt;"",1,0)</f>
        <v>1</v>
      </c>
      <c r="BI36" s="142">
        <f>IF('RAW IMPORT'!BI26&lt;&gt;"",1,0)</f>
        <v>1</v>
      </c>
      <c r="BJ36" s="142">
        <f>IF('RAW IMPORT'!BJ26&lt;&gt;"",1,0)</f>
        <v>1</v>
      </c>
      <c r="BK36" s="142">
        <f>IF('RAW IMPORT'!BK26&lt;&gt;"",1,0)</f>
        <v>1</v>
      </c>
      <c r="BL36" s="142">
        <f>IF('RAW IMPORT'!BL26&lt;&gt;"",1,0)</f>
        <v>1</v>
      </c>
      <c r="BM36" s="142">
        <f>'RAW IMPORT'!BM26</f>
        <v>1</v>
      </c>
      <c r="BN36" s="165">
        <f>'RAW IMPORT'!BN26</f>
        <v>0</v>
      </c>
      <c r="BO36" s="197">
        <f>'RAW IMPORT'!BO26</f>
        <v>0</v>
      </c>
      <c r="BP36" s="142" t="str">
        <f>'RAW IMPORT'!BP26</f>
        <v>PDF</v>
      </c>
      <c r="BQ36" s="141">
        <f>'RAW IMPORT'!BQ26</f>
        <v>0</v>
      </c>
      <c r="BR36" s="141">
        <f>'RAW IMPORT'!BR26</f>
        <v>0.02</v>
      </c>
      <c r="BS36" s="141">
        <f>'RAW IMPORT'!BS26</f>
        <v>0.14449999999999999</v>
      </c>
      <c r="BT36" s="141">
        <f>'RAW IMPORT'!BT26</f>
        <v>6.5000000000000002E-2</v>
      </c>
      <c r="BU36" s="141">
        <f>'RAW IMPORT'!BU26</f>
        <v>0.01</v>
      </c>
      <c r="BV36" s="198">
        <f>'RAW IMPORT'!BV26</f>
        <v>0</v>
      </c>
      <c r="BW36" s="141">
        <f>'RAW IMPORT'!BW26</f>
        <v>14</v>
      </c>
      <c r="BX36" s="165">
        <f>'RAW IMPORT'!BX26</f>
        <v>0</v>
      </c>
      <c r="BY36" s="240"/>
      <c r="BZ36" s="126"/>
      <c r="CA36" s="143">
        <f t="shared" si="2"/>
        <v>22</v>
      </c>
      <c r="CB36" s="170">
        <f t="shared" ca="1" si="3"/>
        <v>22</v>
      </c>
      <c r="CC36" s="170" t="str">
        <f t="shared" ca="1" si="4"/>
        <v/>
      </c>
      <c r="CD36" s="204" t="str">
        <f t="shared" si="5"/>
        <v>"Model-8156":
    RETURN</v>
      </c>
      <c r="CE36" s="170"/>
    </row>
    <row r="37" spans="1:83" ht="15" customHeight="1" x14ac:dyDescent="0.25">
      <c r="A37" s="138" t="str">
        <f>'RAW IMPORT'!A27</f>
        <v>OGRO by ARCHITECTS</v>
      </c>
      <c r="B37" s="139" t="str">
        <f>'RAW IMPORT'!B27</f>
        <v>8200 Bitch/Neither/Teherani</v>
      </c>
      <c r="C37" s="142">
        <f>IF('RAW IMPORT'!C27&lt;&gt;"",1,0)</f>
        <v>1</v>
      </c>
      <c r="D37" s="142">
        <f>IF('RAW IMPORT'!D27&lt;&gt;"",1,0)</f>
        <v>1</v>
      </c>
      <c r="E37" s="142">
        <f>IF('RAW IMPORT'!E27&lt;&gt;"",1,0)</f>
        <v>0</v>
      </c>
      <c r="F37" s="142">
        <f>IF('RAW IMPORT'!F27&lt;&gt;"",1,0)</f>
        <v>0</v>
      </c>
      <c r="G37" s="142">
        <f>IF('RAW IMPORT'!G27&lt;&gt;"",1,0)</f>
        <v>0</v>
      </c>
      <c r="H37" s="142">
        <f>IF('RAW IMPORT'!H27&lt;&gt;"",1,0)</f>
        <v>0</v>
      </c>
      <c r="I37" s="142">
        <f>IF('RAW IMPORT'!I27&lt;&gt;"",1,0)</f>
        <v>0</v>
      </c>
      <c r="J37" s="142">
        <f>IF('RAW IMPORT'!J27&lt;&gt;"",1,0)</f>
        <v>0</v>
      </c>
      <c r="K37" s="142">
        <f>IF('RAW IMPORT'!K27&lt;&gt;"",1,0)</f>
        <v>0</v>
      </c>
      <c r="L37" s="142">
        <f>IF('RAW IMPORT'!L27&lt;&gt;"",1,0)</f>
        <v>0</v>
      </c>
      <c r="M37" s="142">
        <f>IF('RAW IMPORT'!M27&lt;&gt;"",1,0)</f>
        <v>0</v>
      </c>
      <c r="N37" s="165">
        <f>IF('RAW IMPORT'!N27&lt;&gt;"",1,0)</f>
        <v>0</v>
      </c>
      <c r="O37" s="167">
        <f>IF('RAW IMPORT'!O27&lt;&gt;"",1,0)</f>
        <v>0</v>
      </c>
      <c r="P37" s="142">
        <f>IF('RAW IMPORT'!P27&lt;&gt;"",1,0)</f>
        <v>0</v>
      </c>
      <c r="Q37" s="142">
        <f>IF('RAW IMPORT'!Q27&lt;&gt;"",1,0)</f>
        <v>0</v>
      </c>
      <c r="R37" s="138">
        <f>'RAW IMPORT'!R27</f>
        <v>0</v>
      </c>
      <c r="S37" s="138">
        <f>'RAW IMPORT'!S27</f>
        <v>7</v>
      </c>
      <c r="T37" s="138">
        <f>'RAW IMPORT'!T27</f>
        <v>5</v>
      </c>
      <c r="U37" s="138">
        <f>'RAW IMPORT'!U27</f>
        <v>0</v>
      </c>
      <c r="V37" s="138">
        <f>'RAW IMPORT'!V27</f>
        <v>0</v>
      </c>
      <c r="W37" s="138">
        <f>'RAW IMPORT'!W27</f>
        <v>0</v>
      </c>
      <c r="X37" s="138">
        <f>'RAW IMPORT'!X27</f>
        <v>0</v>
      </c>
      <c r="Y37" s="138">
        <f>'RAW IMPORT'!Y27</f>
        <v>0</v>
      </c>
      <c r="Z37" s="138">
        <f>'RAW IMPORT'!Z27</f>
        <v>0</v>
      </c>
      <c r="AA37" s="138">
        <f>'RAW IMPORT'!AA27</f>
        <v>0</v>
      </c>
      <c r="AB37" s="139">
        <f>'RAW IMPORT'!AB27</f>
        <v>0</v>
      </c>
      <c r="AC37" s="141">
        <f>'RAW IMPORT'!AC27</f>
        <v>4</v>
      </c>
      <c r="AD37" s="142">
        <f>'RAW IMPORT'!AD27</f>
        <v>7</v>
      </c>
      <c r="AE37" s="142">
        <f>'RAW IMPORT'!AE27</f>
        <v>0</v>
      </c>
      <c r="AF37" s="142">
        <f>IF('RAW IMPORT'!AF27="C1",3,IF('RAW IMPORT'!AF27="D1",4,0))</f>
        <v>3</v>
      </c>
      <c r="AG37" s="142">
        <f>'RAW IMPORT'!AG27</f>
        <v>1</v>
      </c>
      <c r="AH37" s="142">
        <f>'RAW IMPORT'!AH27</f>
        <v>5</v>
      </c>
      <c r="AI37" s="142">
        <f>IF('RAW IMPORT'!AI27="U",1,0)</f>
        <v>0</v>
      </c>
      <c r="AJ37" s="142">
        <f>IF('RAW IMPORT'!AJ27="A",1,0)</f>
        <v>1</v>
      </c>
      <c r="AK37" s="142">
        <f>IF('RAW IMPORT'!AK27="B",1,0)</f>
        <v>1</v>
      </c>
      <c r="AL37" s="142">
        <f>IF('RAW IMPORT'!AL27="U",1,0)</f>
        <v>1</v>
      </c>
      <c r="AM37" s="142">
        <f>IF('RAW IMPORT'!AM27&lt;&gt;"",1,0)</f>
        <v>1</v>
      </c>
      <c r="AN37" s="142">
        <f>IF('RAW IMPORT'!AN27&lt;&gt;"",1,0)</f>
        <v>1</v>
      </c>
      <c r="AO37" s="142">
        <f>IF('RAW IMPORT'!AO27&lt;&gt;"",1,0)</f>
        <v>1</v>
      </c>
      <c r="AP37" s="142">
        <f>IF('RAW IMPORT'!AP27&lt;&gt;"",1,0)</f>
        <v>0</v>
      </c>
      <c r="AQ37" s="142">
        <f>IF('RAW IMPORT'!AQ27&lt;&gt;"",1,0)</f>
        <v>1</v>
      </c>
      <c r="AR37" s="142">
        <f>IF('RAW IMPORT'!AR27&lt;&gt;"",1,0)</f>
        <v>1</v>
      </c>
      <c r="AS37" s="142">
        <f>IF('RAW IMPORT'!AS27&lt;&gt;"",1,0)</f>
        <v>1</v>
      </c>
      <c r="AT37" s="142">
        <f>IF('RAW IMPORT'!AT27&lt;&gt;"",1,0)</f>
        <v>1</v>
      </c>
      <c r="AU37" s="142">
        <f>IF('RAW IMPORT'!AU27&lt;&gt;"",1,0)</f>
        <v>0</v>
      </c>
      <c r="AV37" s="142">
        <f>IF('RAW IMPORT'!AV27&lt;&gt;"",1,0)</f>
        <v>1</v>
      </c>
      <c r="AW37" s="142">
        <f>IF('RAW IMPORT'!AW27&lt;&gt;"",1,0)</f>
        <v>1</v>
      </c>
      <c r="AX37" s="142">
        <f>IF('RAW IMPORT'!AX27&lt;&gt;"",1,0)</f>
        <v>1</v>
      </c>
      <c r="AY37" s="142">
        <f>IF('RAW IMPORT'!AY27&lt;&gt;"",1,0)</f>
        <v>1</v>
      </c>
      <c r="AZ37" s="142">
        <f>IF('RAW IMPORT'!AZ27&lt;&gt;"",1,0)</f>
        <v>1</v>
      </c>
      <c r="BA37" s="142">
        <f>IF('RAW IMPORT'!BA27&lt;&gt;"",1,0)</f>
        <v>1</v>
      </c>
      <c r="BB37" s="142">
        <f>IF('RAW IMPORT'!BB27&lt;&gt;"",1,0)</f>
        <v>1</v>
      </c>
      <c r="BC37" s="142">
        <f>IF('RAW IMPORT'!BC27&lt;&gt;"",1,0)</f>
        <v>0</v>
      </c>
      <c r="BD37" s="142">
        <f>IF('RAW IMPORT'!BD27&lt;&gt;"",1,0)</f>
        <v>1</v>
      </c>
      <c r="BE37" s="142">
        <f>IF('RAW IMPORT'!BE27&lt;&gt;"",1,0)</f>
        <v>1</v>
      </c>
      <c r="BF37" s="142">
        <f>IF('RAW IMPORT'!BF27&lt;&gt;"",1,0)</f>
        <v>0</v>
      </c>
      <c r="BG37" s="142">
        <f>IF('RAW IMPORT'!BG27&lt;&gt;"",1,0)</f>
        <v>1</v>
      </c>
      <c r="BH37" s="142">
        <f>IF('RAW IMPORT'!BH27&lt;&gt;"",1,0)</f>
        <v>1</v>
      </c>
      <c r="BI37" s="142">
        <f>IF('RAW IMPORT'!BI27&lt;&gt;"",1,0)</f>
        <v>1</v>
      </c>
      <c r="BJ37" s="142">
        <f>IF('RAW IMPORT'!BJ27&lt;&gt;"",1,0)</f>
        <v>1</v>
      </c>
      <c r="BK37" s="142">
        <f>IF('RAW IMPORT'!BK27&lt;&gt;"",1,0)</f>
        <v>1</v>
      </c>
      <c r="BL37" s="142">
        <f>IF('RAW IMPORT'!BL27&lt;&gt;"",1,0)</f>
        <v>1</v>
      </c>
      <c r="BM37" s="142">
        <f>'RAW IMPORT'!BM27</f>
        <v>1</v>
      </c>
      <c r="BN37" s="165">
        <f>'RAW IMPORT'!BN27</f>
        <v>0</v>
      </c>
      <c r="BO37" s="197">
        <f>'RAW IMPORT'!BO27</f>
        <v>0</v>
      </c>
      <c r="BP37" s="142" t="str">
        <f>'RAW IMPORT'!BP27</f>
        <v>PDF</v>
      </c>
      <c r="BQ37" s="141">
        <f>'RAW IMPORT'!BQ27</f>
        <v>0</v>
      </c>
      <c r="BR37" s="141">
        <f>'RAW IMPORT'!BR27</f>
        <v>0.02</v>
      </c>
      <c r="BS37" s="141">
        <f>'RAW IMPORT'!BS27</f>
        <v>0.13200000000000001</v>
      </c>
      <c r="BT37" s="141">
        <f>'RAW IMPORT'!BT27</f>
        <v>6.3E-2</v>
      </c>
      <c r="BU37" s="141">
        <f>'RAW IMPORT'!BU27</f>
        <v>0.01</v>
      </c>
      <c r="BV37" s="198">
        <f>'RAW IMPORT'!BV27</f>
        <v>0</v>
      </c>
      <c r="BW37" s="141">
        <f>'RAW IMPORT'!BW27</f>
        <v>15</v>
      </c>
      <c r="BX37" s="165">
        <f>'RAW IMPORT'!BX27</f>
        <v>0</v>
      </c>
      <c r="BY37" s="240"/>
      <c r="BZ37" s="126"/>
      <c r="CA37" s="143">
        <f t="shared" si="2"/>
        <v>23</v>
      </c>
      <c r="CB37" s="170">
        <f t="shared" ca="1" si="3"/>
        <v>24</v>
      </c>
      <c r="CC37" s="170" t="str">
        <f t="shared" ca="1" si="4"/>
        <v/>
      </c>
      <c r="CD37" s="204" t="str">
        <f t="shared" si="5"/>
        <v>"Model-8200 Bitch/Neither/Teherani":
    RETURN</v>
      </c>
      <c r="CE37" s="170"/>
    </row>
    <row r="38" spans="1:83" ht="15" customHeight="1" x14ac:dyDescent="0.25">
      <c r="A38" s="138" t="str">
        <f>'RAW IMPORT'!A28</f>
        <v>OGRO</v>
      </c>
      <c r="B38" s="139">
        <f>'RAW IMPORT'!B28</f>
        <v>8350</v>
      </c>
      <c r="C38" s="142">
        <f>IF('RAW IMPORT'!C28&lt;&gt;"",1,0)</f>
        <v>1</v>
      </c>
      <c r="D38" s="142">
        <f>IF('RAW IMPORT'!D28&lt;&gt;"",1,0)</f>
        <v>1</v>
      </c>
      <c r="E38" s="142">
        <f>IF('RAW IMPORT'!E28&lt;&gt;"",1,0)</f>
        <v>0</v>
      </c>
      <c r="F38" s="142">
        <f>IF('RAW IMPORT'!F28&lt;&gt;"",1,0)</f>
        <v>0</v>
      </c>
      <c r="G38" s="142">
        <f>IF('RAW IMPORT'!G28&lt;&gt;"",1,0)</f>
        <v>0</v>
      </c>
      <c r="H38" s="142">
        <f>IF('RAW IMPORT'!H28&lt;&gt;"",1,0)</f>
        <v>0</v>
      </c>
      <c r="I38" s="142">
        <f>IF('RAW IMPORT'!I28&lt;&gt;"",1,0)</f>
        <v>0</v>
      </c>
      <c r="J38" s="142">
        <f>IF('RAW IMPORT'!J28&lt;&gt;"",1,0)</f>
        <v>0</v>
      </c>
      <c r="K38" s="142">
        <f>IF('RAW IMPORT'!K28&lt;&gt;"",1,0)</f>
        <v>0</v>
      </c>
      <c r="L38" s="142">
        <f>IF('RAW IMPORT'!L28&lt;&gt;"",1,0)</f>
        <v>0</v>
      </c>
      <c r="M38" s="142">
        <f>IF('RAW IMPORT'!M28&lt;&gt;"",1,0)</f>
        <v>0</v>
      </c>
      <c r="N38" s="165">
        <f>IF('RAW IMPORT'!N28&lt;&gt;"",1,0)</f>
        <v>0</v>
      </c>
      <c r="O38" s="167">
        <f>IF('RAW IMPORT'!O28&lt;&gt;"",1,0)</f>
        <v>1</v>
      </c>
      <c r="P38" s="142">
        <f>IF('RAW IMPORT'!P28&lt;&gt;"",1,0)</f>
        <v>0</v>
      </c>
      <c r="Q38" s="142">
        <f>IF('RAW IMPORT'!Q28&lt;&gt;"",1,0)</f>
        <v>0</v>
      </c>
      <c r="R38" s="138">
        <f>'RAW IMPORT'!R28</f>
        <v>0</v>
      </c>
      <c r="S38" s="138">
        <f>'RAW IMPORT'!S28</f>
        <v>7</v>
      </c>
      <c r="T38" s="138">
        <f>'RAW IMPORT'!T28</f>
        <v>5</v>
      </c>
      <c r="U38" s="138">
        <f>'RAW IMPORT'!U28</f>
        <v>0</v>
      </c>
      <c r="V38" s="138">
        <f>'RAW IMPORT'!V28</f>
        <v>0</v>
      </c>
      <c r="W38" s="138">
        <f>'RAW IMPORT'!W28</f>
        <v>0</v>
      </c>
      <c r="X38" s="138">
        <f>'RAW IMPORT'!X28</f>
        <v>0</v>
      </c>
      <c r="Y38" s="138">
        <f>'RAW IMPORT'!Y28</f>
        <v>0</v>
      </c>
      <c r="Z38" s="138">
        <f>'RAW IMPORT'!Z28</f>
        <v>0</v>
      </c>
      <c r="AA38" s="138">
        <f>'RAW IMPORT'!AA28</f>
        <v>0</v>
      </c>
      <c r="AB38" s="139">
        <f>'RAW IMPORT'!AB28</f>
        <v>0</v>
      </c>
      <c r="AC38" s="141">
        <f>'RAW IMPORT'!AC28</f>
        <v>4</v>
      </c>
      <c r="AD38" s="142">
        <f>'RAW IMPORT'!AD28</f>
        <v>7</v>
      </c>
      <c r="AE38" s="142">
        <f>'RAW IMPORT'!AE28</f>
        <v>0</v>
      </c>
      <c r="AF38" s="142">
        <f>IF('RAW IMPORT'!AF28="C1",3,IF('RAW IMPORT'!AF28="D1",4,0))</f>
        <v>4</v>
      </c>
      <c r="AG38" s="142">
        <f>'RAW IMPORT'!AG28</f>
        <v>1</v>
      </c>
      <c r="AH38" s="142">
        <f>'RAW IMPORT'!AH28</f>
        <v>5</v>
      </c>
      <c r="AI38" s="142">
        <f>IF('RAW IMPORT'!AI28="U",1,0)</f>
        <v>0</v>
      </c>
      <c r="AJ38" s="142">
        <f>IF('RAW IMPORT'!AJ28="A",1,0)</f>
        <v>1</v>
      </c>
      <c r="AK38" s="142">
        <f>IF('RAW IMPORT'!AK28="B",1,0)</f>
        <v>1</v>
      </c>
      <c r="AL38" s="142">
        <f>IF('RAW IMPORT'!AL28="U",1,0)</f>
        <v>1</v>
      </c>
      <c r="AM38" s="142">
        <f>IF('RAW IMPORT'!AM28&lt;&gt;"",1,0)</f>
        <v>1</v>
      </c>
      <c r="AN38" s="142">
        <f>IF('RAW IMPORT'!AN28&lt;&gt;"",1,0)</f>
        <v>1</v>
      </c>
      <c r="AO38" s="142">
        <f>IF('RAW IMPORT'!AO28&lt;&gt;"",1,0)</f>
        <v>1</v>
      </c>
      <c r="AP38" s="142">
        <f>IF('RAW IMPORT'!AP28&lt;&gt;"",1,0)</f>
        <v>1</v>
      </c>
      <c r="AQ38" s="142">
        <f>IF('RAW IMPORT'!AQ28&lt;&gt;"",1,0)</f>
        <v>1</v>
      </c>
      <c r="AR38" s="142">
        <f>IF('RAW IMPORT'!AR28&lt;&gt;"",1,0)</f>
        <v>1</v>
      </c>
      <c r="AS38" s="142">
        <f>IF('RAW IMPORT'!AS28&lt;&gt;"",1,0)</f>
        <v>1</v>
      </c>
      <c r="AT38" s="142">
        <f>IF('RAW IMPORT'!AT28&lt;&gt;"",1,0)</f>
        <v>1</v>
      </c>
      <c r="AU38" s="142">
        <f>IF('RAW IMPORT'!AU28&lt;&gt;"",1,0)</f>
        <v>1</v>
      </c>
      <c r="AV38" s="142">
        <f>IF('RAW IMPORT'!AV28&lt;&gt;"",1,0)</f>
        <v>1</v>
      </c>
      <c r="AW38" s="142">
        <f>IF('RAW IMPORT'!AW28&lt;&gt;"",1,0)</f>
        <v>1</v>
      </c>
      <c r="AX38" s="142">
        <f>IF('RAW IMPORT'!AX28&lt;&gt;"",1,0)</f>
        <v>1</v>
      </c>
      <c r="AY38" s="142">
        <f>IF('RAW IMPORT'!AY28&lt;&gt;"",1,0)</f>
        <v>1</v>
      </c>
      <c r="AZ38" s="142">
        <f>IF('RAW IMPORT'!AZ28&lt;&gt;"",1,0)</f>
        <v>1</v>
      </c>
      <c r="BA38" s="142">
        <f>IF('RAW IMPORT'!BA28&lt;&gt;"",1,0)</f>
        <v>1</v>
      </c>
      <c r="BB38" s="142">
        <f>IF('RAW IMPORT'!BB28&lt;&gt;"",1,0)</f>
        <v>1</v>
      </c>
      <c r="BC38" s="142">
        <f>IF('RAW IMPORT'!BC28&lt;&gt;"",1,0)</f>
        <v>0</v>
      </c>
      <c r="BD38" s="142">
        <f>IF('RAW IMPORT'!BD28&lt;&gt;"",1,0)</f>
        <v>1</v>
      </c>
      <c r="BE38" s="142">
        <f>IF('RAW IMPORT'!BE28&lt;&gt;"",1,0)</f>
        <v>1</v>
      </c>
      <c r="BF38" s="142">
        <f>IF('RAW IMPORT'!BF28&lt;&gt;"",1,0)</f>
        <v>0</v>
      </c>
      <c r="BG38" s="142">
        <f>IF('RAW IMPORT'!BG28&lt;&gt;"",1,0)</f>
        <v>1</v>
      </c>
      <c r="BH38" s="142">
        <f>IF('RAW IMPORT'!BH28&lt;&gt;"",1,0)</f>
        <v>1</v>
      </c>
      <c r="BI38" s="142">
        <f>IF('RAW IMPORT'!BI28&lt;&gt;"",1,0)</f>
        <v>1</v>
      </c>
      <c r="BJ38" s="142">
        <f>IF('RAW IMPORT'!BJ28&lt;&gt;"",1,0)</f>
        <v>1</v>
      </c>
      <c r="BK38" s="142">
        <f>IF('RAW IMPORT'!BK28&lt;&gt;"",1,0)</f>
        <v>1</v>
      </c>
      <c r="BL38" s="142">
        <f>IF('RAW IMPORT'!BL28&lt;&gt;"",1,0)</f>
        <v>1</v>
      </c>
      <c r="BM38" s="142">
        <f>'RAW IMPORT'!BM28</f>
        <v>1</v>
      </c>
      <c r="BN38" s="165">
        <f>'RAW IMPORT'!BN28</f>
        <v>0</v>
      </c>
      <c r="BO38" s="197" t="str">
        <f>'RAW IMPORT'!BO28</f>
        <v>x</v>
      </c>
      <c r="BP38" s="142" t="str">
        <f>'RAW IMPORT'!BP28</f>
        <v>PDF</v>
      </c>
      <c r="BQ38" s="141" t="str">
        <f>'RAW IMPORT'!BQ28</f>
        <v>GDL</v>
      </c>
      <c r="BR38" s="141">
        <f>'RAW IMPORT'!BR28</f>
        <v>2.1999999999999999E-2</v>
      </c>
      <c r="BS38" s="141">
        <f>'RAW IMPORT'!BS28</f>
        <v>0.15</v>
      </c>
      <c r="BT38" s="141">
        <f>'RAW IMPORT'!BT28</f>
        <v>6.5000000000000002E-2</v>
      </c>
      <c r="BU38" s="141">
        <f>'RAW IMPORT'!BU28</f>
        <v>1.0999999999999999E-2</v>
      </c>
      <c r="BV38" s="198">
        <f>'RAW IMPORT'!BV28</f>
        <v>0</v>
      </c>
      <c r="BW38" s="141">
        <f>'RAW IMPORT'!BW28</f>
        <v>16</v>
      </c>
      <c r="BX38" s="165">
        <f>'RAW IMPORT'!BX28</f>
        <v>0</v>
      </c>
      <c r="BY38" s="240"/>
      <c r="BZ38" s="126"/>
      <c r="CA38" s="143">
        <f t="shared" si="2"/>
        <v>24</v>
      </c>
      <c r="CB38" s="170">
        <f t="shared" ca="1" si="3"/>
        <v>25</v>
      </c>
      <c r="CC38" s="170" t="str">
        <f t="shared" ca="1" si="4"/>
        <v/>
      </c>
      <c r="CD38" s="204" t="str">
        <f t="shared" si="5"/>
        <v>"Model-8350":
    RETURN</v>
      </c>
      <c r="CE38" s="170">
        <v>3</v>
      </c>
    </row>
    <row r="39" spans="1:83" ht="15" customHeight="1" x14ac:dyDescent="0.25">
      <c r="A39" s="138" t="str">
        <f>'RAW IMPORT'!A29</f>
        <v>OGRO</v>
      </c>
      <c r="B39" s="139" t="str">
        <f>'RAW IMPORT'!B29</f>
        <v>8350A</v>
      </c>
      <c r="C39" s="142">
        <f>IF('RAW IMPORT'!C29&lt;&gt;"",1,0)</f>
        <v>1</v>
      </c>
      <c r="D39" s="142">
        <f>IF('RAW IMPORT'!D29&lt;&gt;"",1,0)</f>
        <v>1</v>
      </c>
      <c r="E39" s="142">
        <f>IF('RAW IMPORT'!E29&lt;&gt;"",1,0)</f>
        <v>0</v>
      </c>
      <c r="F39" s="142">
        <f>IF('RAW IMPORT'!F29&lt;&gt;"",1,0)</f>
        <v>0</v>
      </c>
      <c r="G39" s="142">
        <f>IF('RAW IMPORT'!G29&lt;&gt;"",1,0)</f>
        <v>0</v>
      </c>
      <c r="H39" s="142">
        <f>IF('RAW IMPORT'!H29&lt;&gt;"",1,0)</f>
        <v>0</v>
      </c>
      <c r="I39" s="142">
        <f>IF('RAW IMPORT'!I29&lt;&gt;"",1,0)</f>
        <v>0</v>
      </c>
      <c r="J39" s="142">
        <f>IF('RAW IMPORT'!J29&lt;&gt;"",1,0)</f>
        <v>0</v>
      </c>
      <c r="K39" s="142">
        <f>IF('RAW IMPORT'!K29&lt;&gt;"",1,0)</f>
        <v>0</v>
      </c>
      <c r="L39" s="142">
        <f>IF('RAW IMPORT'!L29&lt;&gt;"",1,0)</f>
        <v>0</v>
      </c>
      <c r="M39" s="142">
        <f>IF('RAW IMPORT'!M29&lt;&gt;"",1,0)</f>
        <v>0</v>
      </c>
      <c r="N39" s="165">
        <f>IF('RAW IMPORT'!N29&lt;&gt;"",1,0)</f>
        <v>0</v>
      </c>
      <c r="O39" s="167">
        <f>IF('RAW IMPORT'!O29&lt;&gt;"",1,0)</f>
        <v>1</v>
      </c>
      <c r="P39" s="142">
        <f>IF('RAW IMPORT'!P29&lt;&gt;"",1,0)</f>
        <v>0</v>
      </c>
      <c r="Q39" s="142">
        <f>IF('RAW IMPORT'!Q29&lt;&gt;"",1,0)</f>
        <v>0</v>
      </c>
      <c r="R39" s="138">
        <f>'RAW IMPORT'!R29</f>
        <v>0</v>
      </c>
      <c r="S39" s="138">
        <f>'RAW IMPORT'!S29</f>
        <v>7</v>
      </c>
      <c r="T39" s="138">
        <f>'RAW IMPORT'!T29</f>
        <v>5</v>
      </c>
      <c r="U39" s="138">
        <f>'RAW IMPORT'!U29</f>
        <v>0</v>
      </c>
      <c r="V39" s="138">
        <f>'RAW IMPORT'!V29</f>
        <v>0</v>
      </c>
      <c r="W39" s="138">
        <f>'RAW IMPORT'!W29</f>
        <v>0</v>
      </c>
      <c r="X39" s="138">
        <f>'RAW IMPORT'!X29</f>
        <v>0</v>
      </c>
      <c r="Y39" s="138">
        <f>'RAW IMPORT'!Y29</f>
        <v>0</v>
      </c>
      <c r="Z39" s="138">
        <f>'RAW IMPORT'!Z29</f>
        <v>0</v>
      </c>
      <c r="AA39" s="138">
        <f>'RAW IMPORT'!AA29</f>
        <v>0</v>
      </c>
      <c r="AB39" s="139">
        <f>'RAW IMPORT'!AB29</f>
        <v>0</v>
      </c>
      <c r="AC39" s="141">
        <f>'RAW IMPORT'!AC29</f>
        <v>4</v>
      </c>
      <c r="AD39" s="142">
        <f>'RAW IMPORT'!AD29</f>
        <v>7</v>
      </c>
      <c r="AE39" s="142">
        <f>'RAW IMPORT'!AE29</f>
        <v>0</v>
      </c>
      <c r="AF39" s="142">
        <f>IF('RAW IMPORT'!AF29="C1",3,IF('RAW IMPORT'!AF29="D1",4,0))</f>
        <v>4</v>
      </c>
      <c r="AG39" s="142">
        <f>'RAW IMPORT'!AG29</f>
        <v>1</v>
      </c>
      <c r="AH39" s="142">
        <f>'RAW IMPORT'!AH29</f>
        <v>5</v>
      </c>
      <c r="AI39" s="142">
        <f>IF('RAW IMPORT'!AI29="U",1,0)</f>
        <v>0</v>
      </c>
      <c r="AJ39" s="142">
        <f>IF('RAW IMPORT'!AJ29="A",1,0)</f>
        <v>1</v>
      </c>
      <c r="AK39" s="142">
        <f>IF('RAW IMPORT'!AK29="B",1,0)</f>
        <v>1</v>
      </c>
      <c r="AL39" s="142">
        <f>IF('RAW IMPORT'!AL29="U",1,0)</f>
        <v>1</v>
      </c>
      <c r="AM39" s="142">
        <f>IF('RAW IMPORT'!AM29&lt;&gt;"",1,0)</f>
        <v>1</v>
      </c>
      <c r="AN39" s="142">
        <f>IF('RAW IMPORT'!AN29&lt;&gt;"",1,0)</f>
        <v>1</v>
      </c>
      <c r="AO39" s="142">
        <f>IF('RAW IMPORT'!AO29&lt;&gt;"",1,0)</f>
        <v>1</v>
      </c>
      <c r="AP39" s="142">
        <f>IF('RAW IMPORT'!AP29&lt;&gt;"",1,0)</f>
        <v>1</v>
      </c>
      <c r="AQ39" s="142">
        <f>IF('RAW IMPORT'!AQ29&lt;&gt;"",1,0)</f>
        <v>1</v>
      </c>
      <c r="AR39" s="142">
        <f>IF('RAW IMPORT'!AR29&lt;&gt;"",1,0)</f>
        <v>1</v>
      </c>
      <c r="AS39" s="142">
        <f>IF('RAW IMPORT'!AS29&lt;&gt;"",1,0)</f>
        <v>1</v>
      </c>
      <c r="AT39" s="142">
        <f>IF('RAW IMPORT'!AT29&lt;&gt;"",1,0)</f>
        <v>1</v>
      </c>
      <c r="AU39" s="142">
        <f>IF('RAW IMPORT'!AU29&lt;&gt;"",1,0)</f>
        <v>1</v>
      </c>
      <c r="AV39" s="142">
        <f>IF('RAW IMPORT'!AV29&lt;&gt;"",1,0)</f>
        <v>1</v>
      </c>
      <c r="AW39" s="142">
        <f>IF('RAW IMPORT'!AW29&lt;&gt;"",1,0)</f>
        <v>0</v>
      </c>
      <c r="AX39" s="142">
        <f>IF('RAW IMPORT'!AX29&lt;&gt;"",1,0)</f>
        <v>0</v>
      </c>
      <c r="AY39" s="142">
        <f>IF('RAW IMPORT'!AY29&lt;&gt;"",1,0)</f>
        <v>0</v>
      </c>
      <c r="AZ39" s="142">
        <f>IF('RAW IMPORT'!AZ29&lt;&gt;"",1,0)</f>
        <v>0</v>
      </c>
      <c r="BA39" s="142">
        <f>IF('RAW IMPORT'!BA29&lt;&gt;"",1,0)</f>
        <v>0</v>
      </c>
      <c r="BB39" s="142">
        <f>IF('RAW IMPORT'!BB29&lt;&gt;"",1,0)</f>
        <v>0</v>
      </c>
      <c r="BC39" s="142">
        <f>IF('RAW IMPORT'!BC29&lt;&gt;"",1,0)</f>
        <v>1</v>
      </c>
      <c r="BD39" s="142">
        <f>IF('RAW IMPORT'!BD29&lt;&gt;"",1,0)</f>
        <v>1</v>
      </c>
      <c r="BE39" s="142">
        <f>IF('RAW IMPORT'!BE29&lt;&gt;"",1,0)</f>
        <v>1</v>
      </c>
      <c r="BF39" s="142">
        <f>IF('RAW IMPORT'!BF29&lt;&gt;"",1,0)</f>
        <v>0</v>
      </c>
      <c r="BG39" s="142">
        <f>IF('RAW IMPORT'!BG29&lt;&gt;"",1,0)</f>
        <v>1</v>
      </c>
      <c r="BH39" s="142">
        <f>IF('RAW IMPORT'!BH29&lt;&gt;"",1,0)</f>
        <v>1</v>
      </c>
      <c r="BI39" s="142">
        <f>IF('RAW IMPORT'!BI29&lt;&gt;"",1,0)</f>
        <v>1</v>
      </c>
      <c r="BJ39" s="142">
        <f>IF('RAW IMPORT'!BJ29&lt;&gt;"",1,0)</f>
        <v>1</v>
      </c>
      <c r="BK39" s="142">
        <f>IF('RAW IMPORT'!BK29&lt;&gt;"",1,0)</f>
        <v>1</v>
      </c>
      <c r="BL39" s="142">
        <f>IF('RAW IMPORT'!BL29&lt;&gt;"",1,0)</f>
        <v>0</v>
      </c>
      <c r="BM39" s="142">
        <f>'RAW IMPORT'!BM29</f>
        <v>1</v>
      </c>
      <c r="BN39" s="165">
        <f>'RAW IMPORT'!BN29</f>
        <v>0</v>
      </c>
      <c r="BO39" s="197">
        <f>'RAW IMPORT'!BO29</f>
        <v>0</v>
      </c>
      <c r="BP39" s="142" t="str">
        <f>'RAW IMPORT'!BP29</f>
        <v>PDF</v>
      </c>
      <c r="BQ39" s="141">
        <f>'RAW IMPORT'!BQ29</f>
        <v>0</v>
      </c>
      <c r="BR39" s="141">
        <f>'RAW IMPORT'!BR29</f>
        <v>2.1999999999999999E-2</v>
      </c>
      <c r="BS39" s="141">
        <f>'RAW IMPORT'!BS29</f>
        <v>0.17</v>
      </c>
      <c r="BT39" s="141">
        <f>'RAW IMPORT'!BT29</f>
        <v>8.5000000000000006E-2</v>
      </c>
      <c r="BU39" s="141">
        <f>'RAW IMPORT'!BU29</f>
        <v>1.0999999999999999E-2</v>
      </c>
      <c r="BV39" s="198">
        <f>'RAW IMPORT'!BV29</f>
        <v>0</v>
      </c>
      <c r="BW39" s="141">
        <f>'RAW IMPORT'!BW29</f>
        <v>0</v>
      </c>
      <c r="BX39" s="165">
        <f>'RAW IMPORT'!BX29</f>
        <v>71</v>
      </c>
      <c r="BY39" s="240"/>
      <c r="BZ39" s="126"/>
      <c r="CA39" s="143">
        <f t="shared" si="2"/>
        <v>25</v>
      </c>
      <c r="CB39" s="170">
        <f t="shared" ca="1" si="3"/>
        <v>26</v>
      </c>
      <c r="CC39" s="170" t="str">
        <f t="shared" ca="1" si="4"/>
        <v/>
      </c>
      <c r="CD39" s="204" t="str">
        <f t="shared" si="5"/>
        <v>"Model-8350A":
    RETURN</v>
      </c>
      <c r="CE39" s="170"/>
    </row>
    <row r="40" spans="1:83" ht="15" customHeight="1" x14ac:dyDescent="0.25">
      <c r="A40" s="138" t="str">
        <f>'RAW IMPORT'!A30</f>
        <v>OGRO</v>
      </c>
      <c r="B40" s="139" t="str">
        <f>'RAW IMPORT'!B30</f>
        <v>8350V</v>
      </c>
      <c r="C40" s="142">
        <f>IF('RAW IMPORT'!C30&lt;&gt;"",1,0)</f>
        <v>1</v>
      </c>
      <c r="D40" s="142">
        <f>IF('RAW IMPORT'!D30&lt;&gt;"",1,0)</f>
        <v>1</v>
      </c>
      <c r="E40" s="142">
        <f>IF('RAW IMPORT'!E30&lt;&gt;"",1,0)</f>
        <v>0</v>
      </c>
      <c r="F40" s="142">
        <f>IF('RAW IMPORT'!F30&lt;&gt;"",1,0)</f>
        <v>0</v>
      </c>
      <c r="G40" s="142">
        <f>IF('RAW IMPORT'!G30&lt;&gt;"",1,0)</f>
        <v>0</v>
      </c>
      <c r="H40" s="142">
        <f>IF('RAW IMPORT'!H30&lt;&gt;"",1,0)</f>
        <v>0</v>
      </c>
      <c r="I40" s="142">
        <f>IF('RAW IMPORT'!I30&lt;&gt;"",1,0)</f>
        <v>0</v>
      </c>
      <c r="J40" s="142">
        <f>IF('RAW IMPORT'!J30&lt;&gt;"",1,0)</f>
        <v>0</v>
      </c>
      <c r="K40" s="142">
        <f>IF('RAW IMPORT'!K30&lt;&gt;"",1,0)</f>
        <v>0</v>
      </c>
      <c r="L40" s="142">
        <f>IF('RAW IMPORT'!L30&lt;&gt;"",1,0)</f>
        <v>0</v>
      </c>
      <c r="M40" s="142">
        <f>IF('RAW IMPORT'!M30&lt;&gt;"",1,0)</f>
        <v>0</v>
      </c>
      <c r="N40" s="165">
        <f>IF('RAW IMPORT'!N30&lt;&gt;"",1,0)</f>
        <v>0</v>
      </c>
      <c r="O40" s="167">
        <f>IF('RAW IMPORT'!O30&lt;&gt;"",1,0)</f>
        <v>1</v>
      </c>
      <c r="P40" s="142">
        <f>IF('RAW IMPORT'!P30&lt;&gt;"",1,0)</f>
        <v>0</v>
      </c>
      <c r="Q40" s="142">
        <f>IF('RAW IMPORT'!Q30&lt;&gt;"",1,0)</f>
        <v>0</v>
      </c>
      <c r="R40" s="138">
        <f>'RAW IMPORT'!R30</f>
        <v>0</v>
      </c>
      <c r="S40" s="138">
        <f>'RAW IMPORT'!S30</f>
        <v>7</v>
      </c>
      <c r="T40" s="138">
        <f>'RAW IMPORT'!T30</f>
        <v>5</v>
      </c>
      <c r="U40" s="138">
        <f>'RAW IMPORT'!U30</f>
        <v>0</v>
      </c>
      <c r="V40" s="138">
        <f>'RAW IMPORT'!V30</f>
        <v>0</v>
      </c>
      <c r="W40" s="138">
        <f>'RAW IMPORT'!W30</f>
        <v>0</v>
      </c>
      <c r="X40" s="138">
        <f>'RAW IMPORT'!X30</f>
        <v>0</v>
      </c>
      <c r="Y40" s="138">
        <f>'RAW IMPORT'!Y30</f>
        <v>0</v>
      </c>
      <c r="Z40" s="138">
        <f>'RAW IMPORT'!Z30</f>
        <v>0</v>
      </c>
      <c r="AA40" s="138">
        <f>'RAW IMPORT'!AA30</f>
        <v>0</v>
      </c>
      <c r="AB40" s="139">
        <f>'RAW IMPORT'!AB30</f>
        <v>0</v>
      </c>
      <c r="AC40" s="141">
        <f>'RAW IMPORT'!AC30</f>
        <v>4</v>
      </c>
      <c r="AD40" s="142">
        <f>'RAW IMPORT'!AD30</f>
        <v>7</v>
      </c>
      <c r="AE40" s="142">
        <f>'RAW IMPORT'!AE30</f>
        <v>0</v>
      </c>
      <c r="AF40" s="142">
        <f>IF('RAW IMPORT'!AF30="C1",3,IF('RAW IMPORT'!AF30="D1",4,0))</f>
        <v>4</v>
      </c>
      <c r="AG40" s="142">
        <f>'RAW IMPORT'!AG30</f>
        <v>1</v>
      </c>
      <c r="AH40" s="142">
        <f>'RAW IMPORT'!AH30</f>
        <v>5</v>
      </c>
      <c r="AI40" s="142">
        <f>IF('RAW IMPORT'!AI30="U",1,0)</f>
        <v>0</v>
      </c>
      <c r="AJ40" s="142">
        <f>IF('RAW IMPORT'!AJ30="A",1,0)</f>
        <v>1</v>
      </c>
      <c r="AK40" s="142">
        <f>IF('RAW IMPORT'!AK30="B",1,0)</f>
        <v>1</v>
      </c>
      <c r="AL40" s="142">
        <f>IF('RAW IMPORT'!AL30="U",1,0)</f>
        <v>1</v>
      </c>
      <c r="AM40" s="142">
        <f>IF('RAW IMPORT'!AM30&lt;&gt;"",1,0)</f>
        <v>1</v>
      </c>
      <c r="AN40" s="142">
        <f>IF('RAW IMPORT'!AN30&lt;&gt;"",1,0)</f>
        <v>1</v>
      </c>
      <c r="AO40" s="142">
        <f>IF('RAW IMPORT'!AO30&lt;&gt;"",1,0)</f>
        <v>1</v>
      </c>
      <c r="AP40" s="142">
        <f>IF('RAW IMPORT'!AP30&lt;&gt;"",1,0)</f>
        <v>1</v>
      </c>
      <c r="AQ40" s="142">
        <f>IF('RAW IMPORT'!AQ30&lt;&gt;"",1,0)</f>
        <v>1</v>
      </c>
      <c r="AR40" s="142">
        <f>IF('RAW IMPORT'!AR30&lt;&gt;"",1,0)</f>
        <v>1</v>
      </c>
      <c r="AS40" s="142">
        <f>IF('RAW IMPORT'!AS30&lt;&gt;"",1,0)</f>
        <v>1</v>
      </c>
      <c r="AT40" s="142">
        <f>IF('RAW IMPORT'!AT30&lt;&gt;"",1,0)</f>
        <v>1</v>
      </c>
      <c r="AU40" s="142">
        <f>IF('RAW IMPORT'!AU30&lt;&gt;"",1,0)</f>
        <v>1</v>
      </c>
      <c r="AV40" s="142">
        <f>IF('RAW IMPORT'!AV30&lt;&gt;"",1,0)</f>
        <v>1</v>
      </c>
      <c r="AW40" s="142">
        <f>IF('RAW IMPORT'!AW30&lt;&gt;"",1,0)</f>
        <v>0</v>
      </c>
      <c r="AX40" s="142">
        <f>IF('RAW IMPORT'!AX30&lt;&gt;"",1,0)</f>
        <v>0</v>
      </c>
      <c r="AY40" s="142">
        <f>IF('RAW IMPORT'!AY30&lt;&gt;"",1,0)</f>
        <v>0</v>
      </c>
      <c r="AZ40" s="142">
        <f>IF('RAW IMPORT'!AZ30&lt;&gt;"",1,0)</f>
        <v>0</v>
      </c>
      <c r="BA40" s="142">
        <f>IF('RAW IMPORT'!BA30&lt;&gt;"",1,0)</f>
        <v>0</v>
      </c>
      <c r="BB40" s="142">
        <f>IF('RAW IMPORT'!BB30&lt;&gt;"",1,0)</f>
        <v>0</v>
      </c>
      <c r="BC40" s="142">
        <f>IF('RAW IMPORT'!BC30&lt;&gt;"",1,0)</f>
        <v>1</v>
      </c>
      <c r="BD40" s="142">
        <f>IF('RAW IMPORT'!BD30&lt;&gt;"",1,0)</f>
        <v>1</v>
      </c>
      <c r="BE40" s="142">
        <f>IF('RAW IMPORT'!BE30&lt;&gt;"",1,0)</f>
        <v>1</v>
      </c>
      <c r="BF40" s="142">
        <f>IF('RAW IMPORT'!BF30&lt;&gt;"",1,0)</f>
        <v>0</v>
      </c>
      <c r="BG40" s="142">
        <f>IF('RAW IMPORT'!BG30&lt;&gt;"",1,0)</f>
        <v>1</v>
      </c>
      <c r="BH40" s="142">
        <f>IF('RAW IMPORT'!BH30&lt;&gt;"",1,0)</f>
        <v>1</v>
      </c>
      <c r="BI40" s="142">
        <f>IF('RAW IMPORT'!BI30&lt;&gt;"",1,0)</f>
        <v>1</v>
      </c>
      <c r="BJ40" s="142">
        <f>IF('RAW IMPORT'!BJ30&lt;&gt;"",1,0)</f>
        <v>1</v>
      </c>
      <c r="BK40" s="142">
        <f>IF('RAW IMPORT'!BK30&lt;&gt;"",1,0)</f>
        <v>1</v>
      </c>
      <c r="BL40" s="142">
        <f>IF('RAW IMPORT'!BL30&lt;&gt;"",1,0)</f>
        <v>0</v>
      </c>
      <c r="BM40" s="142">
        <f>'RAW IMPORT'!BM30</f>
        <v>1</v>
      </c>
      <c r="BN40" s="165">
        <f>'RAW IMPORT'!BN30</f>
        <v>0</v>
      </c>
      <c r="BO40" s="197">
        <f>'RAW IMPORT'!BO30</f>
        <v>0</v>
      </c>
      <c r="BP40" s="142" t="str">
        <f>'RAW IMPORT'!BP30</f>
        <v>PDF</v>
      </c>
      <c r="BQ40" s="141">
        <f>'RAW IMPORT'!BQ30</f>
        <v>0</v>
      </c>
      <c r="BR40" s="141">
        <f>'RAW IMPORT'!BR30</f>
        <v>2.1999999999999999E-2</v>
      </c>
      <c r="BS40" s="141">
        <f>'RAW IMPORT'!BS30</f>
        <v>0.16</v>
      </c>
      <c r="BT40" s="141">
        <f>'RAW IMPORT'!BT30</f>
        <v>6.0999999999999999E-2</v>
      </c>
      <c r="BU40" s="141">
        <f>'RAW IMPORT'!BU30</f>
        <v>1.0999999999999999E-2</v>
      </c>
      <c r="BV40" s="198">
        <f>'RAW IMPORT'!BV30</f>
        <v>0</v>
      </c>
      <c r="BW40" s="141">
        <f>'RAW IMPORT'!BW30</f>
        <v>0</v>
      </c>
      <c r="BX40" s="165">
        <f>'RAW IMPORT'!BX30</f>
        <v>72</v>
      </c>
      <c r="BY40" s="240"/>
      <c r="BZ40" s="126"/>
      <c r="CA40" s="143">
        <f t="shared" si="2"/>
        <v>26</v>
      </c>
      <c r="CB40" s="170">
        <f t="shared" ca="1" si="3"/>
        <v>27</v>
      </c>
      <c r="CC40" s="170" t="str">
        <f t="shared" ca="1" si="4"/>
        <v/>
      </c>
      <c r="CD40" s="204" t="str">
        <f t="shared" si="5"/>
        <v>"Model-8350V":
    RETURN</v>
      </c>
      <c r="CE40" s="170"/>
    </row>
    <row r="41" spans="1:83" ht="15" customHeight="1" x14ac:dyDescent="0.25">
      <c r="A41" s="138" t="str">
        <f>'RAW IMPORT'!A31</f>
        <v>OGRO</v>
      </c>
      <c r="B41" s="139">
        <f>'RAW IMPORT'!B31</f>
        <v>8353</v>
      </c>
      <c r="C41" s="142">
        <f>IF('RAW IMPORT'!C31&lt;&gt;"",1,0)</f>
        <v>1</v>
      </c>
      <c r="D41" s="142">
        <f>IF('RAW IMPORT'!D31&lt;&gt;"",1,0)</f>
        <v>1</v>
      </c>
      <c r="E41" s="142">
        <f>IF('RAW IMPORT'!E31&lt;&gt;"",1,0)</f>
        <v>0</v>
      </c>
      <c r="F41" s="142">
        <f>IF('RAW IMPORT'!F31&lt;&gt;"",1,0)</f>
        <v>0</v>
      </c>
      <c r="G41" s="142">
        <f>IF('RAW IMPORT'!G31&lt;&gt;"",1,0)</f>
        <v>0</v>
      </c>
      <c r="H41" s="142">
        <f>IF('RAW IMPORT'!H31&lt;&gt;"",1,0)</f>
        <v>0</v>
      </c>
      <c r="I41" s="142">
        <f>IF('RAW IMPORT'!I31&lt;&gt;"",1,0)</f>
        <v>0</v>
      </c>
      <c r="J41" s="142">
        <f>IF('RAW IMPORT'!J31&lt;&gt;"",1,0)</f>
        <v>0</v>
      </c>
      <c r="K41" s="142">
        <f>IF('RAW IMPORT'!K31&lt;&gt;"",1,0)</f>
        <v>0</v>
      </c>
      <c r="L41" s="142">
        <f>IF('RAW IMPORT'!L31&lt;&gt;"",1,0)</f>
        <v>0</v>
      </c>
      <c r="M41" s="142">
        <f>IF('RAW IMPORT'!M31&lt;&gt;"",1,0)</f>
        <v>0</v>
      </c>
      <c r="N41" s="165">
        <f>IF('RAW IMPORT'!N31&lt;&gt;"",1,0)</f>
        <v>0</v>
      </c>
      <c r="O41" s="167">
        <f>IF('RAW IMPORT'!O31&lt;&gt;"",1,0)</f>
        <v>1</v>
      </c>
      <c r="P41" s="142">
        <f>IF('RAW IMPORT'!P31&lt;&gt;"",1,0)</f>
        <v>1</v>
      </c>
      <c r="Q41" s="142">
        <f>IF('RAW IMPORT'!Q31&lt;&gt;"",1,0)</f>
        <v>0</v>
      </c>
      <c r="R41" s="138">
        <f>'RAW IMPORT'!R31</f>
        <v>0</v>
      </c>
      <c r="S41" s="138">
        <f>'RAW IMPORT'!S31</f>
        <v>7</v>
      </c>
      <c r="T41" s="138">
        <f>'RAW IMPORT'!T31</f>
        <v>5</v>
      </c>
      <c r="U41" s="138">
        <f>'RAW IMPORT'!U31</f>
        <v>0</v>
      </c>
      <c r="V41" s="138">
        <f>'RAW IMPORT'!V31</f>
        <v>0</v>
      </c>
      <c r="W41" s="138">
        <f>'RAW IMPORT'!W31</f>
        <v>0</v>
      </c>
      <c r="X41" s="138">
        <f>'RAW IMPORT'!X31</f>
        <v>0</v>
      </c>
      <c r="Y41" s="138">
        <f>'RAW IMPORT'!Y31</f>
        <v>0</v>
      </c>
      <c r="Z41" s="138">
        <f>'RAW IMPORT'!Z31</f>
        <v>0</v>
      </c>
      <c r="AA41" s="138">
        <f>'RAW IMPORT'!AA31</f>
        <v>0</v>
      </c>
      <c r="AB41" s="139">
        <f>'RAW IMPORT'!AB31</f>
        <v>0</v>
      </c>
      <c r="AC41" s="141">
        <f>'RAW IMPORT'!AC31</f>
        <v>4</v>
      </c>
      <c r="AD41" s="142">
        <f>'RAW IMPORT'!AD31</f>
        <v>7</v>
      </c>
      <c r="AE41" s="142">
        <f>'RAW IMPORT'!AE31</f>
        <v>0</v>
      </c>
      <c r="AF41" s="142">
        <f>IF('RAW IMPORT'!AF31="C1",3,IF('RAW IMPORT'!AF31="D1",4,0))</f>
        <v>3</v>
      </c>
      <c r="AG41" s="142">
        <f>'RAW IMPORT'!AG31</f>
        <v>1</v>
      </c>
      <c r="AH41" s="142">
        <f>'RAW IMPORT'!AH31</f>
        <v>5</v>
      </c>
      <c r="AI41" s="142">
        <f>IF('RAW IMPORT'!AI31="U",1,0)</f>
        <v>0</v>
      </c>
      <c r="AJ41" s="142">
        <f>IF('RAW IMPORT'!AJ31="A",1,0)</f>
        <v>1</v>
      </c>
      <c r="AK41" s="142">
        <f>IF('RAW IMPORT'!AK31="B",1,0)</f>
        <v>1</v>
      </c>
      <c r="AL41" s="142">
        <f>IF('RAW IMPORT'!AL31="U",1,0)</f>
        <v>1</v>
      </c>
      <c r="AM41" s="142">
        <f>IF('RAW IMPORT'!AM31&lt;&gt;"",1,0)</f>
        <v>1</v>
      </c>
      <c r="AN41" s="142">
        <f>IF('RAW IMPORT'!AN31&lt;&gt;"",1,0)</f>
        <v>1</v>
      </c>
      <c r="AO41" s="142">
        <f>IF('RAW IMPORT'!AO31&lt;&gt;"",1,0)</f>
        <v>1</v>
      </c>
      <c r="AP41" s="142">
        <f>IF('RAW IMPORT'!AP31&lt;&gt;"",1,0)</f>
        <v>0</v>
      </c>
      <c r="AQ41" s="142">
        <f>IF('RAW IMPORT'!AQ31&lt;&gt;"",1,0)</f>
        <v>1</v>
      </c>
      <c r="AR41" s="142">
        <f>IF('RAW IMPORT'!AR31&lt;&gt;"",1,0)</f>
        <v>1</v>
      </c>
      <c r="AS41" s="142">
        <f>IF('RAW IMPORT'!AS31&lt;&gt;"",1,0)</f>
        <v>1</v>
      </c>
      <c r="AT41" s="142">
        <f>IF('RAW IMPORT'!AT31&lt;&gt;"",1,0)</f>
        <v>1</v>
      </c>
      <c r="AU41" s="142">
        <f>IF('RAW IMPORT'!AU31&lt;&gt;"",1,0)</f>
        <v>1</v>
      </c>
      <c r="AV41" s="142">
        <f>IF('RAW IMPORT'!AV31&lt;&gt;"",1,0)</f>
        <v>1</v>
      </c>
      <c r="AW41" s="142">
        <f>IF('RAW IMPORT'!AW31&lt;&gt;"",1,0)</f>
        <v>1</v>
      </c>
      <c r="AX41" s="142">
        <f>IF('RAW IMPORT'!AX31&lt;&gt;"",1,0)</f>
        <v>1</v>
      </c>
      <c r="AY41" s="142">
        <f>IF('RAW IMPORT'!AY31&lt;&gt;"",1,0)</f>
        <v>1</v>
      </c>
      <c r="AZ41" s="142">
        <f>IF('RAW IMPORT'!AZ31&lt;&gt;"",1,0)</f>
        <v>1</v>
      </c>
      <c r="BA41" s="142">
        <f>IF('RAW IMPORT'!BA31&lt;&gt;"",1,0)</f>
        <v>1</v>
      </c>
      <c r="BB41" s="142">
        <f>IF('RAW IMPORT'!BB31&lt;&gt;"",1,0)</f>
        <v>1</v>
      </c>
      <c r="BC41" s="142">
        <f>IF('RAW IMPORT'!BC31&lt;&gt;"",1,0)</f>
        <v>0</v>
      </c>
      <c r="BD41" s="142">
        <f>IF('RAW IMPORT'!BD31&lt;&gt;"",1,0)</f>
        <v>1</v>
      </c>
      <c r="BE41" s="142">
        <f>IF('RAW IMPORT'!BE31&lt;&gt;"",1,0)</f>
        <v>1</v>
      </c>
      <c r="BF41" s="142">
        <f>IF('RAW IMPORT'!BF31&lt;&gt;"",1,0)</f>
        <v>0</v>
      </c>
      <c r="BG41" s="142">
        <f>IF('RAW IMPORT'!BG31&lt;&gt;"",1,0)</f>
        <v>1</v>
      </c>
      <c r="BH41" s="142">
        <f>IF('RAW IMPORT'!BH31&lt;&gt;"",1,0)</f>
        <v>1</v>
      </c>
      <c r="BI41" s="142">
        <f>IF('RAW IMPORT'!BI31&lt;&gt;"",1,0)</f>
        <v>1</v>
      </c>
      <c r="BJ41" s="142">
        <f>IF('RAW IMPORT'!BJ31&lt;&gt;"",1,0)</f>
        <v>1</v>
      </c>
      <c r="BK41" s="142">
        <f>IF('RAW IMPORT'!BK31&lt;&gt;"",1,0)</f>
        <v>1</v>
      </c>
      <c r="BL41" s="142">
        <f>IF('RAW IMPORT'!BL31&lt;&gt;"",1,0)</f>
        <v>1</v>
      </c>
      <c r="BM41" s="142">
        <f>'RAW IMPORT'!BM31</f>
        <v>1</v>
      </c>
      <c r="BN41" s="165">
        <f>'RAW IMPORT'!BN31</f>
        <v>0</v>
      </c>
      <c r="BO41" s="197">
        <f>'RAW IMPORT'!BO31</f>
        <v>0</v>
      </c>
      <c r="BP41" s="142" t="str">
        <f>'RAW IMPORT'!BP31</f>
        <v>PDF</v>
      </c>
      <c r="BQ41" s="141">
        <f>'RAW IMPORT'!BQ31</f>
        <v>0</v>
      </c>
      <c r="BR41" s="141">
        <f>'RAW IMPORT'!BR31</f>
        <v>0.02</v>
      </c>
      <c r="BS41" s="141">
        <f>'RAW IMPORT'!BS31</f>
        <v>0.17499999999999999</v>
      </c>
      <c r="BT41" s="141">
        <f>'RAW IMPORT'!BT31</f>
        <v>6.5000000000000002E-2</v>
      </c>
      <c r="BU41" s="141">
        <f>'RAW IMPORT'!BU31</f>
        <v>0.01</v>
      </c>
      <c r="BV41" s="198">
        <f>'RAW IMPORT'!BV31</f>
        <v>0</v>
      </c>
      <c r="BW41" s="141">
        <f>'RAW IMPORT'!BW31</f>
        <v>17</v>
      </c>
      <c r="BX41" s="165">
        <f>'RAW IMPORT'!BX31</f>
        <v>0</v>
      </c>
      <c r="BY41" s="240"/>
      <c r="BZ41" s="126"/>
      <c r="CA41" s="143">
        <f t="shared" si="2"/>
        <v>27</v>
      </c>
      <c r="CB41" s="170">
        <f t="shared" ca="1" si="3"/>
        <v>28</v>
      </c>
      <c r="CC41" s="170" t="str">
        <f t="shared" ca="1" si="4"/>
        <v/>
      </c>
      <c r="CD41" s="204" t="str">
        <f t="shared" si="5"/>
        <v>"Model-8353":
    RETURN</v>
      </c>
      <c r="CE41" s="170"/>
    </row>
    <row r="42" spans="1:83" ht="15" customHeight="1" x14ac:dyDescent="0.25">
      <c r="A42" s="138" t="str">
        <f>'RAW IMPORT'!A32</f>
        <v>OGRO</v>
      </c>
      <c r="B42" s="139">
        <f>'RAW IMPORT'!B32</f>
        <v>8354</v>
      </c>
      <c r="C42" s="142">
        <f>IF('RAW IMPORT'!C32&lt;&gt;"",1,0)</f>
        <v>1</v>
      </c>
      <c r="D42" s="142">
        <f>IF('RAW IMPORT'!D32&lt;&gt;"",1,0)</f>
        <v>1</v>
      </c>
      <c r="E42" s="142">
        <f>IF('RAW IMPORT'!E32&lt;&gt;"",1,0)</f>
        <v>0</v>
      </c>
      <c r="F42" s="142">
        <f>IF('RAW IMPORT'!F32&lt;&gt;"",1,0)</f>
        <v>0</v>
      </c>
      <c r="G42" s="142">
        <f>IF('RAW IMPORT'!G32&lt;&gt;"",1,0)</f>
        <v>0</v>
      </c>
      <c r="H42" s="142">
        <f>IF('RAW IMPORT'!H32&lt;&gt;"",1,0)</f>
        <v>0</v>
      </c>
      <c r="I42" s="142">
        <f>IF('RAW IMPORT'!I32&lt;&gt;"",1,0)</f>
        <v>0</v>
      </c>
      <c r="J42" s="142">
        <f>IF('RAW IMPORT'!J32&lt;&gt;"",1,0)</f>
        <v>0</v>
      </c>
      <c r="K42" s="142">
        <f>IF('RAW IMPORT'!K32&lt;&gt;"",1,0)</f>
        <v>0</v>
      </c>
      <c r="L42" s="142">
        <f>IF('RAW IMPORT'!L32&lt;&gt;"",1,0)</f>
        <v>0</v>
      </c>
      <c r="M42" s="142">
        <f>IF('RAW IMPORT'!M32&lt;&gt;"",1,0)</f>
        <v>0</v>
      </c>
      <c r="N42" s="165">
        <f>IF('RAW IMPORT'!N32&lt;&gt;"",1,0)</f>
        <v>0</v>
      </c>
      <c r="O42" s="167">
        <f>IF('RAW IMPORT'!O32&lt;&gt;"",1,0)</f>
        <v>1</v>
      </c>
      <c r="P42" s="142">
        <f>IF('RAW IMPORT'!P32&lt;&gt;"",1,0)</f>
        <v>0</v>
      </c>
      <c r="Q42" s="142">
        <f>IF('RAW IMPORT'!Q32&lt;&gt;"",1,0)</f>
        <v>0</v>
      </c>
      <c r="R42" s="138">
        <f>'RAW IMPORT'!R32</f>
        <v>0</v>
      </c>
      <c r="S42" s="138">
        <f>'RAW IMPORT'!S32</f>
        <v>7</v>
      </c>
      <c r="T42" s="138">
        <f>'RAW IMPORT'!T32</f>
        <v>5</v>
      </c>
      <c r="U42" s="138">
        <f>'RAW IMPORT'!U32</f>
        <v>0</v>
      </c>
      <c r="V42" s="138">
        <f>'RAW IMPORT'!V32</f>
        <v>0</v>
      </c>
      <c r="W42" s="138">
        <f>'RAW IMPORT'!W32</f>
        <v>0</v>
      </c>
      <c r="X42" s="138">
        <f>'RAW IMPORT'!X32</f>
        <v>0</v>
      </c>
      <c r="Y42" s="138">
        <f>'RAW IMPORT'!Y32</f>
        <v>0</v>
      </c>
      <c r="Z42" s="138">
        <f>'RAW IMPORT'!Z32</f>
        <v>0</v>
      </c>
      <c r="AA42" s="138">
        <f>'RAW IMPORT'!AA32</f>
        <v>0</v>
      </c>
      <c r="AB42" s="139">
        <f>'RAW IMPORT'!AB32</f>
        <v>0</v>
      </c>
      <c r="AC42" s="141">
        <f>'RAW IMPORT'!AC32</f>
        <v>4</v>
      </c>
      <c r="AD42" s="142">
        <f>'RAW IMPORT'!AD32</f>
        <v>7</v>
      </c>
      <c r="AE42" s="142">
        <f>'RAW IMPORT'!AE32</f>
        <v>0</v>
      </c>
      <c r="AF42" s="142">
        <f>IF('RAW IMPORT'!AF32="C1",3,IF('RAW IMPORT'!AF32="D1",4,0))</f>
        <v>4</v>
      </c>
      <c r="AG42" s="142">
        <f>'RAW IMPORT'!AG32</f>
        <v>1</v>
      </c>
      <c r="AH42" s="142">
        <f>'RAW IMPORT'!AH32</f>
        <v>5</v>
      </c>
      <c r="AI42" s="142">
        <f>IF('RAW IMPORT'!AI32="U",1,0)</f>
        <v>0</v>
      </c>
      <c r="AJ42" s="142">
        <f>IF('RAW IMPORT'!AJ32="A",1,0)</f>
        <v>1</v>
      </c>
      <c r="AK42" s="142">
        <f>IF('RAW IMPORT'!AK32="B",1,0)</f>
        <v>1</v>
      </c>
      <c r="AL42" s="142">
        <f>IF('RAW IMPORT'!AL32="U",1,0)</f>
        <v>1</v>
      </c>
      <c r="AM42" s="142">
        <f>IF('RAW IMPORT'!AM32&lt;&gt;"",1,0)</f>
        <v>1</v>
      </c>
      <c r="AN42" s="142">
        <f>IF('RAW IMPORT'!AN32&lt;&gt;"",1,0)</f>
        <v>1</v>
      </c>
      <c r="AO42" s="142">
        <f>IF('RAW IMPORT'!AO32&lt;&gt;"",1,0)</f>
        <v>1</v>
      </c>
      <c r="AP42" s="142">
        <f>IF('RAW IMPORT'!AP32&lt;&gt;"",1,0)</f>
        <v>1</v>
      </c>
      <c r="AQ42" s="142">
        <f>IF('RAW IMPORT'!AQ32&lt;&gt;"",1,0)</f>
        <v>1</v>
      </c>
      <c r="AR42" s="142">
        <f>IF('RAW IMPORT'!AR32&lt;&gt;"",1,0)</f>
        <v>1</v>
      </c>
      <c r="AS42" s="142">
        <f>IF('RAW IMPORT'!AS32&lt;&gt;"",1,0)</f>
        <v>1</v>
      </c>
      <c r="AT42" s="142">
        <f>IF('RAW IMPORT'!AT32&lt;&gt;"",1,0)</f>
        <v>1</v>
      </c>
      <c r="AU42" s="142">
        <f>IF('RAW IMPORT'!AU32&lt;&gt;"",1,0)</f>
        <v>0</v>
      </c>
      <c r="AV42" s="142">
        <f>IF('RAW IMPORT'!AV32&lt;&gt;"",1,0)</f>
        <v>1</v>
      </c>
      <c r="AW42" s="142">
        <f>IF('RAW IMPORT'!AW32&lt;&gt;"",1,0)</f>
        <v>1</v>
      </c>
      <c r="AX42" s="142">
        <f>IF('RAW IMPORT'!AX32&lt;&gt;"",1,0)</f>
        <v>1</v>
      </c>
      <c r="AY42" s="142">
        <f>IF('RAW IMPORT'!AY32&lt;&gt;"",1,0)</f>
        <v>1</v>
      </c>
      <c r="AZ42" s="142">
        <f>IF('RAW IMPORT'!AZ32&lt;&gt;"",1,0)</f>
        <v>1</v>
      </c>
      <c r="BA42" s="142">
        <f>IF('RAW IMPORT'!BA32&lt;&gt;"",1,0)</f>
        <v>1</v>
      </c>
      <c r="BB42" s="142">
        <f>IF('RAW IMPORT'!BB32&lt;&gt;"",1,0)</f>
        <v>1</v>
      </c>
      <c r="BC42" s="142">
        <f>IF('RAW IMPORT'!BC32&lt;&gt;"",1,0)</f>
        <v>0</v>
      </c>
      <c r="BD42" s="142">
        <f>IF('RAW IMPORT'!BD32&lt;&gt;"",1,0)</f>
        <v>1</v>
      </c>
      <c r="BE42" s="142">
        <f>IF('RAW IMPORT'!BE32&lt;&gt;"",1,0)</f>
        <v>1</v>
      </c>
      <c r="BF42" s="142">
        <f>IF('RAW IMPORT'!BF32&lt;&gt;"",1,0)</f>
        <v>0</v>
      </c>
      <c r="BG42" s="142">
        <f>IF('RAW IMPORT'!BG32&lt;&gt;"",1,0)</f>
        <v>1</v>
      </c>
      <c r="BH42" s="142">
        <f>IF('RAW IMPORT'!BH32&lt;&gt;"",1,0)</f>
        <v>1</v>
      </c>
      <c r="BI42" s="142">
        <f>IF('RAW IMPORT'!BI32&lt;&gt;"",1,0)</f>
        <v>1</v>
      </c>
      <c r="BJ42" s="142">
        <f>IF('RAW IMPORT'!BJ32&lt;&gt;"",1,0)</f>
        <v>1</v>
      </c>
      <c r="BK42" s="142">
        <f>IF('RAW IMPORT'!BK32&lt;&gt;"",1,0)</f>
        <v>1</v>
      </c>
      <c r="BL42" s="142">
        <f>IF('RAW IMPORT'!BL32&lt;&gt;"",1,0)</f>
        <v>1</v>
      </c>
      <c r="BM42" s="142">
        <f>'RAW IMPORT'!BM32</f>
        <v>1</v>
      </c>
      <c r="BN42" s="165">
        <f>'RAW IMPORT'!BN32</f>
        <v>0</v>
      </c>
      <c r="BO42" s="197">
        <f>'RAW IMPORT'!BO32</f>
        <v>0</v>
      </c>
      <c r="BP42" s="142" t="str">
        <f>'RAW IMPORT'!BP32</f>
        <v>PDF</v>
      </c>
      <c r="BQ42" s="141">
        <f>'RAW IMPORT'!BQ32</f>
        <v>0</v>
      </c>
      <c r="BR42" s="141">
        <f>'RAW IMPORT'!BR32</f>
        <v>2.1999999999999999E-2</v>
      </c>
      <c r="BS42" s="141">
        <f>'RAW IMPORT'!BS32</f>
        <v>0.13400000000000001</v>
      </c>
      <c r="BT42" s="141">
        <f>'RAW IMPORT'!BT32</f>
        <v>8.6999999999999994E-2</v>
      </c>
      <c r="BU42" s="141">
        <f>'RAW IMPORT'!BU32</f>
        <v>1.0999999999999999E-2</v>
      </c>
      <c r="BV42" s="198">
        <f>'RAW IMPORT'!BV32</f>
        <v>0</v>
      </c>
      <c r="BW42" s="141">
        <f>'RAW IMPORT'!BW32</f>
        <v>18</v>
      </c>
      <c r="BX42" s="165">
        <f>'RAW IMPORT'!BX32</f>
        <v>0</v>
      </c>
      <c r="BY42" s="240"/>
      <c r="BZ42" s="126"/>
      <c r="CA42" s="143">
        <f t="shared" si="2"/>
        <v>28</v>
      </c>
      <c r="CB42" s="170">
        <f t="shared" ca="1" si="3"/>
        <v>29</v>
      </c>
      <c r="CC42" s="170" t="str">
        <f t="shared" ca="1" si="4"/>
        <v/>
      </c>
      <c r="CD42" s="204" t="str">
        <f t="shared" si="5"/>
        <v>"Model-8354":
    RETURN</v>
      </c>
      <c r="CE42" s="170"/>
    </row>
    <row r="43" spans="1:83" ht="15" customHeight="1" x14ac:dyDescent="0.25">
      <c r="A43" s="138" t="str">
        <f>'RAW IMPORT'!A33</f>
        <v>OGRO</v>
      </c>
      <c r="B43" s="139">
        <f>'RAW IMPORT'!B33</f>
        <v>8437</v>
      </c>
      <c r="C43" s="142">
        <f>IF('RAW IMPORT'!C33&lt;&gt;"",1,0)</f>
        <v>0</v>
      </c>
      <c r="D43" s="142">
        <f>IF('RAW IMPORT'!D33&lt;&gt;"",1,0)</f>
        <v>0</v>
      </c>
      <c r="E43" s="142">
        <f>IF('RAW IMPORT'!E33&lt;&gt;"",1,0)</f>
        <v>0</v>
      </c>
      <c r="F43" s="142">
        <f>IF('RAW IMPORT'!F33&lt;&gt;"",1,0)</f>
        <v>0</v>
      </c>
      <c r="G43" s="142">
        <f>IF('RAW IMPORT'!G33&lt;&gt;"",1,0)</f>
        <v>0</v>
      </c>
      <c r="H43" s="142">
        <f>IF('RAW IMPORT'!H33&lt;&gt;"",1,0)</f>
        <v>0</v>
      </c>
      <c r="I43" s="142">
        <f>IF('RAW IMPORT'!I33&lt;&gt;"",1,0)</f>
        <v>0</v>
      </c>
      <c r="J43" s="142">
        <f>IF('RAW IMPORT'!J33&lt;&gt;"",1,0)</f>
        <v>0</v>
      </c>
      <c r="K43" s="142">
        <f>IF('RAW IMPORT'!K33&lt;&gt;"",1,0)</f>
        <v>0</v>
      </c>
      <c r="L43" s="142">
        <f>IF('RAW IMPORT'!L33&lt;&gt;"",1,0)</f>
        <v>0</v>
      </c>
      <c r="M43" s="142">
        <f>IF('RAW IMPORT'!M33&lt;&gt;"",1,0)</f>
        <v>0</v>
      </c>
      <c r="N43" s="165">
        <f>IF('RAW IMPORT'!N33&lt;&gt;"",1,0)</f>
        <v>0</v>
      </c>
      <c r="O43" s="167">
        <f>IF('RAW IMPORT'!O33&lt;&gt;"",1,0)</f>
        <v>0</v>
      </c>
      <c r="P43" s="142">
        <f>IF('RAW IMPORT'!P33&lt;&gt;"",1,0)</f>
        <v>0</v>
      </c>
      <c r="Q43" s="142">
        <f>IF('RAW IMPORT'!Q33&lt;&gt;"",1,0)</f>
        <v>0</v>
      </c>
      <c r="R43" s="138">
        <f>'RAW IMPORT'!R33</f>
        <v>0</v>
      </c>
      <c r="S43" s="138">
        <f>'RAW IMPORT'!S33</f>
        <v>7</v>
      </c>
      <c r="T43" s="138">
        <f>'RAW IMPORT'!T33</f>
        <v>5</v>
      </c>
      <c r="U43" s="138">
        <f>'RAW IMPORT'!U33</f>
        <v>0</v>
      </c>
      <c r="V43" s="138">
        <f>'RAW IMPORT'!V33</f>
        <v>0</v>
      </c>
      <c r="W43" s="138">
        <f>'RAW IMPORT'!W33</f>
        <v>0</v>
      </c>
      <c r="X43" s="138">
        <f>'RAW IMPORT'!X33</f>
        <v>0</v>
      </c>
      <c r="Y43" s="138">
        <f>'RAW IMPORT'!Y33</f>
        <v>0</v>
      </c>
      <c r="Z43" s="138">
        <f>'RAW IMPORT'!Z33</f>
        <v>0</v>
      </c>
      <c r="AA43" s="138">
        <f>'RAW IMPORT'!AA33</f>
        <v>0</v>
      </c>
      <c r="AB43" s="139">
        <f>'RAW IMPORT'!AB33</f>
        <v>0</v>
      </c>
      <c r="AC43" s="141">
        <f>'RAW IMPORT'!AC33</f>
        <v>4</v>
      </c>
      <c r="AD43" s="142">
        <f>'RAW IMPORT'!AD33</f>
        <v>7</v>
      </c>
      <c r="AE43" s="142">
        <f>'RAW IMPORT'!AE33</f>
        <v>0</v>
      </c>
      <c r="AF43" s="142">
        <f>IF('RAW IMPORT'!AF33="C1",3,IF('RAW IMPORT'!AF33="D1",4,0))</f>
        <v>0</v>
      </c>
      <c r="AG43" s="142">
        <f>'RAW IMPORT'!AG33</f>
        <v>1</v>
      </c>
      <c r="AH43" s="142">
        <f>'RAW IMPORT'!AH33</f>
        <v>5</v>
      </c>
      <c r="AI43" s="142">
        <f>IF('RAW IMPORT'!AI33="U",1,0)</f>
        <v>0</v>
      </c>
      <c r="AJ43" s="142">
        <f>IF('RAW IMPORT'!AJ33="A",1,0)</f>
        <v>1</v>
      </c>
      <c r="AK43" s="142">
        <f>IF('RAW IMPORT'!AK33="B",1,0)</f>
        <v>1</v>
      </c>
      <c r="AL43" s="142">
        <f>IF('RAW IMPORT'!AL33="U",1,0)</f>
        <v>1</v>
      </c>
      <c r="AM43" s="142">
        <f>IF('RAW IMPORT'!AM33&lt;&gt;"",1,0)</f>
        <v>0</v>
      </c>
      <c r="AN43" s="142">
        <f>IF('RAW IMPORT'!AN33&lt;&gt;"",1,0)</f>
        <v>0</v>
      </c>
      <c r="AO43" s="142">
        <f>IF('RAW IMPORT'!AO33&lt;&gt;"",1,0)</f>
        <v>0</v>
      </c>
      <c r="AP43" s="142">
        <f>IF('RAW IMPORT'!AP33&lt;&gt;"",1,0)</f>
        <v>1</v>
      </c>
      <c r="AQ43" s="142">
        <f>IF('RAW IMPORT'!AQ33&lt;&gt;"",1,0)</f>
        <v>1</v>
      </c>
      <c r="AR43" s="142">
        <f>IF('RAW IMPORT'!AR33&lt;&gt;"",1,0)</f>
        <v>1</v>
      </c>
      <c r="AS43" s="142">
        <f>IF('RAW IMPORT'!AS33&lt;&gt;"",1,0)</f>
        <v>1</v>
      </c>
      <c r="AT43" s="142">
        <f>IF('RAW IMPORT'!AT33&lt;&gt;"",1,0)</f>
        <v>1</v>
      </c>
      <c r="AU43" s="142">
        <f>IF('RAW IMPORT'!AU33&lt;&gt;"",1,0)</f>
        <v>0</v>
      </c>
      <c r="AV43" s="142">
        <f>IF('RAW IMPORT'!AV33&lt;&gt;"",1,0)</f>
        <v>1</v>
      </c>
      <c r="AW43" s="142">
        <f>IF('RAW IMPORT'!AW33&lt;&gt;"",1,0)</f>
        <v>1</v>
      </c>
      <c r="AX43" s="142">
        <f>IF('RAW IMPORT'!AX33&lt;&gt;"",1,0)</f>
        <v>1</v>
      </c>
      <c r="AY43" s="142">
        <f>IF('RAW IMPORT'!AY33&lt;&gt;"",1,0)</f>
        <v>1</v>
      </c>
      <c r="AZ43" s="142">
        <f>IF('RAW IMPORT'!AZ33&lt;&gt;"",1,0)</f>
        <v>1</v>
      </c>
      <c r="BA43" s="142">
        <f>IF('RAW IMPORT'!BA33&lt;&gt;"",1,0)</f>
        <v>1</v>
      </c>
      <c r="BB43" s="142">
        <f>IF('RAW IMPORT'!BB33&lt;&gt;"",1,0)</f>
        <v>1</v>
      </c>
      <c r="BC43" s="142">
        <f>IF('RAW IMPORT'!BC33&lt;&gt;"",1,0)</f>
        <v>0</v>
      </c>
      <c r="BD43" s="142">
        <f>IF('RAW IMPORT'!BD33&lt;&gt;"",1,0)</f>
        <v>1</v>
      </c>
      <c r="BE43" s="142">
        <f>IF('RAW IMPORT'!BE33&lt;&gt;"",1,0)</f>
        <v>1</v>
      </c>
      <c r="BF43" s="142">
        <f>IF('RAW IMPORT'!BF33&lt;&gt;"",1,0)</f>
        <v>0</v>
      </c>
      <c r="BG43" s="142">
        <f>IF('RAW IMPORT'!BG33&lt;&gt;"",1,0)</f>
        <v>1</v>
      </c>
      <c r="BH43" s="142">
        <f>IF('RAW IMPORT'!BH33&lt;&gt;"",1,0)</f>
        <v>1</v>
      </c>
      <c r="BI43" s="142">
        <f>IF('RAW IMPORT'!BI33&lt;&gt;"",1,0)</f>
        <v>1</v>
      </c>
      <c r="BJ43" s="142">
        <f>IF('RAW IMPORT'!BJ33&lt;&gt;"",1,0)</f>
        <v>1</v>
      </c>
      <c r="BK43" s="142">
        <f>IF('RAW IMPORT'!BK33&lt;&gt;"",1,0)</f>
        <v>1</v>
      </c>
      <c r="BL43" s="142">
        <f>IF('RAW IMPORT'!BL33&lt;&gt;"",1,0)</f>
        <v>1</v>
      </c>
      <c r="BM43" s="142">
        <f>'RAW IMPORT'!BM33</f>
        <v>1</v>
      </c>
      <c r="BN43" s="165">
        <f>'RAW IMPORT'!BN33</f>
        <v>0</v>
      </c>
      <c r="BO43" s="197">
        <f>'RAW IMPORT'!BO33</f>
        <v>0</v>
      </c>
      <c r="BP43" s="142" t="str">
        <f>'RAW IMPORT'!BP33</f>
        <v>PDF</v>
      </c>
      <c r="BQ43" s="141">
        <f>'RAW IMPORT'!BQ33</f>
        <v>0</v>
      </c>
      <c r="BR43" s="141">
        <f>'RAW IMPORT'!BR33</f>
        <v>2.35E-2</v>
      </c>
      <c r="BS43" s="141">
        <f>'RAW IMPORT'!BS33</f>
        <v>0.122</v>
      </c>
      <c r="BT43" s="141">
        <f>'RAW IMPORT'!BT33</f>
        <v>5.6000000000000001E-2</v>
      </c>
      <c r="BU43" s="141">
        <f>'RAW IMPORT'!BU33</f>
        <v>1.175E-2</v>
      </c>
      <c r="BV43" s="198">
        <f>'RAW IMPORT'!BV33</f>
        <v>0</v>
      </c>
      <c r="BW43" s="141">
        <f>'RAW IMPORT'!BW33</f>
        <v>19</v>
      </c>
      <c r="BX43" s="165">
        <f>'RAW IMPORT'!BX33</f>
        <v>0</v>
      </c>
      <c r="BY43" s="240"/>
      <c r="BZ43" s="126"/>
      <c r="CA43" s="143">
        <f t="shared" si="2"/>
        <v>29</v>
      </c>
      <c r="CB43" s="170">
        <f t="shared" ca="1" si="3"/>
        <v>30</v>
      </c>
      <c r="CC43" s="170" t="str">
        <f t="shared" ca="1" si="4"/>
        <v/>
      </c>
      <c r="CD43" s="204" t="str">
        <f t="shared" si="5"/>
        <v>"Model-8437":
    RETURN</v>
      </c>
      <c r="CE43" s="170"/>
    </row>
    <row r="44" spans="1:83" ht="15" customHeight="1" x14ac:dyDescent="0.25">
      <c r="A44" s="138" t="str">
        <f>'RAW IMPORT'!A34</f>
        <v>OGRO</v>
      </c>
      <c r="B44" s="139">
        <f>'RAW IMPORT'!B34</f>
        <v>8527</v>
      </c>
      <c r="C44" s="142">
        <f>IF('RAW IMPORT'!C34&lt;&gt;"",1,0)</f>
        <v>1</v>
      </c>
      <c r="D44" s="142">
        <f>IF('RAW IMPORT'!D34&lt;&gt;"",1,0)</f>
        <v>1</v>
      </c>
      <c r="E44" s="142">
        <f>IF('RAW IMPORT'!E34&lt;&gt;"",1,0)</f>
        <v>0</v>
      </c>
      <c r="F44" s="142">
        <f>IF('RAW IMPORT'!F34&lt;&gt;"",1,0)</f>
        <v>0</v>
      </c>
      <c r="G44" s="142">
        <f>IF('RAW IMPORT'!G34&lt;&gt;"",1,0)</f>
        <v>0</v>
      </c>
      <c r="H44" s="142">
        <f>IF('RAW IMPORT'!H34&lt;&gt;"",1,0)</f>
        <v>0</v>
      </c>
      <c r="I44" s="142">
        <f>IF('RAW IMPORT'!I34&lt;&gt;"",1,0)</f>
        <v>0</v>
      </c>
      <c r="J44" s="142">
        <f>IF('RAW IMPORT'!J34&lt;&gt;"",1,0)</f>
        <v>0</v>
      </c>
      <c r="K44" s="142">
        <f>IF('RAW IMPORT'!K34&lt;&gt;"",1,0)</f>
        <v>0</v>
      </c>
      <c r="L44" s="142">
        <f>IF('RAW IMPORT'!L34&lt;&gt;"",1,0)</f>
        <v>0</v>
      </c>
      <c r="M44" s="142">
        <f>IF('RAW IMPORT'!M34&lt;&gt;"",1,0)</f>
        <v>0</v>
      </c>
      <c r="N44" s="165">
        <f>IF('RAW IMPORT'!N34&lt;&gt;"",1,0)</f>
        <v>0</v>
      </c>
      <c r="O44" s="167">
        <f>IF('RAW IMPORT'!O34&lt;&gt;"",1,0)</f>
        <v>1</v>
      </c>
      <c r="P44" s="142">
        <f>IF('RAW IMPORT'!P34&lt;&gt;"",1,0)</f>
        <v>0</v>
      </c>
      <c r="Q44" s="142">
        <f>IF('RAW IMPORT'!Q34&lt;&gt;"",1,0)</f>
        <v>0</v>
      </c>
      <c r="R44" s="138">
        <f>'RAW IMPORT'!R34</f>
        <v>0</v>
      </c>
      <c r="S44" s="138">
        <f>'RAW IMPORT'!S34</f>
        <v>7</v>
      </c>
      <c r="T44" s="138">
        <f>'RAW IMPORT'!T34</f>
        <v>5</v>
      </c>
      <c r="U44" s="138">
        <f>'RAW IMPORT'!U34</f>
        <v>0</v>
      </c>
      <c r="V44" s="138">
        <f>'RAW IMPORT'!V34</f>
        <v>0</v>
      </c>
      <c r="W44" s="138">
        <f>'RAW IMPORT'!W34</f>
        <v>0</v>
      </c>
      <c r="X44" s="138">
        <f>'RAW IMPORT'!X34</f>
        <v>0</v>
      </c>
      <c r="Y44" s="138">
        <f>'RAW IMPORT'!Y34</f>
        <v>0</v>
      </c>
      <c r="Z44" s="138">
        <f>'RAW IMPORT'!Z34</f>
        <v>0</v>
      </c>
      <c r="AA44" s="138">
        <f>'RAW IMPORT'!AA34</f>
        <v>0</v>
      </c>
      <c r="AB44" s="139">
        <f>'RAW IMPORT'!AB34</f>
        <v>0</v>
      </c>
      <c r="AC44" s="141">
        <f>'RAW IMPORT'!AC34</f>
        <v>4</v>
      </c>
      <c r="AD44" s="142">
        <f>'RAW IMPORT'!AD34</f>
        <v>7</v>
      </c>
      <c r="AE44" s="142">
        <f>'RAW IMPORT'!AE34</f>
        <v>0</v>
      </c>
      <c r="AF44" s="142">
        <f>IF('RAW IMPORT'!AF34="C1",3,IF('RAW IMPORT'!AF34="D1",4,0))</f>
        <v>4</v>
      </c>
      <c r="AG44" s="142">
        <f>'RAW IMPORT'!AG34</f>
        <v>1</v>
      </c>
      <c r="AH44" s="142">
        <f>'RAW IMPORT'!AH34</f>
        <v>5</v>
      </c>
      <c r="AI44" s="142">
        <f>IF('RAW IMPORT'!AI34="U",1,0)</f>
        <v>0</v>
      </c>
      <c r="AJ44" s="142">
        <f>IF('RAW IMPORT'!AJ34="A",1,0)</f>
        <v>1</v>
      </c>
      <c r="AK44" s="142">
        <f>IF('RAW IMPORT'!AK34="B",1,0)</f>
        <v>1</v>
      </c>
      <c r="AL44" s="142">
        <f>IF('RAW IMPORT'!AL34="U",1,0)</f>
        <v>1</v>
      </c>
      <c r="AM44" s="142">
        <f>IF('RAW IMPORT'!AM34&lt;&gt;"",1,0)</f>
        <v>1</v>
      </c>
      <c r="AN44" s="142">
        <f>IF('RAW IMPORT'!AN34&lt;&gt;"",1,0)</f>
        <v>1</v>
      </c>
      <c r="AO44" s="142">
        <f>IF('RAW IMPORT'!AO34&lt;&gt;"",1,0)</f>
        <v>1</v>
      </c>
      <c r="AP44" s="142">
        <f>IF('RAW IMPORT'!AP34&lt;&gt;"",1,0)</f>
        <v>1</v>
      </c>
      <c r="AQ44" s="142">
        <f>IF('RAW IMPORT'!AQ34&lt;&gt;"",1,0)</f>
        <v>1</v>
      </c>
      <c r="AR44" s="142">
        <f>IF('RAW IMPORT'!AR34&lt;&gt;"",1,0)</f>
        <v>1</v>
      </c>
      <c r="AS44" s="142">
        <f>IF('RAW IMPORT'!AS34&lt;&gt;"",1,0)</f>
        <v>1</v>
      </c>
      <c r="AT44" s="142">
        <f>IF('RAW IMPORT'!AT34&lt;&gt;"",1,0)</f>
        <v>1</v>
      </c>
      <c r="AU44" s="142">
        <f>IF('RAW IMPORT'!AU34&lt;&gt;"",1,0)</f>
        <v>1</v>
      </c>
      <c r="AV44" s="142">
        <f>IF('RAW IMPORT'!AV34&lt;&gt;"",1,0)</f>
        <v>1</v>
      </c>
      <c r="AW44" s="142">
        <f>IF('RAW IMPORT'!AW34&lt;&gt;"",1,0)</f>
        <v>1</v>
      </c>
      <c r="AX44" s="142">
        <f>IF('RAW IMPORT'!AX34&lt;&gt;"",1,0)</f>
        <v>1</v>
      </c>
      <c r="AY44" s="142">
        <f>IF('RAW IMPORT'!AY34&lt;&gt;"",1,0)</f>
        <v>1</v>
      </c>
      <c r="AZ44" s="142">
        <f>IF('RAW IMPORT'!AZ34&lt;&gt;"",1,0)</f>
        <v>1</v>
      </c>
      <c r="BA44" s="142">
        <f>IF('RAW IMPORT'!BA34&lt;&gt;"",1,0)</f>
        <v>1</v>
      </c>
      <c r="BB44" s="142">
        <f>IF('RAW IMPORT'!BB34&lt;&gt;"",1,0)</f>
        <v>1</v>
      </c>
      <c r="BC44" s="142">
        <f>IF('RAW IMPORT'!BC34&lt;&gt;"",1,0)</f>
        <v>0</v>
      </c>
      <c r="BD44" s="142">
        <f>IF('RAW IMPORT'!BD34&lt;&gt;"",1,0)</f>
        <v>1</v>
      </c>
      <c r="BE44" s="142">
        <f>IF('RAW IMPORT'!BE34&lt;&gt;"",1,0)</f>
        <v>1</v>
      </c>
      <c r="BF44" s="142">
        <f>IF('RAW IMPORT'!BF34&lt;&gt;"",1,0)</f>
        <v>0</v>
      </c>
      <c r="BG44" s="142">
        <f>IF('RAW IMPORT'!BG34&lt;&gt;"",1,0)</f>
        <v>1</v>
      </c>
      <c r="BH44" s="142">
        <f>IF('RAW IMPORT'!BH34&lt;&gt;"",1,0)</f>
        <v>1</v>
      </c>
      <c r="BI44" s="142">
        <f>IF('RAW IMPORT'!BI34&lt;&gt;"",1,0)</f>
        <v>1</v>
      </c>
      <c r="BJ44" s="142">
        <f>IF('RAW IMPORT'!BJ34&lt;&gt;"",1,0)</f>
        <v>1</v>
      </c>
      <c r="BK44" s="142">
        <f>IF('RAW IMPORT'!BK34&lt;&gt;"",1,0)</f>
        <v>1</v>
      </c>
      <c r="BL44" s="142">
        <f>IF('RAW IMPORT'!BL34&lt;&gt;"",1,0)</f>
        <v>1</v>
      </c>
      <c r="BM44" s="142">
        <f>'RAW IMPORT'!BM34</f>
        <v>1</v>
      </c>
      <c r="BN44" s="165">
        <f>'RAW IMPORT'!BN34</f>
        <v>0</v>
      </c>
      <c r="BO44" s="197">
        <f>'RAW IMPORT'!BO34</f>
        <v>1</v>
      </c>
      <c r="BP44" s="142" t="str">
        <f>'RAW IMPORT'!BP34</f>
        <v>PDF</v>
      </c>
      <c r="BQ44" s="141" t="str">
        <f>'RAW IMPORT'!BQ34</f>
        <v>SURF</v>
      </c>
      <c r="BR44" s="141">
        <f>'RAW IMPORT'!BR34</f>
        <v>2.35E-2</v>
      </c>
      <c r="BS44" s="141">
        <f>'RAW IMPORT'!BS34</f>
        <v>0.13800000000000001</v>
      </c>
      <c r="BT44" s="141">
        <f>'RAW IMPORT'!BT34</f>
        <v>6.2E-2</v>
      </c>
      <c r="BU44" s="141">
        <f>'RAW IMPORT'!BU34</f>
        <v>1.175E-2</v>
      </c>
      <c r="BV44" s="198">
        <f>'RAW IMPORT'!BV34</f>
        <v>0</v>
      </c>
      <c r="BW44" s="141">
        <f>'RAW IMPORT'!BW34</f>
        <v>20</v>
      </c>
      <c r="BX44" s="165">
        <f>'RAW IMPORT'!BX34</f>
        <v>73</v>
      </c>
      <c r="BY44" s="240"/>
      <c r="BZ44" s="126"/>
      <c r="CA44" s="143">
        <f t="shared" si="2"/>
        <v>30</v>
      </c>
      <c r="CB44" s="170">
        <f t="shared" ca="1" si="3"/>
        <v>31</v>
      </c>
      <c r="CC44" s="170" t="str">
        <f t="shared" ca="1" si="4"/>
        <v/>
      </c>
      <c r="CD44" s="204" t="str">
        <f t="shared" si="5"/>
        <v>"Model-8527":
    RETURN</v>
      </c>
      <c r="CE44" s="170">
        <v>5</v>
      </c>
    </row>
    <row r="45" spans="1:83" ht="15" customHeight="1" x14ac:dyDescent="0.25">
      <c r="A45" s="138" t="str">
        <f>'RAW IMPORT'!A35</f>
        <v>OGRO</v>
      </c>
      <c r="B45" s="139" t="str">
        <f>'RAW IMPORT'!B35</f>
        <v>8527A</v>
      </c>
      <c r="C45" s="142">
        <f>IF('RAW IMPORT'!C35&lt;&gt;"",1,0)</f>
        <v>1</v>
      </c>
      <c r="D45" s="142">
        <f>IF('RAW IMPORT'!D35&lt;&gt;"",1,0)</f>
        <v>1</v>
      </c>
      <c r="E45" s="142">
        <f>IF('RAW IMPORT'!E35&lt;&gt;"",1,0)</f>
        <v>0</v>
      </c>
      <c r="F45" s="142">
        <f>IF('RAW IMPORT'!F35&lt;&gt;"",1,0)</f>
        <v>0</v>
      </c>
      <c r="G45" s="142">
        <f>IF('RAW IMPORT'!G35&lt;&gt;"",1,0)</f>
        <v>0</v>
      </c>
      <c r="H45" s="142">
        <f>IF('RAW IMPORT'!H35&lt;&gt;"",1,0)</f>
        <v>0</v>
      </c>
      <c r="I45" s="142">
        <f>IF('RAW IMPORT'!I35&lt;&gt;"",1,0)</f>
        <v>0</v>
      </c>
      <c r="J45" s="142">
        <f>IF('RAW IMPORT'!J35&lt;&gt;"",1,0)</f>
        <v>0</v>
      </c>
      <c r="K45" s="142">
        <f>IF('RAW IMPORT'!K35&lt;&gt;"",1,0)</f>
        <v>0</v>
      </c>
      <c r="L45" s="142">
        <f>IF('RAW IMPORT'!L35&lt;&gt;"",1,0)</f>
        <v>0</v>
      </c>
      <c r="M45" s="142">
        <f>IF('RAW IMPORT'!M35&lt;&gt;"",1,0)</f>
        <v>0</v>
      </c>
      <c r="N45" s="165">
        <f>IF('RAW IMPORT'!N35&lt;&gt;"",1,0)</f>
        <v>0</v>
      </c>
      <c r="O45" s="167">
        <f>IF('RAW IMPORT'!O35&lt;&gt;"",1,0)</f>
        <v>1</v>
      </c>
      <c r="P45" s="142">
        <f>IF('RAW IMPORT'!P35&lt;&gt;"",1,0)</f>
        <v>0</v>
      </c>
      <c r="Q45" s="142">
        <f>IF('RAW IMPORT'!Q35&lt;&gt;"",1,0)</f>
        <v>0</v>
      </c>
      <c r="R45" s="138">
        <f>'RAW IMPORT'!R35</f>
        <v>0</v>
      </c>
      <c r="S45" s="138">
        <f>'RAW IMPORT'!S35</f>
        <v>7</v>
      </c>
      <c r="T45" s="138">
        <f>'RAW IMPORT'!T35</f>
        <v>5</v>
      </c>
      <c r="U45" s="138">
        <f>'RAW IMPORT'!U35</f>
        <v>0</v>
      </c>
      <c r="V45" s="138">
        <f>'RAW IMPORT'!V35</f>
        <v>0</v>
      </c>
      <c r="W45" s="138">
        <f>'RAW IMPORT'!W35</f>
        <v>0</v>
      </c>
      <c r="X45" s="138">
        <f>'RAW IMPORT'!X35</f>
        <v>0</v>
      </c>
      <c r="Y45" s="138">
        <f>'RAW IMPORT'!Y35</f>
        <v>0</v>
      </c>
      <c r="Z45" s="138">
        <f>'RAW IMPORT'!Z35</f>
        <v>0</v>
      </c>
      <c r="AA45" s="138">
        <f>'RAW IMPORT'!AA35</f>
        <v>0</v>
      </c>
      <c r="AB45" s="139">
        <f>'RAW IMPORT'!AB35</f>
        <v>0</v>
      </c>
      <c r="AC45" s="141">
        <f>'RAW IMPORT'!AC35</f>
        <v>4</v>
      </c>
      <c r="AD45" s="142">
        <f>'RAW IMPORT'!AD35</f>
        <v>7</v>
      </c>
      <c r="AE45" s="142">
        <f>'RAW IMPORT'!AE35</f>
        <v>0</v>
      </c>
      <c r="AF45" s="142">
        <f>IF('RAW IMPORT'!AF35="C1",3,IF('RAW IMPORT'!AF35="D1",4,0))</f>
        <v>4</v>
      </c>
      <c r="AG45" s="142">
        <f>'RAW IMPORT'!AG35</f>
        <v>1</v>
      </c>
      <c r="AH45" s="142">
        <f>'RAW IMPORT'!AH35</f>
        <v>5</v>
      </c>
      <c r="AI45" s="142">
        <f>IF('RAW IMPORT'!AI35="U",1,0)</f>
        <v>0</v>
      </c>
      <c r="AJ45" s="142">
        <f>IF('RAW IMPORT'!AJ35="A",1,0)</f>
        <v>1</v>
      </c>
      <c r="AK45" s="142">
        <f>IF('RAW IMPORT'!AK35="B",1,0)</f>
        <v>1</v>
      </c>
      <c r="AL45" s="142">
        <f>IF('RAW IMPORT'!AL35="U",1,0)</f>
        <v>1</v>
      </c>
      <c r="AM45" s="142">
        <f>IF('RAW IMPORT'!AM35&lt;&gt;"",1,0)</f>
        <v>1</v>
      </c>
      <c r="AN45" s="142">
        <f>IF('RAW IMPORT'!AN35&lt;&gt;"",1,0)</f>
        <v>1</v>
      </c>
      <c r="AO45" s="142">
        <f>IF('RAW IMPORT'!AO35&lt;&gt;"",1,0)</f>
        <v>1</v>
      </c>
      <c r="AP45" s="142">
        <f>IF('RAW IMPORT'!AP35&lt;&gt;"",1,0)</f>
        <v>1</v>
      </c>
      <c r="AQ45" s="142">
        <f>IF('RAW IMPORT'!AQ35&lt;&gt;"",1,0)</f>
        <v>1</v>
      </c>
      <c r="AR45" s="142">
        <f>IF('RAW IMPORT'!AR35&lt;&gt;"",1,0)</f>
        <v>1</v>
      </c>
      <c r="AS45" s="142">
        <f>IF('RAW IMPORT'!AS35&lt;&gt;"",1,0)</f>
        <v>1</v>
      </c>
      <c r="AT45" s="142">
        <f>IF('RAW IMPORT'!AT35&lt;&gt;"",1,0)</f>
        <v>1</v>
      </c>
      <c r="AU45" s="142">
        <f>IF('RAW IMPORT'!AU35&lt;&gt;"",1,0)</f>
        <v>1</v>
      </c>
      <c r="AV45" s="142">
        <f>IF('RAW IMPORT'!AV35&lt;&gt;"",1,0)</f>
        <v>1</v>
      </c>
      <c r="AW45" s="142">
        <f>IF('RAW IMPORT'!AW35&lt;&gt;"",1,0)</f>
        <v>0</v>
      </c>
      <c r="AX45" s="142">
        <f>IF('RAW IMPORT'!AX35&lt;&gt;"",1,0)</f>
        <v>0</v>
      </c>
      <c r="AY45" s="142">
        <f>IF('RAW IMPORT'!AY35&lt;&gt;"",1,0)</f>
        <v>0</v>
      </c>
      <c r="AZ45" s="142">
        <f>IF('RAW IMPORT'!AZ35&lt;&gt;"",1,0)</f>
        <v>0</v>
      </c>
      <c r="BA45" s="142">
        <f>IF('RAW IMPORT'!BA35&lt;&gt;"",1,0)</f>
        <v>0</v>
      </c>
      <c r="BB45" s="142">
        <f>IF('RAW IMPORT'!BB35&lt;&gt;"",1,0)</f>
        <v>0</v>
      </c>
      <c r="BC45" s="142">
        <f>IF('RAW IMPORT'!BC35&lt;&gt;"",1,0)</f>
        <v>1</v>
      </c>
      <c r="BD45" s="142">
        <f>IF('RAW IMPORT'!BD35&lt;&gt;"",1,0)</f>
        <v>1</v>
      </c>
      <c r="BE45" s="142">
        <f>IF('RAW IMPORT'!BE35&lt;&gt;"",1,0)</f>
        <v>1</v>
      </c>
      <c r="BF45" s="142">
        <f>IF('RAW IMPORT'!BF35&lt;&gt;"",1,0)</f>
        <v>0</v>
      </c>
      <c r="BG45" s="142">
        <f>IF('RAW IMPORT'!BG35&lt;&gt;"",1,0)</f>
        <v>1</v>
      </c>
      <c r="BH45" s="142">
        <f>IF('RAW IMPORT'!BH35&lt;&gt;"",1,0)</f>
        <v>1</v>
      </c>
      <c r="BI45" s="142">
        <f>IF('RAW IMPORT'!BI35&lt;&gt;"",1,0)</f>
        <v>1</v>
      </c>
      <c r="BJ45" s="142">
        <f>IF('RAW IMPORT'!BJ35&lt;&gt;"",1,0)</f>
        <v>1</v>
      </c>
      <c r="BK45" s="142">
        <f>IF('RAW IMPORT'!BK35&lt;&gt;"",1,0)</f>
        <v>1</v>
      </c>
      <c r="BL45" s="142">
        <f>IF('RAW IMPORT'!BL35&lt;&gt;"",1,0)</f>
        <v>0</v>
      </c>
      <c r="BM45" s="142">
        <f>'RAW IMPORT'!BM35</f>
        <v>1</v>
      </c>
      <c r="BN45" s="165">
        <f>'RAW IMPORT'!BN35</f>
        <v>0</v>
      </c>
      <c r="BO45" s="197">
        <f>'RAW IMPORT'!BO35</f>
        <v>0</v>
      </c>
      <c r="BP45" s="142" t="str">
        <f>'RAW IMPORT'!BP35</f>
        <v>PDF</v>
      </c>
      <c r="BQ45" s="141">
        <f>'RAW IMPORT'!BQ35</f>
        <v>0</v>
      </c>
      <c r="BR45" s="141">
        <f>'RAW IMPORT'!BR35</f>
        <v>2.1999999999999999E-2</v>
      </c>
      <c r="BS45" s="141">
        <f>'RAW IMPORT'!BS35</f>
        <v>0.16</v>
      </c>
      <c r="BT45" s="141">
        <f>'RAW IMPORT'!BT35</f>
        <v>6.0999999999999999E-2</v>
      </c>
      <c r="BU45" s="141">
        <f>'RAW IMPORT'!BU35</f>
        <v>1.0999999999999999E-2</v>
      </c>
      <c r="BV45" s="198">
        <f>'RAW IMPORT'!BV35</f>
        <v>0</v>
      </c>
      <c r="BW45" s="141">
        <f>'RAW IMPORT'!BW35</f>
        <v>0</v>
      </c>
      <c r="BX45" s="165">
        <f>'RAW IMPORT'!BX35</f>
        <v>74</v>
      </c>
      <c r="BY45" s="240"/>
      <c r="BZ45" s="126"/>
      <c r="CA45" s="143">
        <f t="shared" si="2"/>
        <v>31</v>
      </c>
      <c r="CB45" s="170">
        <f t="shared" ca="1" si="3"/>
        <v>32</v>
      </c>
      <c r="CC45" s="170" t="str">
        <f t="shared" ca="1" si="4"/>
        <v/>
      </c>
      <c r="CD45" s="204" t="str">
        <f t="shared" si="5"/>
        <v>"Model-8527A":
    RETURN</v>
      </c>
      <c r="CE45" s="170"/>
    </row>
    <row r="46" spans="1:83" ht="15" customHeight="1" x14ac:dyDescent="0.25">
      <c r="A46" s="138" t="str">
        <f>'RAW IMPORT'!A36</f>
        <v>OGRO</v>
      </c>
      <c r="B46" s="139">
        <f>'RAW IMPORT'!B36</f>
        <v>8810</v>
      </c>
      <c r="C46" s="142">
        <f>IF('RAW IMPORT'!C36&lt;&gt;"",1,0)</f>
        <v>1</v>
      </c>
      <c r="D46" s="142">
        <f>IF('RAW IMPORT'!D36&lt;&gt;"",1,0)</f>
        <v>1</v>
      </c>
      <c r="E46" s="142">
        <f>IF('RAW IMPORT'!E36&lt;&gt;"",1,0)</f>
        <v>0</v>
      </c>
      <c r="F46" s="142">
        <f>IF('RAW IMPORT'!F36&lt;&gt;"",1,0)</f>
        <v>0</v>
      </c>
      <c r="G46" s="142">
        <f>IF('RAW IMPORT'!G36&lt;&gt;"",1,0)</f>
        <v>0</v>
      </c>
      <c r="H46" s="142">
        <f>IF('RAW IMPORT'!H36&lt;&gt;"",1,0)</f>
        <v>0</v>
      </c>
      <c r="I46" s="142">
        <f>IF('RAW IMPORT'!I36&lt;&gt;"",1,0)</f>
        <v>0</v>
      </c>
      <c r="J46" s="142">
        <f>IF('RAW IMPORT'!J36&lt;&gt;"",1,0)</f>
        <v>0</v>
      </c>
      <c r="K46" s="142">
        <f>IF('RAW IMPORT'!K36&lt;&gt;"",1,0)</f>
        <v>0</v>
      </c>
      <c r="L46" s="142">
        <f>IF('RAW IMPORT'!L36&lt;&gt;"",1,0)</f>
        <v>0</v>
      </c>
      <c r="M46" s="142">
        <f>IF('RAW IMPORT'!M36&lt;&gt;"",1,0)</f>
        <v>0</v>
      </c>
      <c r="N46" s="165">
        <f>IF('RAW IMPORT'!N36&lt;&gt;"",1,0)</f>
        <v>0</v>
      </c>
      <c r="O46" s="167">
        <f>IF('RAW IMPORT'!O36&lt;&gt;"",1,0)</f>
        <v>1</v>
      </c>
      <c r="P46" s="142">
        <f>IF('RAW IMPORT'!P36&lt;&gt;"",1,0)</f>
        <v>1</v>
      </c>
      <c r="Q46" s="142">
        <f>IF('RAW IMPORT'!Q36&lt;&gt;"",1,0)</f>
        <v>0</v>
      </c>
      <c r="R46" s="138">
        <f>'RAW IMPORT'!R36</f>
        <v>0</v>
      </c>
      <c r="S46" s="138">
        <f>'RAW IMPORT'!S36</f>
        <v>7</v>
      </c>
      <c r="T46" s="138">
        <f>'RAW IMPORT'!T36</f>
        <v>5</v>
      </c>
      <c r="U46" s="138">
        <f>'RAW IMPORT'!U36</f>
        <v>0</v>
      </c>
      <c r="V46" s="138">
        <f>'RAW IMPORT'!V36</f>
        <v>0</v>
      </c>
      <c r="W46" s="138">
        <f>'RAW IMPORT'!W36</f>
        <v>0</v>
      </c>
      <c r="X46" s="138">
        <f>'RAW IMPORT'!X36</f>
        <v>0</v>
      </c>
      <c r="Y46" s="138">
        <f>'RAW IMPORT'!Y36</f>
        <v>0</v>
      </c>
      <c r="Z46" s="138">
        <f>'RAW IMPORT'!Z36</f>
        <v>0</v>
      </c>
      <c r="AA46" s="138">
        <f>'RAW IMPORT'!AA36</f>
        <v>0</v>
      </c>
      <c r="AB46" s="139">
        <f>'RAW IMPORT'!AB36</f>
        <v>0</v>
      </c>
      <c r="AC46" s="141">
        <f>'RAW IMPORT'!AC36</f>
        <v>4</v>
      </c>
      <c r="AD46" s="142">
        <f>'RAW IMPORT'!AD36</f>
        <v>7</v>
      </c>
      <c r="AE46" s="142">
        <f>'RAW IMPORT'!AE36</f>
        <v>0</v>
      </c>
      <c r="AF46" s="142">
        <f>IF('RAW IMPORT'!AF36="C1",3,IF('RAW IMPORT'!AF36="D1",4,0))</f>
        <v>4</v>
      </c>
      <c r="AG46" s="142">
        <f>'RAW IMPORT'!AG36</f>
        <v>1</v>
      </c>
      <c r="AH46" s="142">
        <f>'RAW IMPORT'!AH36</f>
        <v>5</v>
      </c>
      <c r="AI46" s="142">
        <f>IF('RAW IMPORT'!AI36="U",1,0)</f>
        <v>0</v>
      </c>
      <c r="AJ46" s="142">
        <f>IF('RAW IMPORT'!AJ36="A",1,0)</f>
        <v>1</v>
      </c>
      <c r="AK46" s="142">
        <f>IF('RAW IMPORT'!AK36="B",1,0)</f>
        <v>1</v>
      </c>
      <c r="AL46" s="142">
        <f>IF('RAW IMPORT'!AL36="U",1,0)</f>
        <v>1</v>
      </c>
      <c r="AM46" s="142">
        <f>IF('RAW IMPORT'!AM36&lt;&gt;"",1,0)</f>
        <v>1</v>
      </c>
      <c r="AN46" s="142">
        <f>IF('RAW IMPORT'!AN36&lt;&gt;"",1,0)</f>
        <v>1</v>
      </c>
      <c r="AO46" s="142">
        <f>IF('RAW IMPORT'!AO36&lt;&gt;"",1,0)</f>
        <v>1</v>
      </c>
      <c r="AP46" s="142">
        <f>IF('RAW IMPORT'!AP36&lt;&gt;"",1,0)</f>
        <v>1</v>
      </c>
      <c r="AQ46" s="142">
        <f>IF('RAW IMPORT'!AQ36&lt;&gt;"",1,0)</f>
        <v>1</v>
      </c>
      <c r="AR46" s="142">
        <f>IF('RAW IMPORT'!AR36&lt;&gt;"",1,0)</f>
        <v>1</v>
      </c>
      <c r="AS46" s="142">
        <f>IF('RAW IMPORT'!AS36&lt;&gt;"",1,0)</f>
        <v>1</v>
      </c>
      <c r="AT46" s="142">
        <f>IF('RAW IMPORT'!AT36&lt;&gt;"",1,0)</f>
        <v>1</v>
      </c>
      <c r="AU46" s="142">
        <f>IF('RAW IMPORT'!AU36&lt;&gt;"",1,0)</f>
        <v>0</v>
      </c>
      <c r="AV46" s="142">
        <f>IF('RAW IMPORT'!AV36&lt;&gt;"",1,0)</f>
        <v>1</v>
      </c>
      <c r="AW46" s="142">
        <f>IF('RAW IMPORT'!AW36&lt;&gt;"",1,0)</f>
        <v>1</v>
      </c>
      <c r="AX46" s="142">
        <f>IF('RAW IMPORT'!AX36&lt;&gt;"",1,0)</f>
        <v>1</v>
      </c>
      <c r="AY46" s="142">
        <f>IF('RAW IMPORT'!AY36&lt;&gt;"",1,0)</f>
        <v>1</v>
      </c>
      <c r="AZ46" s="142">
        <f>IF('RAW IMPORT'!AZ36&lt;&gt;"",1,0)</f>
        <v>1</v>
      </c>
      <c r="BA46" s="142">
        <f>IF('RAW IMPORT'!BA36&lt;&gt;"",1,0)</f>
        <v>1</v>
      </c>
      <c r="BB46" s="142">
        <f>IF('RAW IMPORT'!BB36&lt;&gt;"",1,0)</f>
        <v>1</v>
      </c>
      <c r="BC46" s="142">
        <f>IF('RAW IMPORT'!BC36&lt;&gt;"",1,0)</f>
        <v>0</v>
      </c>
      <c r="BD46" s="142">
        <f>IF('RAW IMPORT'!BD36&lt;&gt;"",1,0)</f>
        <v>1</v>
      </c>
      <c r="BE46" s="142">
        <f>IF('RAW IMPORT'!BE36&lt;&gt;"",1,0)</f>
        <v>1</v>
      </c>
      <c r="BF46" s="142">
        <f>IF('RAW IMPORT'!BF36&lt;&gt;"",1,0)</f>
        <v>0</v>
      </c>
      <c r="BG46" s="142">
        <f>IF('RAW IMPORT'!BG36&lt;&gt;"",1,0)</f>
        <v>1</v>
      </c>
      <c r="BH46" s="142">
        <f>IF('RAW IMPORT'!BH36&lt;&gt;"",1,0)</f>
        <v>1</v>
      </c>
      <c r="BI46" s="142">
        <f>IF('RAW IMPORT'!BI36&lt;&gt;"",1,0)</f>
        <v>1</v>
      </c>
      <c r="BJ46" s="142">
        <f>IF('RAW IMPORT'!BJ36&lt;&gt;"",1,0)</f>
        <v>1</v>
      </c>
      <c r="BK46" s="142">
        <f>IF('RAW IMPORT'!BK36&lt;&gt;"",1,0)</f>
        <v>1</v>
      </c>
      <c r="BL46" s="142">
        <f>IF('RAW IMPORT'!BL36&lt;&gt;"",1,0)</f>
        <v>1</v>
      </c>
      <c r="BM46" s="142">
        <f>'RAW IMPORT'!BM36</f>
        <v>1</v>
      </c>
      <c r="BN46" s="165">
        <f>'RAW IMPORT'!BN36</f>
        <v>0</v>
      </c>
      <c r="BO46" s="197">
        <f>'RAW IMPORT'!BO36</f>
        <v>0</v>
      </c>
      <c r="BP46" s="142" t="str">
        <f>'RAW IMPORT'!BP36</f>
        <v>PDF</v>
      </c>
      <c r="BQ46" s="141">
        <f>'RAW IMPORT'!BQ36</f>
        <v>0</v>
      </c>
      <c r="BR46" s="141">
        <f>'RAW IMPORT'!BR36</f>
        <v>0.02</v>
      </c>
      <c r="BS46" s="141">
        <f>'RAW IMPORT'!BS36</f>
        <v>0.15</v>
      </c>
      <c r="BT46" s="141">
        <f>'RAW IMPORT'!BT36</f>
        <v>6.5000000000000002E-2</v>
      </c>
      <c r="BU46" s="141">
        <f>'RAW IMPORT'!BU36</f>
        <v>0.01</v>
      </c>
      <c r="BV46" s="198">
        <f>'RAW IMPORT'!BV36</f>
        <v>0</v>
      </c>
      <c r="BW46" s="141">
        <f>'RAW IMPORT'!BW36</f>
        <v>21</v>
      </c>
      <c r="BX46" s="165">
        <f>'RAW IMPORT'!BX36</f>
        <v>0</v>
      </c>
      <c r="BY46" s="240"/>
      <c r="BZ46" s="126"/>
      <c r="CA46" s="143">
        <f t="shared" si="2"/>
        <v>32</v>
      </c>
      <c r="CB46" s="170">
        <f t="shared" ca="1" si="3"/>
        <v>33</v>
      </c>
      <c r="CC46" s="170" t="str">
        <f t="shared" ca="1" si="4"/>
        <v/>
      </c>
      <c r="CD46" s="204" t="str">
        <f t="shared" si="5"/>
        <v>"Model-8810":
    RETURN</v>
      </c>
      <c r="CE46" s="170"/>
    </row>
    <row r="47" spans="1:83" ht="15" customHeight="1" x14ac:dyDescent="0.25">
      <c r="A47" s="138" t="str">
        <f>'RAW IMPORT'!A37</f>
        <v>OGRO</v>
      </c>
      <c r="B47" s="139">
        <f>'RAW IMPORT'!B37</f>
        <v>8811</v>
      </c>
      <c r="C47" s="142">
        <f>IF('RAW IMPORT'!C37&lt;&gt;"",1,0)</f>
        <v>1</v>
      </c>
      <c r="D47" s="142">
        <f>IF('RAW IMPORT'!D37&lt;&gt;"",1,0)</f>
        <v>1</v>
      </c>
      <c r="E47" s="142">
        <f>IF('RAW IMPORT'!E37&lt;&gt;"",1,0)</f>
        <v>0</v>
      </c>
      <c r="F47" s="142">
        <f>IF('RAW IMPORT'!F37&lt;&gt;"",1,0)</f>
        <v>0</v>
      </c>
      <c r="G47" s="142">
        <f>IF('RAW IMPORT'!G37&lt;&gt;"",1,0)</f>
        <v>0</v>
      </c>
      <c r="H47" s="142">
        <f>IF('RAW IMPORT'!H37&lt;&gt;"",1,0)</f>
        <v>0</v>
      </c>
      <c r="I47" s="142">
        <f>IF('RAW IMPORT'!I37&lt;&gt;"",1,0)</f>
        <v>0</v>
      </c>
      <c r="J47" s="142">
        <f>IF('RAW IMPORT'!J37&lt;&gt;"",1,0)</f>
        <v>0</v>
      </c>
      <c r="K47" s="142">
        <f>IF('RAW IMPORT'!K37&lt;&gt;"",1,0)</f>
        <v>0</v>
      </c>
      <c r="L47" s="142">
        <f>IF('RAW IMPORT'!L37&lt;&gt;"",1,0)</f>
        <v>0</v>
      </c>
      <c r="M47" s="142">
        <f>IF('RAW IMPORT'!M37&lt;&gt;"",1,0)</f>
        <v>0</v>
      </c>
      <c r="N47" s="165">
        <f>IF('RAW IMPORT'!N37&lt;&gt;"",1,0)</f>
        <v>0</v>
      </c>
      <c r="O47" s="167">
        <f>IF('RAW IMPORT'!O37&lt;&gt;"",1,0)</f>
        <v>1</v>
      </c>
      <c r="P47" s="142">
        <f>IF('RAW IMPORT'!P37&lt;&gt;"",1,0)</f>
        <v>0</v>
      </c>
      <c r="Q47" s="142">
        <f>IF('RAW IMPORT'!Q37&lt;&gt;"",1,0)</f>
        <v>0</v>
      </c>
      <c r="R47" s="138">
        <f>'RAW IMPORT'!R37</f>
        <v>0</v>
      </c>
      <c r="S47" s="138">
        <f>'RAW IMPORT'!S37</f>
        <v>7</v>
      </c>
      <c r="T47" s="138">
        <f>'RAW IMPORT'!T37</f>
        <v>5</v>
      </c>
      <c r="U47" s="138">
        <f>'RAW IMPORT'!U37</f>
        <v>0</v>
      </c>
      <c r="V47" s="138">
        <f>'RAW IMPORT'!V37</f>
        <v>0</v>
      </c>
      <c r="W47" s="138">
        <f>'RAW IMPORT'!W37</f>
        <v>0</v>
      </c>
      <c r="X47" s="138">
        <f>'RAW IMPORT'!X37</f>
        <v>0</v>
      </c>
      <c r="Y47" s="138">
        <f>'RAW IMPORT'!Y37</f>
        <v>0</v>
      </c>
      <c r="Z47" s="138">
        <f>'RAW IMPORT'!Z37</f>
        <v>0</v>
      </c>
      <c r="AA47" s="138">
        <f>'RAW IMPORT'!AA37</f>
        <v>0</v>
      </c>
      <c r="AB47" s="139">
        <f>'RAW IMPORT'!AB37</f>
        <v>0</v>
      </c>
      <c r="AC47" s="141">
        <f>'RAW IMPORT'!AC37</f>
        <v>4</v>
      </c>
      <c r="AD47" s="142">
        <f>'RAW IMPORT'!AD37</f>
        <v>7</v>
      </c>
      <c r="AE47" s="142">
        <f>'RAW IMPORT'!AE37</f>
        <v>0</v>
      </c>
      <c r="AF47" s="142">
        <f>IF('RAW IMPORT'!AF37="C1",3,IF('RAW IMPORT'!AF37="D1",4,0))</f>
        <v>4</v>
      </c>
      <c r="AG47" s="142">
        <f>'RAW IMPORT'!AG37</f>
        <v>1</v>
      </c>
      <c r="AH47" s="142">
        <f>'RAW IMPORT'!AH37</f>
        <v>5</v>
      </c>
      <c r="AI47" s="142">
        <f>IF('RAW IMPORT'!AI37="U",1,0)</f>
        <v>0</v>
      </c>
      <c r="AJ47" s="142">
        <f>IF('RAW IMPORT'!AJ37="A",1,0)</f>
        <v>1</v>
      </c>
      <c r="AK47" s="142">
        <f>IF('RAW IMPORT'!AK37="B",1,0)</f>
        <v>1</v>
      </c>
      <c r="AL47" s="142">
        <f>IF('RAW IMPORT'!AL37="U",1,0)</f>
        <v>1</v>
      </c>
      <c r="AM47" s="142">
        <f>IF('RAW IMPORT'!AM37&lt;&gt;"",1,0)</f>
        <v>1</v>
      </c>
      <c r="AN47" s="142">
        <f>IF('RAW IMPORT'!AN37&lt;&gt;"",1,0)</f>
        <v>1</v>
      </c>
      <c r="AO47" s="142">
        <f>IF('RAW IMPORT'!AO37&lt;&gt;"",1,0)</f>
        <v>1</v>
      </c>
      <c r="AP47" s="142">
        <f>IF('RAW IMPORT'!AP37&lt;&gt;"",1,0)</f>
        <v>1</v>
      </c>
      <c r="AQ47" s="142">
        <f>IF('RAW IMPORT'!AQ37&lt;&gt;"",1,0)</f>
        <v>1</v>
      </c>
      <c r="AR47" s="142">
        <f>IF('RAW IMPORT'!AR37&lt;&gt;"",1,0)</f>
        <v>1</v>
      </c>
      <c r="AS47" s="142">
        <f>IF('RAW IMPORT'!AS37&lt;&gt;"",1,0)</f>
        <v>1</v>
      </c>
      <c r="AT47" s="142">
        <f>IF('RAW IMPORT'!AT37&lt;&gt;"",1,0)</f>
        <v>1</v>
      </c>
      <c r="AU47" s="142">
        <f>IF('RAW IMPORT'!AU37&lt;&gt;"",1,0)</f>
        <v>0</v>
      </c>
      <c r="AV47" s="142">
        <f>IF('RAW IMPORT'!AV37&lt;&gt;"",1,0)</f>
        <v>1</v>
      </c>
      <c r="AW47" s="142">
        <f>IF('RAW IMPORT'!AW37&lt;&gt;"",1,0)</f>
        <v>1</v>
      </c>
      <c r="AX47" s="142">
        <f>IF('RAW IMPORT'!AX37&lt;&gt;"",1,0)</f>
        <v>1</v>
      </c>
      <c r="AY47" s="142">
        <f>IF('RAW IMPORT'!AY37&lt;&gt;"",1,0)</f>
        <v>1</v>
      </c>
      <c r="AZ47" s="142">
        <f>IF('RAW IMPORT'!AZ37&lt;&gt;"",1,0)</f>
        <v>1</v>
      </c>
      <c r="BA47" s="142">
        <f>IF('RAW IMPORT'!BA37&lt;&gt;"",1,0)</f>
        <v>1</v>
      </c>
      <c r="BB47" s="142">
        <f>IF('RAW IMPORT'!BB37&lt;&gt;"",1,0)</f>
        <v>1</v>
      </c>
      <c r="BC47" s="142">
        <f>IF('RAW IMPORT'!BC37&lt;&gt;"",1,0)</f>
        <v>0</v>
      </c>
      <c r="BD47" s="142">
        <f>IF('RAW IMPORT'!BD37&lt;&gt;"",1,0)</f>
        <v>1</v>
      </c>
      <c r="BE47" s="142">
        <f>IF('RAW IMPORT'!BE37&lt;&gt;"",1,0)</f>
        <v>1</v>
      </c>
      <c r="BF47" s="142">
        <f>IF('RAW IMPORT'!BF37&lt;&gt;"",1,0)</f>
        <v>0</v>
      </c>
      <c r="BG47" s="142">
        <f>IF('RAW IMPORT'!BG37&lt;&gt;"",1,0)</f>
        <v>1</v>
      </c>
      <c r="BH47" s="142">
        <f>IF('RAW IMPORT'!BH37&lt;&gt;"",1,0)</f>
        <v>1</v>
      </c>
      <c r="BI47" s="142">
        <f>IF('RAW IMPORT'!BI37&lt;&gt;"",1,0)</f>
        <v>1</v>
      </c>
      <c r="BJ47" s="142">
        <f>IF('RAW IMPORT'!BJ37&lt;&gt;"",1,0)</f>
        <v>1</v>
      </c>
      <c r="BK47" s="142">
        <f>IF('RAW IMPORT'!BK37&lt;&gt;"",1,0)</f>
        <v>1</v>
      </c>
      <c r="BL47" s="142">
        <f>IF('RAW IMPORT'!BL37&lt;&gt;"",1,0)</f>
        <v>1</v>
      </c>
      <c r="BM47" s="142">
        <f>'RAW IMPORT'!BM37</f>
        <v>1</v>
      </c>
      <c r="BN47" s="165">
        <f>'RAW IMPORT'!BN37</f>
        <v>0</v>
      </c>
      <c r="BO47" s="197">
        <f>'RAW IMPORT'!BO37</f>
        <v>0</v>
      </c>
      <c r="BP47" s="142" t="str">
        <f>'RAW IMPORT'!BP37</f>
        <v>PDF</v>
      </c>
      <c r="BQ47" s="141">
        <f>'RAW IMPORT'!BQ37</f>
        <v>0</v>
      </c>
      <c r="BR47" s="141">
        <f>'RAW IMPORT'!BR37</f>
        <v>0.02</v>
      </c>
      <c r="BS47" s="141">
        <f>'RAW IMPORT'!BS37</f>
        <v>0.15</v>
      </c>
      <c r="BT47" s="141">
        <f>'RAW IMPORT'!BT37</f>
        <v>6.5000000000000002E-2</v>
      </c>
      <c r="BU47" s="141">
        <f>'RAW IMPORT'!BU37</f>
        <v>0.01</v>
      </c>
      <c r="BV47" s="198">
        <f>'RAW IMPORT'!BV37</f>
        <v>0</v>
      </c>
      <c r="BW47" s="141">
        <f>'RAW IMPORT'!BW37</f>
        <v>22</v>
      </c>
      <c r="BX47" s="165">
        <f>'RAW IMPORT'!BX37</f>
        <v>0</v>
      </c>
      <c r="BY47" s="240"/>
      <c r="BZ47" s="126"/>
      <c r="CA47" s="143">
        <f t="shared" ref="CA47:CA78" si="6">ROW()-ROW($BZ$14)</f>
        <v>33</v>
      </c>
      <c r="CB47" s="170">
        <f t="shared" ref="CB47:CB83" ca="1" si="7">IFERROR(VLOOKUP(CB$4,OFFSET($A$15:$CA$207,CB46,0),COLUMNS($A$1:$CB$4)-1,0),"")</f>
        <v>34</v>
      </c>
      <c r="CC47" s="170" t="str">
        <f t="shared" ref="CC47:CC83" ca="1" si="8">IFERROR(VLOOKUP(CC$4,OFFSET($A$15:$CA$207,CC46,0),COLUMNS($A$1:$CB$4)-1,0),"")</f>
        <v/>
      </c>
      <c r="CD47" s="204" t="str">
        <f t="shared" ref="CD47:CD78" si="9">HK&amp;"Model-"&amp;B47&amp;HK&amp;":"&amp;CRLF&amp;TB&amp;"RETURN"</f>
        <v>"Model-8811":
    RETURN</v>
      </c>
      <c r="CE47" s="170"/>
    </row>
    <row r="48" spans="1:83" ht="15" customHeight="1" x14ac:dyDescent="0.25">
      <c r="A48" s="138" t="str">
        <f>'RAW IMPORT'!A38</f>
        <v>OGRO</v>
      </c>
      <c r="B48" s="139">
        <f>'RAW IMPORT'!B38</f>
        <v>8815</v>
      </c>
      <c r="C48" s="142">
        <f>IF('RAW IMPORT'!C38&lt;&gt;"",1,0)</f>
        <v>1</v>
      </c>
      <c r="D48" s="142">
        <f>IF('RAW IMPORT'!D38&lt;&gt;"",1,0)</f>
        <v>1</v>
      </c>
      <c r="E48" s="142">
        <f>IF('RAW IMPORT'!E38&lt;&gt;"",1,0)</f>
        <v>0</v>
      </c>
      <c r="F48" s="142">
        <f>IF('RAW IMPORT'!F38&lt;&gt;"",1,0)</f>
        <v>0</v>
      </c>
      <c r="G48" s="142">
        <f>IF('RAW IMPORT'!G38&lt;&gt;"",1,0)</f>
        <v>0</v>
      </c>
      <c r="H48" s="142">
        <f>IF('RAW IMPORT'!H38&lt;&gt;"",1,0)</f>
        <v>0</v>
      </c>
      <c r="I48" s="142">
        <f>IF('RAW IMPORT'!I38&lt;&gt;"",1,0)</f>
        <v>0</v>
      </c>
      <c r="J48" s="142">
        <f>IF('RAW IMPORT'!J38&lt;&gt;"",1,0)</f>
        <v>0</v>
      </c>
      <c r="K48" s="142">
        <f>IF('RAW IMPORT'!K38&lt;&gt;"",1,0)</f>
        <v>0</v>
      </c>
      <c r="L48" s="142">
        <f>IF('RAW IMPORT'!L38&lt;&gt;"",1,0)</f>
        <v>0</v>
      </c>
      <c r="M48" s="142">
        <f>IF('RAW IMPORT'!M38&lt;&gt;"",1,0)</f>
        <v>0</v>
      </c>
      <c r="N48" s="165">
        <f>IF('RAW IMPORT'!N38&lt;&gt;"",1,0)</f>
        <v>0</v>
      </c>
      <c r="O48" s="167">
        <f>IF('RAW IMPORT'!O38&lt;&gt;"",1,0)</f>
        <v>0</v>
      </c>
      <c r="P48" s="142">
        <f>IF('RAW IMPORT'!P38&lt;&gt;"",1,0)</f>
        <v>0</v>
      </c>
      <c r="Q48" s="142">
        <f>IF('RAW IMPORT'!Q38&lt;&gt;"",1,0)</f>
        <v>0</v>
      </c>
      <c r="R48" s="138">
        <f>'RAW IMPORT'!R38</f>
        <v>0</v>
      </c>
      <c r="S48" s="138">
        <f>'RAW IMPORT'!S38</f>
        <v>7</v>
      </c>
      <c r="T48" s="138">
        <f>'RAW IMPORT'!T38</f>
        <v>5</v>
      </c>
      <c r="U48" s="138">
        <f>'RAW IMPORT'!U38</f>
        <v>0</v>
      </c>
      <c r="V48" s="138">
        <f>'RAW IMPORT'!V38</f>
        <v>0</v>
      </c>
      <c r="W48" s="138">
        <f>'RAW IMPORT'!W38</f>
        <v>0</v>
      </c>
      <c r="X48" s="138">
        <f>'RAW IMPORT'!X38</f>
        <v>0</v>
      </c>
      <c r="Y48" s="138">
        <f>'RAW IMPORT'!Y38</f>
        <v>0</v>
      </c>
      <c r="Z48" s="138">
        <f>'RAW IMPORT'!Z38</f>
        <v>0</v>
      </c>
      <c r="AA48" s="138">
        <f>'RAW IMPORT'!AA38</f>
        <v>0</v>
      </c>
      <c r="AB48" s="139">
        <f>'RAW IMPORT'!AB38</f>
        <v>0</v>
      </c>
      <c r="AC48" s="141">
        <f>'RAW IMPORT'!AC38</f>
        <v>4</v>
      </c>
      <c r="AD48" s="142">
        <f>'RAW IMPORT'!AD38</f>
        <v>7</v>
      </c>
      <c r="AE48" s="142">
        <f>'RAW IMPORT'!AE38</f>
        <v>0</v>
      </c>
      <c r="AF48" s="142">
        <f>IF('RAW IMPORT'!AF38="C1",3,IF('RAW IMPORT'!AF38="D1",4,0))</f>
        <v>4</v>
      </c>
      <c r="AG48" s="142">
        <f>'RAW IMPORT'!AG38</f>
        <v>1</v>
      </c>
      <c r="AH48" s="142">
        <f>'RAW IMPORT'!AH38</f>
        <v>5</v>
      </c>
      <c r="AI48" s="142">
        <f>IF('RAW IMPORT'!AI38="U",1,0)</f>
        <v>0</v>
      </c>
      <c r="AJ48" s="142">
        <f>IF('RAW IMPORT'!AJ38="A",1,0)</f>
        <v>1</v>
      </c>
      <c r="AK48" s="142">
        <f>IF('RAW IMPORT'!AK38="B",1,0)</f>
        <v>1</v>
      </c>
      <c r="AL48" s="142">
        <f>IF('RAW IMPORT'!AL38="U",1,0)</f>
        <v>1</v>
      </c>
      <c r="AM48" s="142">
        <f>IF('RAW IMPORT'!AM38&lt;&gt;"",1,0)</f>
        <v>1</v>
      </c>
      <c r="AN48" s="142">
        <f>IF('RAW IMPORT'!AN38&lt;&gt;"",1,0)</f>
        <v>1</v>
      </c>
      <c r="AO48" s="142">
        <f>IF('RAW IMPORT'!AO38&lt;&gt;"",1,0)</f>
        <v>1</v>
      </c>
      <c r="AP48" s="142">
        <f>IF('RAW IMPORT'!AP38&lt;&gt;"",1,0)</f>
        <v>1</v>
      </c>
      <c r="AQ48" s="142">
        <f>IF('RAW IMPORT'!AQ38&lt;&gt;"",1,0)</f>
        <v>1</v>
      </c>
      <c r="AR48" s="142">
        <f>IF('RAW IMPORT'!AR38&lt;&gt;"",1,0)</f>
        <v>1</v>
      </c>
      <c r="AS48" s="142">
        <f>IF('RAW IMPORT'!AS38&lt;&gt;"",1,0)</f>
        <v>1</v>
      </c>
      <c r="AT48" s="142">
        <f>IF('RAW IMPORT'!AT38&lt;&gt;"",1,0)</f>
        <v>1</v>
      </c>
      <c r="AU48" s="142">
        <f>IF('RAW IMPORT'!AU38&lt;&gt;"",1,0)</f>
        <v>0</v>
      </c>
      <c r="AV48" s="142">
        <f>IF('RAW IMPORT'!AV38&lt;&gt;"",1,0)</f>
        <v>1</v>
      </c>
      <c r="AW48" s="142">
        <f>IF('RAW IMPORT'!AW38&lt;&gt;"",1,0)</f>
        <v>1</v>
      </c>
      <c r="AX48" s="142">
        <f>IF('RAW IMPORT'!AX38&lt;&gt;"",1,0)</f>
        <v>1</v>
      </c>
      <c r="AY48" s="142">
        <f>IF('RAW IMPORT'!AY38&lt;&gt;"",1,0)</f>
        <v>1</v>
      </c>
      <c r="AZ48" s="142">
        <f>IF('RAW IMPORT'!AZ38&lt;&gt;"",1,0)</f>
        <v>1</v>
      </c>
      <c r="BA48" s="142">
        <f>IF('RAW IMPORT'!BA38&lt;&gt;"",1,0)</f>
        <v>1</v>
      </c>
      <c r="BB48" s="142">
        <f>IF('RAW IMPORT'!BB38&lt;&gt;"",1,0)</f>
        <v>1</v>
      </c>
      <c r="BC48" s="142">
        <f>IF('RAW IMPORT'!BC38&lt;&gt;"",1,0)</f>
        <v>0</v>
      </c>
      <c r="BD48" s="142">
        <f>IF('RAW IMPORT'!BD38&lt;&gt;"",1,0)</f>
        <v>1</v>
      </c>
      <c r="BE48" s="142">
        <f>IF('RAW IMPORT'!BE38&lt;&gt;"",1,0)</f>
        <v>1</v>
      </c>
      <c r="BF48" s="142">
        <f>IF('RAW IMPORT'!BF38&lt;&gt;"",1,0)</f>
        <v>0</v>
      </c>
      <c r="BG48" s="142">
        <f>IF('RAW IMPORT'!BG38&lt;&gt;"",1,0)</f>
        <v>1</v>
      </c>
      <c r="BH48" s="142">
        <f>IF('RAW IMPORT'!BH38&lt;&gt;"",1,0)</f>
        <v>1</v>
      </c>
      <c r="BI48" s="142">
        <f>IF('RAW IMPORT'!BI38&lt;&gt;"",1,0)</f>
        <v>1</v>
      </c>
      <c r="BJ48" s="142">
        <f>IF('RAW IMPORT'!BJ38&lt;&gt;"",1,0)</f>
        <v>1</v>
      </c>
      <c r="BK48" s="142">
        <f>IF('RAW IMPORT'!BK38&lt;&gt;"",1,0)</f>
        <v>1</v>
      </c>
      <c r="BL48" s="142">
        <f>IF('RAW IMPORT'!BL38&lt;&gt;"",1,0)</f>
        <v>1</v>
      </c>
      <c r="BM48" s="142">
        <f>'RAW IMPORT'!BM38</f>
        <v>1</v>
      </c>
      <c r="BN48" s="165">
        <f>'RAW IMPORT'!BN38</f>
        <v>0</v>
      </c>
      <c r="BO48" s="197">
        <f>'RAW IMPORT'!BO38</f>
        <v>0</v>
      </c>
      <c r="BP48" s="142" t="str">
        <f>'RAW IMPORT'!BP38</f>
        <v>PDF</v>
      </c>
      <c r="BQ48" s="141">
        <f>'RAW IMPORT'!BQ38</f>
        <v>0</v>
      </c>
      <c r="BR48" s="141">
        <f>'RAW IMPORT'!BR38</f>
        <v>0.02</v>
      </c>
      <c r="BS48" s="141">
        <f>'RAW IMPORT'!BS38</f>
        <v>0.14499999999999999</v>
      </c>
      <c r="BT48" s="141">
        <f>'RAW IMPORT'!BT38</f>
        <v>0.06</v>
      </c>
      <c r="BU48" s="141">
        <f>'RAW IMPORT'!BU38</f>
        <v>0.01</v>
      </c>
      <c r="BV48" s="198">
        <f>'RAW IMPORT'!BV38</f>
        <v>0</v>
      </c>
      <c r="BW48" s="141">
        <f>'RAW IMPORT'!BW38</f>
        <v>23</v>
      </c>
      <c r="BX48" s="165">
        <f>'RAW IMPORT'!BX38</f>
        <v>0</v>
      </c>
      <c r="BY48" s="240"/>
      <c r="BZ48" s="126"/>
      <c r="CA48" s="143">
        <f t="shared" si="6"/>
        <v>34</v>
      </c>
      <c r="CB48" s="170">
        <f t="shared" ca="1" si="7"/>
        <v>35</v>
      </c>
      <c r="CC48" s="170" t="str">
        <f t="shared" ca="1" si="8"/>
        <v/>
      </c>
      <c r="CD48" s="204" t="str">
        <f t="shared" si="9"/>
        <v>"Model-8815":
    RETURN</v>
      </c>
      <c r="CE48" s="170"/>
    </row>
    <row r="49" spans="1:83" ht="15" customHeight="1" x14ac:dyDescent="0.25">
      <c r="A49" s="138" t="str">
        <f>'RAW IMPORT'!A39</f>
        <v>OGRO</v>
      </c>
      <c r="B49" s="139">
        <f>'RAW IMPORT'!B39</f>
        <v>8825</v>
      </c>
      <c r="C49" s="142">
        <f>IF('RAW IMPORT'!C39&lt;&gt;"",1,0)</f>
        <v>1</v>
      </c>
      <c r="D49" s="142">
        <f>IF('RAW IMPORT'!D39&lt;&gt;"",1,0)</f>
        <v>1</v>
      </c>
      <c r="E49" s="142">
        <f>IF('RAW IMPORT'!E39&lt;&gt;"",1,0)</f>
        <v>0</v>
      </c>
      <c r="F49" s="142">
        <f>IF('RAW IMPORT'!F39&lt;&gt;"",1,0)</f>
        <v>0</v>
      </c>
      <c r="G49" s="142">
        <f>IF('RAW IMPORT'!G39&lt;&gt;"",1,0)</f>
        <v>0</v>
      </c>
      <c r="H49" s="142">
        <f>IF('RAW IMPORT'!H39&lt;&gt;"",1,0)</f>
        <v>0</v>
      </c>
      <c r="I49" s="142">
        <f>IF('RAW IMPORT'!I39&lt;&gt;"",1,0)</f>
        <v>0</v>
      </c>
      <c r="J49" s="142">
        <f>IF('RAW IMPORT'!J39&lt;&gt;"",1,0)</f>
        <v>0</v>
      </c>
      <c r="K49" s="142">
        <f>IF('RAW IMPORT'!K39&lt;&gt;"",1,0)</f>
        <v>0</v>
      </c>
      <c r="L49" s="142">
        <f>IF('RAW IMPORT'!L39&lt;&gt;"",1,0)</f>
        <v>0</v>
      </c>
      <c r="M49" s="142">
        <f>IF('RAW IMPORT'!M39&lt;&gt;"",1,0)</f>
        <v>0</v>
      </c>
      <c r="N49" s="165">
        <f>IF('RAW IMPORT'!N39&lt;&gt;"",1,0)</f>
        <v>0</v>
      </c>
      <c r="O49" s="167">
        <f>IF('RAW IMPORT'!O39&lt;&gt;"",1,0)</f>
        <v>0</v>
      </c>
      <c r="P49" s="142">
        <f>IF('RAW IMPORT'!P39&lt;&gt;"",1,0)</f>
        <v>0</v>
      </c>
      <c r="Q49" s="142">
        <f>IF('RAW IMPORT'!Q39&lt;&gt;"",1,0)</f>
        <v>0</v>
      </c>
      <c r="R49" s="138">
        <f>'RAW IMPORT'!R39</f>
        <v>0</v>
      </c>
      <c r="S49" s="138">
        <f>'RAW IMPORT'!S39</f>
        <v>7</v>
      </c>
      <c r="T49" s="138">
        <f>'RAW IMPORT'!T39</f>
        <v>5</v>
      </c>
      <c r="U49" s="138">
        <f>'RAW IMPORT'!U39</f>
        <v>0</v>
      </c>
      <c r="V49" s="138">
        <f>'RAW IMPORT'!V39</f>
        <v>0</v>
      </c>
      <c r="W49" s="138">
        <f>'RAW IMPORT'!W39</f>
        <v>0</v>
      </c>
      <c r="X49" s="138">
        <f>'RAW IMPORT'!X39</f>
        <v>0</v>
      </c>
      <c r="Y49" s="138">
        <f>'RAW IMPORT'!Y39</f>
        <v>0</v>
      </c>
      <c r="Z49" s="138">
        <f>'RAW IMPORT'!Z39</f>
        <v>0</v>
      </c>
      <c r="AA49" s="138">
        <f>'RAW IMPORT'!AA39</f>
        <v>0</v>
      </c>
      <c r="AB49" s="139">
        <f>'RAW IMPORT'!AB39</f>
        <v>0</v>
      </c>
      <c r="AC49" s="141">
        <f>'RAW IMPORT'!AC39</f>
        <v>4</v>
      </c>
      <c r="AD49" s="142">
        <f>'RAW IMPORT'!AD39</f>
        <v>7</v>
      </c>
      <c r="AE49" s="142">
        <f>'RAW IMPORT'!AE39</f>
        <v>0</v>
      </c>
      <c r="AF49" s="142">
        <f>IF('RAW IMPORT'!AF39="C1",3,IF('RAW IMPORT'!AF39="D1",4,0))</f>
        <v>4</v>
      </c>
      <c r="AG49" s="142">
        <f>'RAW IMPORT'!AG39</f>
        <v>1</v>
      </c>
      <c r="AH49" s="142">
        <f>'RAW IMPORT'!AH39</f>
        <v>5</v>
      </c>
      <c r="AI49" s="142">
        <f>IF('RAW IMPORT'!AI39="U",1,0)</f>
        <v>0</v>
      </c>
      <c r="AJ49" s="142">
        <f>IF('RAW IMPORT'!AJ39="A",1,0)</f>
        <v>1</v>
      </c>
      <c r="AK49" s="142">
        <f>IF('RAW IMPORT'!AK39="B",1,0)</f>
        <v>1</v>
      </c>
      <c r="AL49" s="142">
        <f>IF('RAW IMPORT'!AL39="U",1,0)</f>
        <v>1</v>
      </c>
      <c r="AM49" s="142">
        <f>IF('RAW IMPORT'!AM39&lt;&gt;"",1,0)</f>
        <v>1</v>
      </c>
      <c r="AN49" s="142">
        <f>IF('RAW IMPORT'!AN39&lt;&gt;"",1,0)</f>
        <v>1</v>
      </c>
      <c r="AO49" s="142">
        <f>IF('RAW IMPORT'!AO39&lt;&gt;"",1,0)</f>
        <v>1</v>
      </c>
      <c r="AP49" s="142">
        <f>IF('RAW IMPORT'!AP39&lt;&gt;"",1,0)</f>
        <v>1</v>
      </c>
      <c r="AQ49" s="142">
        <f>IF('RAW IMPORT'!AQ39&lt;&gt;"",1,0)</f>
        <v>1</v>
      </c>
      <c r="AR49" s="142">
        <f>IF('RAW IMPORT'!AR39&lt;&gt;"",1,0)</f>
        <v>1</v>
      </c>
      <c r="AS49" s="142">
        <f>IF('RAW IMPORT'!AS39&lt;&gt;"",1,0)</f>
        <v>1</v>
      </c>
      <c r="AT49" s="142">
        <f>IF('RAW IMPORT'!AT39&lt;&gt;"",1,0)</f>
        <v>1</v>
      </c>
      <c r="AU49" s="142">
        <f>IF('RAW IMPORT'!AU39&lt;&gt;"",1,0)</f>
        <v>0</v>
      </c>
      <c r="AV49" s="142">
        <f>IF('RAW IMPORT'!AV39&lt;&gt;"",1,0)</f>
        <v>1</v>
      </c>
      <c r="AW49" s="142">
        <f>IF('RAW IMPORT'!AW39&lt;&gt;"",1,0)</f>
        <v>1</v>
      </c>
      <c r="AX49" s="142">
        <f>IF('RAW IMPORT'!AX39&lt;&gt;"",1,0)</f>
        <v>1</v>
      </c>
      <c r="AY49" s="142">
        <f>IF('RAW IMPORT'!AY39&lt;&gt;"",1,0)</f>
        <v>1</v>
      </c>
      <c r="AZ49" s="142">
        <f>IF('RAW IMPORT'!AZ39&lt;&gt;"",1,0)</f>
        <v>1</v>
      </c>
      <c r="BA49" s="142">
        <f>IF('RAW IMPORT'!BA39&lt;&gt;"",1,0)</f>
        <v>1</v>
      </c>
      <c r="BB49" s="142">
        <f>IF('RAW IMPORT'!BB39&lt;&gt;"",1,0)</f>
        <v>1</v>
      </c>
      <c r="BC49" s="142">
        <f>IF('RAW IMPORT'!BC39&lt;&gt;"",1,0)</f>
        <v>0</v>
      </c>
      <c r="BD49" s="142">
        <f>IF('RAW IMPORT'!BD39&lt;&gt;"",1,0)</f>
        <v>1</v>
      </c>
      <c r="BE49" s="142">
        <f>IF('RAW IMPORT'!BE39&lt;&gt;"",1,0)</f>
        <v>1</v>
      </c>
      <c r="BF49" s="142">
        <f>IF('RAW IMPORT'!BF39&lt;&gt;"",1,0)</f>
        <v>0</v>
      </c>
      <c r="BG49" s="142">
        <f>IF('RAW IMPORT'!BG39&lt;&gt;"",1,0)</f>
        <v>1</v>
      </c>
      <c r="BH49" s="142">
        <f>IF('RAW IMPORT'!BH39&lt;&gt;"",1,0)</f>
        <v>1</v>
      </c>
      <c r="BI49" s="142">
        <f>IF('RAW IMPORT'!BI39&lt;&gt;"",1,0)</f>
        <v>1</v>
      </c>
      <c r="BJ49" s="142">
        <f>IF('RAW IMPORT'!BJ39&lt;&gt;"",1,0)</f>
        <v>1</v>
      </c>
      <c r="BK49" s="142">
        <f>IF('RAW IMPORT'!BK39&lt;&gt;"",1,0)</f>
        <v>1</v>
      </c>
      <c r="BL49" s="142">
        <f>IF('RAW IMPORT'!BL39&lt;&gt;"",1,0)</f>
        <v>1</v>
      </c>
      <c r="BM49" s="142">
        <f>'RAW IMPORT'!BM39</f>
        <v>1</v>
      </c>
      <c r="BN49" s="165">
        <f>'RAW IMPORT'!BN39</f>
        <v>0</v>
      </c>
      <c r="BO49" s="197">
        <f>'RAW IMPORT'!BO39</f>
        <v>0</v>
      </c>
      <c r="BP49" s="142" t="str">
        <f>'RAW IMPORT'!BP39</f>
        <v>PDF</v>
      </c>
      <c r="BQ49" s="141">
        <f>'RAW IMPORT'!BQ39</f>
        <v>0</v>
      </c>
      <c r="BR49" s="141">
        <f>'RAW IMPORT'!BR39</f>
        <v>4.8800000000000003E-2</v>
      </c>
      <c r="BS49" s="141">
        <f>'RAW IMPORT'!BS39</f>
        <v>0.14699999999999999</v>
      </c>
      <c r="BT49" s="141">
        <f>'RAW IMPORT'!BT39</f>
        <v>0.06</v>
      </c>
      <c r="BU49" s="141">
        <f>'RAW IMPORT'!BU39</f>
        <v>2.4400000000000002E-2</v>
      </c>
      <c r="BV49" s="198">
        <f>'RAW IMPORT'!BV39</f>
        <v>0</v>
      </c>
      <c r="BW49" s="141">
        <f>'RAW IMPORT'!BW39</f>
        <v>24</v>
      </c>
      <c r="BX49" s="165">
        <f>'RAW IMPORT'!BX39</f>
        <v>0</v>
      </c>
      <c r="BY49" s="240"/>
      <c r="BZ49" s="126"/>
      <c r="CA49" s="143">
        <f t="shared" si="6"/>
        <v>35</v>
      </c>
      <c r="CB49" s="170">
        <f t="shared" ca="1" si="7"/>
        <v>36</v>
      </c>
      <c r="CC49" s="170" t="str">
        <f t="shared" ca="1" si="8"/>
        <v/>
      </c>
      <c r="CD49" s="204" t="str">
        <f t="shared" si="9"/>
        <v>"Model-8825":
    RETURN</v>
      </c>
      <c r="CE49" s="170"/>
    </row>
    <row r="50" spans="1:83" ht="15" customHeight="1" x14ac:dyDescent="0.25">
      <c r="A50" s="138" t="str">
        <f>'RAW IMPORT'!A40</f>
        <v>OGRO</v>
      </c>
      <c r="B50" s="139">
        <f>'RAW IMPORT'!B40</f>
        <v>8826</v>
      </c>
      <c r="C50" s="142">
        <f>IF('RAW IMPORT'!C40&lt;&gt;"",1,0)</f>
        <v>1</v>
      </c>
      <c r="D50" s="142">
        <f>IF('RAW IMPORT'!D40&lt;&gt;"",1,0)</f>
        <v>1</v>
      </c>
      <c r="E50" s="142">
        <f>IF('RAW IMPORT'!E40&lt;&gt;"",1,0)</f>
        <v>0</v>
      </c>
      <c r="F50" s="142">
        <f>IF('RAW IMPORT'!F40&lt;&gt;"",1,0)</f>
        <v>0</v>
      </c>
      <c r="G50" s="142">
        <f>IF('RAW IMPORT'!G40&lt;&gt;"",1,0)</f>
        <v>0</v>
      </c>
      <c r="H50" s="142">
        <f>IF('RAW IMPORT'!H40&lt;&gt;"",1,0)</f>
        <v>0</v>
      </c>
      <c r="I50" s="142">
        <f>IF('RAW IMPORT'!I40&lt;&gt;"",1,0)</f>
        <v>0</v>
      </c>
      <c r="J50" s="142">
        <f>IF('RAW IMPORT'!J40&lt;&gt;"",1,0)</f>
        <v>0</v>
      </c>
      <c r="K50" s="142">
        <f>IF('RAW IMPORT'!K40&lt;&gt;"",1,0)</f>
        <v>0</v>
      </c>
      <c r="L50" s="142">
        <f>IF('RAW IMPORT'!L40&lt;&gt;"",1,0)</f>
        <v>0</v>
      </c>
      <c r="M50" s="142">
        <f>IF('RAW IMPORT'!M40&lt;&gt;"",1,0)</f>
        <v>0</v>
      </c>
      <c r="N50" s="165">
        <f>IF('RAW IMPORT'!N40&lt;&gt;"",1,0)</f>
        <v>0</v>
      </c>
      <c r="O50" s="167">
        <f>IF('RAW IMPORT'!O40&lt;&gt;"",1,0)</f>
        <v>0</v>
      </c>
      <c r="P50" s="142">
        <f>IF('RAW IMPORT'!P40&lt;&gt;"",1,0)</f>
        <v>0</v>
      </c>
      <c r="Q50" s="142">
        <f>IF('RAW IMPORT'!Q40&lt;&gt;"",1,0)</f>
        <v>0</v>
      </c>
      <c r="R50" s="138">
        <f>'RAW IMPORT'!R40</f>
        <v>0</v>
      </c>
      <c r="S50" s="138">
        <f>'RAW IMPORT'!S40</f>
        <v>7</v>
      </c>
      <c r="T50" s="138">
        <f>'RAW IMPORT'!T40</f>
        <v>5</v>
      </c>
      <c r="U50" s="138">
        <f>'RAW IMPORT'!U40</f>
        <v>0</v>
      </c>
      <c r="V50" s="138">
        <f>'RAW IMPORT'!V40</f>
        <v>0</v>
      </c>
      <c r="W50" s="138">
        <f>'RAW IMPORT'!W40</f>
        <v>0</v>
      </c>
      <c r="X50" s="138">
        <f>'RAW IMPORT'!X40</f>
        <v>0</v>
      </c>
      <c r="Y50" s="138">
        <f>'RAW IMPORT'!Y40</f>
        <v>0</v>
      </c>
      <c r="Z50" s="138">
        <f>'RAW IMPORT'!Z40</f>
        <v>0</v>
      </c>
      <c r="AA50" s="138">
        <f>'RAW IMPORT'!AA40</f>
        <v>0</v>
      </c>
      <c r="AB50" s="139">
        <f>'RAW IMPORT'!AB40</f>
        <v>0</v>
      </c>
      <c r="AC50" s="141">
        <f>'RAW IMPORT'!AC40</f>
        <v>4</v>
      </c>
      <c r="AD50" s="142">
        <f>'RAW IMPORT'!AD40</f>
        <v>7</v>
      </c>
      <c r="AE50" s="142">
        <f>'RAW IMPORT'!AE40</f>
        <v>0</v>
      </c>
      <c r="AF50" s="142">
        <f>IF('RAW IMPORT'!AF40="C1",3,IF('RAW IMPORT'!AF40="D1",4,0))</f>
        <v>3</v>
      </c>
      <c r="AG50" s="142">
        <f>'RAW IMPORT'!AG40</f>
        <v>1</v>
      </c>
      <c r="AH50" s="142">
        <f>'RAW IMPORT'!AH40</f>
        <v>5</v>
      </c>
      <c r="AI50" s="142">
        <f>IF('RAW IMPORT'!AI40="U",1,0)</f>
        <v>0</v>
      </c>
      <c r="AJ50" s="142">
        <f>IF('RAW IMPORT'!AJ40="A",1,0)</f>
        <v>1</v>
      </c>
      <c r="AK50" s="142">
        <f>IF('RAW IMPORT'!AK40="B",1,0)</f>
        <v>1</v>
      </c>
      <c r="AL50" s="142">
        <f>IF('RAW IMPORT'!AL40="U",1,0)</f>
        <v>1</v>
      </c>
      <c r="AM50" s="142">
        <f>IF('RAW IMPORT'!AM40&lt;&gt;"",1,0)</f>
        <v>1</v>
      </c>
      <c r="AN50" s="142">
        <f>IF('RAW IMPORT'!AN40&lt;&gt;"",1,0)</f>
        <v>1</v>
      </c>
      <c r="AO50" s="142">
        <f>IF('RAW IMPORT'!AO40&lt;&gt;"",1,0)</f>
        <v>1</v>
      </c>
      <c r="AP50" s="142">
        <f>IF('RAW IMPORT'!AP40&lt;&gt;"",1,0)</f>
        <v>0</v>
      </c>
      <c r="AQ50" s="142">
        <f>IF('RAW IMPORT'!AQ40&lt;&gt;"",1,0)</f>
        <v>1</v>
      </c>
      <c r="AR50" s="142">
        <f>IF('RAW IMPORT'!AR40&lt;&gt;"",1,0)</f>
        <v>1</v>
      </c>
      <c r="AS50" s="142">
        <f>IF('RAW IMPORT'!AS40&lt;&gt;"",1,0)</f>
        <v>1</v>
      </c>
      <c r="AT50" s="142">
        <f>IF('RAW IMPORT'!AT40&lt;&gt;"",1,0)</f>
        <v>1</v>
      </c>
      <c r="AU50" s="142">
        <f>IF('RAW IMPORT'!AU40&lt;&gt;"",1,0)</f>
        <v>0</v>
      </c>
      <c r="AV50" s="142">
        <f>IF('RAW IMPORT'!AV40&lt;&gt;"",1,0)</f>
        <v>1</v>
      </c>
      <c r="AW50" s="142">
        <f>IF('RAW IMPORT'!AW40&lt;&gt;"",1,0)</f>
        <v>1</v>
      </c>
      <c r="AX50" s="142">
        <f>IF('RAW IMPORT'!AX40&lt;&gt;"",1,0)</f>
        <v>1</v>
      </c>
      <c r="AY50" s="142">
        <f>IF('RAW IMPORT'!AY40&lt;&gt;"",1,0)</f>
        <v>1</v>
      </c>
      <c r="AZ50" s="142">
        <f>IF('RAW IMPORT'!AZ40&lt;&gt;"",1,0)</f>
        <v>1</v>
      </c>
      <c r="BA50" s="142">
        <f>IF('RAW IMPORT'!BA40&lt;&gt;"",1,0)</f>
        <v>1</v>
      </c>
      <c r="BB50" s="142">
        <f>IF('RAW IMPORT'!BB40&lt;&gt;"",1,0)</f>
        <v>1</v>
      </c>
      <c r="BC50" s="142">
        <f>IF('RAW IMPORT'!BC40&lt;&gt;"",1,0)</f>
        <v>0</v>
      </c>
      <c r="BD50" s="142">
        <f>IF('RAW IMPORT'!BD40&lt;&gt;"",1,0)</f>
        <v>1</v>
      </c>
      <c r="BE50" s="142">
        <f>IF('RAW IMPORT'!BE40&lt;&gt;"",1,0)</f>
        <v>1</v>
      </c>
      <c r="BF50" s="142">
        <f>IF('RAW IMPORT'!BF40&lt;&gt;"",1,0)</f>
        <v>0</v>
      </c>
      <c r="BG50" s="142">
        <f>IF('RAW IMPORT'!BG40&lt;&gt;"",1,0)</f>
        <v>1</v>
      </c>
      <c r="BH50" s="142">
        <f>IF('RAW IMPORT'!BH40&lt;&gt;"",1,0)</f>
        <v>1</v>
      </c>
      <c r="BI50" s="142">
        <f>IF('RAW IMPORT'!BI40&lt;&gt;"",1,0)</f>
        <v>1</v>
      </c>
      <c r="BJ50" s="142">
        <f>IF('RAW IMPORT'!BJ40&lt;&gt;"",1,0)</f>
        <v>1</v>
      </c>
      <c r="BK50" s="142">
        <f>IF('RAW IMPORT'!BK40&lt;&gt;"",1,0)</f>
        <v>1</v>
      </c>
      <c r="BL50" s="142">
        <f>IF('RAW IMPORT'!BL40&lt;&gt;"",1,0)</f>
        <v>1</v>
      </c>
      <c r="BM50" s="142">
        <f>'RAW IMPORT'!BM40</f>
        <v>1</v>
      </c>
      <c r="BN50" s="165">
        <f>'RAW IMPORT'!BN40</f>
        <v>0</v>
      </c>
      <c r="BO50" s="197">
        <f>'RAW IMPORT'!BO40</f>
        <v>0</v>
      </c>
      <c r="BP50" s="142" t="str">
        <f>'RAW IMPORT'!BP40</f>
        <v>PDF</v>
      </c>
      <c r="BQ50" s="141">
        <f>'RAW IMPORT'!BQ40</f>
        <v>0</v>
      </c>
      <c r="BR50" s="141">
        <f>'RAW IMPORT'!BR40</f>
        <v>4.8800000000000003E-2</v>
      </c>
      <c r="BS50" s="141">
        <f>'RAW IMPORT'!BS40</f>
        <v>0.14699999999999999</v>
      </c>
      <c r="BT50" s="141">
        <f>'RAW IMPORT'!BT40</f>
        <v>0.06</v>
      </c>
      <c r="BU50" s="141">
        <f>'RAW IMPORT'!BU40</f>
        <v>2.4E-2</v>
      </c>
      <c r="BV50" s="198">
        <f>'RAW IMPORT'!BV40</f>
        <v>0</v>
      </c>
      <c r="BW50" s="141">
        <f>'RAW IMPORT'!BW40</f>
        <v>25</v>
      </c>
      <c r="BX50" s="165">
        <f>'RAW IMPORT'!BX40</f>
        <v>0</v>
      </c>
      <c r="BY50" s="240"/>
      <c r="BZ50" s="126"/>
      <c r="CA50" s="143">
        <f t="shared" si="6"/>
        <v>36</v>
      </c>
      <c r="CB50" s="170">
        <f t="shared" ca="1" si="7"/>
        <v>39</v>
      </c>
      <c r="CC50" s="170" t="str">
        <f t="shared" ca="1" si="8"/>
        <v/>
      </c>
      <c r="CD50" s="204" t="str">
        <f t="shared" si="9"/>
        <v>"Model-8826":
    RETURN</v>
      </c>
      <c r="CE50" s="170"/>
    </row>
    <row r="51" spans="1:83" ht="15" customHeight="1" x14ac:dyDescent="0.25">
      <c r="A51" s="138" t="str">
        <f>'RAW IMPORT'!A41</f>
        <v>OGRO by ARCHITECTS</v>
      </c>
      <c r="B51" s="139" t="str">
        <f>'RAW IMPORT'!B41</f>
        <v>8830 Sieger</v>
      </c>
      <c r="C51" s="142">
        <f>IF('RAW IMPORT'!C41&lt;&gt;"",1,0)</f>
        <v>1</v>
      </c>
      <c r="D51" s="142">
        <f>IF('RAW IMPORT'!D41&lt;&gt;"",1,0)</f>
        <v>1</v>
      </c>
      <c r="E51" s="142">
        <f>IF('RAW IMPORT'!E41&lt;&gt;"",1,0)</f>
        <v>0</v>
      </c>
      <c r="F51" s="142">
        <f>IF('RAW IMPORT'!F41&lt;&gt;"",1,0)</f>
        <v>0</v>
      </c>
      <c r="G51" s="142">
        <f>IF('RAW IMPORT'!G41&lt;&gt;"",1,0)</f>
        <v>0</v>
      </c>
      <c r="H51" s="142">
        <f>IF('RAW IMPORT'!H41&lt;&gt;"",1,0)</f>
        <v>0</v>
      </c>
      <c r="I51" s="142">
        <f>IF('RAW IMPORT'!I41&lt;&gt;"",1,0)</f>
        <v>0</v>
      </c>
      <c r="J51" s="142">
        <f>IF('RAW IMPORT'!J41&lt;&gt;"",1,0)</f>
        <v>0</v>
      </c>
      <c r="K51" s="142">
        <f>IF('RAW IMPORT'!K41&lt;&gt;"",1,0)</f>
        <v>0</v>
      </c>
      <c r="L51" s="142">
        <f>IF('RAW IMPORT'!L41&lt;&gt;"",1,0)</f>
        <v>0</v>
      </c>
      <c r="M51" s="142">
        <f>IF('RAW IMPORT'!M41&lt;&gt;"",1,0)</f>
        <v>0</v>
      </c>
      <c r="N51" s="165">
        <f>IF('RAW IMPORT'!N41&lt;&gt;"",1,0)</f>
        <v>0</v>
      </c>
      <c r="O51" s="167">
        <f>IF('RAW IMPORT'!O41&lt;&gt;"",1,0)</f>
        <v>1</v>
      </c>
      <c r="P51" s="142">
        <f>IF('RAW IMPORT'!P41&lt;&gt;"",1,0)</f>
        <v>0</v>
      </c>
      <c r="Q51" s="142">
        <f>IF('RAW IMPORT'!Q41&lt;&gt;"",1,0)</f>
        <v>0</v>
      </c>
      <c r="R51" s="138">
        <f>'RAW IMPORT'!R41</f>
        <v>0</v>
      </c>
      <c r="S51" s="138">
        <f>'RAW IMPORT'!S41</f>
        <v>7</v>
      </c>
      <c r="T51" s="138">
        <f>'RAW IMPORT'!T41</f>
        <v>5</v>
      </c>
      <c r="U51" s="138">
        <f>'RAW IMPORT'!U41</f>
        <v>0</v>
      </c>
      <c r="V51" s="138">
        <f>'RAW IMPORT'!V41</f>
        <v>0</v>
      </c>
      <c r="W51" s="138">
        <f>'RAW IMPORT'!W41</f>
        <v>0</v>
      </c>
      <c r="X51" s="138">
        <f>'RAW IMPORT'!X41</f>
        <v>0</v>
      </c>
      <c r="Y51" s="138">
        <f>'RAW IMPORT'!Y41</f>
        <v>0</v>
      </c>
      <c r="Z51" s="138">
        <f>'RAW IMPORT'!Z41</f>
        <v>0</v>
      </c>
      <c r="AA51" s="138">
        <f>'RAW IMPORT'!AA41</f>
        <v>0</v>
      </c>
      <c r="AB51" s="139">
        <f>'RAW IMPORT'!AB41</f>
        <v>0</v>
      </c>
      <c r="AC51" s="141">
        <f>'RAW IMPORT'!AC41</f>
        <v>4</v>
      </c>
      <c r="AD51" s="142">
        <f>'RAW IMPORT'!AD41</f>
        <v>7</v>
      </c>
      <c r="AE51" s="142">
        <f>'RAW IMPORT'!AE41</f>
        <v>0</v>
      </c>
      <c r="AF51" s="142">
        <f>IF('RAW IMPORT'!AF41="C1",3,IF('RAW IMPORT'!AF41="D1",4,0))</f>
        <v>4</v>
      </c>
      <c r="AG51" s="142">
        <f>'RAW IMPORT'!AG41</f>
        <v>1</v>
      </c>
      <c r="AH51" s="142">
        <f>'RAW IMPORT'!AH41</f>
        <v>5</v>
      </c>
      <c r="AI51" s="142">
        <f>IF('RAW IMPORT'!AI41="U",1,0)</f>
        <v>0</v>
      </c>
      <c r="AJ51" s="142">
        <f>IF('RAW IMPORT'!AJ41="A",1,0)</f>
        <v>1</v>
      </c>
      <c r="AK51" s="142">
        <f>IF('RAW IMPORT'!AK41="B",1,0)</f>
        <v>1</v>
      </c>
      <c r="AL51" s="142">
        <f>IF('RAW IMPORT'!AL41="U",1,0)</f>
        <v>1</v>
      </c>
      <c r="AM51" s="142">
        <f>IF('RAW IMPORT'!AM41&lt;&gt;"",1,0)</f>
        <v>1</v>
      </c>
      <c r="AN51" s="142">
        <f>IF('RAW IMPORT'!AN41&lt;&gt;"",1,0)</f>
        <v>1</v>
      </c>
      <c r="AO51" s="142">
        <f>IF('RAW IMPORT'!AO41&lt;&gt;"",1,0)</f>
        <v>1</v>
      </c>
      <c r="AP51" s="142">
        <f>IF('RAW IMPORT'!AP41&lt;&gt;"",1,0)</f>
        <v>1</v>
      </c>
      <c r="AQ51" s="142">
        <f>IF('RAW IMPORT'!AQ41&lt;&gt;"",1,0)</f>
        <v>1</v>
      </c>
      <c r="AR51" s="142">
        <f>IF('RAW IMPORT'!AR41&lt;&gt;"",1,0)</f>
        <v>1</v>
      </c>
      <c r="AS51" s="142">
        <f>IF('RAW IMPORT'!AS41&lt;&gt;"",1,0)</f>
        <v>1</v>
      </c>
      <c r="AT51" s="142">
        <f>IF('RAW IMPORT'!AT41&lt;&gt;"",1,0)</f>
        <v>1</v>
      </c>
      <c r="AU51" s="142">
        <f>IF('RAW IMPORT'!AU41&lt;&gt;"",1,0)</f>
        <v>0</v>
      </c>
      <c r="AV51" s="142">
        <f>IF('RAW IMPORT'!AV41&lt;&gt;"",1,0)</f>
        <v>1</v>
      </c>
      <c r="AW51" s="142">
        <f>IF('RAW IMPORT'!AW41&lt;&gt;"",1,0)</f>
        <v>1</v>
      </c>
      <c r="AX51" s="142">
        <f>IF('RAW IMPORT'!AX41&lt;&gt;"",1,0)</f>
        <v>1</v>
      </c>
      <c r="AY51" s="142">
        <f>IF('RAW IMPORT'!AY41&lt;&gt;"",1,0)</f>
        <v>1</v>
      </c>
      <c r="AZ51" s="142">
        <f>IF('RAW IMPORT'!AZ41&lt;&gt;"",1,0)</f>
        <v>1</v>
      </c>
      <c r="BA51" s="142">
        <f>IF('RAW IMPORT'!BA41&lt;&gt;"",1,0)</f>
        <v>1</v>
      </c>
      <c r="BB51" s="142">
        <f>IF('RAW IMPORT'!BB41&lt;&gt;"",1,0)</f>
        <v>1</v>
      </c>
      <c r="BC51" s="142">
        <f>IF('RAW IMPORT'!BC41&lt;&gt;"",1,0)</f>
        <v>0</v>
      </c>
      <c r="BD51" s="142">
        <f>IF('RAW IMPORT'!BD41&lt;&gt;"",1,0)</f>
        <v>1</v>
      </c>
      <c r="BE51" s="142">
        <f>IF('RAW IMPORT'!BE41&lt;&gt;"",1,0)</f>
        <v>1</v>
      </c>
      <c r="BF51" s="142">
        <f>IF('RAW IMPORT'!BF41&lt;&gt;"",1,0)</f>
        <v>0</v>
      </c>
      <c r="BG51" s="142">
        <f>IF('RAW IMPORT'!BG41&lt;&gt;"",1,0)</f>
        <v>1</v>
      </c>
      <c r="BH51" s="142">
        <f>IF('RAW IMPORT'!BH41&lt;&gt;"",1,0)</f>
        <v>1</v>
      </c>
      <c r="BI51" s="142">
        <f>IF('RAW IMPORT'!BI41&lt;&gt;"",1,0)</f>
        <v>1</v>
      </c>
      <c r="BJ51" s="142">
        <f>IF('RAW IMPORT'!BJ41&lt;&gt;"",1,0)</f>
        <v>1</v>
      </c>
      <c r="BK51" s="142">
        <f>IF('RAW IMPORT'!BK41&lt;&gt;"",1,0)</f>
        <v>1</v>
      </c>
      <c r="BL51" s="142">
        <f>IF('RAW IMPORT'!BL41&lt;&gt;"",1,0)</f>
        <v>1</v>
      </c>
      <c r="BM51" s="142">
        <f>'RAW IMPORT'!BM41</f>
        <v>1</v>
      </c>
      <c r="BN51" s="165">
        <f>'RAW IMPORT'!BN41</f>
        <v>0</v>
      </c>
      <c r="BO51" s="197">
        <f>'RAW IMPORT'!BO41</f>
        <v>0</v>
      </c>
      <c r="BP51" s="142" t="str">
        <f>'RAW IMPORT'!BP41</f>
        <v>PDF</v>
      </c>
      <c r="BQ51" s="141">
        <f>'RAW IMPORT'!BQ41</f>
        <v>0</v>
      </c>
      <c r="BR51" s="141">
        <f>'RAW IMPORT'!BR41</f>
        <v>2.35E-2</v>
      </c>
      <c r="BS51" s="141">
        <f>'RAW IMPORT'!BS41</f>
        <v>0.13600000000000001</v>
      </c>
      <c r="BT51" s="141">
        <f>'RAW IMPORT'!BT41</f>
        <v>6.9000000000000006E-2</v>
      </c>
      <c r="BU51" s="141">
        <f>'RAW IMPORT'!BU41</f>
        <v>1.175E-2</v>
      </c>
      <c r="BV51" s="198">
        <f>'RAW IMPORT'!BV41</f>
        <v>0</v>
      </c>
      <c r="BW51" s="141">
        <f>'RAW IMPORT'!BW41</f>
        <v>26</v>
      </c>
      <c r="BX51" s="165">
        <f>'RAW IMPORT'!BX41</f>
        <v>75</v>
      </c>
      <c r="BY51" s="240"/>
      <c r="BZ51" s="126"/>
      <c r="CA51" s="143">
        <f t="shared" si="6"/>
        <v>37</v>
      </c>
      <c r="CB51" s="170">
        <f t="shared" ca="1" si="7"/>
        <v>40</v>
      </c>
      <c r="CC51" s="170" t="str">
        <f t="shared" ca="1" si="8"/>
        <v/>
      </c>
      <c r="CD51" s="204" t="str">
        <f t="shared" si="9"/>
        <v>"Model-8830 Sieger":
    RETURN</v>
      </c>
      <c r="CE51" s="170"/>
    </row>
    <row r="52" spans="1:83" ht="15" customHeight="1" x14ac:dyDescent="0.25">
      <c r="A52" s="138" t="str">
        <f>'RAW IMPORT'!A42</f>
        <v>OGRO by ARCHITECTS</v>
      </c>
      <c r="B52" s="139" t="str">
        <f>'RAW IMPORT'!B42</f>
        <v>8830A Sieger</v>
      </c>
      <c r="C52" s="142">
        <f>IF('RAW IMPORT'!C42&lt;&gt;"",1,0)</f>
        <v>1</v>
      </c>
      <c r="D52" s="142">
        <f>IF('RAW IMPORT'!D42&lt;&gt;"",1,0)</f>
        <v>1</v>
      </c>
      <c r="E52" s="142">
        <f>IF('RAW IMPORT'!E42&lt;&gt;"",1,0)</f>
        <v>0</v>
      </c>
      <c r="F52" s="142">
        <f>IF('RAW IMPORT'!F42&lt;&gt;"",1,0)</f>
        <v>0</v>
      </c>
      <c r="G52" s="142">
        <f>IF('RAW IMPORT'!G42&lt;&gt;"",1,0)</f>
        <v>0</v>
      </c>
      <c r="H52" s="142">
        <f>IF('RAW IMPORT'!H42&lt;&gt;"",1,0)</f>
        <v>0</v>
      </c>
      <c r="I52" s="142">
        <f>IF('RAW IMPORT'!I42&lt;&gt;"",1,0)</f>
        <v>0</v>
      </c>
      <c r="J52" s="142">
        <f>IF('RAW IMPORT'!J42&lt;&gt;"",1,0)</f>
        <v>0</v>
      </c>
      <c r="K52" s="142">
        <f>IF('RAW IMPORT'!K42&lt;&gt;"",1,0)</f>
        <v>0</v>
      </c>
      <c r="L52" s="142">
        <f>IF('RAW IMPORT'!L42&lt;&gt;"",1,0)</f>
        <v>0</v>
      </c>
      <c r="M52" s="142">
        <f>IF('RAW IMPORT'!M42&lt;&gt;"",1,0)</f>
        <v>0</v>
      </c>
      <c r="N52" s="165">
        <f>IF('RAW IMPORT'!N42&lt;&gt;"",1,0)</f>
        <v>0</v>
      </c>
      <c r="O52" s="167">
        <f>IF('RAW IMPORT'!O42&lt;&gt;"",1,0)</f>
        <v>1</v>
      </c>
      <c r="P52" s="142">
        <f>IF('RAW IMPORT'!P42&lt;&gt;"",1,0)</f>
        <v>0</v>
      </c>
      <c r="Q52" s="142">
        <f>IF('RAW IMPORT'!Q42&lt;&gt;"",1,0)</f>
        <v>0</v>
      </c>
      <c r="R52" s="138">
        <f>'RAW IMPORT'!R42</f>
        <v>0</v>
      </c>
      <c r="S52" s="138">
        <f>'RAW IMPORT'!S42</f>
        <v>7</v>
      </c>
      <c r="T52" s="138">
        <f>'RAW IMPORT'!T42</f>
        <v>5</v>
      </c>
      <c r="U52" s="138">
        <f>'RAW IMPORT'!U42</f>
        <v>0</v>
      </c>
      <c r="V52" s="138">
        <f>'RAW IMPORT'!V42</f>
        <v>0</v>
      </c>
      <c r="W52" s="138">
        <f>'RAW IMPORT'!W42</f>
        <v>0</v>
      </c>
      <c r="X52" s="138">
        <f>'RAW IMPORT'!X42</f>
        <v>0</v>
      </c>
      <c r="Y52" s="138">
        <f>'RAW IMPORT'!Y42</f>
        <v>0</v>
      </c>
      <c r="Z52" s="138">
        <f>'RAW IMPORT'!Z42</f>
        <v>0</v>
      </c>
      <c r="AA52" s="138">
        <f>'RAW IMPORT'!AA42</f>
        <v>0</v>
      </c>
      <c r="AB52" s="139">
        <f>'RAW IMPORT'!AB42</f>
        <v>0</v>
      </c>
      <c r="AC52" s="141">
        <f>'RAW IMPORT'!AC42</f>
        <v>4</v>
      </c>
      <c r="AD52" s="142">
        <f>'RAW IMPORT'!AD42</f>
        <v>7</v>
      </c>
      <c r="AE52" s="142">
        <f>'RAW IMPORT'!AE42</f>
        <v>0</v>
      </c>
      <c r="AF52" s="142">
        <f>IF('RAW IMPORT'!AF42="C1",3,IF('RAW IMPORT'!AF42="D1",4,0))</f>
        <v>3</v>
      </c>
      <c r="AG52" s="142">
        <f>'RAW IMPORT'!AG42</f>
        <v>1</v>
      </c>
      <c r="AH52" s="142">
        <f>'RAW IMPORT'!AH42</f>
        <v>5</v>
      </c>
      <c r="AI52" s="142">
        <f>IF('RAW IMPORT'!AI42="U",1,0)</f>
        <v>0</v>
      </c>
      <c r="AJ52" s="142">
        <f>IF('RAW IMPORT'!AJ42="A",1,0)</f>
        <v>1</v>
      </c>
      <c r="AK52" s="142">
        <f>IF('RAW IMPORT'!AK42="B",1,0)</f>
        <v>1</v>
      </c>
      <c r="AL52" s="142">
        <f>IF('RAW IMPORT'!AL42="U",1,0)</f>
        <v>1</v>
      </c>
      <c r="AM52" s="142">
        <f>IF('RAW IMPORT'!AM42&lt;&gt;"",1,0)</f>
        <v>1</v>
      </c>
      <c r="AN52" s="142">
        <f>IF('RAW IMPORT'!AN42&lt;&gt;"",1,0)</f>
        <v>1</v>
      </c>
      <c r="AO52" s="142">
        <f>IF('RAW IMPORT'!AO42&lt;&gt;"",1,0)</f>
        <v>1</v>
      </c>
      <c r="AP52" s="142">
        <f>IF('RAW IMPORT'!AP42&lt;&gt;"",1,0)</f>
        <v>0</v>
      </c>
      <c r="AQ52" s="142">
        <f>IF('RAW IMPORT'!AQ42&lt;&gt;"",1,0)</f>
        <v>1</v>
      </c>
      <c r="AR52" s="142">
        <f>IF('RAW IMPORT'!AR42&lt;&gt;"",1,0)</f>
        <v>1</v>
      </c>
      <c r="AS52" s="142">
        <f>IF('RAW IMPORT'!AS42&lt;&gt;"",1,0)</f>
        <v>1</v>
      </c>
      <c r="AT52" s="142">
        <f>IF('RAW IMPORT'!AT42&lt;&gt;"",1,0)</f>
        <v>1</v>
      </c>
      <c r="AU52" s="142">
        <f>IF('RAW IMPORT'!AU42&lt;&gt;"",1,0)</f>
        <v>0</v>
      </c>
      <c r="AV52" s="142">
        <f>IF('RAW IMPORT'!AV42&lt;&gt;"",1,0)</f>
        <v>1</v>
      </c>
      <c r="AW52" s="142">
        <f>IF('RAW IMPORT'!AW42&lt;&gt;"",1,0)</f>
        <v>0</v>
      </c>
      <c r="AX52" s="142">
        <f>IF('RAW IMPORT'!AX42&lt;&gt;"",1,0)</f>
        <v>0</v>
      </c>
      <c r="AY52" s="142">
        <f>IF('RAW IMPORT'!AY42&lt;&gt;"",1,0)</f>
        <v>0</v>
      </c>
      <c r="AZ52" s="142">
        <f>IF('RAW IMPORT'!AZ42&lt;&gt;"",1,0)</f>
        <v>0</v>
      </c>
      <c r="BA52" s="142">
        <f>IF('RAW IMPORT'!BA42&lt;&gt;"",1,0)</f>
        <v>0</v>
      </c>
      <c r="BB52" s="142">
        <f>IF('RAW IMPORT'!BB42&lt;&gt;"",1,0)</f>
        <v>0</v>
      </c>
      <c r="BC52" s="142">
        <f>IF('RAW IMPORT'!BC42&lt;&gt;"",1,0)</f>
        <v>1</v>
      </c>
      <c r="BD52" s="142">
        <f>IF('RAW IMPORT'!BD42&lt;&gt;"",1,0)</f>
        <v>1</v>
      </c>
      <c r="BE52" s="142">
        <f>IF('RAW IMPORT'!BE42&lt;&gt;"",1,0)</f>
        <v>1</v>
      </c>
      <c r="BF52" s="142">
        <f>IF('RAW IMPORT'!BF42&lt;&gt;"",1,0)</f>
        <v>0</v>
      </c>
      <c r="BG52" s="142">
        <f>IF('RAW IMPORT'!BG42&lt;&gt;"",1,0)</f>
        <v>1</v>
      </c>
      <c r="BH52" s="142">
        <f>IF('RAW IMPORT'!BH42&lt;&gt;"",1,0)</f>
        <v>1</v>
      </c>
      <c r="BI52" s="142">
        <f>IF('RAW IMPORT'!BI42&lt;&gt;"",1,0)</f>
        <v>1</v>
      </c>
      <c r="BJ52" s="142">
        <f>IF('RAW IMPORT'!BJ42&lt;&gt;"",1,0)</f>
        <v>1</v>
      </c>
      <c r="BK52" s="142">
        <f>IF('RAW IMPORT'!BK42&lt;&gt;"",1,0)</f>
        <v>1</v>
      </c>
      <c r="BL52" s="142">
        <f>IF('RAW IMPORT'!BL42&lt;&gt;"",1,0)</f>
        <v>0</v>
      </c>
      <c r="BM52" s="142">
        <f>'RAW IMPORT'!BM42</f>
        <v>1</v>
      </c>
      <c r="BN52" s="165">
        <f>'RAW IMPORT'!BN42</f>
        <v>0</v>
      </c>
      <c r="BO52" s="197">
        <f>'RAW IMPORT'!BO42</f>
        <v>0</v>
      </c>
      <c r="BP52" s="142" t="str">
        <f>'RAW IMPORT'!BP42</f>
        <v>PDF</v>
      </c>
      <c r="BQ52" s="141">
        <f>'RAW IMPORT'!BQ42</f>
        <v>0</v>
      </c>
      <c r="BR52" s="141">
        <f>'RAW IMPORT'!BR42</f>
        <v>2.35E-2</v>
      </c>
      <c r="BS52" s="141">
        <f>'RAW IMPORT'!BS42</f>
        <v>0.156</v>
      </c>
      <c r="BT52" s="141">
        <f>'RAW IMPORT'!BT42</f>
        <v>8.5999999999999993E-2</v>
      </c>
      <c r="BU52" s="141">
        <f>'RAW IMPORT'!BU42</f>
        <v>1.175E-2</v>
      </c>
      <c r="BV52" s="198">
        <f>'RAW IMPORT'!BV42</f>
        <v>0</v>
      </c>
      <c r="BW52" s="141">
        <f>'RAW IMPORT'!BW42</f>
        <v>0</v>
      </c>
      <c r="BX52" s="165">
        <f>'RAW IMPORT'!BX42</f>
        <v>76</v>
      </c>
      <c r="BY52" s="240"/>
      <c r="BZ52" s="126"/>
      <c r="CA52" s="143">
        <f t="shared" si="6"/>
        <v>38</v>
      </c>
      <c r="CB52" s="170">
        <f t="shared" ca="1" si="7"/>
        <v>41</v>
      </c>
      <c r="CC52" s="170" t="str">
        <f t="shared" ca="1" si="8"/>
        <v/>
      </c>
      <c r="CD52" s="204" t="str">
        <f t="shared" si="9"/>
        <v>"Model-8830A Sieger":
    RETURN</v>
      </c>
      <c r="CE52" s="170"/>
    </row>
    <row r="53" spans="1:83" ht="15" customHeight="1" x14ac:dyDescent="0.25">
      <c r="A53" s="138" t="str">
        <f>'RAW IMPORT'!A43</f>
        <v>OGRO</v>
      </c>
      <c r="B53" s="139">
        <f>'RAW IMPORT'!B43</f>
        <v>8860</v>
      </c>
      <c r="C53" s="142">
        <f>IF('RAW IMPORT'!C43&lt;&gt;"",1,0)</f>
        <v>0</v>
      </c>
      <c r="D53" s="142">
        <f>IF('RAW IMPORT'!D43&lt;&gt;"",1,0)</f>
        <v>0</v>
      </c>
      <c r="E53" s="142">
        <f>IF('RAW IMPORT'!E43&lt;&gt;"",1,0)</f>
        <v>0</v>
      </c>
      <c r="F53" s="142">
        <f>IF('RAW IMPORT'!F43&lt;&gt;"",1,0)</f>
        <v>0</v>
      </c>
      <c r="G53" s="142">
        <f>IF('RAW IMPORT'!G43&lt;&gt;"",1,0)</f>
        <v>0</v>
      </c>
      <c r="H53" s="142">
        <f>IF('RAW IMPORT'!H43&lt;&gt;"",1,0)</f>
        <v>0</v>
      </c>
      <c r="I53" s="142">
        <f>IF('RAW IMPORT'!I43&lt;&gt;"",1,0)</f>
        <v>0</v>
      </c>
      <c r="J53" s="142">
        <f>IF('RAW IMPORT'!J43&lt;&gt;"",1,0)</f>
        <v>0</v>
      </c>
      <c r="K53" s="142">
        <f>IF('RAW IMPORT'!K43&lt;&gt;"",1,0)</f>
        <v>0</v>
      </c>
      <c r="L53" s="142">
        <f>IF('RAW IMPORT'!L43&lt;&gt;"",1,0)</f>
        <v>0</v>
      </c>
      <c r="M53" s="142">
        <f>IF('RAW IMPORT'!M43&lt;&gt;"",1,0)</f>
        <v>0</v>
      </c>
      <c r="N53" s="165">
        <f>IF('RAW IMPORT'!N43&lt;&gt;"",1,0)</f>
        <v>0</v>
      </c>
      <c r="O53" s="167">
        <f>IF('RAW IMPORT'!O43&lt;&gt;"",1,0)</f>
        <v>0</v>
      </c>
      <c r="P53" s="142">
        <f>IF('RAW IMPORT'!P43&lt;&gt;"",1,0)</f>
        <v>0</v>
      </c>
      <c r="Q53" s="142">
        <f>IF('RAW IMPORT'!Q43&lt;&gt;"",1,0)</f>
        <v>0</v>
      </c>
      <c r="R53" s="138">
        <f>'RAW IMPORT'!R43</f>
        <v>0</v>
      </c>
      <c r="S53" s="138">
        <f>'RAW IMPORT'!S43</f>
        <v>7</v>
      </c>
      <c r="T53" s="138">
        <f>'RAW IMPORT'!T43</f>
        <v>5</v>
      </c>
      <c r="U53" s="138">
        <f>'RAW IMPORT'!U43</f>
        <v>0</v>
      </c>
      <c r="V53" s="138">
        <f>'RAW IMPORT'!V43</f>
        <v>0</v>
      </c>
      <c r="W53" s="138">
        <f>'RAW IMPORT'!W43</f>
        <v>0</v>
      </c>
      <c r="X53" s="138">
        <f>'RAW IMPORT'!X43</f>
        <v>0</v>
      </c>
      <c r="Y53" s="138">
        <f>'RAW IMPORT'!Y43</f>
        <v>0</v>
      </c>
      <c r="Z53" s="138">
        <f>'RAW IMPORT'!Z43</f>
        <v>0</v>
      </c>
      <c r="AA53" s="138">
        <f>'RAW IMPORT'!AA43</f>
        <v>0</v>
      </c>
      <c r="AB53" s="139">
        <f>'RAW IMPORT'!AB43</f>
        <v>0</v>
      </c>
      <c r="AC53" s="141">
        <f>'RAW IMPORT'!AC43</f>
        <v>4</v>
      </c>
      <c r="AD53" s="142">
        <f>'RAW IMPORT'!AD43</f>
        <v>7</v>
      </c>
      <c r="AE53" s="142">
        <f>'RAW IMPORT'!AE43</f>
        <v>0</v>
      </c>
      <c r="AF53" s="142">
        <f>IF('RAW IMPORT'!AF43="C1",3,IF('RAW IMPORT'!AF43="D1",4,0))</f>
        <v>0</v>
      </c>
      <c r="AG53" s="142">
        <f>'RAW IMPORT'!AG43</f>
        <v>1</v>
      </c>
      <c r="AH53" s="142">
        <f>'RAW IMPORT'!AH43</f>
        <v>5</v>
      </c>
      <c r="AI53" s="142">
        <f>IF('RAW IMPORT'!AI43="U",1,0)</f>
        <v>0</v>
      </c>
      <c r="AJ53" s="142">
        <f>IF('RAW IMPORT'!AJ43="A",1,0)</f>
        <v>1</v>
      </c>
      <c r="AK53" s="142">
        <f>IF('RAW IMPORT'!AK43="B",1,0)</f>
        <v>1</v>
      </c>
      <c r="AL53" s="142">
        <f>IF('RAW IMPORT'!AL43="U",1,0)</f>
        <v>1</v>
      </c>
      <c r="AM53" s="142">
        <f>IF('RAW IMPORT'!AM43&lt;&gt;"",1,0)</f>
        <v>0</v>
      </c>
      <c r="AN53" s="142">
        <f>IF('RAW IMPORT'!AN43&lt;&gt;"",1,0)</f>
        <v>0</v>
      </c>
      <c r="AO53" s="142">
        <f>IF('RAW IMPORT'!AO43&lt;&gt;"",1,0)</f>
        <v>0</v>
      </c>
      <c r="AP53" s="142">
        <f>IF('RAW IMPORT'!AP43&lt;&gt;"",1,0)</f>
        <v>1</v>
      </c>
      <c r="AQ53" s="142">
        <f>IF('RAW IMPORT'!AQ43&lt;&gt;"",1,0)</f>
        <v>1</v>
      </c>
      <c r="AR53" s="142">
        <f>IF('RAW IMPORT'!AR43&lt;&gt;"",1,0)</f>
        <v>1</v>
      </c>
      <c r="AS53" s="142">
        <f>IF('RAW IMPORT'!AS43&lt;&gt;"",1,0)</f>
        <v>1</v>
      </c>
      <c r="AT53" s="142">
        <f>IF('RAW IMPORT'!AT43&lt;&gt;"",1,0)</f>
        <v>1</v>
      </c>
      <c r="AU53" s="142">
        <f>IF('RAW IMPORT'!AU43&lt;&gt;"",1,0)</f>
        <v>0</v>
      </c>
      <c r="AV53" s="142">
        <f>IF('RAW IMPORT'!AV43&lt;&gt;"",1,0)</f>
        <v>1</v>
      </c>
      <c r="AW53" s="142">
        <f>IF('RAW IMPORT'!AW43&lt;&gt;"",1,0)</f>
        <v>1</v>
      </c>
      <c r="AX53" s="142">
        <f>IF('RAW IMPORT'!AX43&lt;&gt;"",1,0)</f>
        <v>1</v>
      </c>
      <c r="AY53" s="142">
        <f>IF('RAW IMPORT'!AY43&lt;&gt;"",1,0)</f>
        <v>1</v>
      </c>
      <c r="AZ53" s="142">
        <f>IF('RAW IMPORT'!AZ43&lt;&gt;"",1,0)</f>
        <v>1</v>
      </c>
      <c r="BA53" s="142">
        <f>IF('RAW IMPORT'!BA43&lt;&gt;"",1,0)</f>
        <v>1</v>
      </c>
      <c r="BB53" s="142">
        <f>IF('RAW IMPORT'!BB43&lt;&gt;"",1,0)</f>
        <v>1</v>
      </c>
      <c r="BC53" s="142">
        <f>IF('RAW IMPORT'!BC43&lt;&gt;"",1,0)</f>
        <v>0</v>
      </c>
      <c r="BD53" s="142">
        <f>IF('RAW IMPORT'!BD43&lt;&gt;"",1,0)</f>
        <v>1</v>
      </c>
      <c r="BE53" s="142">
        <f>IF('RAW IMPORT'!BE43&lt;&gt;"",1,0)</f>
        <v>1</v>
      </c>
      <c r="BF53" s="142">
        <f>IF('RAW IMPORT'!BF43&lt;&gt;"",1,0)</f>
        <v>0</v>
      </c>
      <c r="BG53" s="142">
        <f>IF('RAW IMPORT'!BG43&lt;&gt;"",1,0)</f>
        <v>1</v>
      </c>
      <c r="BH53" s="142">
        <f>IF('RAW IMPORT'!BH43&lt;&gt;"",1,0)</f>
        <v>1</v>
      </c>
      <c r="BI53" s="142">
        <f>IF('RAW IMPORT'!BI43&lt;&gt;"",1,0)</f>
        <v>1</v>
      </c>
      <c r="BJ53" s="142">
        <f>IF('RAW IMPORT'!BJ43&lt;&gt;"",1,0)</f>
        <v>1</v>
      </c>
      <c r="BK53" s="142">
        <f>IF('RAW IMPORT'!BK43&lt;&gt;"",1,0)</f>
        <v>1</v>
      </c>
      <c r="BL53" s="142">
        <f>IF('RAW IMPORT'!BL43&lt;&gt;"",1,0)</f>
        <v>1</v>
      </c>
      <c r="BM53" s="142">
        <f>'RAW IMPORT'!BM43</f>
        <v>1</v>
      </c>
      <c r="BN53" s="165">
        <f>'RAW IMPORT'!BN43</f>
        <v>0</v>
      </c>
      <c r="BO53" s="197">
        <f>'RAW IMPORT'!BO43</f>
        <v>0</v>
      </c>
      <c r="BP53" s="142" t="str">
        <f>'RAW IMPORT'!BP43</f>
        <v>PDF</v>
      </c>
      <c r="BQ53" s="141">
        <f>'RAW IMPORT'!BQ43</f>
        <v>0</v>
      </c>
      <c r="BR53" s="141">
        <f>'RAW IMPORT'!BR43</f>
        <v>2.35E-2</v>
      </c>
      <c r="BS53" s="141">
        <f>'RAW IMPORT'!BS43</f>
        <v>0.125</v>
      </c>
      <c r="BT53" s="141">
        <f>'RAW IMPORT'!BT43</f>
        <v>6.0999999999999999E-2</v>
      </c>
      <c r="BU53" s="141">
        <f>'RAW IMPORT'!BU43</f>
        <v>1.175E-2</v>
      </c>
      <c r="BV53" s="198">
        <f>'RAW IMPORT'!BV43</f>
        <v>0</v>
      </c>
      <c r="BW53" s="141">
        <f>'RAW IMPORT'!BW43</f>
        <v>27</v>
      </c>
      <c r="BX53" s="165">
        <f>'RAW IMPORT'!BX43</f>
        <v>0</v>
      </c>
      <c r="BY53" s="240"/>
      <c r="BZ53" s="126"/>
      <c r="CA53" s="143">
        <f t="shared" si="6"/>
        <v>39</v>
      </c>
      <c r="CB53" s="170">
        <f t="shared" ca="1" si="7"/>
        <v>42</v>
      </c>
      <c r="CC53" s="170" t="str">
        <f t="shared" ca="1" si="8"/>
        <v/>
      </c>
      <c r="CD53" s="204" t="str">
        <f t="shared" si="9"/>
        <v>"Model-8860":
    RETURN</v>
      </c>
      <c r="CE53" s="170"/>
    </row>
    <row r="54" spans="1:83" ht="15" customHeight="1" x14ac:dyDescent="0.25">
      <c r="A54" s="138" t="str">
        <f>'RAW IMPORT'!A44</f>
        <v>OGRO</v>
      </c>
      <c r="B54" s="139">
        <f>'RAW IMPORT'!B44</f>
        <v>8870</v>
      </c>
      <c r="C54" s="142">
        <f>IF('RAW IMPORT'!C44&lt;&gt;"",1,0)</f>
        <v>1</v>
      </c>
      <c r="D54" s="142">
        <f>IF('RAW IMPORT'!D44&lt;&gt;"",1,0)</f>
        <v>1</v>
      </c>
      <c r="E54" s="142">
        <f>IF('RAW IMPORT'!E44&lt;&gt;"",1,0)</f>
        <v>0</v>
      </c>
      <c r="F54" s="142">
        <f>IF('RAW IMPORT'!F44&lt;&gt;"",1,0)</f>
        <v>0</v>
      </c>
      <c r="G54" s="142">
        <f>IF('RAW IMPORT'!G44&lt;&gt;"",1,0)</f>
        <v>0</v>
      </c>
      <c r="H54" s="142">
        <f>IF('RAW IMPORT'!H44&lt;&gt;"",1,0)</f>
        <v>0</v>
      </c>
      <c r="I54" s="142">
        <f>IF('RAW IMPORT'!I44&lt;&gt;"",1,0)</f>
        <v>0</v>
      </c>
      <c r="J54" s="142">
        <f>IF('RAW IMPORT'!J44&lt;&gt;"",1,0)</f>
        <v>0</v>
      </c>
      <c r="K54" s="142">
        <f>IF('RAW IMPORT'!K44&lt;&gt;"",1,0)</f>
        <v>0</v>
      </c>
      <c r="L54" s="142">
        <f>IF('RAW IMPORT'!L44&lt;&gt;"",1,0)</f>
        <v>0</v>
      </c>
      <c r="M54" s="142">
        <f>IF('RAW IMPORT'!M44&lt;&gt;"",1,0)</f>
        <v>0</v>
      </c>
      <c r="N54" s="165">
        <f>IF('RAW IMPORT'!N44&lt;&gt;"",1,0)</f>
        <v>0</v>
      </c>
      <c r="O54" s="167">
        <f>IF('RAW IMPORT'!O44&lt;&gt;"",1,0)</f>
        <v>0</v>
      </c>
      <c r="P54" s="142">
        <f>IF('RAW IMPORT'!P44&lt;&gt;"",1,0)</f>
        <v>0</v>
      </c>
      <c r="Q54" s="142">
        <f>IF('RAW IMPORT'!Q44&lt;&gt;"",1,0)</f>
        <v>0</v>
      </c>
      <c r="R54" s="138">
        <f>'RAW IMPORT'!R44</f>
        <v>0</v>
      </c>
      <c r="S54" s="138">
        <f>'RAW IMPORT'!S44</f>
        <v>7</v>
      </c>
      <c r="T54" s="138">
        <f>'RAW IMPORT'!T44</f>
        <v>5</v>
      </c>
      <c r="U54" s="138">
        <f>'RAW IMPORT'!U44</f>
        <v>0</v>
      </c>
      <c r="V54" s="138">
        <f>'RAW IMPORT'!V44</f>
        <v>0</v>
      </c>
      <c r="W54" s="138">
        <f>'RAW IMPORT'!W44</f>
        <v>0</v>
      </c>
      <c r="X54" s="138">
        <f>'RAW IMPORT'!X44</f>
        <v>0</v>
      </c>
      <c r="Y54" s="138">
        <f>'RAW IMPORT'!Y44</f>
        <v>0</v>
      </c>
      <c r="Z54" s="138">
        <f>'RAW IMPORT'!Z44</f>
        <v>0</v>
      </c>
      <c r="AA54" s="138">
        <f>'RAW IMPORT'!AA44</f>
        <v>0</v>
      </c>
      <c r="AB54" s="139">
        <f>'RAW IMPORT'!AB44</f>
        <v>0</v>
      </c>
      <c r="AC54" s="141">
        <f>'RAW IMPORT'!AC44</f>
        <v>4</v>
      </c>
      <c r="AD54" s="142">
        <f>'RAW IMPORT'!AD44</f>
        <v>7</v>
      </c>
      <c r="AE54" s="142">
        <f>'RAW IMPORT'!AE44</f>
        <v>0</v>
      </c>
      <c r="AF54" s="142">
        <f>IF('RAW IMPORT'!AF44="C1",3,IF('RAW IMPORT'!AF44="D1",4,0))</f>
        <v>3</v>
      </c>
      <c r="AG54" s="142">
        <f>'RAW IMPORT'!AG44</f>
        <v>1</v>
      </c>
      <c r="AH54" s="142">
        <f>'RAW IMPORT'!AH44</f>
        <v>5</v>
      </c>
      <c r="AI54" s="142">
        <f>IF('RAW IMPORT'!AI44="U",1,0)</f>
        <v>0</v>
      </c>
      <c r="AJ54" s="142">
        <f>IF('RAW IMPORT'!AJ44="A",1,0)</f>
        <v>1</v>
      </c>
      <c r="AK54" s="142">
        <f>IF('RAW IMPORT'!AK44="B",1,0)</f>
        <v>1</v>
      </c>
      <c r="AL54" s="142">
        <f>IF('RAW IMPORT'!AL44="U",1,0)</f>
        <v>1</v>
      </c>
      <c r="AM54" s="142">
        <f>IF('RAW IMPORT'!AM44&lt;&gt;"",1,0)</f>
        <v>1</v>
      </c>
      <c r="AN54" s="142">
        <f>IF('RAW IMPORT'!AN44&lt;&gt;"",1,0)</f>
        <v>1</v>
      </c>
      <c r="AO54" s="142">
        <f>IF('RAW IMPORT'!AO44&lt;&gt;"",1,0)</f>
        <v>1</v>
      </c>
      <c r="AP54" s="142">
        <f>IF('RAW IMPORT'!AP44&lt;&gt;"",1,0)</f>
        <v>0</v>
      </c>
      <c r="AQ54" s="142">
        <f>IF('RAW IMPORT'!AQ44&lt;&gt;"",1,0)</f>
        <v>1</v>
      </c>
      <c r="AR54" s="142">
        <f>IF('RAW IMPORT'!AR44&lt;&gt;"",1,0)</f>
        <v>1</v>
      </c>
      <c r="AS54" s="142">
        <f>IF('RAW IMPORT'!AS44&lt;&gt;"",1,0)</f>
        <v>1</v>
      </c>
      <c r="AT54" s="142">
        <f>IF('RAW IMPORT'!AT44&lt;&gt;"",1,0)</f>
        <v>1</v>
      </c>
      <c r="AU54" s="142">
        <f>IF('RAW IMPORT'!AU44&lt;&gt;"",1,0)</f>
        <v>0</v>
      </c>
      <c r="AV54" s="142">
        <f>IF('RAW IMPORT'!AV44&lt;&gt;"",1,0)</f>
        <v>1</v>
      </c>
      <c r="AW54" s="142">
        <f>IF('RAW IMPORT'!AW44&lt;&gt;"",1,0)</f>
        <v>1</v>
      </c>
      <c r="AX54" s="142">
        <f>IF('RAW IMPORT'!AX44&lt;&gt;"",1,0)</f>
        <v>1</v>
      </c>
      <c r="AY54" s="142">
        <f>IF('RAW IMPORT'!AY44&lt;&gt;"",1,0)</f>
        <v>1</v>
      </c>
      <c r="AZ54" s="142">
        <f>IF('RAW IMPORT'!AZ44&lt;&gt;"",1,0)</f>
        <v>1</v>
      </c>
      <c r="BA54" s="142">
        <f>IF('RAW IMPORT'!BA44&lt;&gt;"",1,0)</f>
        <v>1</v>
      </c>
      <c r="BB54" s="142">
        <f>IF('RAW IMPORT'!BB44&lt;&gt;"",1,0)</f>
        <v>1</v>
      </c>
      <c r="BC54" s="142">
        <f>IF('RAW IMPORT'!BC44&lt;&gt;"",1,0)</f>
        <v>0</v>
      </c>
      <c r="BD54" s="142">
        <f>IF('RAW IMPORT'!BD44&lt;&gt;"",1,0)</f>
        <v>1</v>
      </c>
      <c r="BE54" s="142">
        <f>IF('RAW IMPORT'!BE44&lt;&gt;"",1,0)</f>
        <v>1</v>
      </c>
      <c r="BF54" s="142">
        <f>IF('RAW IMPORT'!BF44&lt;&gt;"",1,0)</f>
        <v>0</v>
      </c>
      <c r="BG54" s="142">
        <f>IF('RAW IMPORT'!BG44&lt;&gt;"",1,0)</f>
        <v>1</v>
      </c>
      <c r="BH54" s="142">
        <f>IF('RAW IMPORT'!BH44&lt;&gt;"",1,0)</f>
        <v>1</v>
      </c>
      <c r="BI54" s="142">
        <f>IF('RAW IMPORT'!BI44&lt;&gt;"",1,0)</f>
        <v>1</v>
      </c>
      <c r="BJ54" s="142">
        <f>IF('RAW IMPORT'!BJ44&lt;&gt;"",1,0)</f>
        <v>1</v>
      </c>
      <c r="BK54" s="142">
        <f>IF('RAW IMPORT'!BK44&lt;&gt;"",1,0)</f>
        <v>1</v>
      </c>
      <c r="BL54" s="142">
        <f>IF('RAW IMPORT'!BL44&lt;&gt;"",1,0)</f>
        <v>1</v>
      </c>
      <c r="BM54" s="142">
        <f>'RAW IMPORT'!BM44</f>
        <v>1</v>
      </c>
      <c r="BN54" s="165">
        <f>'RAW IMPORT'!BN44</f>
        <v>0</v>
      </c>
      <c r="BO54" s="197">
        <f>'RAW IMPORT'!BO44</f>
        <v>0</v>
      </c>
      <c r="BP54" s="142" t="str">
        <f>'RAW IMPORT'!BP44</f>
        <v>PDF</v>
      </c>
      <c r="BQ54" s="141">
        <f>'RAW IMPORT'!BQ44</f>
        <v>0</v>
      </c>
      <c r="BR54" s="141">
        <f>'RAW IMPORT'!BR44</f>
        <v>3.3000000000000002E-2</v>
      </c>
      <c r="BS54" s="141">
        <f>'RAW IMPORT'!BS44</f>
        <v>0.13</v>
      </c>
      <c r="BT54" s="141">
        <f>'RAW IMPORT'!BT44</f>
        <v>5.5E-2</v>
      </c>
      <c r="BU54" s="141">
        <f>'RAW IMPORT'!BU44</f>
        <v>1.6500000000000001E-2</v>
      </c>
      <c r="BV54" s="198">
        <f>'RAW IMPORT'!BV44</f>
        <v>0</v>
      </c>
      <c r="BW54" s="141">
        <f>'RAW IMPORT'!BW44</f>
        <v>28</v>
      </c>
      <c r="BX54" s="165">
        <f>'RAW IMPORT'!BX44</f>
        <v>0</v>
      </c>
      <c r="BY54" s="240"/>
      <c r="BZ54" s="126"/>
      <c r="CA54" s="143">
        <f t="shared" si="6"/>
        <v>40</v>
      </c>
      <c r="CB54" s="170">
        <f t="shared" ca="1" si="7"/>
        <v>45</v>
      </c>
      <c r="CC54" s="170" t="str">
        <f t="shared" ca="1" si="8"/>
        <v/>
      </c>
      <c r="CD54" s="204" t="str">
        <f t="shared" si="9"/>
        <v>"Model-8870":
    RETURN</v>
      </c>
      <c r="CE54" s="170"/>
    </row>
    <row r="55" spans="1:83" ht="15" customHeight="1" x14ac:dyDescent="0.25">
      <c r="A55" s="138" t="str">
        <f>'RAW IMPORT'!A45</f>
        <v>OGRO</v>
      </c>
      <c r="B55" s="139">
        <f>'RAW IMPORT'!B45</f>
        <v>8871</v>
      </c>
      <c r="C55" s="142">
        <f>IF('RAW IMPORT'!C45&lt;&gt;"",1,0)</f>
        <v>1</v>
      </c>
      <c r="D55" s="142">
        <f>IF('RAW IMPORT'!D45&lt;&gt;"",1,0)</f>
        <v>1</v>
      </c>
      <c r="E55" s="142">
        <f>IF('RAW IMPORT'!E45&lt;&gt;"",1,0)</f>
        <v>0</v>
      </c>
      <c r="F55" s="142">
        <f>IF('RAW IMPORT'!F45&lt;&gt;"",1,0)</f>
        <v>0</v>
      </c>
      <c r="G55" s="142">
        <f>IF('RAW IMPORT'!G45&lt;&gt;"",1,0)</f>
        <v>0</v>
      </c>
      <c r="H55" s="142">
        <f>IF('RAW IMPORT'!H45&lt;&gt;"",1,0)</f>
        <v>0</v>
      </c>
      <c r="I55" s="142">
        <f>IF('RAW IMPORT'!I45&lt;&gt;"",1,0)</f>
        <v>0</v>
      </c>
      <c r="J55" s="142">
        <f>IF('RAW IMPORT'!J45&lt;&gt;"",1,0)</f>
        <v>0</v>
      </c>
      <c r="K55" s="142">
        <f>IF('RAW IMPORT'!K45&lt;&gt;"",1,0)</f>
        <v>0</v>
      </c>
      <c r="L55" s="142">
        <f>IF('RAW IMPORT'!L45&lt;&gt;"",1,0)</f>
        <v>0</v>
      </c>
      <c r="M55" s="142">
        <f>IF('RAW IMPORT'!M45&lt;&gt;"",1,0)</f>
        <v>0</v>
      </c>
      <c r="N55" s="165">
        <f>IF('RAW IMPORT'!N45&lt;&gt;"",1,0)</f>
        <v>0</v>
      </c>
      <c r="O55" s="167">
        <f>IF('RAW IMPORT'!O45&lt;&gt;"",1,0)</f>
        <v>1</v>
      </c>
      <c r="P55" s="142">
        <f>IF('RAW IMPORT'!P45&lt;&gt;"",1,0)</f>
        <v>0</v>
      </c>
      <c r="Q55" s="142">
        <f>IF('RAW IMPORT'!Q45&lt;&gt;"",1,0)</f>
        <v>0</v>
      </c>
      <c r="R55" s="138">
        <f>'RAW IMPORT'!R45</f>
        <v>0</v>
      </c>
      <c r="S55" s="138">
        <f>'RAW IMPORT'!S45</f>
        <v>7</v>
      </c>
      <c r="T55" s="138">
        <f>'RAW IMPORT'!T45</f>
        <v>5</v>
      </c>
      <c r="U55" s="138">
        <f>'RAW IMPORT'!U45</f>
        <v>0</v>
      </c>
      <c r="V55" s="138">
        <f>'RAW IMPORT'!V45</f>
        <v>0</v>
      </c>
      <c r="W55" s="138">
        <f>'RAW IMPORT'!W45</f>
        <v>0</v>
      </c>
      <c r="X55" s="138">
        <f>'RAW IMPORT'!X45</f>
        <v>0</v>
      </c>
      <c r="Y55" s="138">
        <f>'RAW IMPORT'!Y45</f>
        <v>0</v>
      </c>
      <c r="Z55" s="138">
        <f>'RAW IMPORT'!Z45</f>
        <v>0</v>
      </c>
      <c r="AA55" s="138">
        <f>'RAW IMPORT'!AA45</f>
        <v>0</v>
      </c>
      <c r="AB55" s="139">
        <f>'RAW IMPORT'!AB45</f>
        <v>0</v>
      </c>
      <c r="AC55" s="141">
        <f>'RAW IMPORT'!AC45</f>
        <v>4</v>
      </c>
      <c r="AD55" s="142">
        <f>'RAW IMPORT'!AD45</f>
        <v>7</v>
      </c>
      <c r="AE55" s="142">
        <f>'RAW IMPORT'!AE45</f>
        <v>0</v>
      </c>
      <c r="AF55" s="142">
        <f>IF('RAW IMPORT'!AF45="C1",3,IF('RAW IMPORT'!AF45="D1",4,0))</f>
        <v>3</v>
      </c>
      <c r="AG55" s="142">
        <f>'RAW IMPORT'!AG45</f>
        <v>1</v>
      </c>
      <c r="AH55" s="142">
        <f>'RAW IMPORT'!AH45</f>
        <v>5</v>
      </c>
      <c r="AI55" s="142">
        <f>IF('RAW IMPORT'!AI45="U",1,0)</f>
        <v>0</v>
      </c>
      <c r="AJ55" s="142">
        <f>IF('RAW IMPORT'!AJ45="A",1,0)</f>
        <v>1</v>
      </c>
      <c r="AK55" s="142">
        <f>IF('RAW IMPORT'!AK45="B",1,0)</f>
        <v>1</v>
      </c>
      <c r="AL55" s="142">
        <f>IF('RAW IMPORT'!AL45="U",1,0)</f>
        <v>1</v>
      </c>
      <c r="AM55" s="142">
        <f>IF('RAW IMPORT'!AM45&lt;&gt;"",1,0)</f>
        <v>1</v>
      </c>
      <c r="AN55" s="142">
        <f>IF('RAW IMPORT'!AN45&lt;&gt;"",1,0)</f>
        <v>1</v>
      </c>
      <c r="AO55" s="142">
        <f>IF('RAW IMPORT'!AO45&lt;&gt;"",1,0)</f>
        <v>1</v>
      </c>
      <c r="AP55" s="142">
        <f>IF('RAW IMPORT'!AP45&lt;&gt;"",1,0)</f>
        <v>0</v>
      </c>
      <c r="AQ55" s="142">
        <f>IF('RAW IMPORT'!AQ45&lt;&gt;"",1,0)</f>
        <v>1</v>
      </c>
      <c r="AR55" s="142">
        <f>IF('RAW IMPORT'!AR45&lt;&gt;"",1,0)</f>
        <v>1</v>
      </c>
      <c r="AS55" s="142">
        <f>IF('RAW IMPORT'!AS45&lt;&gt;"",1,0)</f>
        <v>1</v>
      </c>
      <c r="AT55" s="142">
        <f>IF('RAW IMPORT'!AT45&lt;&gt;"",1,0)</f>
        <v>1</v>
      </c>
      <c r="AU55" s="142">
        <f>IF('RAW IMPORT'!AU45&lt;&gt;"",1,0)</f>
        <v>1</v>
      </c>
      <c r="AV55" s="142">
        <f>IF('RAW IMPORT'!AV45&lt;&gt;"",1,0)</f>
        <v>1</v>
      </c>
      <c r="AW55" s="142">
        <f>IF('RAW IMPORT'!AW45&lt;&gt;"",1,0)</f>
        <v>1</v>
      </c>
      <c r="AX55" s="142">
        <f>IF('RAW IMPORT'!AX45&lt;&gt;"",1,0)</f>
        <v>1</v>
      </c>
      <c r="AY55" s="142">
        <f>IF('RAW IMPORT'!AY45&lt;&gt;"",1,0)</f>
        <v>1</v>
      </c>
      <c r="AZ55" s="142">
        <f>IF('RAW IMPORT'!AZ45&lt;&gt;"",1,0)</f>
        <v>1</v>
      </c>
      <c r="BA55" s="142">
        <f>IF('RAW IMPORT'!BA45&lt;&gt;"",1,0)</f>
        <v>1</v>
      </c>
      <c r="BB55" s="142">
        <f>IF('RAW IMPORT'!BB45&lt;&gt;"",1,0)</f>
        <v>1</v>
      </c>
      <c r="BC55" s="142">
        <f>IF('RAW IMPORT'!BC45&lt;&gt;"",1,0)</f>
        <v>0</v>
      </c>
      <c r="BD55" s="142">
        <f>IF('RAW IMPORT'!BD45&lt;&gt;"",1,0)</f>
        <v>1</v>
      </c>
      <c r="BE55" s="142">
        <f>IF('RAW IMPORT'!BE45&lt;&gt;"",1,0)</f>
        <v>1</v>
      </c>
      <c r="BF55" s="142">
        <f>IF('RAW IMPORT'!BF45&lt;&gt;"",1,0)</f>
        <v>0</v>
      </c>
      <c r="BG55" s="142">
        <f>IF('RAW IMPORT'!BG45&lt;&gt;"",1,0)</f>
        <v>1</v>
      </c>
      <c r="BH55" s="142">
        <f>IF('RAW IMPORT'!BH45&lt;&gt;"",1,0)</f>
        <v>1</v>
      </c>
      <c r="BI55" s="142">
        <f>IF('RAW IMPORT'!BI45&lt;&gt;"",1,0)</f>
        <v>1</v>
      </c>
      <c r="BJ55" s="142">
        <f>IF('RAW IMPORT'!BJ45&lt;&gt;"",1,0)</f>
        <v>1</v>
      </c>
      <c r="BK55" s="142">
        <f>IF('RAW IMPORT'!BK45&lt;&gt;"",1,0)</f>
        <v>1</v>
      </c>
      <c r="BL55" s="142">
        <f>IF('RAW IMPORT'!BL45&lt;&gt;"",1,0)</f>
        <v>1</v>
      </c>
      <c r="BM55" s="142">
        <f>'RAW IMPORT'!BM45</f>
        <v>1</v>
      </c>
      <c r="BN55" s="165">
        <f>'RAW IMPORT'!BN45</f>
        <v>0</v>
      </c>
      <c r="BO55" s="197">
        <f>'RAW IMPORT'!BO45</f>
        <v>0</v>
      </c>
      <c r="BP55" s="142" t="str">
        <f>'RAW IMPORT'!BP45</f>
        <v>PDF</v>
      </c>
      <c r="BQ55" s="141">
        <f>'RAW IMPORT'!BQ45</f>
        <v>0</v>
      </c>
      <c r="BR55" s="141">
        <f>'RAW IMPORT'!BR45</f>
        <v>0.02</v>
      </c>
      <c r="BS55" s="141">
        <f>'RAW IMPORT'!BS45</f>
        <v>0.14000000000000001</v>
      </c>
      <c r="BT55" s="141">
        <f>'RAW IMPORT'!BT45</f>
        <v>5.5E-2</v>
      </c>
      <c r="BU55" s="141">
        <f>'RAW IMPORT'!BU45</f>
        <v>1.6500000000000001E-2</v>
      </c>
      <c r="BV55" s="198">
        <f>'RAW IMPORT'!BV45</f>
        <v>0</v>
      </c>
      <c r="BW55" s="141">
        <f>'RAW IMPORT'!BW45</f>
        <v>29</v>
      </c>
      <c r="BX55" s="165">
        <f>'RAW IMPORT'!BX45</f>
        <v>0</v>
      </c>
      <c r="BY55" s="240"/>
      <c r="BZ55" s="126"/>
      <c r="CA55" s="143">
        <f t="shared" si="6"/>
        <v>41</v>
      </c>
      <c r="CB55" s="170">
        <f t="shared" ca="1" si="7"/>
        <v>46</v>
      </c>
      <c r="CC55" s="170" t="str">
        <f t="shared" ca="1" si="8"/>
        <v/>
      </c>
      <c r="CD55" s="204" t="str">
        <f t="shared" si="9"/>
        <v>"Model-8871":
    RETURN</v>
      </c>
      <c r="CE55" s="170"/>
    </row>
    <row r="56" spans="1:83" ht="15" customHeight="1" x14ac:dyDescent="0.25">
      <c r="A56" s="138" t="str">
        <f>'RAW IMPORT'!A46</f>
        <v>OGRO</v>
      </c>
      <c r="B56" s="139" t="str">
        <f>'RAW IMPORT'!B46</f>
        <v>8871V</v>
      </c>
      <c r="C56" s="142">
        <f>IF('RAW IMPORT'!C46&lt;&gt;"",1,0)</f>
        <v>1</v>
      </c>
      <c r="D56" s="142">
        <f>IF('RAW IMPORT'!D46&lt;&gt;"",1,0)</f>
        <v>1</v>
      </c>
      <c r="E56" s="142">
        <f>IF('RAW IMPORT'!E46&lt;&gt;"",1,0)</f>
        <v>0</v>
      </c>
      <c r="F56" s="142">
        <f>IF('RAW IMPORT'!F46&lt;&gt;"",1,0)</f>
        <v>0</v>
      </c>
      <c r="G56" s="142">
        <f>IF('RAW IMPORT'!G46&lt;&gt;"",1,0)</f>
        <v>0</v>
      </c>
      <c r="H56" s="142">
        <f>IF('RAW IMPORT'!H46&lt;&gt;"",1,0)</f>
        <v>0</v>
      </c>
      <c r="I56" s="142">
        <f>IF('RAW IMPORT'!I46&lt;&gt;"",1,0)</f>
        <v>0</v>
      </c>
      <c r="J56" s="142">
        <f>IF('RAW IMPORT'!J46&lt;&gt;"",1,0)</f>
        <v>0</v>
      </c>
      <c r="K56" s="142">
        <f>IF('RAW IMPORT'!K46&lt;&gt;"",1,0)</f>
        <v>0</v>
      </c>
      <c r="L56" s="142">
        <f>IF('RAW IMPORT'!L46&lt;&gt;"",1,0)</f>
        <v>0</v>
      </c>
      <c r="M56" s="142">
        <f>IF('RAW IMPORT'!M46&lt;&gt;"",1,0)</f>
        <v>0</v>
      </c>
      <c r="N56" s="165">
        <f>IF('RAW IMPORT'!N46&lt;&gt;"",1,0)</f>
        <v>0</v>
      </c>
      <c r="O56" s="167">
        <f>IF('RAW IMPORT'!O46&lt;&gt;"",1,0)</f>
        <v>1</v>
      </c>
      <c r="P56" s="142">
        <f>IF('RAW IMPORT'!P46&lt;&gt;"",1,0)</f>
        <v>0</v>
      </c>
      <c r="Q56" s="142">
        <f>IF('RAW IMPORT'!Q46&lt;&gt;"",1,0)</f>
        <v>0</v>
      </c>
      <c r="R56" s="138">
        <f>'RAW IMPORT'!R46</f>
        <v>0</v>
      </c>
      <c r="S56" s="138">
        <f>'RAW IMPORT'!S46</f>
        <v>7</v>
      </c>
      <c r="T56" s="138">
        <f>'RAW IMPORT'!T46</f>
        <v>5</v>
      </c>
      <c r="U56" s="138">
        <f>'RAW IMPORT'!U46</f>
        <v>0</v>
      </c>
      <c r="V56" s="138">
        <f>'RAW IMPORT'!V46</f>
        <v>0</v>
      </c>
      <c r="W56" s="138">
        <f>'RAW IMPORT'!W46</f>
        <v>0</v>
      </c>
      <c r="X56" s="138">
        <f>'RAW IMPORT'!X46</f>
        <v>0</v>
      </c>
      <c r="Y56" s="138">
        <f>'RAW IMPORT'!Y46</f>
        <v>0</v>
      </c>
      <c r="Z56" s="138">
        <f>'RAW IMPORT'!Z46</f>
        <v>0</v>
      </c>
      <c r="AA56" s="138">
        <f>'RAW IMPORT'!AA46</f>
        <v>0</v>
      </c>
      <c r="AB56" s="139">
        <f>'RAW IMPORT'!AB46</f>
        <v>0</v>
      </c>
      <c r="AC56" s="141">
        <f>'RAW IMPORT'!AC46</f>
        <v>4</v>
      </c>
      <c r="AD56" s="142">
        <f>'RAW IMPORT'!AD46</f>
        <v>7</v>
      </c>
      <c r="AE56" s="142">
        <f>'RAW IMPORT'!AE46</f>
        <v>0</v>
      </c>
      <c r="AF56" s="142">
        <f>IF('RAW IMPORT'!AF46="C1",3,IF('RAW IMPORT'!AF46="D1",4,0))</f>
        <v>3</v>
      </c>
      <c r="AG56" s="142">
        <f>'RAW IMPORT'!AG46</f>
        <v>1</v>
      </c>
      <c r="AH56" s="142">
        <f>'RAW IMPORT'!AH46</f>
        <v>5</v>
      </c>
      <c r="AI56" s="142">
        <f>IF('RAW IMPORT'!AI46="U",1,0)</f>
        <v>0</v>
      </c>
      <c r="AJ56" s="142">
        <f>IF('RAW IMPORT'!AJ46="A",1,0)</f>
        <v>1</v>
      </c>
      <c r="AK56" s="142">
        <f>IF('RAW IMPORT'!AK46="B",1,0)</f>
        <v>1</v>
      </c>
      <c r="AL56" s="142">
        <f>IF('RAW IMPORT'!AL46="U",1,0)</f>
        <v>1</v>
      </c>
      <c r="AM56" s="142">
        <f>IF('RAW IMPORT'!AM46&lt;&gt;"",1,0)</f>
        <v>1</v>
      </c>
      <c r="AN56" s="142">
        <f>IF('RAW IMPORT'!AN46&lt;&gt;"",1,0)</f>
        <v>1</v>
      </c>
      <c r="AO56" s="142">
        <f>IF('RAW IMPORT'!AO46&lt;&gt;"",1,0)</f>
        <v>1</v>
      </c>
      <c r="AP56" s="142">
        <f>IF('RAW IMPORT'!AP46&lt;&gt;"",1,0)</f>
        <v>0</v>
      </c>
      <c r="AQ56" s="142">
        <f>IF('RAW IMPORT'!AQ46&lt;&gt;"",1,0)</f>
        <v>1</v>
      </c>
      <c r="AR56" s="142">
        <f>IF('RAW IMPORT'!AR46&lt;&gt;"",1,0)</f>
        <v>1</v>
      </c>
      <c r="AS56" s="142">
        <f>IF('RAW IMPORT'!AS46&lt;&gt;"",1,0)</f>
        <v>1</v>
      </c>
      <c r="AT56" s="142">
        <f>IF('RAW IMPORT'!AT46&lt;&gt;"",1,0)</f>
        <v>1</v>
      </c>
      <c r="AU56" s="142">
        <f>IF('RAW IMPORT'!AU46&lt;&gt;"",1,0)</f>
        <v>1</v>
      </c>
      <c r="AV56" s="142">
        <f>IF('RAW IMPORT'!AV46&lt;&gt;"",1,0)</f>
        <v>1</v>
      </c>
      <c r="AW56" s="142">
        <f>IF('RAW IMPORT'!AW46&lt;&gt;"",1,0)</f>
        <v>0</v>
      </c>
      <c r="AX56" s="142">
        <f>IF('RAW IMPORT'!AX46&lt;&gt;"",1,0)</f>
        <v>0</v>
      </c>
      <c r="AY56" s="142">
        <f>IF('RAW IMPORT'!AY46&lt;&gt;"",1,0)</f>
        <v>0</v>
      </c>
      <c r="AZ56" s="142">
        <f>IF('RAW IMPORT'!AZ46&lt;&gt;"",1,0)</f>
        <v>0</v>
      </c>
      <c r="BA56" s="142">
        <f>IF('RAW IMPORT'!BA46&lt;&gt;"",1,0)</f>
        <v>0</v>
      </c>
      <c r="BB56" s="142">
        <f>IF('RAW IMPORT'!BB46&lt;&gt;"",1,0)</f>
        <v>0</v>
      </c>
      <c r="BC56" s="142">
        <f>IF('RAW IMPORT'!BC46&lt;&gt;"",1,0)</f>
        <v>1</v>
      </c>
      <c r="BD56" s="142">
        <f>IF('RAW IMPORT'!BD46&lt;&gt;"",1,0)</f>
        <v>1</v>
      </c>
      <c r="BE56" s="142">
        <f>IF('RAW IMPORT'!BE46&lt;&gt;"",1,0)</f>
        <v>1</v>
      </c>
      <c r="BF56" s="142">
        <f>IF('RAW IMPORT'!BF46&lt;&gt;"",1,0)</f>
        <v>0</v>
      </c>
      <c r="BG56" s="142">
        <f>IF('RAW IMPORT'!BG46&lt;&gt;"",1,0)</f>
        <v>1</v>
      </c>
      <c r="BH56" s="142">
        <f>IF('RAW IMPORT'!BH46&lt;&gt;"",1,0)</f>
        <v>1</v>
      </c>
      <c r="BI56" s="142">
        <f>IF('RAW IMPORT'!BI46&lt;&gt;"",1,0)</f>
        <v>1</v>
      </c>
      <c r="BJ56" s="142">
        <f>IF('RAW IMPORT'!BJ46&lt;&gt;"",1,0)</f>
        <v>1</v>
      </c>
      <c r="BK56" s="142">
        <f>IF('RAW IMPORT'!BK46&lt;&gt;"",1,0)</f>
        <v>1</v>
      </c>
      <c r="BL56" s="142">
        <f>IF('RAW IMPORT'!BL46&lt;&gt;"",1,0)</f>
        <v>0</v>
      </c>
      <c r="BM56" s="142">
        <f>'RAW IMPORT'!BM46</f>
        <v>1</v>
      </c>
      <c r="BN56" s="165">
        <f>'RAW IMPORT'!BN46</f>
        <v>0</v>
      </c>
      <c r="BO56" s="197">
        <f>'RAW IMPORT'!BO46</f>
        <v>0</v>
      </c>
      <c r="BP56" s="142" t="str">
        <f>'RAW IMPORT'!BP46</f>
        <v>PDF</v>
      </c>
      <c r="BQ56" s="141">
        <f>'RAW IMPORT'!BQ46</f>
        <v>0</v>
      </c>
      <c r="BR56" s="141">
        <f>'RAW IMPORT'!BR46</f>
        <v>0.02</v>
      </c>
      <c r="BS56" s="141">
        <f>'RAW IMPORT'!BS46</f>
        <v>0.157</v>
      </c>
      <c r="BT56" s="141">
        <f>'RAW IMPORT'!BT46</f>
        <v>5.3999999999999999E-2</v>
      </c>
      <c r="BU56" s="141">
        <f>'RAW IMPORT'!BU46</f>
        <v>1.2500000000000001E-2</v>
      </c>
      <c r="BV56" s="198">
        <f>'RAW IMPORT'!BV46</f>
        <v>0</v>
      </c>
      <c r="BW56" s="141">
        <f>'RAW IMPORT'!BW46</f>
        <v>0</v>
      </c>
      <c r="BX56" s="165">
        <f>'RAW IMPORT'!BX46</f>
        <v>77</v>
      </c>
      <c r="BY56" s="240"/>
      <c r="BZ56" s="126"/>
      <c r="CA56" s="143">
        <f t="shared" si="6"/>
        <v>42</v>
      </c>
      <c r="CB56" s="170">
        <f t="shared" ca="1" si="7"/>
        <v>47</v>
      </c>
      <c r="CC56" s="170" t="str">
        <f t="shared" ca="1" si="8"/>
        <v/>
      </c>
      <c r="CD56" s="204" t="str">
        <f t="shared" si="9"/>
        <v>"Model-8871V":
    RETURN</v>
      </c>
      <c r="CE56" s="170"/>
    </row>
    <row r="57" spans="1:83" ht="15" customHeight="1" x14ac:dyDescent="0.25">
      <c r="A57" s="138" t="str">
        <f>'RAW IMPORT'!A47</f>
        <v>OGRO by ARCHITECTS</v>
      </c>
      <c r="B57" s="139" t="str">
        <f>'RAW IMPORT'!B47</f>
        <v>8880 Kister</v>
      </c>
      <c r="C57" s="142">
        <f>IF('RAW IMPORT'!C47&lt;&gt;"",1,0)</f>
        <v>1</v>
      </c>
      <c r="D57" s="142">
        <f>IF('RAW IMPORT'!D47&lt;&gt;"",1,0)</f>
        <v>1</v>
      </c>
      <c r="E57" s="142">
        <f>IF('RAW IMPORT'!E47&lt;&gt;"",1,0)</f>
        <v>0</v>
      </c>
      <c r="F57" s="142">
        <f>IF('RAW IMPORT'!F47&lt;&gt;"",1,0)</f>
        <v>0</v>
      </c>
      <c r="G57" s="142">
        <f>IF('RAW IMPORT'!G47&lt;&gt;"",1,0)</f>
        <v>0</v>
      </c>
      <c r="H57" s="142">
        <f>IF('RAW IMPORT'!H47&lt;&gt;"",1,0)</f>
        <v>0</v>
      </c>
      <c r="I57" s="142">
        <f>IF('RAW IMPORT'!I47&lt;&gt;"",1,0)</f>
        <v>0</v>
      </c>
      <c r="J57" s="142">
        <f>IF('RAW IMPORT'!J47&lt;&gt;"",1,0)</f>
        <v>0</v>
      </c>
      <c r="K57" s="142">
        <f>IF('RAW IMPORT'!K47&lt;&gt;"",1,0)</f>
        <v>0</v>
      </c>
      <c r="L57" s="142">
        <f>IF('RAW IMPORT'!L47&lt;&gt;"",1,0)</f>
        <v>0</v>
      </c>
      <c r="M57" s="142">
        <f>IF('RAW IMPORT'!M47&lt;&gt;"",1,0)</f>
        <v>0</v>
      </c>
      <c r="N57" s="165">
        <f>IF('RAW IMPORT'!N47&lt;&gt;"",1,0)</f>
        <v>0</v>
      </c>
      <c r="O57" s="167">
        <f>IF('RAW IMPORT'!O47&lt;&gt;"",1,0)</f>
        <v>1</v>
      </c>
      <c r="P57" s="142">
        <f>IF('RAW IMPORT'!P47&lt;&gt;"",1,0)</f>
        <v>0</v>
      </c>
      <c r="Q57" s="142">
        <f>IF('RAW IMPORT'!Q47&lt;&gt;"",1,0)</f>
        <v>0</v>
      </c>
      <c r="R57" s="138">
        <f>'RAW IMPORT'!R47</f>
        <v>0</v>
      </c>
      <c r="S57" s="138">
        <f>'RAW IMPORT'!S47</f>
        <v>7</v>
      </c>
      <c r="T57" s="138">
        <f>'RAW IMPORT'!T47</f>
        <v>5</v>
      </c>
      <c r="U57" s="138">
        <f>'RAW IMPORT'!U47</f>
        <v>0</v>
      </c>
      <c r="V57" s="138">
        <f>'RAW IMPORT'!V47</f>
        <v>0</v>
      </c>
      <c r="W57" s="138">
        <f>'RAW IMPORT'!W47</f>
        <v>0</v>
      </c>
      <c r="X57" s="138">
        <f>'RAW IMPORT'!X47</f>
        <v>0</v>
      </c>
      <c r="Y57" s="138">
        <f>'RAW IMPORT'!Y47</f>
        <v>0</v>
      </c>
      <c r="Z57" s="138">
        <f>'RAW IMPORT'!Z47</f>
        <v>0</v>
      </c>
      <c r="AA57" s="138">
        <f>'RAW IMPORT'!AA47</f>
        <v>0</v>
      </c>
      <c r="AB57" s="139">
        <f>'RAW IMPORT'!AB47</f>
        <v>0</v>
      </c>
      <c r="AC57" s="141">
        <f>'RAW IMPORT'!AC47</f>
        <v>4</v>
      </c>
      <c r="AD57" s="142">
        <f>'RAW IMPORT'!AD47</f>
        <v>7</v>
      </c>
      <c r="AE57" s="142">
        <f>'RAW IMPORT'!AE47</f>
        <v>0</v>
      </c>
      <c r="AF57" s="142">
        <f>IF('RAW IMPORT'!AF47="C1",3,IF('RAW IMPORT'!AF47="D1",4,0))</f>
        <v>3</v>
      </c>
      <c r="AG57" s="142">
        <f>'RAW IMPORT'!AG47</f>
        <v>1</v>
      </c>
      <c r="AH57" s="142">
        <f>'RAW IMPORT'!AH47</f>
        <v>5</v>
      </c>
      <c r="AI57" s="142">
        <f>IF('RAW IMPORT'!AI47="U",1,0)</f>
        <v>0</v>
      </c>
      <c r="AJ57" s="142">
        <f>IF('RAW IMPORT'!AJ47="A",1,0)</f>
        <v>1</v>
      </c>
      <c r="AK57" s="142">
        <f>IF('RAW IMPORT'!AK47="B",1,0)</f>
        <v>1</v>
      </c>
      <c r="AL57" s="142">
        <f>IF('RAW IMPORT'!AL47="U",1,0)</f>
        <v>1</v>
      </c>
      <c r="AM57" s="142">
        <f>IF('RAW IMPORT'!AM47&lt;&gt;"",1,0)</f>
        <v>1</v>
      </c>
      <c r="AN57" s="142">
        <f>IF('RAW IMPORT'!AN47&lt;&gt;"",1,0)</f>
        <v>1</v>
      </c>
      <c r="AO57" s="142">
        <f>IF('RAW IMPORT'!AO47&lt;&gt;"",1,0)</f>
        <v>1</v>
      </c>
      <c r="AP57" s="142">
        <f>IF('RAW IMPORT'!AP47&lt;&gt;"",1,0)</f>
        <v>0</v>
      </c>
      <c r="AQ57" s="142">
        <f>IF('RAW IMPORT'!AQ47&lt;&gt;"",1,0)</f>
        <v>1</v>
      </c>
      <c r="AR57" s="142">
        <f>IF('RAW IMPORT'!AR47&lt;&gt;"",1,0)</f>
        <v>1</v>
      </c>
      <c r="AS57" s="142">
        <f>IF('RAW IMPORT'!AS47&lt;&gt;"",1,0)</f>
        <v>1</v>
      </c>
      <c r="AT57" s="142">
        <f>IF('RAW IMPORT'!AT47&lt;&gt;"",1,0)</f>
        <v>1</v>
      </c>
      <c r="AU57" s="142">
        <f>IF('RAW IMPORT'!AU47&lt;&gt;"",1,0)</f>
        <v>0</v>
      </c>
      <c r="AV57" s="142">
        <f>IF('RAW IMPORT'!AV47&lt;&gt;"",1,0)</f>
        <v>1</v>
      </c>
      <c r="AW57" s="142">
        <f>IF('RAW IMPORT'!AW47&lt;&gt;"",1,0)</f>
        <v>1</v>
      </c>
      <c r="AX57" s="142">
        <f>IF('RAW IMPORT'!AX47&lt;&gt;"",1,0)</f>
        <v>1</v>
      </c>
      <c r="AY57" s="142">
        <f>IF('RAW IMPORT'!AY47&lt;&gt;"",1,0)</f>
        <v>1</v>
      </c>
      <c r="AZ57" s="142">
        <f>IF('RAW IMPORT'!AZ47&lt;&gt;"",1,0)</f>
        <v>1</v>
      </c>
      <c r="BA57" s="142">
        <f>IF('RAW IMPORT'!BA47&lt;&gt;"",1,0)</f>
        <v>1</v>
      </c>
      <c r="BB57" s="142">
        <f>IF('RAW IMPORT'!BB47&lt;&gt;"",1,0)</f>
        <v>1</v>
      </c>
      <c r="BC57" s="142">
        <f>IF('RAW IMPORT'!BC47&lt;&gt;"",1,0)</f>
        <v>0</v>
      </c>
      <c r="BD57" s="142">
        <f>IF('RAW IMPORT'!BD47&lt;&gt;"",1,0)</f>
        <v>1</v>
      </c>
      <c r="BE57" s="142">
        <f>IF('RAW IMPORT'!BE47&lt;&gt;"",1,0)</f>
        <v>1</v>
      </c>
      <c r="BF57" s="142">
        <f>IF('RAW IMPORT'!BF47&lt;&gt;"",1,0)</f>
        <v>0</v>
      </c>
      <c r="BG57" s="142">
        <f>IF('RAW IMPORT'!BG47&lt;&gt;"",1,0)</f>
        <v>1</v>
      </c>
      <c r="BH57" s="142">
        <f>IF('RAW IMPORT'!BH47&lt;&gt;"",1,0)</f>
        <v>1</v>
      </c>
      <c r="BI57" s="142">
        <f>IF('RAW IMPORT'!BI47&lt;&gt;"",1,0)</f>
        <v>1</v>
      </c>
      <c r="BJ57" s="142">
        <f>IF('RAW IMPORT'!BJ47&lt;&gt;"",1,0)</f>
        <v>1</v>
      </c>
      <c r="BK57" s="142">
        <f>IF('RAW IMPORT'!BK47&lt;&gt;"",1,0)</f>
        <v>1</v>
      </c>
      <c r="BL57" s="142">
        <f>IF('RAW IMPORT'!BL47&lt;&gt;"",1,0)</f>
        <v>1</v>
      </c>
      <c r="BM57" s="142">
        <f>'RAW IMPORT'!BM47</f>
        <v>1</v>
      </c>
      <c r="BN57" s="165">
        <f>'RAW IMPORT'!BN47</f>
        <v>0</v>
      </c>
      <c r="BO57" s="197">
        <f>'RAW IMPORT'!BO47</f>
        <v>1</v>
      </c>
      <c r="BP57" s="142" t="str">
        <f>'RAW IMPORT'!BP47</f>
        <v>PDF</v>
      </c>
      <c r="BQ57" s="141" t="str">
        <f>'RAW IMPORT'!BQ47</f>
        <v>SURF</v>
      </c>
      <c r="BR57" s="141">
        <f>'RAW IMPORT'!BR47</f>
        <v>0.02</v>
      </c>
      <c r="BS57" s="141">
        <f>'RAW IMPORT'!BS47</f>
        <v>0.14499999999999999</v>
      </c>
      <c r="BT57" s="141">
        <f>'RAW IMPORT'!BT47</f>
        <v>7.0000000000000007E-2</v>
      </c>
      <c r="BU57" s="141">
        <f>'RAW IMPORT'!BU47</f>
        <v>0.01</v>
      </c>
      <c r="BV57" s="198">
        <f>'RAW IMPORT'!BV47</f>
        <v>0</v>
      </c>
      <c r="BW57" s="141">
        <f>'RAW IMPORT'!BW47</f>
        <v>30</v>
      </c>
      <c r="BX57" s="165">
        <f>'RAW IMPORT'!BX47</f>
        <v>0</v>
      </c>
      <c r="BY57" s="240"/>
      <c r="BZ57" s="126"/>
      <c r="CA57" s="143">
        <f t="shared" si="6"/>
        <v>43</v>
      </c>
      <c r="CB57" s="170">
        <f t="shared" ca="1" si="7"/>
        <v>48</v>
      </c>
      <c r="CC57" s="170" t="str">
        <f t="shared" ca="1" si="8"/>
        <v/>
      </c>
      <c r="CD57" s="204" t="str">
        <f t="shared" si="9"/>
        <v>"Model-8880 Kister":
    RETURN</v>
      </c>
      <c r="CE57" s="170">
        <v>10</v>
      </c>
    </row>
    <row r="58" spans="1:83" ht="15" customHeight="1" x14ac:dyDescent="0.25">
      <c r="A58" s="138" t="str">
        <f>'RAW IMPORT'!A48</f>
        <v>OGRO by ARCHITECTS</v>
      </c>
      <c r="B58" s="139" t="str">
        <f>'RAW IMPORT'!B48</f>
        <v>8890 Welter</v>
      </c>
      <c r="C58" s="142">
        <f>IF('RAW IMPORT'!C48&lt;&gt;"",1,0)</f>
        <v>1</v>
      </c>
      <c r="D58" s="142">
        <f>IF('RAW IMPORT'!D48&lt;&gt;"",1,0)</f>
        <v>1</v>
      </c>
      <c r="E58" s="142">
        <f>IF('RAW IMPORT'!E48&lt;&gt;"",1,0)</f>
        <v>0</v>
      </c>
      <c r="F58" s="142">
        <f>IF('RAW IMPORT'!F48&lt;&gt;"",1,0)</f>
        <v>0</v>
      </c>
      <c r="G58" s="142">
        <f>IF('RAW IMPORT'!G48&lt;&gt;"",1,0)</f>
        <v>0</v>
      </c>
      <c r="H58" s="142">
        <f>IF('RAW IMPORT'!H48&lt;&gt;"",1,0)</f>
        <v>0</v>
      </c>
      <c r="I58" s="142">
        <f>IF('RAW IMPORT'!I48&lt;&gt;"",1,0)</f>
        <v>0</v>
      </c>
      <c r="J58" s="142">
        <f>IF('RAW IMPORT'!J48&lt;&gt;"",1,0)</f>
        <v>0</v>
      </c>
      <c r="K58" s="142">
        <f>IF('RAW IMPORT'!K48&lt;&gt;"",1,0)</f>
        <v>0</v>
      </c>
      <c r="L58" s="142">
        <f>IF('RAW IMPORT'!L48&lt;&gt;"",1,0)</f>
        <v>0</v>
      </c>
      <c r="M58" s="142">
        <f>IF('RAW IMPORT'!M48&lt;&gt;"",1,0)</f>
        <v>0</v>
      </c>
      <c r="N58" s="165">
        <f>IF('RAW IMPORT'!N48&lt;&gt;"",1,0)</f>
        <v>0</v>
      </c>
      <c r="O58" s="167">
        <f>IF('RAW IMPORT'!O48&lt;&gt;"",1,0)</f>
        <v>0</v>
      </c>
      <c r="P58" s="142">
        <f>IF('RAW IMPORT'!P48&lt;&gt;"",1,0)</f>
        <v>0</v>
      </c>
      <c r="Q58" s="142">
        <f>IF('RAW IMPORT'!Q48&lt;&gt;"",1,0)</f>
        <v>0</v>
      </c>
      <c r="R58" s="138">
        <f>'RAW IMPORT'!R48</f>
        <v>0</v>
      </c>
      <c r="S58" s="138">
        <f>'RAW IMPORT'!S48</f>
        <v>7</v>
      </c>
      <c r="T58" s="138">
        <f>'RAW IMPORT'!T48</f>
        <v>5</v>
      </c>
      <c r="U58" s="138">
        <f>'RAW IMPORT'!U48</f>
        <v>0</v>
      </c>
      <c r="V58" s="138">
        <f>'RAW IMPORT'!V48</f>
        <v>0</v>
      </c>
      <c r="W58" s="138">
        <f>'RAW IMPORT'!W48</f>
        <v>0</v>
      </c>
      <c r="X58" s="138">
        <f>'RAW IMPORT'!X48</f>
        <v>0</v>
      </c>
      <c r="Y58" s="138">
        <f>'RAW IMPORT'!Y48</f>
        <v>0</v>
      </c>
      <c r="Z58" s="138">
        <f>'RAW IMPORT'!Z48</f>
        <v>0</v>
      </c>
      <c r="AA58" s="138">
        <f>'RAW IMPORT'!AA48</f>
        <v>0</v>
      </c>
      <c r="AB58" s="139">
        <f>'RAW IMPORT'!AB48</f>
        <v>0</v>
      </c>
      <c r="AC58" s="141">
        <f>'RAW IMPORT'!AC48</f>
        <v>4</v>
      </c>
      <c r="AD58" s="142">
        <f>'RAW IMPORT'!AD48</f>
        <v>7</v>
      </c>
      <c r="AE58" s="142">
        <f>'RAW IMPORT'!AE48</f>
        <v>0</v>
      </c>
      <c r="AF58" s="142">
        <f>IF('RAW IMPORT'!AF48="C1",3,IF('RAW IMPORT'!AF48="D1",4,0))</f>
        <v>3</v>
      </c>
      <c r="AG58" s="142">
        <f>'RAW IMPORT'!AG48</f>
        <v>1</v>
      </c>
      <c r="AH58" s="142">
        <f>'RAW IMPORT'!AH48</f>
        <v>5</v>
      </c>
      <c r="AI58" s="142">
        <f>IF('RAW IMPORT'!AI48="U",1,0)</f>
        <v>0</v>
      </c>
      <c r="AJ58" s="142">
        <f>IF('RAW IMPORT'!AJ48="A",1,0)</f>
        <v>1</v>
      </c>
      <c r="AK58" s="142">
        <f>IF('RAW IMPORT'!AK48="B",1,0)</f>
        <v>1</v>
      </c>
      <c r="AL58" s="142">
        <f>IF('RAW IMPORT'!AL48="U",1,0)</f>
        <v>1</v>
      </c>
      <c r="AM58" s="142">
        <f>IF('RAW IMPORT'!AM48&lt;&gt;"",1,0)</f>
        <v>1</v>
      </c>
      <c r="AN58" s="142">
        <f>IF('RAW IMPORT'!AN48&lt;&gt;"",1,0)</f>
        <v>1</v>
      </c>
      <c r="AO58" s="142">
        <f>IF('RAW IMPORT'!AO48&lt;&gt;"",1,0)</f>
        <v>1</v>
      </c>
      <c r="AP58" s="142">
        <f>IF('RAW IMPORT'!AP48&lt;&gt;"",1,0)</f>
        <v>0</v>
      </c>
      <c r="AQ58" s="142">
        <f>IF('RAW IMPORT'!AQ48&lt;&gt;"",1,0)</f>
        <v>1</v>
      </c>
      <c r="AR58" s="142">
        <f>IF('RAW IMPORT'!AR48&lt;&gt;"",1,0)</f>
        <v>1</v>
      </c>
      <c r="AS58" s="142">
        <f>IF('RAW IMPORT'!AS48&lt;&gt;"",1,0)</f>
        <v>1</v>
      </c>
      <c r="AT58" s="142">
        <f>IF('RAW IMPORT'!AT48&lt;&gt;"",1,0)</f>
        <v>1</v>
      </c>
      <c r="AU58" s="142">
        <f>IF('RAW IMPORT'!AU48&lt;&gt;"",1,0)</f>
        <v>0</v>
      </c>
      <c r="AV58" s="142">
        <f>IF('RAW IMPORT'!AV48&lt;&gt;"",1,0)</f>
        <v>1</v>
      </c>
      <c r="AW58" s="142">
        <f>IF('RAW IMPORT'!AW48&lt;&gt;"",1,0)</f>
        <v>1</v>
      </c>
      <c r="AX58" s="142">
        <f>IF('RAW IMPORT'!AX48&lt;&gt;"",1,0)</f>
        <v>1</v>
      </c>
      <c r="AY58" s="142">
        <f>IF('RAW IMPORT'!AY48&lt;&gt;"",1,0)</f>
        <v>1</v>
      </c>
      <c r="AZ58" s="142">
        <f>IF('RAW IMPORT'!AZ48&lt;&gt;"",1,0)</f>
        <v>1</v>
      </c>
      <c r="BA58" s="142">
        <f>IF('RAW IMPORT'!BA48&lt;&gt;"",1,0)</f>
        <v>1</v>
      </c>
      <c r="BB58" s="142">
        <f>IF('RAW IMPORT'!BB48&lt;&gt;"",1,0)</f>
        <v>1</v>
      </c>
      <c r="BC58" s="142">
        <f>IF('RAW IMPORT'!BC48&lt;&gt;"",1,0)</f>
        <v>0</v>
      </c>
      <c r="BD58" s="142">
        <f>IF('RAW IMPORT'!BD48&lt;&gt;"",1,0)</f>
        <v>1</v>
      </c>
      <c r="BE58" s="142">
        <f>IF('RAW IMPORT'!BE48&lt;&gt;"",1,0)</f>
        <v>1</v>
      </c>
      <c r="BF58" s="142">
        <f>IF('RAW IMPORT'!BF48&lt;&gt;"",1,0)</f>
        <v>0</v>
      </c>
      <c r="BG58" s="142">
        <f>IF('RAW IMPORT'!BG48&lt;&gt;"",1,0)</f>
        <v>1</v>
      </c>
      <c r="BH58" s="142">
        <f>IF('RAW IMPORT'!BH48&lt;&gt;"",1,0)</f>
        <v>1</v>
      </c>
      <c r="BI58" s="142">
        <f>IF('RAW IMPORT'!BI48&lt;&gt;"",1,0)</f>
        <v>1</v>
      </c>
      <c r="BJ58" s="142">
        <f>IF('RAW IMPORT'!BJ48&lt;&gt;"",1,0)</f>
        <v>1</v>
      </c>
      <c r="BK58" s="142">
        <f>IF('RAW IMPORT'!BK48&lt;&gt;"",1,0)</f>
        <v>1</v>
      </c>
      <c r="BL58" s="142">
        <f>IF('RAW IMPORT'!BL48&lt;&gt;"",1,0)</f>
        <v>1</v>
      </c>
      <c r="BM58" s="142">
        <f>'RAW IMPORT'!BM48</f>
        <v>1</v>
      </c>
      <c r="BN58" s="165">
        <f>'RAW IMPORT'!BN48</f>
        <v>0</v>
      </c>
      <c r="BO58" s="197">
        <f>'RAW IMPORT'!BO48</f>
        <v>0</v>
      </c>
      <c r="BP58" s="142" t="str">
        <f>'RAW IMPORT'!BP48</f>
        <v>PDF</v>
      </c>
      <c r="BQ58" s="141">
        <f>'RAW IMPORT'!BQ48</f>
        <v>0</v>
      </c>
      <c r="BR58" s="141">
        <f>'RAW IMPORT'!BR48</f>
        <v>0.02</v>
      </c>
      <c r="BS58" s="141">
        <f>'RAW IMPORT'!BS48</f>
        <v>0.14499999999999999</v>
      </c>
      <c r="BT58" s="141">
        <f>'RAW IMPORT'!BT48</f>
        <v>5.6000000000000001E-2</v>
      </c>
      <c r="BU58" s="141">
        <f>'RAW IMPORT'!BU48</f>
        <v>0.01</v>
      </c>
      <c r="BV58" s="198">
        <f>'RAW IMPORT'!BV48</f>
        <v>0</v>
      </c>
      <c r="BW58" s="141">
        <f>'RAW IMPORT'!BW48</f>
        <v>31</v>
      </c>
      <c r="BX58" s="165">
        <f>'RAW IMPORT'!BX48</f>
        <v>0</v>
      </c>
      <c r="BY58" s="240"/>
      <c r="BZ58" s="126"/>
      <c r="CA58" s="143">
        <f t="shared" si="6"/>
        <v>44</v>
      </c>
      <c r="CB58" s="170">
        <f t="shared" ca="1" si="7"/>
        <v>49</v>
      </c>
      <c r="CC58" s="170" t="str">
        <f t="shared" ca="1" si="8"/>
        <v/>
      </c>
      <c r="CD58" s="204" t="str">
        <f t="shared" si="9"/>
        <v>"Model-8890 Welter":
    RETURN</v>
      </c>
      <c r="CE58" s="170"/>
    </row>
    <row r="59" spans="1:83" ht="15" customHeight="1" x14ac:dyDescent="0.25">
      <c r="A59" s="138" t="str">
        <f>'RAW IMPORT'!A49</f>
        <v>OGRO</v>
      </c>
      <c r="B59" s="139">
        <f>'RAW IMPORT'!B49</f>
        <v>8906</v>
      </c>
      <c r="C59" s="142">
        <f>IF('RAW IMPORT'!C49&lt;&gt;"",1,0)</f>
        <v>1</v>
      </c>
      <c r="D59" s="142">
        <f>IF('RAW IMPORT'!D49&lt;&gt;"",1,0)</f>
        <v>1</v>
      </c>
      <c r="E59" s="142">
        <f>IF('RAW IMPORT'!E49&lt;&gt;"",1,0)</f>
        <v>0</v>
      </c>
      <c r="F59" s="142">
        <f>IF('RAW IMPORT'!F49&lt;&gt;"",1,0)</f>
        <v>0</v>
      </c>
      <c r="G59" s="142">
        <f>IF('RAW IMPORT'!G49&lt;&gt;"",1,0)</f>
        <v>0</v>
      </c>
      <c r="H59" s="142">
        <f>IF('RAW IMPORT'!H49&lt;&gt;"",1,0)</f>
        <v>0</v>
      </c>
      <c r="I59" s="142">
        <f>IF('RAW IMPORT'!I49&lt;&gt;"",1,0)</f>
        <v>0</v>
      </c>
      <c r="J59" s="142">
        <f>IF('RAW IMPORT'!J49&lt;&gt;"",1,0)</f>
        <v>0</v>
      </c>
      <c r="K59" s="142">
        <f>IF('RAW IMPORT'!K49&lt;&gt;"",1,0)</f>
        <v>0</v>
      </c>
      <c r="L59" s="142">
        <f>IF('RAW IMPORT'!L49&lt;&gt;"",1,0)</f>
        <v>0</v>
      </c>
      <c r="M59" s="142">
        <f>IF('RAW IMPORT'!M49&lt;&gt;"",1,0)</f>
        <v>0</v>
      </c>
      <c r="N59" s="165">
        <f>IF('RAW IMPORT'!N49&lt;&gt;"",1,0)</f>
        <v>0</v>
      </c>
      <c r="O59" s="167">
        <f>IF('RAW IMPORT'!O49&lt;&gt;"",1,0)</f>
        <v>0</v>
      </c>
      <c r="P59" s="142">
        <f>IF('RAW IMPORT'!P49&lt;&gt;"",1,0)</f>
        <v>0</v>
      </c>
      <c r="Q59" s="142">
        <f>IF('RAW IMPORT'!Q49&lt;&gt;"",1,0)</f>
        <v>0</v>
      </c>
      <c r="R59" s="138">
        <f>'RAW IMPORT'!R49</f>
        <v>0</v>
      </c>
      <c r="S59" s="138">
        <f>'RAW IMPORT'!S49</f>
        <v>7</v>
      </c>
      <c r="T59" s="138">
        <f>'RAW IMPORT'!T49</f>
        <v>5</v>
      </c>
      <c r="U59" s="138">
        <f>'RAW IMPORT'!U49</f>
        <v>0</v>
      </c>
      <c r="V59" s="138">
        <f>'RAW IMPORT'!V49</f>
        <v>0</v>
      </c>
      <c r="W59" s="138">
        <f>'RAW IMPORT'!W49</f>
        <v>0</v>
      </c>
      <c r="X59" s="138">
        <f>'RAW IMPORT'!X49</f>
        <v>0</v>
      </c>
      <c r="Y59" s="138">
        <f>'RAW IMPORT'!Y49</f>
        <v>0</v>
      </c>
      <c r="Z59" s="138">
        <f>'RAW IMPORT'!Z49</f>
        <v>0</v>
      </c>
      <c r="AA59" s="138">
        <f>'RAW IMPORT'!AA49</f>
        <v>0</v>
      </c>
      <c r="AB59" s="139">
        <f>'RAW IMPORT'!AB49</f>
        <v>0</v>
      </c>
      <c r="AC59" s="141">
        <f>'RAW IMPORT'!AC49</f>
        <v>4</v>
      </c>
      <c r="AD59" s="142">
        <f>'RAW IMPORT'!AD49</f>
        <v>7</v>
      </c>
      <c r="AE59" s="142">
        <f>'RAW IMPORT'!AE49</f>
        <v>0</v>
      </c>
      <c r="AF59" s="142">
        <f>IF('RAW IMPORT'!AF49="C1",3,IF('RAW IMPORT'!AF49="D1",4,0))</f>
        <v>4</v>
      </c>
      <c r="AG59" s="142">
        <f>'RAW IMPORT'!AG49</f>
        <v>1</v>
      </c>
      <c r="AH59" s="142">
        <f>'RAW IMPORT'!AH49</f>
        <v>5</v>
      </c>
      <c r="AI59" s="142">
        <f>IF('RAW IMPORT'!AI49="U",1,0)</f>
        <v>0</v>
      </c>
      <c r="AJ59" s="142">
        <f>IF('RAW IMPORT'!AJ49="A",1,0)</f>
        <v>1</v>
      </c>
      <c r="AK59" s="142">
        <f>IF('RAW IMPORT'!AK49="B",1,0)</f>
        <v>1</v>
      </c>
      <c r="AL59" s="142">
        <f>IF('RAW IMPORT'!AL49="U",1,0)</f>
        <v>1</v>
      </c>
      <c r="AM59" s="142">
        <f>IF('RAW IMPORT'!AM49&lt;&gt;"",1,0)</f>
        <v>1</v>
      </c>
      <c r="AN59" s="142">
        <f>IF('RAW IMPORT'!AN49&lt;&gt;"",1,0)</f>
        <v>1</v>
      </c>
      <c r="AO59" s="142">
        <f>IF('RAW IMPORT'!AO49&lt;&gt;"",1,0)</f>
        <v>1</v>
      </c>
      <c r="AP59" s="142">
        <f>IF('RAW IMPORT'!AP49&lt;&gt;"",1,0)</f>
        <v>1</v>
      </c>
      <c r="AQ59" s="142">
        <f>IF('RAW IMPORT'!AQ49&lt;&gt;"",1,0)</f>
        <v>1</v>
      </c>
      <c r="AR59" s="142">
        <f>IF('RAW IMPORT'!AR49&lt;&gt;"",1,0)</f>
        <v>1</v>
      </c>
      <c r="AS59" s="142">
        <f>IF('RAW IMPORT'!AS49&lt;&gt;"",1,0)</f>
        <v>1</v>
      </c>
      <c r="AT59" s="142">
        <f>IF('RAW IMPORT'!AT49&lt;&gt;"",1,0)</f>
        <v>1</v>
      </c>
      <c r="AU59" s="142">
        <f>IF('RAW IMPORT'!AU49&lt;&gt;"",1,0)</f>
        <v>1</v>
      </c>
      <c r="AV59" s="142">
        <f>IF('RAW IMPORT'!AV49&lt;&gt;"",1,0)</f>
        <v>1</v>
      </c>
      <c r="AW59" s="142">
        <f>IF('RAW IMPORT'!AW49&lt;&gt;"",1,0)</f>
        <v>1</v>
      </c>
      <c r="AX59" s="142">
        <f>IF('RAW IMPORT'!AX49&lt;&gt;"",1,0)</f>
        <v>1</v>
      </c>
      <c r="AY59" s="142">
        <f>IF('RAW IMPORT'!AY49&lt;&gt;"",1,0)</f>
        <v>1</v>
      </c>
      <c r="AZ59" s="142">
        <f>IF('RAW IMPORT'!AZ49&lt;&gt;"",1,0)</f>
        <v>1</v>
      </c>
      <c r="BA59" s="142">
        <f>IF('RAW IMPORT'!BA49&lt;&gt;"",1,0)</f>
        <v>1</v>
      </c>
      <c r="BB59" s="142">
        <f>IF('RAW IMPORT'!BB49&lt;&gt;"",1,0)</f>
        <v>1</v>
      </c>
      <c r="BC59" s="142">
        <f>IF('RAW IMPORT'!BC49&lt;&gt;"",1,0)</f>
        <v>0</v>
      </c>
      <c r="BD59" s="142">
        <f>IF('RAW IMPORT'!BD49&lt;&gt;"",1,0)</f>
        <v>1</v>
      </c>
      <c r="BE59" s="142">
        <f>IF('RAW IMPORT'!BE49&lt;&gt;"",1,0)</f>
        <v>1</v>
      </c>
      <c r="BF59" s="142">
        <f>IF('RAW IMPORT'!BF49&lt;&gt;"",1,0)</f>
        <v>0</v>
      </c>
      <c r="BG59" s="142">
        <f>IF('RAW IMPORT'!BG49&lt;&gt;"",1,0)</f>
        <v>1</v>
      </c>
      <c r="BH59" s="142">
        <f>IF('RAW IMPORT'!BH49&lt;&gt;"",1,0)</f>
        <v>1</v>
      </c>
      <c r="BI59" s="142">
        <f>IF('RAW IMPORT'!BI49&lt;&gt;"",1,0)</f>
        <v>1</v>
      </c>
      <c r="BJ59" s="142">
        <f>IF('RAW IMPORT'!BJ49&lt;&gt;"",1,0)</f>
        <v>1</v>
      </c>
      <c r="BK59" s="142">
        <f>IF('RAW IMPORT'!BK49&lt;&gt;"",1,0)</f>
        <v>1</v>
      </c>
      <c r="BL59" s="142">
        <f>IF('RAW IMPORT'!BL49&lt;&gt;"",1,0)</f>
        <v>1</v>
      </c>
      <c r="BM59" s="142">
        <f>'RAW IMPORT'!BM49</f>
        <v>1</v>
      </c>
      <c r="BN59" s="165">
        <f>'RAW IMPORT'!BN49</f>
        <v>0</v>
      </c>
      <c r="BO59" s="197" t="str">
        <f>'RAW IMPORT'!BO49</f>
        <v>x</v>
      </c>
      <c r="BP59" s="142" t="str">
        <f>'RAW IMPORT'!BP49</f>
        <v>PDF</v>
      </c>
      <c r="BQ59" s="141" t="str">
        <f>'RAW IMPORT'!BQ49</f>
        <v>GDL</v>
      </c>
      <c r="BR59" s="141">
        <f>'RAW IMPORT'!BR49</f>
        <v>0.02</v>
      </c>
      <c r="BS59" s="141">
        <f>'RAW IMPORT'!BS49</f>
        <v>0.13500000000000001</v>
      </c>
      <c r="BT59" s="141">
        <f>'RAW IMPORT'!BT49</f>
        <v>5.8999999999999997E-2</v>
      </c>
      <c r="BU59" s="141">
        <f>'RAW IMPORT'!BU49</f>
        <v>0.01</v>
      </c>
      <c r="BV59" s="198">
        <f>'RAW IMPORT'!BV49</f>
        <v>0</v>
      </c>
      <c r="BW59" s="141">
        <f>'RAW IMPORT'!BW49</f>
        <v>32</v>
      </c>
      <c r="BX59" s="165">
        <f>'RAW IMPORT'!BX49</f>
        <v>78</v>
      </c>
      <c r="BY59" s="240"/>
      <c r="BZ59" s="126"/>
      <c r="CA59" s="143">
        <f t="shared" si="6"/>
        <v>45</v>
      </c>
      <c r="CB59" s="170">
        <f t="shared" ca="1" si="7"/>
        <v>50</v>
      </c>
      <c r="CC59" s="170" t="str">
        <f t="shared" ca="1" si="8"/>
        <v/>
      </c>
      <c r="CD59" s="204" t="str">
        <f t="shared" si="9"/>
        <v>"Model-8906":
    RETURN</v>
      </c>
      <c r="CE59" s="170">
        <v>6</v>
      </c>
    </row>
    <row r="60" spans="1:83" ht="15" customHeight="1" x14ac:dyDescent="0.25">
      <c r="A60" s="138" t="str">
        <f>'RAW IMPORT'!A50</f>
        <v>OGRO</v>
      </c>
      <c r="B60" s="139" t="str">
        <f>'RAW IMPORT'!B50</f>
        <v>8906A</v>
      </c>
      <c r="C60" s="142">
        <f>IF('RAW IMPORT'!C50&lt;&gt;"",1,0)</f>
        <v>1</v>
      </c>
      <c r="D60" s="142">
        <f>IF('RAW IMPORT'!D50&lt;&gt;"",1,0)</f>
        <v>1</v>
      </c>
      <c r="E60" s="142">
        <f>IF('RAW IMPORT'!E50&lt;&gt;"",1,0)</f>
        <v>0</v>
      </c>
      <c r="F60" s="142">
        <f>IF('RAW IMPORT'!F50&lt;&gt;"",1,0)</f>
        <v>0</v>
      </c>
      <c r="G60" s="142">
        <f>IF('RAW IMPORT'!G50&lt;&gt;"",1,0)</f>
        <v>0</v>
      </c>
      <c r="H60" s="142">
        <f>IF('RAW IMPORT'!H50&lt;&gt;"",1,0)</f>
        <v>0</v>
      </c>
      <c r="I60" s="142">
        <f>IF('RAW IMPORT'!I50&lt;&gt;"",1,0)</f>
        <v>0</v>
      </c>
      <c r="J60" s="142">
        <f>IF('RAW IMPORT'!J50&lt;&gt;"",1,0)</f>
        <v>0</v>
      </c>
      <c r="K60" s="142">
        <f>IF('RAW IMPORT'!K50&lt;&gt;"",1,0)</f>
        <v>0</v>
      </c>
      <c r="L60" s="142">
        <f>IF('RAW IMPORT'!L50&lt;&gt;"",1,0)</f>
        <v>0</v>
      </c>
      <c r="M60" s="142">
        <f>IF('RAW IMPORT'!M50&lt;&gt;"",1,0)</f>
        <v>0</v>
      </c>
      <c r="N60" s="165">
        <f>IF('RAW IMPORT'!N50&lt;&gt;"",1,0)</f>
        <v>0</v>
      </c>
      <c r="O60" s="167">
        <f>IF('RAW IMPORT'!O50&lt;&gt;"",1,0)</f>
        <v>0</v>
      </c>
      <c r="P60" s="142">
        <f>IF('RAW IMPORT'!P50&lt;&gt;"",1,0)</f>
        <v>0</v>
      </c>
      <c r="Q60" s="142">
        <f>IF('RAW IMPORT'!Q50&lt;&gt;"",1,0)</f>
        <v>0</v>
      </c>
      <c r="R60" s="138">
        <f>'RAW IMPORT'!R50</f>
        <v>0</v>
      </c>
      <c r="S60" s="138">
        <f>'RAW IMPORT'!S50</f>
        <v>7</v>
      </c>
      <c r="T60" s="138">
        <f>'RAW IMPORT'!T50</f>
        <v>5</v>
      </c>
      <c r="U60" s="138">
        <f>'RAW IMPORT'!U50</f>
        <v>0</v>
      </c>
      <c r="V60" s="138">
        <f>'RAW IMPORT'!V50</f>
        <v>0</v>
      </c>
      <c r="W60" s="138">
        <f>'RAW IMPORT'!W50</f>
        <v>0</v>
      </c>
      <c r="X60" s="138">
        <f>'RAW IMPORT'!X50</f>
        <v>0</v>
      </c>
      <c r="Y60" s="138">
        <f>'RAW IMPORT'!Y50</f>
        <v>0</v>
      </c>
      <c r="Z60" s="138">
        <f>'RAW IMPORT'!Z50</f>
        <v>0</v>
      </c>
      <c r="AA60" s="138">
        <f>'RAW IMPORT'!AA50</f>
        <v>0</v>
      </c>
      <c r="AB60" s="139">
        <f>'RAW IMPORT'!AB50</f>
        <v>0</v>
      </c>
      <c r="AC60" s="141">
        <f>'RAW IMPORT'!AC50</f>
        <v>4</v>
      </c>
      <c r="AD60" s="142">
        <f>'RAW IMPORT'!AD50</f>
        <v>7</v>
      </c>
      <c r="AE60" s="142">
        <f>'RAW IMPORT'!AE50</f>
        <v>0</v>
      </c>
      <c r="AF60" s="142">
        <f>IF('RAW IMPORT'!AF50="C1",3,IF('RAW IMPORT'!AF50="D1",4,0))</f>
        <v>4</v>
      </c>
      <c r="AG60" s="142">
        <f>'RAW IMPORT'!AG50</f>
        <v>1</v>
      </c>
      <c r="AH60" s="142">
        <f>'RAW IMPORT'!AH50</f>
        <v>5</v>
      </c>
      <c r="AI60" s="142">
        <f>IF('RAW IMPORT'!AI50="U",1,0)</f>
        <v>0</v>
      </c>
      <c r="AJ60" s="142">
        <f>IF('RAW IMPORT'!AJ50="A",1,0)</f>
        <v>1</v>
      </c>
      <c r="AK60" s="142">
        <f>IF('RAW IMPORT'!AK50="B",1,0)</f>
        <v>1</v>
      </c>
      <c r="AL60" s="142">
        <f>IF('RAW IMPORT'!AL50="U",1,0)</f>
        <v>1</v>
      </c>
      <c r="AM60" s="142">
        <f>IF('RAW IMPORT'!AM50&lt;&gt;"",1,0)</f>
        <v>1</v>
      </c>
      <c r="AN60" s="142">
        <f>IF('RAW IMPORT'!AN50&lt;&gt;"",1,0)</f>
        <v>1</v>
      </c>
      <c r="AO60" s="142">
        <f>IF('RAW IMPORT'!AO50&lt;&gt;"",1,0)</f>
        <v>1</v>
      </c>
      <c r="AP60" s="142">
        <f>IF('RAW IMPORT'!AP50&lt;&gt;"",1,0)</f>
        <v>1</v>
      </c>
      <c r="AQ60" s="142">
        <f>IF('RAW IMPORT'!AQ50&lt;&gt;"",1,0)</f>
        <v>1</v>
      </c>
      <c r="AR60" s="142">
        <f>IF('RAW IMPORT'!AR50&lt;&gt;"",1,0)</f>
        <v>1</v>
      </c>
      <c r="AS60" s="142">
        <f>IF('RAW IMPORT'!AS50&lt;&gt;"",1,0)</f>
        <v>1</v>
      </c>
      <c r="AT60" s="142">
        <f>IF('RAW IMPORT'!AT50&lt;&gt;"",1,0)</f>
        <v>1</v>
      </c>
      <c r="AU60" s="142">
        <f>IF('RAW IMPORT'!AU50&lt;&gt;"",1,0)</f>
        <v>1</v>
      </c>
      <c r="AV60" s="142">
        <f>IF('RAW IMPORT'!AV50&lt;&gt;"",1,0)</f>
        <v>1</v>
      </c>
      <c r="AW60" s="142">
        <f>IF('RAW IMPORT'!AW50&lt;&gt;"",1,0)</f>
        <v>0</v>
      </c>
      <c r="AX60" s="142">
        <f>IF('RAW IMPORT'!AX50&lt;&gt;"",1,0)</f>
        <v>0</v>
      </c>
      <c r="AY60" s="142">
        <f>IF('RAW IMPORT'!AY50&lt;&gt;"",1,0)</f>
        <v>0</v>
      </c>
      <c r="AZ60" s="142">
        <f>IF('RAW IMPORT'!AZ50&lt;&gt;"",1,0)</f>
        <v>0</v>
      </c>
      <c r="BA60" s="142">
        <f>IF('RAW IMPORT'!BA50&lt;&gt;"",1,0)</f>
        <v>0</v>
      </c>
      <c r="BB60" s="142">
        <f>IF('RAW IMPORT'!BB50&lt;&gt;"",1,0)</f>
        <v>0</v>
      </c>
      <c r="BC60" s="142">
        <f>IF('RAW IMPORT'!BC50&lt;&gt;"",1,0)</f>
        <v>1</v>
      </c>
      <c r="BD60" s="142">
        <f>IF('RAW IMPORT'!BD50&lt;&gt;"",1,0)</f>
        <v>1</v>
      </c>
      <c r="BE60" s="142">
        <f>IF('RAW IMPORT'!BE50&lt;&gt;"",1,0)</f>
        <v>1</v>
      </c>
      <c r="BF60" s="142">
        <f>IF('RAW IMPORT'!BF50&lt;&gt;"",1,0)</f>
        <v>0</v>
      </c>
      <c r="BG60" s="142">
        <f>IF('RAW IMPORT'!BG50&lt;&gt;"",1,0)</f>
        <v>1</v>
      </c>
      <c r="BH60" s="142">
        <f>IF('RAW IMPORT'!BH50&lt;&gt;"",1,0)</f>
        <v>1</v>
      </c>
      <c r="BI60" s="142">
        <f>IF('RAW IMPORT'!BI50&lt;&gt;"",1,0)</f>
        <v>1</v>
      </c>
      <c r="BJ60" s="142">
        <f>IF('RAW IMPORT'!BJ50&lt;&gt;"",1,0)</f>
        <v>1</v>
      </c>
      <c r="BK60" s="142">
        <f>IF('RAW IMPORT'!BK50&lt;&gt;"",1,0)</f>
        <v>1</v>
      </c>
      <c r="BL60" s="142">
        <f>IF('RAW IMPORT'!BL50&lt;&gt;"",1,0)</f>
        <v>0</v>
      </c>
      <c r="BM60" s="142">
        <f>'RAW IMPORT'!BM50</f>
        <v>1</v>
      </c>
      <c r="BN60" s="165">
        <f>'RAW IMPORT'!BN50</f>
        <v>0</v>
      </c>
      <c r="BO60" s="197">
        <f>'RAW IMPORT'!BO50</f>
        <v>0</v>
      </c>
      <c r="BP60" s="142" t="str">
        <f>'RAW IMPORT'!BP50</f>
        <v>PDF</v>
      </c>
      <c r="BQ60" s="141">
        <f>'RAW IMPORT'!BQ50</f>
        <v>0</v>
      </c>
      <c r="BR60" s="141">
        <f>'RAW IMPORT'!BR50</f>
        <v>0.02</v>
      </c>
      <c r="BS60" s="141">
        <f>'RAW IMPORT'!BS50</f>
        <v>0.155</v>
      </c>
      <c r="BT60" s="141">
        <f>'RAW IMPORT'!BT50</f>
        <v>7.5999999999999998E-2</v>
      </c>
      <c r="BU60" s="141">
        <f>'RAW IMPORT'!BU50</f>
        <v>0.01</v>
      </c>
      <c r="BV60" s="198">
        <f>'RAW IMPORT'!BV50</f>
        <v>0</v>
      </c>
      <c r="BW60" s="141">
        <f>'RAW IMPORT'!BW50</f>
        <v>0</v>
      </c>
      <c r="BX60" s="165">
        <f>'RAW IMPORT'!BX50</f>
        <v>79</v>
      </c>
      <c r="BY60" s="240"/>
      <c r="BZ60" s="126"/>
      <c r="CA60" s="143">
        <f t="shared" si="6"/>
        <v>46</v>
      </c>
      <c r="CB60" s="170">
        <f t="shared" ca="1" si="7"/>
        <v>51</v>
      </c>
      <c r="CC60" s="170" t="str">
        <f t="shared" ca="1" si="8"/>
        <v/>
      </c>
      <c r="CD60" s="204" t="str">
        <f t="shared" si="9"/>
        <v>"Model-8906A":
    RETURN</v>
      </c>
      <c r="CE60" s="170"/>
    </row>
    <row r="61" spans="1:83" ht="15" customHeight="1" x14ac:dyDescent="0.25">
      <c r="A61" s="138" t="str">
        <f>'RAW IMPORT'!A51</f>
        <v>OGRO</v>
      </c>
      <c r="B61" s="139" t="str">
        <f>'RAW IMPORT'!B51</f>
        <v>8906V</v>
      </c>
      <c r="C61" s="142">
        <f>IF('RAW IMPORT'!C51&lt;&gt;"",1,0)</f>
        <v>1</v>
      </c>
      <c r="D61" s="142">
        <f>IF('RAW IMPORT'!D51&lt;&gt;"",1,0)</f>
        <v>1</v>
      </c>
      <c r="E61" s="142">
        <f>IF('RAW IMPORT'!E51&lt;&gt;"",1,0)</f>
        <v>0</v>
      </c>
      <c r="F61" s="142">
        <f>IF('RAW IMPORT'!F51&lt;&gt;"",1,0)</f>
        <v>0</v>
      </c>
      <c r="G61" s="142">
        <f>IF('RAW IMPORT'!G51&lt;&gt;"",1,0)</f>
        <v>0</v>
      </c>
      <c r="H61" s="142">
        <f>IF('RAW IMPORT'!H51&lt;&gt;"",1,0)</f>
        <v>0</v>
      </c>
      <c r="I61" s="142">
        <f>IF('RAW IMPORT'!I51&lt;&gt;"",1,0)</f>
        <v>0</v>
      </c>
      <c r="J61" s="142">
        <f>IF('RAW IMPORT'!J51&lt;&gt;"",1,0)</f>
        <v>0</v>
      </c>
      <c r="K61" s="142">
        <f>IF('RAW IMPORT'!K51&lt;&gt;"",1,0)</f>
        <v>0</v>
      </c>
      <c r="L61" s="142">
        <f>IF('RAW IMPORT'!L51&lt;&gt;"",1,0)</f>
        <v>0</v>
      </c>
      <c r="M61" s="142">
        <f>IF('RAW IMPORT'!M51&lt;&gt;"",1,0)</f>
        <v>0</v>
      </c>
      <c r="N61" s="165">
        <f>IF('RAW IMPORT'!N51&lt;&gt;"",1,0)</f>
        <v>0</v>
      </c>
      <c r="O61" s="167">
        <f>IF('RAW IMPORT'!O51&lt;&gt;"",1,0)</f>
        <v>0</v>
      </c>
      <c r="P61" s="142">
        <f>IF('RAW IMPORT'!P51&lt;&gt;"",1,0)</f>
        <v>0</v>
      </c>
      <c r="Q61" s="142">
        <f>IF('RAW IMPORT'!Q51&lt;&gt;"",1,0)</f>
        <v>0</v>
      </c>
      <c r="R61" s="138">
        <f>'RAW IMPORT'!R51</f>
        <v>0</v>
      </c>
      <c r="S61" s="138">
        <f>'RAW IMPORT'!S51</f>
        <v>7</v>
      </c>
      <c r="T61" s="138">
        <f>'RAW IMPORT'!T51</f>
        <v>5</v>
      </c>
      <c r="U61" s="138">
        <f>'RAW IMPORT'!U51</f>
        <v>0</v>
      </c>
      <c r="V61" s="138">
        <f>'RAW IMPORT'!V51</f>
        <v>0</v>
      </c>
      <c r="W61" s="138">
        <f>'RAW IMPORT'!W51</f>
        <v>0</v>
      </c>
      <c r="X61" s="138">
        <f>'RAW IMPORT'!X51</f>
        <v>0</v>
      </c>
      <c r="Y61" s="138">
        <f>'RAW IMPORT'!Y51</f>
        <v>0</v>
      </c>
      <c r="Z61" s="138">
        <f>'RAW IMPORT'!Z51</f>
        <v>0</v>
      </c>
      <c r="AA61" s="138">
        <f>'RAW IMPORT'!AA51</f>
        <v>0</v>
      </c>
      <c r="AB61" s="139">
        <f>'RAW IMPORT'!AB51</f>
        <v>0</v>
      </c>
      <c r="AC61" s="141">
        <f>'RAW IMPORT'!AC51</f>
        <v>4</v>
      </c>
      <c r="AD61" s="142">
        <f>'RAW IMPORT'!AD51</f>
        <v>7</v>
      </c>
      <c r="AE61" s="142">
        <f>'RAW IMPORT'!AE51</f>
        <v>0</v>
      </c>
      <c r="AF61" s="142">
        <f>IF('RAW IMPORT'!AF51="C1",3,IF('RAW IMPORT'!AF51="D1",4,0))</f>
        <v>3</v>
      </c>
      <c r="AG61" s="142">
        <f>'RAW IMPORT'!AG51</f>
        <v>1</v>
      </c>
      <c r="AH61" s="142">
        <f>'RAW IMPORT'!AH51</f>
        <v>5</v>
      </c>
      <c r="AI61" s="142">
        <f>IF('RAW IMPORT'!AI51="U",1,0)</f>
        <v>0</v>
      </c>
      <c r="AJ61" s="142">
        <f>IF('RAW IMPORT'!AJ51="A",1,0)</f>
        <v>1</v>
      </c>
      <c r="AK61" s="142">
        <f>IF('RAW IMPORT'!AK51="B",1,0)</f>
        <v>1</v>
      </c>
      <c r="AL61" s="142">
        <f>IF('RAW IMPORT'!AL51="U",1,0)</f>
        <v>1</v>
      </c>
      <c r="AM61" s="142">
        <f>IF('RAW IMPORT'!AM51&lt;&gt;"",1,0)</f>
        <v>1</v>
      </c>
      <c r="AN61" s="142">
        <f>IF('RAW IMPORT'!AN51&lt;&gt;"",1,0)</f>
        <v>1</v>
      </c>
      <c r="AO61" s="142">
        <f>IF('RAW IMPORT'!AO51&lt;&gt;"",1,0)</f>
        <v>1</v>
      </c>
      <c r="AP61" s="142">
        <f>IF('RAW IMPORT'!AP51&lt;&gt;"",1,0)</f>
        <v>0</v>
      </c>
      <c r="AQ61" s="142">
        <f>IF('RAW IMPORT'!AQ51&lt;&gt;"",1,0)</f>
        <v>1</v>
      </c>
      <c r="AR61" s="142">
        <f>IF('RAW IMPORT'!AR51&lt;&gt;"",1,0)</f>
        <v>1</v>
      </c>
      <c r="AS61" s="142">
        <f>IF('RAW IMPORT'!AS51&lt;&gt;"",1,0)</f>
        <v>1</v>
      </c>
      <c r="AT61" s="142">
        <f>IF('RAW IMPORT'!AT51&lt;&gt;"",1,0)</f>
        <v>1</v>
      </c>
      <c r="AU61" s="142">
        <f>IF('RAW IMPORT'!AU51&lt;&gt;"",1,0)</f>
        <v>1</v>
      </c>
      <c r="AV61" s="142">
        <f>IF('RAW IMPORT'!AV51&lt;&gt;"",1,0)</f>
        <v>1</v>
      </c>
      <c r="AW61" s="142">
        <f>IF('RAW IMPORT'!AW51&lt;&gt;"",1,0)</f>
        <v>0</v>
      </c>
      <c r="AX61" s="142">
        <f>IF('RAW IMPORT'!AX51&lt;&gt;"",1,0)</f>
        <v>0</v>
      </c>
      <c r="AY61" s="142">
        <f>IF('RAW IMPORT'!AY51&lt;&gt;"",1,0)</f>
        <v>0</v>
      </c>
      <c r="AZ61" s="142">
        <f>IF('RAW IMPORT'!AZ51&lt;&gt;"",1,0)</f>
        <v>0</v>
      </c>
      <c r="BA61" s="142">
        <f>IF('RAW IMPORT'!BA51&lt;&gt;"",1,0)</f>
        <v>0</v>
      </c>
      <c r="BB61" s="142">
        <f>IF('RAW IMPORT'!BB51&lt;&gt;"",1,0)</f>
        <v>0</v>
      </c>
      <c r="BC61" s="142">
        <f>IF('RAW IMPORT'!BC51&lt;&gt;"",1,0)</f>
        <v>1</v>
      </c>
      <c r="BD61" s="142">
        <f>IF('RAW IMPORT'!BD51&lt;&gt;"",1,0)</f>
        <v>1</v>
      </c>
      <c r="BE61" s="142">
        <f>IF('RAW IMPORT'!BE51&lt;&gt;"",1,0)</f>
        <v>1</v>
      </c>
      <c r="BF61" s="142">
        <f>IF('RAW IMPORT'!BF51&lt;&gt;"",1,0)</f>
        <v>0</v>
      </c>
      <c r="BG61" s="142">
        <f>IF('RAW IMPORT'!BG51&lt;&gt;"",1,0)</f>
        <v>1</v>
      </c>
      <c r="BH61" s="142">
        <f>IF('RAW IMPORT'!BH51&lt;&gt;"",1,0)</f>
        <v>1</v>
      </c>
      <c r="BI61" s="142">
        <f>IF('RAW IMPORT'!BI51&lt;&gt;"",1,0)</f>
        <v>1</v>
      </c>
      <c r="BJ61" s="142">
        <f>IF('RAW IMPORT'!BJ51&lt;&gt;"",1,0)</f>
        <v>1</v>
      </c>
      <c r="BK61" s="142">
        <f>IF('RAW IMPORT'!BK51&lt;&gt;"",1,0)</f>
        <v>1</v>
      </c>
      <c r="BL61" s="142">
        <f>IF('RAW IMPORT'!BL51&lt;&gt;"",1,0)</f>
        <v>0</v>
      </c>
      <c r="BM61" s="142">
        <f>'RAW IMPORT'!BM51</f>
        <v>1</v>
      </c>
      <c r="BN61" s="165">
        <f>'RAW IMPORT'!BN51</f>
        <v>0</v>
      </c>
      <c r="BO61" s="197">
        <f>'RAW IMPORT'!BO51</f>
        <v>0</v>
      </c>
      <c r="BP61" s="142" t="str">
        <f>'RAW IMPORT'!BP51</f>
        <v>PDF</v>
      </c>
      <c r="BQ61" s="141">
        <f>'RAW IMPORT'!BQ51</f>
        <v>0</v>
      </c>
      <c r="BR61" s="141">
        <f>'RAW IMPORT'!BR51</f>
        <v>0.02</v>
      </c>
      <c r="BS61" s="141">
        <f>'RAW IMPORT'!BS51</f>
        <v>0.13500000000000001</v>
      </c>
      <c r="BT61" s="141">
        <f>'RAW IMPORT'!BT51</f>
        <v>5.8999999999999997E-2</v>
      </c>
      <c r="BU61" s="141">
        <f>'RAW IMPORT'!BU51</f>
        <v>0.01</v>
      </c>
      <c r="BV61" s="198">
        <f>'RAW IMPORT'!BV51</f>
        <v>0</v>
      </c>
      <c r="BW61" s="141">
        <f>'RAW IMPORT'!BW51</f>
        <v>0</v>
      </c>
      <c r="BX61" s="165">
        <f>'RAW IMPORT'!BX51</f>
        <v>80</v>
      </c>
      <c r="BY61" s="240"/>
      <c r="BZ61" s="126"/>
      <c r="CA61" s="143">
        <f t="shared" si="6"/>
        <v>47</v>
      </c>
      <c r="CB61" s="170">
        <f t="shared" ca="1" si="7"/>
        <v>58</v>
      </c>
      <c r="CC61" s="170" t="str">
        <f t="shared" ca="1" si="8"/>
        <v/>
      </c>
      <c r="CD61" s="204" t="str">
        <f t="shared" si="9"/>
        <v>"Model-8906V":
    RETURN</v>
      </c>
      <c r="CE61" s="170"/>
    </row>
    <row r="62" spans="1:83" ht="15" customHeight="1" x14ac:dyDescent="0.25">
      <c r="A62" s="138" t="str">
        <f>'RAW IMPORT'!A52</f>
        <v>OGRO</v>
      </c>
      <c r="B62" s="139">
        <f>'RAW IMPORT'!B52</f>
        <v>8907</v>
      </c>
      <c r="C62" s="142">
        <f>IF('RAW IMPORT'!C52&lt;&gt;"",1,0)</f>
        <v>1</v>
      </c>
      <c r="D62" s="142">
        <f>IF('RAW IMPORT'!D52&lt;&gt;"",1,0)</f>
        <v>1</v>
      </c>
      <c r="E62" s="142">
        <f>IF('RAW IMPORT'!E52&lt;&gt;"",1,0)</f>
        <v>0</v>
      </c>
      <c r="F62" s="142">
        <f>IF('RAW IMPORT'!F52&lt;&gt;"",1,0)</f>
        <v>0</v>
      </c>
      <c r="G62" s="142">
        <f>IF('RAW IMPORT'!G52&lt;&gt;"",1,0)</f>
        <v>0</v>
      </c>
      <c r="H62" s="142">
        <f>IF('RAW IMPORT'!H52&lt;&gt;"",1,0)</f>
        <v>0</v>
      </c>
      <c r="I62" s="142">
        <f>IF('RAW IMPORT'!I52&lt;&gt;"",1,0)</f>
        <v>0</v>
      </c>
      <c r="J62" s="142">
        <f>IF('RAW IMPORT'!J52&lt;&gt;"",1,0)</f>
        <v>0</v>
      </c>
      <c r="K62" s="142">
        <f>IF('RAW IMPORT'!K52&lt;&gt;"",1,0)</f>
        <v>0</v>
      </c>
      <c r="L62" s="142">
        <f>IF('RAW IMPORT'!L52&lt;&gt;"",1,0)</f>
        <v>0</v>
      </c>
      <c r="M62" s="142">
        <f>IF('RAW IMPORT'!M52&lt;&gt;"",1,0)</f>
        <v>0</v>
      </c>
      <c r="N62" s="165">
        <f>IF('RAW IMPORT'!N52&lt;&gt;"",1,0)</f>
        <v>0</v>
      </c>
      <c r="O62" s="167">
        <f>IF('RAW IMPORT'!O52&lt;&gt;"",1,0)</f>
        <v>1</v>
      </c>
      <c r="P62" s="142">
        <f>IF('RAW IMPORT'!P52&lt;&gt;"",1,0)</f>
        <v>0</v>
      </c>
      <c r="Q62" s="142">
        <f>IF('RAW IMPORT'!Q52&lt;&gt;"",1,0)</f>
        <v>0</v>
      </c>
      <c r="R62" s="138">
        <f>'RAW IMPORT'!R52</f>
        <v>0</v>
      </c>
      <c r="S62" s="138">
        <f>'RAW IMPORT'!S52</f>
        <v>7</v>
      </c>
      <c r="T62" s="138">
        <f>'RAW IMPORT'!T52</f>
        <v>5</v>
      </c>
      <c r="U62" s="138">
        <f>'RAW IMPORT'!U52</f>
        <v>0</v>
      </c>
      <c r="V62" s="138">
        <f>'RAW IMPORT'!V52</f>
        <v>0</v>
      </c>
      <c r="W62" s="138">
        <f>'RAW IMPORT'!W52</f>
        <v>0</v>
      </c>
      <c r="X62" s="138">
        <f>'RAW IMPORT'!X52</f>
        <v>0</v>
      </c>
      <c r="Y62" s="138">
        <f>'RAW IMPORT'!Y52</f>
        <v>0</v>
      </c>
      <c r="Z62" s="138">
        <f>'RAW IMPORT'!Z52</f>
        <v>0</v>
      </c>
      <c r="AA62" s="138">
        <f>'RAW IMPORT'!AA52</f>
        <v>0</v>
      </c>
      <c r="AB62" s="139">
        <f>'RAW IMPORT'!AB52</f>
        <v>0</v>
      </c>
      <c r="AC62" s="141">
        <f>'RAW IMPORT'!AC52</f>
        <v>4</v>
      </c>
      <c r="AD62" s="142">
        <f>'RAW IMPORT'!AD52</f>
        <v>7</v>
      </c>
      <c r="AE62" s="142">
        <f>'RAW IMPORT'!AE52</f>
        <v>0</v>
      </c>
      <c r="AF62" s="142">
        <f>IF('RAW IMPORT'!AF52="C1",3,IF('RAW IMPORT'!AF52="D1",4,0))</f>
        <v>4</v>
      </c>
      <c r="AG62" s="142">
        <f>'RAW IMPORT'!AG52</f>
        <v>1</v>
      </c>
      <c r="AH62" s="142">
        <f>'RAW IMPORT'!AH52</f>
        <v>5</v>
      </c>
      <c r="AI62" s="142">
        <f>IF('RAW IMPORT'!AI52="U",1,0)</f>
        <v>0</v>
      </c>
      <c r="AJ62" s="142">
        <f>IF('RAW IMPORT'!AJ52="A",1,0)</f>
        <v>1</v>
      </c>
      <c r="AK62" s="142">
        <f>IF('RAW IMPORT'!AK52="B",1,0)</f>
        <v>1</v>
      </c>
      <c r="AL62" s="142">
        <f>IF('RAW IMPORT'!AL52="U",1,0)</f>
        <v>1</v>
      </c>
      <c r="AM62" s="142">
        <f>IF('RAW IMPORT'!AM52&lt;&gt;"",1,0)</f>
        <v>1</v>
      </c>
      <c r="AN62" s="142">
        <f>IF('RAW IMPORT'!AN52&lt;&gt;"",1,0)</f>
        <v>1</v>
      </c>
      <c r="AO62" s="142">
        <f>IF('RAW IMPORT'!AO52&lt;&gt;"",1,0)</f>
        <v>1</v>
      </c>
      <c r="AP62" s="142">
        <f>IF('RAW IMPORT'!AP52&lt;&gt;"",1,0)</f>
        <v>1</v>
      </c>
      <c r="AQ62" s="142">
        <f>IF('RAW IMPORT'!AQ52&lt;&gt;"",1,0)</f>
        <v>1</v>
      </c>
      <c r="AR62" s="142">
        <f>IF('RAW IMPORT'!AR52&lt;&gt;"",1,0)</f>
        <v>1</v>
      </c>
      <c r="AS62" s="142">
        <f>IF('RAW IMPORT'!AS52&lt;&gt;"",1,0)</f>
        <v>1</v>
      </c>
      <c r="AT62" s="142">
        <f>IF('RAW IMPORT'!AT52&lt;&gt;"",1,0)</f>
        <v>1</v>
      </c>
      <c r="AU62" s="142">
        <f>IF('RAW IMPORT'!AU52&lt;&gt;"",1,0)</f>
        <v>1</v>
      </c>
      <c r="AV62" s="142">
        <f>IF('RAW IMPORT'!AV52&lt;&gt;"",1,0)</f>
        <v>1</v>
      </c>
      <c r="AW62" s="142">
        <f>IF('RAW IMPORT'!AW52&lt;&gt;"",1,0)</f>
        <v>1</v>
      </c>
      <c r="AX62" s="142">
        <f>IF('RAW IMPORT'!AX52&lt;&gt;"",1,0)</f>
        <v>1</v>
      </c>
      <c r="AY62" s="142">
        <f>IF('RAW IMPORT'!AY52&lt;&gt;"",1,0)</f>
        <v>1</v>
      </c>
      <c r="AZ62" s="142">
        <f>IF('RAW IMPORT'!AZ52&lt;&gt;"",1,0)</f>
        <v>1</v>
      </c>
      <c r="BA62" s="142">
        <f>IF('RAW IMPORT'!BA52&lt;&gt;"",1,0)</f>
        <v>1</v>
      </c>
      <c r="BB62" s="142">
        <f>IF('RAW IMPORT'!BB52&lt;&gt;"",1,0)</f>
        <v>1</v>
      </c>
      <c r="BC62" s="142">
        <f>IF('RAW IMPORT'!BC52&lt;&gt;"",1,0)</f>
        <v>0</v>
      </c>
      <c r="BD62" s="142">
        <f>IF('RAW IMPORT'!BD52&lt;&gt;"",1,0)</f>
        <v>1</v>
      </c>
      <c r="BE62" s="142">
        <f>IF('RAW IMPORT'!BE52&lt;&gt;"",1,0)</f>
        <v>1</v>
      </c>
      <c r="BF62" s="142">
        <f>IF('RAW IMPORT'!BF52&lt;&gt;"",1,0)</f>
        <v>0</v>
      </c>
      <c r="BG62" s="142">
        <f>IF('RAW IMPORT'!BG52&lt;&gt;"",1,0)</f>
        <v>1</v>
      </c>
      <c r="BH62" s="142">
        <f>IF('RAW IMPORT'!BH52&lt;&gt;"",1,0)</f>
        <v>1</v>
      </c>
      <c r="BI62" s="142">
        <f>IF('RAW IMPORT'!BI52&lt;&gt;"",1,0)</f>
        <v>1</v>
      </c>
      <c r="BJ62" s="142">
        <f>IF('RAW IMPORT'!BJ52&lt;&gt;"",1,0)</f>
        <v>1</v>
      </c>
      <c r="BK62" s="142">
        <f>IF('RAW IMPORT'!BK52&lt;&gt;"",1,0)</f>
        <v>1</v>
      </c>
      <c r="BL62" s="142">
        <f>IF('RAW IMPORT'!BL52&lt;&gt;"",1,0)</f>
        <v>1</v>
      </c>
      <c r="BM62" s="142">
        <f>'RAW IMPORT'!BM52</f>
        <v>1</v>
      </c>
      <c r="BN62" s="165">
        <f>'RAW IMPORT'!BN52</f>
        <v>0</v>
      </c>
      <c r="BO62" s="197">
        <f>'RAW IMPORT'!BO52</f>
        <v>0</v>
      </c>
      <c r="BP62" s="142" t="str">
        <f>'RAW IMPORT'!BP52</f>
        <v>PDF</v>
      </c>
      <c r="BQ62" s="141">
        <f>'RAW IMPORT'!BQ52</f>
        <v>0</v>
      </c>
      <c r="BR62" s="141">
        <f>'RAW IMPORT'!BR52</f>
        <v>0.02</v>
      </c>
      <c r="BS62" s="141">
        <f>'RAW IMPORT'!BS52</f>
        <v>0.14299999999999999</v>
      </c>
      <c r="BT62" s="141">
        <f>'RAW IMPORT'!BT52</f>
        <v>5.8999999999999997E-2</v>
      </c>
      <c r="BU62" s="141">
        <f>'RAW IMPORT'!BU52</f>
        <v>0.01</v>
      </c>
      <c r="BV62" s="198">
        <f>'RAW IMPORT'!BV52</f>
        <v>0</v>
      </c>
      <c r="BW62" s="141">
        <f>'RAW IMPORT'!BW52</f>
        <v>33</v>
      </c>
      <c r="BX62" s="165">
        <f>'RAW IMPORT'!BX52</f>
        <v>81</v>
      </c>
      <c r="BY62" s="240"/>
      <c r="BZ62" s="126"/>
      <c r="CA62" s="143">
        <f t="shared" si="6"/>
        <v>48</v>
      </c>
      <c r="CB62" s="170">
        <f t="shared" ca="1" si="7"/>
        <v>59</v>
      </c>
      <c r="CC62" s="170" t="str">
        <f t="shared" ca="1" si="8"/>
        <v/>
      </c>
      <c r="CD62" s="204" t="str">
        <f t="shared" si="9"/>
        <v>"Model-8907":
    RETURN</v>
      </c>
      <c r="CE62" s="170"/>
    </row>
    <row r="63" spans="1:83" ht="15" customHeight="1" x14ac:dyDescent="0.25">
      <c r="A63" s="138" t="str">
        <f>'RAW IMPORT'!A53</f>
        <v>OGRO</v>
      </c>
      <c r="B63" s="139" t="str">
        <f>'RAW IMPORT'!B53</f>
        <v>8907A</v>
      </c>
      <c r="C63" s="142">
        <f>IF('RAW IMPORT'!C53&lt;&gt;"",1,0)</f>
        <v>1</v>
      </c>
      <c r="D63" s="142">
        <f>IF('RAW IMPORT'!D53&lt;&gt;"",1,0)</f>
        <v>1</v>
      </c>
      <c r="E63" s="142">
        <f>IF('RAW IMPORT'!E53&lt;&gt;"",1,0)</f>
        <v>0</v>
      </c>
      <c r="F63" s="142">
        <f>IF('RAW IMPORT'!F53&lt;&gt;"",1,0)</f>
        <v>0</v>
      </c>
      <c r="G63" s="142">
        <f>IF('RAW IMPORT'!G53&lt;&gt;"",1,0)</f>
        <v>0</v>
      </c>
      <c r="H63" s="142">
        <f>IF('RAW IMPORT'!H53&lt;&gt;"",1,0)</f>
        <v>0</v>
      </c>
      <c r="I63" s="142">
        <f>IF('RAW IMPORT'!I53&lt;&gt;"",1,0)</f>
        <v>0</v>
      </c>
      <c r="J63" s="142">
        <f>IF('RAW IMPORT'!J53&lt;&gt;"",1,0)</f>
        <v>0</v>
      </c>
      <c r="K63" s="142">
        <f>IF('RAW IMPORT'!K53&lt;&gt;"",1,0)</f>
        <v>0</v>
      </c>
      <c r="L63" s="142">
        <f>IF('RAW IMPORT'!L53&lt;&gt;"",1,0)</f>
        <v>0</v>
      </c>
      <c r="M63" s="142">
        <f>IF('RAW IMPORT'!M53&lt;&gt;"",1,0)</f>
        <v>0</v>
      </c>
      <c r="N63" s="165">
        <f>IF('RAW IMPORT'!N53&lt;&gt;"",1,0)</f>
        <v>0</v>
      </c>
      <c r="O63" s="167">
        <f>IF('RAW IMPORT'!O53&lt;&gt;"",1,0)</f>
        <v>1</v>
      </c>
      <c r="P63" s="142">
        <f>IF('RAW IMPORT'!P53&lt;&gt;"",1,0)</f>
        <v>0</v>
      </c>
      <c r="Q63" s="142">
        <f>IF('RAW IMPORT'!Q53&lt;&gt;"",1,0)</f>
        <v>0</v>
      </c>
      <c r="R63" s="138">
        <f>'RAW IMPORT'!R53</f>
        <v>0</v>
      </c>
      <c r="S63" s="138">
        <f>'RAW IMPORT'!S53</f>
        <v>7</v>
      </c>
      <c r="T63" s="138">
        <f>'RAW IMPORT'!T53</f>
        <v>5</v>
      </c>
      <c r="U63" s="138">
        <f>'RAW IMPORT'!U53</f>
        <v>0</v>
      </c>
      <c r="V63" s="138">
        <f>'RAW IMPORT'!V53</f>
        <v>0</v>
      </c>
      <c r="W63" s="138">
        <f>'RAW IMPORT'!W53</f>
        <v>0</v>
      </c>
      <c r="X63" s="138">
        <f>'RAW IMPORT'!X53</f>
        <v>0</v>
      </c>
      <c r="Y63" s="138">
        <f>'RAW IMPORT'!Y53</f>
        <v>0</v>
      </c>
      <c r="Z63" s="138">
        <f>'RAW IMPORT'!Z53</f>
        <v>0</v>
      </c>
      <c r="AA63" s="138">
        <f>'RAW IMPORT'!AA53</f>
        <v>0</v>
      </c>
      <c r="AB63" s="139">
        <f>'RAW IMPORT'!AB53</f>
        <v>0</v>
      </c>
      <c r="AC63" s="141">
        <f>'RAW IMPORT'!AC53</f>
        <v>4</v>
      </c>
      <c r="AD63" s="142">
        <f>'RAW IMPORT'!AD53</f>
        <v>7</v>
      </c>
      <c r="AE63" s="142">
        <f>'RAW IMPORT'!AE53</f>
        <v>0</v>
      </c>
      <c r="AF63" s="142">
        <f>IF('RAW IMPORT'!AF53="C1",3,IF('RAW IMPORT'!AF53="D1",4,0))</f>
        <v>4</v>
      </c>
      <c r="AG63" s="142">
        <f>'RAW IMPORT'!AG53</f>
        <v>1</v>
      </c>
      <c r="AH63" s="142">
        <f>'RAW IMPORT'!AH53</f>
        <v>5</v>
      </c>
      <c r="AI63" s="142">
        <f>IF('RAW IMPORT'!AI53="U",1,0)</f>
        <v>0</v>
      </c>
      <c r="AJ63" s="142">
        <f>IF('RAW IMPORT'!AJ53="A",1,0)</f>
        <v>1</v>
      </c>
      <c r="AK63" s="142">
        <f>IF('RAW IMPORT'!AK53="B",1,0)</f>
        <v>1</v>
      </c>
      <c r="AL63" s="142">
        <f>IF('RAW IMPORT'!AL53="U",1,0)</f>
        <v>1</v>
      </c>
      <c r="AM63" s="142">
        <f>IF('RAW IMPORT'!AM53&lt;&gt;"",1,0)</f>
        <v>1</v>
      </c>
      <c r="AN63" s="142">
        <f>IF('RAW IMPORT'!AN53&lt;&gt;"",1,0)</f>
        <v>1</v>
      </c>
      <c r="AO63" s="142">
        <f>IF('RAW IMPORT'!AO53&lt;&gt;"",1,0)</f>
        <v>1</v>
      </c>
      <c r="AP63" s="142">
        <f>IF('RAW IMPORT'!AP53&lt;&gt;"",1,0)</f>
        <v>1</v>
      </c>
      <c r="AQ63" s="142">
        <f>IF('RAW IMPORT'!AQ53&lt;&gt;"",1,0)</f>
        <v>1</v>
      </c>
      <c r="AR63" s="142">
        <f>IF('RAW IMPORT'!AR53&lt;&gt;"",1,0)</f>
        <v>1</v>
      </c>
      <c r="AS63" s="142">
        <f>IF('RAW IMPORT'!AS53&lt;&gt;"",1,0)</f>
        <v>1</v>
      </c>
      <c r="AT63" s="142">
        <f>IF('RAW IMPORT'!AT53&lt;&gt;"",1,0)</f>
        <v>1</v>
      </c>
      <c r="AU63" s="142">
        <f>IF('RAW IMPORT'!AU53&lt;&gt;"",1,0)</f>
        <v>1</v>
      </c>
      <c r="AV63" s="142">
        <f>IF('RAW IMPORT'!AV53&lt;&gt;"",1,0)</f>
        <v>1</v>
      </c>
      <c r="AW63" s="142">
        <f>IF('RAW IMPORT'!AW53&lt;&gt;"",1,0)</f>
        <v>0</v>
      </c>
      <c r="AX63" s="142">
        <f>IF('RAW IMPORT'!AX53&lt;&gt;"",1,0)</f>
        <v>0</v>
      </c>
      <c r="AY63" s="142">
        <f>IF('RAW IMPORT'!AY53&lt;&gt;"",1,0)</f>
        <v>0</v>
      </c>
      <c r="AZ63" s="142">
        <f>IF('RAW IMPORT'!AZ53&lt;&gt;"",1,0)</f>
        <v>0</v>
      </c>
      <c r="BA63" s="142">
        <f>IF('RAW IMPORT'!BA53&lt;&gt;"",1,0)</f>
        <v>0</v>
      </c>
      <c r="BB63" s="142">
        <f>IF('RAW IMPORT'!BB53&lt;&gt;"",1,0)</f>
        <v>0</v>
      </c>
      <c r="BC63" s="142">
        <f>IF('RAW IMPORT'!BC53&lt;&gt;"",1,0)</f>
        <v>1</v>
      </c>
      <c r="BD63" s="142">
        <f>IF('RAW IMPORT'!BD53&lt;&gt;"",1,0)</f>
        <v>1</v>
      </c>
      <c r="BE63" s="142">
        <f>IF('RAW IMPORT'!BE53&lt;&gt;"",1,0)</f>
        <v>1</v>
      </c>
      <c r="BF63" s="142">
        <f>IF('RAW IMPORT'!BF53&lt;&gt;"",1,0)</f>
        <v>0</v>
      </c>
      <c r="BG63" s="142">
        <f>IF('RAW IMPORT'!BG53&lt;&gt;"",1,0)</f>
        <v>1</v>
      </c>
      <c r="BH63" s="142">
        <f>IF('RAW IMPORT'!BH53&lt;&gt;"",1,0)</f>
        <v>1</v>
      </c>
      <c r="BI63" s="142">
        <f>IF('RAW IMPORT'!BI53&lt;&gt;"",1,0)</f>
        <v>1</v>
      </c>
      <c r="BJ63" s="142">
        <f>IF('RAW IMPORT'!BJ53&lt;&gt;"",1,0)</f>
        <v>1</v>
      </c>
      <c r="BK63" s="142">
        <f>IF('RAW IMPORT'!BK53&lt;&gt;"",1,0)</f>
        <v>1</v>
      </c>
      <c r="BL63" s="142">
        <f>IF('RAW IMPORT'!BL53&lt;&gt;"",1,0)</f>
        <v>0</v>
      </c>
      <c r="BM63" s="142">
        <f>'RAW IMPORT'!BM53</f>
        <v>1</v>
      </c>
      <c r="BN63" s="165">
        <f>'RAW IMPORT'!BN53</f>
        <v>0</v>
      </c>
      <c r="BO63" s="197">
        <f>'RAW IMPORT'!BO53</f>
        <v>0</v>
      </c>
      <c r="BP63" s="142" t="str">
        <f>'RAW IMPORT'!BP53</f>
        <v>PDF</v>
      </c>
      <c r="BQ63" s="141">
        <f>'RAW IMPORT'!BQ53</f>
        <v>0</v>
      </c>
      <c r="BR63" s="141">
        <f>'RAW IMPORT'!BR53</f>
        <v>0.02</v>
      </c>
      <c r="BS63" s="141">
        <f>'RAW IMPORT'!BS53</f>
        <v>0.16300000000000001</v>
      </c>
      <c r="BT63" s="141">
        <f>'RAW IMPORT'!BT53</f>
        <v>7.5999999999999998E-2</v>
      </c>
      <c r="BU63" s="141">
        <f>'RAW IMPORT'!BU53</f>
        <v>0.01</v>
      </c>
      <c r="BV63" s="198">
        <f>'RAW IMPORT'!BV53</f>
        <v>0</v>
      </c>
      <c r="BW63" s="141">
        <f>'RAW IMPORT'!BW53</f>
        <v>0</v>
      </c>
      <c r="BX63" s="165">
        <f>'RAW IMPORT'!BX53</f>
        <v>82</v>
      </c>
      <c r="BY63" s="240"/>
      <c r="BZ63" s="126"/>
      <c r="CA63" s="143">
        <f t="shared" si="6"/>
        <v>49</v>
      </c>
      <c r="CB63" s="170">
        <f t="shared" ca="1" si="7"/>
        <v>62</v>
      </c>
      <c r="CC63" s="170" t="str">
        <f t="shared" ca="1" si="8"/>
        <v/>
      </c>
      <c r="CD63" s="204" t="str">
        <f t="shared" si="9"/>
        <v>"Model-8907A":
    RETURN</v>
      </c>
      <c r="CE63" s="170"/>
    </row>
    <row r="64" spans="1:83" ht="15" customHeight="1" x14ac:dyDescent="0.25">
      <c r="A64" s="138" t="str">
        <f>'RAW IMPORT'!A54</f>
        <v>OGRO</v>
      </c>
      <c r="B64" s="139" t="str">
        <f>'RAW IMPORT'!B54</f>
        <v>8907V</v>
      </c>
      <c r="C64" s="142">
        <f>IF('RAW IMPORT'!C54&lt;&gt;"",1,0)</f>
        <v>1</v>
      </c>
      <c r="D64" s="142">
        <f>IF('RAW IMPORT'!D54&lt;&gt;"",1,0)</f>
        <v>1</v>
      </c>
      <c r="E64" s="142">
        <f>IF('RAW IMPORT'!E54&lt;&gt;"",1,0)</f>
        <v>0</v>
      </c>
      <c r="F64" s="142">
        <f>IF('RAW IMPORT'!F54&lt;&gt;"",1,0)</f>
        <v>0</v>
      </c>
      <c r="G64" s="142">
        <f>IF('RAW IMPORT'!G54&lt;&gt;"",1,0)</f>
        <v>0</v>
      </c>
      <c r="H64" s="142">
        <f>IF('RAW IMPORT'!H54&lt;&gt;"",1,0)</f>
        <v>0</v>
      </c>
      <c r="I64" s="142">
        <f>IF('RAW IMPORT'!I54&lt;&gt;"",1,0)</f>
        <v>0</v>
      </c>
      <c r="J64" s="142">
        <f>IF('RAW IMPORT'!J54&lt;&gt;"",1,0)</f>
        <v>0</v>
      </c>
      <c r="K64" s="142">
        <f>IF('RAW IMPORT'!K54&lt;&gt;"",1,0)</f>
        <v>0</v>
      </c>
      <c r="L64" s="142">
        <f>IF('RAW IMPORT'!L54&lt;&gt;"",1,0)</f>
        <v>0</v>
      </c>
      <c r="M64" s="142">
        <f>IF('RAW IMPORT'!M54&lt;&gt;"",1,0)</f>
        <v>0</v>
      </c>
      <c r="N64" s="165">
        <f>IF('RAW IMPORT'!N54&lt;&gt;"",1,0)</f>
        <v>0</v>
      </c>
      <c r="O64" s="167">
        <f>IF('RAW IMPORT'!O54&lt;&gt;"",1,0)</f>
        <v>1</v>
      </c>
      <c r="P64" s="142">
        <f>IF('RAW IMPORT'!P54&lt;&gt;"",1,0)</f>
        <v>0</v>
      </c>
      <c r="Q64" s="142">
        <f>IF('RAW IMPORT'!Q54&lt;&gt;"",1,0)</f>
        <v>0</v>
      </c>
      <c r="R64" s="138">
        <f>'RAW IMPORT'!R54</f>
        <v>0</v>
      </c>
      <c r="S64" s="138">
        <f>'RAW IMPORT'!S54</f>
        <v>7</v>
      </c>
      <c r="T64" s="138">
        <f>'RAW IMPORT'!T54</f>
        <v>5</v>
      </c>
      <c r="U64" s="138">
        <f>'RAW IMPORT'!U54</f>
        <v>0</v>
      </c>
      <c r="V64" s="138">
        <f>'RAW IMPORT'!V54</f>
        <v>0</v>
      </c>
      <c r="W64" s="138">
        <f>'RAW IMPORT'!W54</f>
        <v>0</v>
      </c>
      <c r="X64" s="138">
        <f>'RAW IMPORT'!X54</f>
        <v>0</v>
      </c>
      <c r="Y64" s="138">
        <f>'RAW IMPORT'!Y54</f>
        <v>0</v>
      </c>
      <c r="Z64" s="138">
        <f>'RAW IMPORT'!Z54</f>
        <v>0</v>
      </c>
      <c r="AA64" s="138">
        <f>'RAW IMPORT'!AA54</f>
        <v>0</v>
      </c>
      <c r="AB64" s="139">
        <f>'RAW IMPORT'!AB54</f>
        <v>0</v>
      </c>
      <c r="AC64" s="141">
        <f>'RAW IMPORT'!AC54</f>
        <v>4</v>
      </c>
      <c r="AD64" s="142">
        <f>'RAW IMPORT'!AD54</f>
        <v>7</v>
      </c>
      <c r="AE64" s="142">
        <f>'RAW IMPORT'!AE54</f>
        <v>0</v>
      </c>
      <c r="AF64" s="142">
        <f>IF('RAW IMPORT'!AF54="C1",3,IF('RAW IMPORT'!AF54="D1",4,0))</f>
        <v>3</v>
      </c>
      <c r="AG64" s="142">
        <f>'RAW IMPORT'!AG54</f>
        <v>1</v>
      </c>
      <c r="AH64" s="142">
        <f>'RAW IMPORT'!AH54</f>
        <v>5</v>
      </c>
      <c r="AI64" s="142">
        <f>IF('RAW IMPORT'!AI54="U",1,0)</f>
        <v>0</v>
      </c>
      <c r="AJ64" s="142">
        <f>IF('RAW IMPORT'!AJ54="A",1,0)</f>
        <v>1</v>
      </c>
      <c r="AK64" s="142">
        <f>IF('RAW IMPORT'!AK54="B",1,0)</f>
        <v>1</v>
      </c>
      <c r="AL64" s="142">
        <f>IF('RAW IMPORT'!AL54="U",1,0)</f>
        <v>1</v>
      </c>
      <c r="AM64" s="142">
        <f>IF('RAW IMPORT'!AM54&lt;&gt;"",1,0)</f>
        <v>1</v>
      </c>
      <c r="AN64" s="142">
        <f>IF('RAW IMPORT'!AN54&lt;&gt;"",1,0)</f>
        <v>1</v>
      </c>
      <c r="AO64" s="142">
        <f>IF('RAW IMPORT'!AO54&lt;&gt;"",1,0)</f>
        <v>1</v>
      </c>
      <c r="AP64" s="142">
        <f>IF('RAW IMPORT'!AP54&lt;&gt;"",1,0)</f>
        <v>0</v>
      </c>
      <c r="AQ64" s="142">
        <f>IF('RAW IMPORT'!AQ54&lt;&gt;"",1,0)</f>
        <v>1</v>
      </c>
      <c r="AR64" s="142">
        <f>IF('RAW IMPORT'!AR54&lt;&gt;"",1,0)</f>
        <v>1</v>
      </c>
      <c r="AS64" s="142">
        <f>IF('RAW IMPORT'!AS54&lt;&gt;"",1,0)</f>
        <v>1</v>
      </c>
      <c r="AT64" s="142">
        <f>IF('RAW IMPORT'!AT54&lt;&gt;"",1,0)</f>
        <v>1</v>
      </c>
      <c r="AU64" s="142">
        <f>IF('RAW IMPORT'!AU54&lt;&gt;"",1,0)</f>
        <v>1</v>
      </c>
      <c r="AV64" s="142">
        <f>IF('RAW IMPORT'!AV54&lt;&gt;"",1,0)</f>
        <v>1</v>
      </c>
      <c r="AW64" s="142">
        <f>IF('RAW IMPORT'!AW54&lt;&gt;"",1,0)</f>
        <v>0</v>
      </c>
      <c r="AX64" s="142">
        <f>IF('RAW IMPORT'!AX54&lt;&gt;"",1,0)</f>
        <v>0</v>
      </c>
      <c r="AY64" s="142">
        <f>IF('RAW IMPORT'!AY54&lt;&gt;"",1,0)</f>
        <v>0</v>
      </c>
      <c r="AZ64" s="142">
        <f>IF('RAW IMPORT'!AZ54&lt;&gt;"",1,0)</f>
        <v>0</v>
      </c>
      <c r="BA64" s="142">
        <f>IF('RAW IMPORT'!BA54&lt;&gt;"",1,0)</f>
        <v>0</v>
      </c>
      <c r="BB64" s="142">
        <f>IF('RAW IMPORT'!BB54&lt;&gt;"",1,0)</f>
        <v>0</v>
      </c>
      <c r="BC64" s="142">
        <f>IF('RAW IMPORT'!BC54&lt;&gt;"",1,0)</f>
        <v>1</v>
      </c>
      <c r="BD64" s="142">
        <f>IF('RAW IMPORT'!BD54&lt;&gt;"",1,0)</f>
        <v>1</v>
      </c>
      <c r="BE64" s="142">
        <f>IF('RAW IMPORT'!BE54&lt;&gt;"",1,0)</f>
        <v>1</v>
      </c>
      <c r="BF64" s="142">
        <f>IF('RAW IMPORT'!BF54&lt;&gt;"",1,0)</f>
        <v>0</v>
      </c>
      <c r="BG64" s="142">
        <f>IF('RAW IMPORT'!BG54&lt;&gt;"",1,0)</f>
        <v>1</v>
      </c>
      <c r="BH64" s="142">
        <f>IF('RAW IMPORT'!BH54&lt;&gt;"",1,0)</f>
        <v>1</v>
      </c>
      <c r="BI64" s="142">
        <f>IF('RAW IMPORT'!BI54&lt;&gt;"",1,0)</f>
        <v>1</v>
      </c>
      <c r="BJ64" s="142">
        <f>IF('RAW IMPORT'!BJ54&lt;&gt;"",1,0)</f>
        <v>1</v>
      </c>
      <c r="BK64" s="142">
        <f>IF('RAW IMPORT'!BK54&lt;&gt;"",1,0)</f>
        <v>1</v>
      </c>
      <c r="BL64" s="142">
        <f>IF('RAW IMPORT'!BL54&lt;&gt;"",1,0)</f>
        <v>0</v>
      </c>
      <c r="BM64" s="142">
        <f>'RAW IMPORT'!BM54</f>
        <v>1</v>
      </c>
      <c r="BN64" s="165">
        <f>'RAW IMPORT'!BN54</f>
        <v>0</v>
      </c>
      <c r="BO64" s="197">
        <f>'RAW IMPORT'!BO54</f>
        <v>0</v>
      </c>
      <c r="BP64" s="142" t="str">
        <f>'RAW IMPORT'!BP54</f>
        <v>PDF</v>
      </c>
      <c r="BQ64" s="141">
        <f>'RAW IMPORT'!BQ54</f>
        <v>0</v>
      </c>
      <c r="BR64" s="141">
        <f>'RAW IMPORT'!BR54</f>
        <v>0.02</v>
      </c>
      <c r="BS64" s="141">
        <f>'RAW IMPORT'!BS54</f>
        <v>0.14499999999999999</v>
      </c>
      <c r="BT64" s="141">
        <f>'RAW IMPORT'!BT54</f>
        <v>5.8999999999999997E-2</v>
      </c>
      <c r="BU64" s="141">
        <f>'RAW IMPORT'!BU54</f>
        <v>0.01</v>
      </c>
      <c r="BV64" s="198">
        <f>'RAW IMPORT'!BV54</f>
        <v>0</v>
      </c>
      <c r="BW64" s="141">
        <f>'RAW IMPORT'!BW54</f>
        <v>0</v>
      </c>
      <c r="BX64" s="165">
        <f>'RAW IMPORT'!BX54</f>
        <v>83</v>
      </c>
      <c r="BY64" s="240"/>
      <c r="BZ64" s="126"/>
      <c r="CA64" s="143">
        <f t="shared" si="6"/>
        <v>50</v>
      </c>
      <c r="CB64" s="170">
        <f t="shared" ca="1" si="7"/>
        <v>69</v>
      </c>
      <c r="CC64" s="170" t="str">
        <f t="shared" ca="1" si="8"/>
        <v/>
      </c>
      <c r="CD64" s="204" t="str">
        <f t="shared" si="9"/>
        <v>"Model-8907V":
    RETURN</v>
      </c>
      <c r="CE64" s="170"/>
    </row>
    <row r="65" spans="1:83" ht="15" customHeight="1" x14ac:dyDescent="0.25">
      <c r="A65" s="138" t="str">
        <f>'RAW IMPORT'!A55</f>
        <v>OGRO</v>
      </c>
      <c r="B65" s="139">
        <f>'RAW IMPORT'!B55</f>
        <v>8910</v>
      </c>
      <c r="C65" s="142">
        <f>IF('RAW IMPORT'!C55&lt;&gt;"",1,0)</f>
        <v>1</v>
      </c>
      <c r="D65" s="142">
        <f>IF('RAW IMPORT'!D55&lt;&gt;"",1,0)</f>
        <v>1</v>
      </c>
      <c r="E65" s="142">
        <f>IF('RAW IMPORT'!E55&lt;&gt;"",1,0)</f>
        <v>0</v>
      </c>
      <c r="F65" s="142">
        <f>IF('RAW IMPORT'!F55&lt;&gt;"",1,0)</f>
        <v>0</v>
      </c>
      <c r="G65" s="142">
        <f>IF('RAW IMPORT'!G55&lt;&gt;"",1,0)</f>
        <v>0</v>
      </c>
      <c r="H65" s="142">
        <f>IF('RAW IMPORT'!H55&lt;&gt;"",1,0)</f>
        <v>0</v>
      </c>
      <c r="I65" s="142">
        <f>IF('RAW IMPORT'!I55&lt;&gt;"",1,0)</f>
        <v>0</v>
      </c>
      <c r="J65" s="142">
        <f>IF('RAW IMPORT'!J55&lt;&gt;"",1,0)</f>
        <v>0</v>
      </c>
      <c r="K65" s="142">
        <f>IF('RAW IMPORT'!K55&lt;&gt;"",1,0)</f>
        <v>0</v>
      </c>
      <c r="L65" s="142">
        <f>IF('RAW IMPORT'!L55&lt;&gt;"",1,0)</f>
        <v>0</v>
      </c>
      <c r="M65" s="142">
        <f>IF('RAW IMPORT'!M55&lt;&gt;"",1,0)</f>
        <v>0</v>
      </c>
      <c r="N65" s="165">
        <f>IF('RAW IMPORT'!N55&lt;&gt;"",1,0)</f>
        <v>0</v>
      </c>
      <c r="O65" s="167">
        <f>IF('RAW IMPORT'!O55&lt;&gt;"",1,0)</f>
        <v>1</v>
      </c>
      <c r="P65" s="142">
        <f>IF('RAW IMPORT'!P55&lt;&gt;"",1,0)</f>
        <v>1</v>
      </c>
      <c r="Q65" s="142">
        <f>IF('RAW IMPORT'!Q55&lt;&gt;"",1,0)</f>
        <v>0</v>
      </c>
      <c r="R65" s="138">
        <f>'RAW IMPORT'!R55</f>
        <v>0</v>
      </c>
      <c r="S65" s="138">
        <f>'RAW IMPORT'!S55</f>
        <v>7</v>
      </c>
      <c r="T65" s="138">
        <f>'RAW IMPORT'!T55</f>
        <v>5</v>
      </c>
      <c r="U65" s="138">
        <f>'RAW IMPORT'!U55</f>
        <v>0</v>
      </c>
      <c r="V65" s="138">
        <f>'RAW IMPORT'!V55</f>
        <v>0</v>
      </c>
      <c r="W65" s="138">
        <f>'RAW IMPORT'!W55</f>
        <v>0</v>
      </c>
      <c r="X65" s="138">
        <f>'RAW IMPORT'!X55</f>
        <v>0</v>
      </c>
      <c r="Y65" s="138">
        <f>'RAW IMPORT'!Y55</f>
        <v>0</v>
      </c>
      <c r="Z65" s="138">
        <f>'RAW IMPORT'!Z55</f>
        <v>0</v>
      </c>
      <c r="AA65" s="138">
        <f>'RAW IMPORT'!AA55</f>
        <v>0</v>
      </c>
      <c r="AB65" s="139">
        <f>'RAW IMPORT'!AB55</f>
        <v>0</v>
      </c>
      <c r="AC65" s="141">
        <f>'RAW IMPORT'!AC55</f>
        <v>4</v>
      </c>
      <c r="AD65" s="142">
        <f>'RAW IMPORT'!AD55</f>
        <v>7</v>
      </c>
      <c r="AE65" s="142">
        <f>'RAW IMPORT'!AE55</f>
        <v>0</v>
      </c>
      <c r="AF65" s="142">
        <f>IF('RAW IMPORT'!AF55="C1",3,IF('RAW IMPORT'!AF55="D1",4,0))</f>
        <v>3</v>
      </c>
      <c r="AG65" s="142">
        <f>'RAW IMPORT'!AG55</f>
        <v>1</v>
      </c>
      <c r="AH65" s="142">
        <f>'RAW IMPORT'!AH55</f>
        <v>5</v>
      </c>
      <c r="AI65" s="142">
        <f>IF('RAW IMPORT'!AI55="U",1,0)</f>
        <v>0</v>
      </c>
      <c r="AJ65" s="142">
        <f>IF('RAW IMPORT'!AJ55="A",1,0)</f>
        <v>1</v>
      </c>
      <c r="AK65" s="142">
        <f>IF('RAW IMPORT'!AK55="B",1,0)</f>
        <v>1</v>
      </c>
      <c r="AL65" s="142">
        <f>IF('RAW IMPORT'!AL55="U",1,0)</f>
        <v>1</v>
      </c>
      <c r="AM65" s="142">
        <f>IF('RAW IMPORT'!AM55&lt;&gt;"",1,0)</f>
        <v>1</v>
      </c>
      <c r="AN65" s="142">
        <f>IF('RAW IMPORT'!AN55&lt;&gt;"",1,0)</f>
        <v>1</v>
      </c>
      <c r="AO65" s="142">
        <f>IF('RAW IMPORT'!AO55&lt;&gt;"",1,0)</f>
        <v>1</v>
      </c>
      <c r="AP65" s="142">
        <f>IF('RAW IMPORT'!AP55&lt;&gt;"",1,0)</f>
        <v>0</v>
      </c>
      <c r="AQ65" s="142">
        <f>IF('RAW IMPORT'!AQ55&lt;&gt;"",1,0)</f>
        <v>1</v>
      </c>
      <c r="AR65" s="142">
        <f>IF('RAW IMPORT'!AR55&lt;&gt;"",1,0)</f>
        <v>1</v>
      </c>
      <c r="AS65" s="142">
        <f>IF('RAW IMPORT'!AS55&lt;&gt;"",1,0)</f>
        <v>1</v>
      </c>
      <c r="AT65" s="142">
        <f>IF('RAW IMPORT'!AT55&lt;&gt;"",1,0)</f>
        <v>1</v>
      </c>
      <c r="AU65" s="142">
        <f>IF('RAW IMPORT'!AU55&lt;&gt;"",1,0)</f>
        <v>1</v>
      </c>
      <c r="AV65" s="142">
        <f>IF('RAW IMPORT'!AV55&lt;&gt;"",1,0)</f>
        <v>1</v>
      </c>
      <c r="AW65" s="142">
        <f>IF('RAW IMPORT'!AW55&lt;&gt;"",1,0)</f>
        <v>1</v>
      </c>
      <c r="AX65" s="142">
        <f>IF('RAW IMPORT'!AX55&lt;&gt;"",1,0)</f>
        <v>1</v>
      </c>
      <c r="AY65" s="142">
        <f>IF('RAW IMPORT'!AY55&lt;&gt;"",1,0)</f>
        <v>1</v>
      </c>
      <c r="AZ65" s="142">
        <f>IF('RAW IMPORT'!AZ55&lt;&gt;"",1,0)</f>
        <v>1</v>
      </c>
      <c r="BA65" s="142">
        <f>IF('RAW IMPORT'!BA55&lt;&gt;"",1,0)</f>
        <v>1</v>
      </c>
      <c r="BB65" s="142">
        <f>IF('RAW IMPORT'!BB55&lt;&gt;"",1,0)</f>
        <v>1</v>
      </c>
      <c r="BC65" s="142">
        <f>IF('RAW IMPORT'!BC55&lt;&gt;"",1,0)</f>
        <v>0</v>
      </c>
      <c r="BD65" s="142">
        <f>IF('RAW IMPORT'!BD55&lt;&gt;"",1,0)</f>
        <v>1</v>
      </c>
      <c r="BE65" s="142">
        <f>IF('RAW IMPORT'!BE55&lt;&gt;"",1,0)</f>
        <v>1</v>
      </c>
      <c r="BF65" s="142">
        <f>IF('RAW IMPORT'!BF55&lt;&gt;"",1,0)</f>
        <v>0</v>
      </c>
      <c r="BG65" s="142">
        <f>IF('RAW IMPORT'!BG55&lt;&gt;"",1,0)</f>
        <v>1</v>
      </c>
      <c r="BH65" s="142">
        <f>IF('RAW IMPORT'!BH55&lt;&gt;"",1,0)</f>
        <v>1</v>
      </c>
      <c r="BI65" s="142">
        <f>IF('RAW IMPORT'!BI55&lt;&gt;"",1,0)</f>
        <v>1</v>
      </c>
      <c r="BJ65" s="142">
        <f>IF('RAW IMPORT'!BJ55&lt;&gt;"",1,0)</f>
        <v>1</v>
      </c>
      <c r="BK65" s="142">
        <f>IF('RAW IMPORT'!BK55&lt;&gt;"",1,0)</f>
        <v>1</v>
      </c>
      <c r="BL65" s="142">
        <f>IF('RAW IMPORT'!BL55&lt;&gt;"",1,0)</f>
        <v>1</v>
      </c>
      <c r="BM65" s="142">
        <f>'RAW IMPORT'!BM55</f>
        <v>1</v>
      </c>
      <c r="BN65" s="165">
        <f>'RAW IMPORT'!BN55</f>
        <v>0</v>
      </c>
      <c r="BO65" s="197">
        <f>'RAW IMPORT'!BO55</f>
        <v>0</v>
      </c>
      <c r="BP65" s="142" t="str">
        <f>'RAW IMPORT'!BP55</f>
        <v>PDF</v>
      </c>
      <c r="BQ65" s="141">
        <f>'RAW IMPORT'!BQ55</f>
        <v>0</v>
      </c>
      <c r="BR65" s="141">
        <f>'RAW IMPORT'!BR55</f>
        <v>0.02</v>
      </c>
      <c r="BS65" s="141">
        <f>'RAW IMPORT'!BS55</f>
        <v>0.17499999999999999</v>
      </c>
      <c r="BT65" s="141">
        <f>'RAW IMPORT'!BT55</f>
        <v>0.06</v>
      </c>
      <c r="BU65" s="141">
        <f>'RAW IMPORT'!BU55</f>
        <v>0.01</v>
      </c>
      <c r="BV65" s="198">
        <f>'RAW IMPORT'!BV55</f>
        <v>0</v>
      </c>
      <c r="BW65" s="141">
        <f>'RAW IMPORT'!BW55</f>
        <v>34</v>
      </c>
      <c r="BX65" s="165">
        <f>'RAW IMPORT'!BX55</f>
        <v>0</v>
      </c>
      <c r="BY65" s="240"/>
      <c r="BZ65" s="126"/>
      <c r="CA65" s="143">
        <f t="shared" si="6"/>
        <v>51</v>
      </c>
      <c r="CB65" s="170">
        <f t="shared" ca="1" si="7"/>
        <v>70</v>
      </c>
      <c r="CC65" s="170" t="str">
        <f t="shared" ca="1" si="8"/>
        <v/>
      </c>
      <c r="CD65" s="204" t="str">
        <f t="shared" si="9"/>
        <v>"Model-8910":
    RETURN</v>
      </c>
      <c r="CE65" s="170"/>
    </row>
    <row r="66" spans="1:83" ht="15" customHeight="1" x14ac:dyDescent="0.25">
      <c r="A66" s="138" t="str">
        <f>'RAW IMPORT'!A56</f>
        <v>OGRO by ARCHITECTS</v>
      </c>
      <c r="B66" s="139" t="str">
        <f>'RAW IMPORT'!B56</f>
        <v>8915 Kleihues</v>
      </c>
      <c r="C66" s="142">
        <f>IF('RAW IMPORT'!C56&lt;&gt;"",1,0)</f>
        <v>1</v>
      </c>
      <c r="D66" s="142">
        <f>IF('RAW IMPORT'!D56&lt;&gt;"",1,0)</f>
        <v>1</v>
      </c>
      <c r="E66" s="142">
        <f>IF('RAW IMPORT'!E56&lt;&gt;"",1,0)</f>
        <v>0</v>
      </c>
      <c r="F66" s="142">
        <f>IF('RAW IMPORT'!F56&lt;&gt;"",1,0)</f>
        <v>0</v>
      </c>
      <c r="G66" s="142">
        <f>IF('RAW IMPORT'!G56&lt;&gt;"",1,0)</f>
        <v>0</v>
      </c>
      <c r="H66" s="142">
        <f>IF('RAW IMPORT'!H56&lt;&gt;"",1,0)</f>
        <v>0</v>
      </c>
      <c r="I66" s="142">
        <f>IF('RAW IMPORT'!I56&lt;&gt;"",1,0)</f>
        <v>0</v>
      </c>
      <c r="J66" s="142">
        <f>IF('RAW IMPORT'!J56&lt;&gt;"",1,0)</f>
        <v>0</v>
      </c>
      <c r="K66" s="142">
        <f>IF('RAW IMPORT'!K56&lt;&gt;"",1,0)</f>
        <v>0</v>
      </c>
      <c r="L66" s="142">
        <f>IF('RAW IMPORT'!L56&lt;&gt;"",1,0)</f>
        <v>0</v>
      </c>
      <c r="M66" s="142">
        <f>IF('RAW IMPORT'!M56&lt;&gt;"",1,0)</f>
        <v>0</v>
      </c>
      <c r="N66" s="165">
        <f>IF('RAW IMPORT'!N56&lt;&gt;"",1,0)</f>
        <v>0</v>
      </c>
      <c r="O66" s="167">
        <f>IF('RAW IMPORT'!O56&lt;&gt;"",1,0)</f>
        <v>0</v>
      </c>
      <c r="P66" s="142">
        <f>IF('RAW IMPORT'!P56&lt;&gt;"",1,0)</f>
        <v>0</v>
      </c>
      <c r="Q66" s="142">
        <f>IF('RAW IMPORT'!Q56&lt;&gt;"",1,0)</f>
        <v>0</v>
      </c>
      <c r="R66" s="138">
        <f>'RAW IMPORT'!R56</f>
        <v>0</v>
      </c>
      <c r="S66" s="138">
        <f>'RAW IMPORT'!S56</f>
        <v>7</v>
      </c>
      <c r="T66" s="138">
        <f>'RAW IMPORT'!T56</f>
        <v>5</v>
      </c>
      <c r="U66" s="138">
        <f>'RAW IMPORT'!U56</f>
        <v>0</v>
      </c>
      <c r="V66" s="138">
        <f>'RAW IMPORT'!V56</f>
        <v>0</v>
      </c>
      <c r="W66" s="138">
        <f>'RAW IMPORT'!W56</f>
        <v>0</v>
      </c>
      <c r="X66" s="138">
        <f>'RAW IMPORT'!X56</f>
        <v>0</v>
      </c>
      <c r="Y66" s="138">
        <f>'RAW IMPORT'!Y56</f>
        <v>0</v>
      </c>
      <c r="Z66" s="138">
        <f>'RAW IMPORT'!Z56</f>
        <v>0</v>
      </c>
      <c r="AA66" s="138">
        <f>'RAW IMPORT'!AA56</f>
        <v>0</v>
      </c>
      <c r="AB66" s="139">
        <f>'RAW IMPORT'!AB56</f>
        <v>0</v>
      </c>
      <c r="AC66" s="141">
        <f>'RAW IMPORT'!AC56</f>
        <v>4</v>
      </c>
      <c r="AD66" s="142">
        <f>'RAW IMPORT'!AD56</f>
        <v>7</v>
      </c>
      <c r="AE66" s="142">
        <f>'RAW IMPORT'!AE56</f>
        <v>0</v>
      </c>
      <c r="AF66" s="142">
        <f>IF('RAW IMPORT'!AF56="C1",3,IF('RAW IMPORT'!AF56="D1",4,0))</f>
        <v>4</v>
      </c>
      <c r="AG66" s="142">
        <f>'RAW IMPORT'!AG56</f>
        <v>1</v>
      </c>
      <c r="AH66" s="142">
        <f>'RAW IMPORT'!AH56</f>
        <v>5</v>
      </c>
      <c r="AI66" s="142">
        <f>IF('RAW IMPORT'!AI56="U",1,0)</f>
        <v>0</v>
      </c>
      <c r="AJ66" s="142">
        <f>IF('RAW IMPORT'!AJ56="A",1,0)</f>
        <v>1</v>
      </c>
      <c r="AK66" s="142">
        <f>IF('RAW IMPORT'!AK56="B",1,0)</f>
        <v>1</v>
      </c>
      <c r="AL66" s="142">
        <f>IF('RAW IMPORT'!AL56="U",1,0)</f>
        <v>1</v>
      </c>
      <c r="AM66" s="142">
        <f>IF('RAW IMPORT'!AM56&lt;&gt;"",1,0)</f>
        <v>1</v>
      </c>
      <c r="AN66" s="142">
        <f>IF('RAW IMPORT'!AN56&lt;&gt;"",1,0)</f>
        <v>1</v>
      </c>
      <c r="AO66" s="142">
        <f>IF('RAW IMPORT'!AO56&lt;&gt;"",1,0)</f>
        <v>1</v>
      </c>
      <c r="AP66" s="142">
        <f>IF('RAW IMPORT'!AP56&lt;&gt;"",1,0)</f>
        <v>1</v>
      </c>
      <c r="AQ66" s="142">
        <f>IF('RAW IMPORT'!AQ56&lt;&gt;"",1,0)</f>
        <v>1</v>
      </c>
      <c r="AR66" s="142">
        <f>IF('RAW IMPORT'!AR56&lt;&gt;"",1,0)</f>
        <v>1</v>
      </c>
      <c r="AS66" s="142">
        <f>IF('RAW IMPORT'!AS56&lt;&gt;"",1,0)</f>
        <v>1</v>
      </c>
      <c r="AT66" s="142">
        <f>IF('RAW IMPORT'!AT56&lt;&gt;"",1,0)</f>
        <v>1</v>
      </c>
      <c r="AU66" s="142">
        <f>IF('RAW IMPORT'!AU56&lt;&gt;"",1,0)</f>
        <v>1</v>
      </c>
      <c r="AV66" s="142">
        <f>IF('RAW IMPORT'!AV56&lt;&gt;"",1,0)</f>
        <v>1</v>
      </c>
      <c r="AW66" s="142">
        <f>IF('RAW IMPORT'!AW56&lt;&gt;"",1,0)</f>
        <v>1</v>
      </c>
      <c r="AX66" s="142">
        <f>IF('RAW IMPORT'!AX56&lt;&gt;"",1,0)</f>
        <v>1</v>
      </c>
      <c r="AY66" s="142">
        <f>IF('RAW IMPORT'!AY56&lt;&gt;"",1,0)</f>
        <v>1</v>
      </c>
      <c r="AZ66" s="142">
        <f>IF('RAW IMPORT'!AZ56&lt;&gt;"",1,0)</f>
        <v>1</v>
      </c>
      <c r="BA66" s="142">
        <f>IF('RAW IMPORT'!BA56&lt;&gt;"",1,0)</f>
        <v>1</v>
      </c>
      <c r="BB66" s="142">
        <f>IF('RAW IMPORT'!BB56&lt;&gt;"",1,0)</f>
        <v>1</v>
      </c>
      <c r="BC66" s="142">
        <f>IF('RAW IMPORT'!BC56&lt;&gt;"",1,0)</f>
        <v>0</v>
      </c>
      <c r="BD66" s="142">
        <f>IF('RAW IMPORT'!BD56&lt;&gt;"",1,0)</f>
        <v>1</v>
      </c>
      <c r="BE66" s="142">
        <f>IF('RAW IMPORT'!BE56&lt;&gt;"",1,0)</f>
        <v>1</v>
      </c>
      <c r="BF66" s="142">
        <f>IF('RAW IMPORT'!BF56&lt;&gt;"",1,0)</f>
        <v>0</v>
      </c>
      <c r="BG66" s="142">
        <f>IF('RAW IMPORT'!BG56&lt;&gt;"",1,0)</f>
        <v>1</v>
      </c>
      <c r="BH66" s="142">
        <f>IF('RAW IMPORT'!BH56&lt;&gt;"",1,0)</f>
        <v>1</v>
      </c>
      <c r="BI66" s="142">
        <f>IF('RAW IMPORT'!BI56&lt;&gt;"",1,0)</f>
        <v>1</v>
      </c>
      <c r="BJ66" s="142">
        <f>IF('RAW IMPORT'!BJ56&lt;&gt;"",1,0)</f>
        <v>1</v>
      </c>
      <c r="BK66" s="142">
        <f>IF('RAW IMPORT'!BK56&lt;&gt;"",1,0)</f>
        <v>1</v>
      </c>
      <c r="BL66" s="142">
        <f>IF('RAW IMPORT'!BL56&lt;&gt;"",1,0)</f>
        <v>1</v>
      </c>
      <c r="BM66" s="142">
        <f>'RAW IMPORT'!BM56</f>
        <v>1</v>
      </c>
      <c r="BN66" s="165">
        <f>'RAW IMPORT'!BN56</f>
        <v>0</v>
      </c>
      <c r="BO66" s="197">
        <f>'RAW IMPORT'!BO56</f>
        <v>1</v>
      </c>
      <c r="BP66" s="142" t="str">
        <f>'RAW IMPORT'!BP56</f>
        <v>PDF</v>
      </c>
      <c r="BQ66" s="141" t="str">
        <f>'RAW IMPORT'!BQ56</f>
        <v>SURF</v>
      </c>
      <c r="BR66" s="141">
        <f>'RAW IMPORT'!BR56</f>
        <v>2.35E-2</v>
      </c>
      <c r="BS66" s="141">
        <f>'RAW IMPORT'!BS56</f>
        <v>0.14399999999999999</v>
      </c>
      <c r="BT66" s="141">
        <f>'RAW IMPORT'!BT56</f>
        <v>6.3E-2</v>
      </c>
      <c r="BU66" s="141">
        <f>'RAW IMPORT'!BU56</f>
        <v>1.175E-2</v>
      </c>
      <c r="BV66" s="198">
        <f>'RAW IMPORT'!BV56</f>
        <v>0</v>
      </c>
      <c r="BW66" s="141">
        <f>'RAW IMPORT'!BW56</f>
        <v>35</v>
      </c>
      <c r="BX66" s="165">
        <f>'RAW IMPORT'!BX56</f>
        <v>0</v>
      </c>
      <c r="BY66" s="240"/>
      <c r="BZ66" s="126"/>
      <c r="CA66" s="143">
        <f t="shared" si="6"/>
        <v>52</v>
      </c>
      <c r="CB66" s="170">
        <f t="shared" ca="1" si="7"/>
        <v>71</v>
      </c>
      <c r="CC66" s="170" t="str">
        <f t="shared" ca="1" si="8"/>
        <v/>
      </c>
      <c r="CD66" s="204" t="str">
        <f t="shared" si="9"/>
        <v>"Model-8915 Kleihues":
    RETURN</v>
      </c>
      <c r="CE66" s="170">
        <v>14</v>
      </c>
    </row>
    <row r="67" spans="1:83" ht="15" customHeight="1" x14ac:dyDescent="0.25">
      <c r="A67" s="138" t="str">
        <f>'RAW IMPORT'!A57</f>
        <v>OGRO by ARCHITECTS</v>
      </c>
      <c r="B67" s="139" t="str">
        <f>'RAW IMPORT'!B57</f>
        <v>8916 Kleihues</v>
      </c>
      <c r="C67" s="142">
        <f>IF('RAW IMPORT'!C57&lt;&gt;"",1,0)</f>
        <v>1</v>
      </c>
      <c r="D67" s="142">
        <f>IF('RAW IMPORT'!D57&lt;&gt;"",1,0)</f>
        <v>1</v>
      </c>
      <c r="E67" s="142">
        <f>IF('RAW IMPORT'!E57&lt;&gt;"",1,0)</f>
        <v>0</v>
      </c>
      <c r="F67" s="142">
        <f>IF('RAW IMPORT'!F57&lt;&gt;"",1,0)</f>
        <v>0</v>
      </c>
      <c r="G67" s="142">
        <f>IF('RAW IMPORT'!G57&lt;&gt;"",1,0)</f>
        <v>0</v>
      </c>
      <c r="H67" s="142">
        <f>IF('RAW IMPORT'!H57&lt;&gt;"",1,0)</f>
        <v>0</v>
      </c>
      <c r="I67" s="142">
        <f>IF('RAW IMPORT'!I57&lt;&gt;"",1,0)</f>
        <v>0</v>
      </c>
      <c r="J67" s="142">
        <f>IF('RAW IMPORT'!J57&lt;&gt;"",1,0)</f>
        <v>0</v>
      </c>
      <c r="K67" s="142">
        <f>IF('RAW IMPORT'!K57&lt;&gt;"",1,0)</f>
        <v>0</v>
      </c>
      <c r="L67" s="142">
        <f>IF('RAW IMPORT'!L57&lt;&gt;"",1,0)</f>
        <v>0</v>
      </c>
      <c r="M67" s="142">
        <f>IF('RAW IMPORT'!M57&lt;&gt;"",1,0)</f>
        <v>0</v>
      </c>
      <c r="N67" s="165">
        <f>IF('RAW IMPORT'!N57&lt;&gt;"",1,0)</f>
        <v>0</v>
      </c>
      <c r="O67" s="167">
        <f>IF('RAW IMPORT'!O57&lt;&gt;"",1,0)</f>
        <v>1</v>
      </c>
      <c r="P67" s="142">
        <f>IF('RAW IMPORT'!P57&lt;&gt;"",1,0)</f>
        <v>0</v>
      </c>
      <c r="Q67" s="142">
        <f>IF('RAW IMPORT'!Q57&lt;&gt;"",1,0)</f>
        <v>0</v>
      </c>
      <c r="R67" s="138">
        <f>'RAW IMPORT'!R57</f>
        <v>0</v>
      </c>
      <c r="S67" s="138">
        <f>'RAW IMPORT'!S57</f>
        <v>7</v>
      </c>
      <c r="T67" s="138">
        <f>'RAW IMPORT'!T57</f>
        <v>5</v>
      </c>
      <c r="U67" s="138">
        <f>'RAW IMPORT'!U57</f>
        <v>0</v>
      </c>
      <c r="V67" s="138">
        <f>'RAW IMPORT'!V57</f>
        <v>0</v>
      </c>
      <c r="W67" s="138">
        <f>'RAW IMPORT'!W57</f>
        <v>0</v>
      </c>
      <c r="X67" s="138">
        <f>'RAW IMPORT'!X57</f>
        <v>0</v>
      </c>
      <c r="Y67" s="138">
        <f>'RAW IMPORT'!Y57</f>
        <v>0</v>
      </c>
      <c r="Z67" s="138">
        <f>'RAW IMPORT'!Z57</f>
        <v>0</v>
      </c>
      <c r="AA67" s="138">
        <f>'RAW IMPORT'!AA57</f>
        <v>0</v>
      </c>
      <c r="AB67" s="139">
        <f>'RAW IMPORT'!AB57</f>
        <v>0</v>
      </c>
      <c r="AC67" s="141">
        <f>'RAW IMPORT'!AC57</f>
        <v>4</v>
      </c>
      <c r="AD67" s="142">
        <f>'RAW IMPORT'!AD57</f>
        <v>7</v>
      </c>
      <c r="AE67" s="142">
        <f>'RAW IMPORT'!AE57</f>
        <v>0</v>
      </c>
      <c r="AF67" s="142">
        <f>IF('RAW IMPORT'!AF57="C1",3,IF('RAW IMPORT'!AF57="D1",4,0))</f>
        <v>4</v>
      </c>
      <c r="AG67" s="142">
        <f>'RAW IMPORT'!AG57</f>
        <v>1</v>
      </c>
      <c r="AH67" s="142">
        <f>'RAW IMPORT'!AH57</f>
        <v>5</v>
      </c>
      <c r="AI67" s="142">
        <f>IF('RAW IMPORT'!AI57="U",1,0)</f>
        <v>0</v>
      </c>
      <c r="AJ67" s="142">
        <f>IF('RAW IMPORT'!AJ57="A",1,0)</f>
        <v>1</v>
      </c>
      <c r="AK67" s="142">
        <f>IF('RAW IMPORT'!AK57="B",1,0)</f>
        <v>1</v>
      </c>
      <c r="AL67" s="142">
        <f>IF('RAW IMPORT'!AL57="U",1,0)</f>
        <v>1</v>
      </c>
      <c r="AM67" s="142">
        <f>IF('RAW IMPORT'!AM57&lt;&gt;"",1,0)</f>
        <v>1</v>
      </c>
      <c r="AN67" s="142">
        <f>IF('RAW IMPORT'!AN57&lt;&gt;"",1,0)</f>
        <v>1</v>
      </c>
      <c r="AO67" s="142">
        <f>IF('RAW IMPORT'!AO57&lt;&gt;"",1,0)</f>
        <v>1</v>
      </c>
      <c r="AP67" s="142">
        <f>IF('RAW IMPORT'!AP57&lt;&gt;"",1,0)</f>
        <v>1</v>
      </c>
      <c r="AQ67" s="142">
        <f>IF('RAW IMPORT'!AQ57&lt;&gt;"",1,0)</f>
        <v>1</v>
      </c>
      <c r="AR67" s="142">
        <f>IF('RAW IMPORT'!AR57&lt;&gt;"",1,0)</f>
        <v>1</v>
      </c>
      <c r="AS67" s="142">
        <f>IF('RAW IMPORT'!AS57&lt;&gt;"",1,0)</f>
        <v>1</v>
      </c>
      <c r="AT67" s="142">
        <f>IF('RAW IMPORT'!AT57&lt;&gt;"",1,0)</f>
        <v>1</v>
      </c>
      <c r="AU67" s="142">
        <f>IF('RAW IMPORT'!AU57&lt;&gt;"",1,0)</f>
        <v>1</v>
      </c>
      <c r="AV67" s="142">
        <f>IF('RAW IMPORT'!AV57&lt;&gt;"",1,0)</f>
        <v>1</v>
      </c>
      <c r="AW67" s="142">
        <f>IF('RAW IMPORT'!AW57&lt;&gt;"",1,0)</f>
        <v>1</v>
      </c>
      <c r="AX67" s="142">
        <f>IF('RAW IMPORT'!AX57&lt;&gt;"",1,0)</f>
        <v>1</v>
      </c>
      <c r="AY67" s="142">
        <f>IF('RAW IMPORT'!AY57&lt;&gt;"",1,0)</f>
        <v>1</v>
      </c>
      <c r="AZ67" s="142">
        <f>IF('RAW IMPORT'!AZ57&lt;&gt;"",1,0)</f>
        <v>1</v>
      </c>
      <c r="BA67" s="142">
        <f>IF('RAW IMPORT'!BA57&lt;&gt;"",1,0)</f>
        <v>1</v>
      </c>
      <c r="BB67" s="142">
        <f>IF('RAW IMPORT'!BB57&lt;&gt;"",1,0)</f>
        <v>1</v>
      </c>
      <c r="BC67" s="142">
        <f>IF('RAW IMPORT'!BC57&lt;&gt;"",1,0)</f>
        <v>0</v>
      </c>
      <c r="BD67" s="142">
        <f>IF('RAW IMPORT'!BD57&lt;&gt;"",1,0)</f>
        <v>1</v>
      </c>
      <c r="BE67" s="142">
        <f>IF('RAW IMPORT'!BE57&lt;&gt;"",1,0)</f>
        <v>1</v>
      </c>
      <c r="BF67" s="142">
        <f>IF('RAW IMPORT'!BF57&lt;&gt;"",1,0)</f>
        <v>0</v>
      </c>
      <c r="BG67" s="142">
        <f>IF('RAW IMPORT'!BG57&lt;&gt;"",1,0)</f>
        <v>1</v>
      </c>
      <c r="BH67" s="142">
        <f>IF('RAW IMPORT'!BH57&lt;&gt;"",1,0)</f>
        <v>1</v>
      </c>
      <c r="BI67" s="142">
        <f>IF('RAW IMPORT'!BI57&lt;&gt;"",1,0)</f>
        <v>1</v>
      </c>
      <c r="BJ67" s="142">
        <f>IF('RAW IMPORT'!BJ57&lt;&gt;"",1,0)</f>
        <v>1</v>
      </c>
      <c r="BK67" s="142">
        <f>IF('RAW IMPORT'!BK57&lt;&gt;"",1,0)</f>
        <v>1</v>
      </c>
      <c r="BL67" s="142">
        <f>IF('RAW IMPORT'!BL57&lt;&gt;"",1,0)</f>
        <v>1</v>
      </c>
      <c r="BM67" s="142">
        <f>'RAW IMPORT'!BM57</f>
        <v>1</v>
      </c>
      <c r="BN67" s="165">
        <f>'RAW IMPORT'!BN57</f>
        <v>0</v>
      </c>
      <c r="BO67" s="197">
        <f>'RAW IMPORT'!BO57</f>
        <v>0</v>
      </c>
      <c r="BP67" s="142" t="str">
        <f>'RAW IMPORT'!BP57</f>
        <v>PDF</v>
      </c>
      <c r="BQ67" s="141">
        <f>'RAW IMPORT'!BQ57</f>
        <v>0</v>
      </c>
      <c r="BR67" s="141">
        <f>'RAW IMPORT'!BR57</f>
        <v>2.35E-2</v>
      </c>
      <c r="BS67" s="141">
        <f>'RAW IMPORT'!BS57</f>
        <v>0.14399999999999999</v>
      </c>
      <c r="BT67" s="141">
        <f>'RAW IMPORT'!BT57</f>
        <v>5.6000000000000001E-2</v>
      </c>
      <c r="BU67" s="141">
        <f>'RAW IMPORT'!BU57</f>
        <v>1.175E-2</v>
      </c>
      <c r="BV67" s="198">
        <f>'RAW IMPORT'!BV57</f>
        <v>0</v>
      </c>
      <c r="BW67" s="141">
        <f>'RAW IMPORT'!BW57</f>
        <v>36</v>
      </c>
      <c r="BX67" s="165">
        <f>'RAW IMPORT'!BX57</f>
        <v>84</v>
      </c>
      <c r="BY67" s="240"/>
      <c r="BZ67" s="126"/>
      <c r="CA67" s="143">
        <f t="shared" si="6"/>
        <v>53</v>
      </c>
      <c r="CB67" s="170">
        <f t="shared" ca="1" si="7"/>
        <v>72</v>
      </c>
      <c r="CC67" s="170" t="str">
        <f t="shared" ca="1" si="8"/>
        <v/>
      </c>
      <c r="CD67" s="204" t="str">
        <f t="shared" si="9"/>
        <v>"Model-8916 Kleihues":
    RETURN</v>
      </c>
      <c r="CE67" s="170"/>
    </row>
    <row r="68" spans="1:83" ht="15" customHeight="1" x14ac:dyDescent="0.25">
      <c r="A68" s="138" t="str">
        <f>'RAW IMPORT'!A58</f>
        <v>OGRO by ARCHITECTS</v>
      </c>
      <c r="B68" s="139" t="str">
        <f>'RAW IMPORT'!B58</f>
        <v>8916A Kleihues</v>
      </c>
      <c r="C68" s="142">
        <f>IF('RAW IMPORT'!C58&lt;&gt;"",1,0)</f>
        <v>1</v>
      </c>
      <c r="D68" s="142">
        <f>IF('RAW IMPORT'!D58&lt;&gt;"",1,0)</f>
        <v>1</v>
      </c>
      <c r="E68" s="142">
        <f>IF('RAW IMPORT'!E58&lt;&gt;"",1,0)</f>
        <v>0</v>
      </c>
      <c r="F68" s="142">
        <f>IF('RAW IMPORT'!F58&lt;&gt;"",1,0)</f>
        <v>0</v>
      </c>
      <c r="G68" s="142">
        <f>IF('RAW IMPORT'!G58&lt;&gt;"",1,0)</f>
        <v>0</v>
      </c>
      <c r="H68" s="142">
        <f>IF('RAW IMPORT'!H58&lt;&gt;"",1,0)</f>
        <v>0</v>
      </c>
      <c r="I68" s="142">
        <f>IF('RAW IMPORT'!I58&lt;&gt;"",1,0)</f>
        <v>0</v>
      </c>
      <c r="J68" s="142">
        <f>IF('RAW IMPORT'!J58&lt;&gt;"",1,0)</f>
        <v>0</v>
      </c>
      <c r="K68" s="142">
        <f>IF('RAW IMPORT'!K58&lt;&gt;"",1,0)</f>
        <v>0</v>
      </c>
      <c r="L68" s="142">
        <f>IF('RAW IMPORT'!L58&lt;&gt;"",1,0)</f>
        <v>0</v>
      </c>
      <c r="M68" s="142">
        <f>IF('RAW IMPORT'!M58&lt;&gt;"",1,0)</f>
        <v>0</v>
      </c>
      <c r="N68" s="165">
        <f>IF('RAW IMPORT'!N58&lt;&gt;"",1,0)</f>
        <v>0</v>
      </c>
      <c r="O68" s="167">
        <f>IF('RAW IMPORT'!O58&lt;&gt;"",1,0)</f>
        <v>1</v>
      </c>
      <c r="P68" s="142">
        <f>IF('RAW IMPORT'!P58&lt;&gt;"",1,0)</f>
        <v>0</v>
      </c>
      <c r="Q68" s="142">
        <f>IF('RAW IMPORT'!Q58&lt;&gt;"",1,0)</f>
        <v>0</v>
      </c>
      <c r="R68" s="138">
        <f>'RAW IMPORT'!R58</f>
        <v>0</v>
      </c>
      <c r="S68" s="138">
        <f>'RAW IMPORT'!S58</f>
        <v>7</v>
      </c>
      <c r="T68" s="138">
        <f>'RAW IMPORT'!T58</f>
        <v>5</v>
      </c>
      <c r="U68" s="138">
        <f>'RAW IMPORT'!U58</f>
        <v>0</v>
      </c>
      <c r="V68" s="138">
        <f>'RAW IMPORT'!V58</f>
        <v>0</v>
      </c>
      <c r="W68" s="138">
        <f>'RAW IMPORT'!W58</f>
        <v>0</v>
      </c>
      <c r="X68" s="138">
        <f>'RAW IMPORT'!X58</f>
        <v>0</v>
      </c>
      <c r="Y68" s="138">
        <f>'RAW IMPORT'!Y58</f>
        <v>0</v>
      </c>
      <c r="Z68" s="138">
        <f>'RAW IMPORT'!Z58</f>
        <v>0</v>
      </c>
      <c r="AA68" s="138">
        <f>'RAW IMPORT'!AA58</f>
        <v>0</v>
      </c>
      <c r="AB68" s="139">
        <f>'RAW IMPORT'!AB58</f>
        <v>0</v>
      </c>
      <c r="AC68" s="141">
        <f>'RAW IMPORT'!AC58</f>
        <v>4</v>
      </c>
      <c r="AD68" s="142">
        <f>'RAW IMPORT'!AD58</f>
        <v>7</v>
      </c>
      <c r="AE68" s="142">
        <f>'RAW IMPORT'!AE58</f>
        <v>0</v>
      </c>
      <c r="AF68" s="142">
        <f>IF('RAW IMPORT'!AF58="C1",3,IF('RAW IMPORT'!AF58="D1",4,0))</f>
        <v>4</v>
      </c>
      <c r="AG68" s="142">
        <f>'RAW IMPORT'!AG58</f>
        <v>1</v>
      </c>
      <c r="AH68" s="142">
        <f>'RAW IMPORT'!AH58</f>
        <v>5</v>
      </c>
      <c r="AI68" s="142">
        <f>IF('RAW IMPORT'!AI58="U",1,0)</f>
        <v>0</v>
      </c>
      <c r="AJ68" s="142">
        <f>IF('RAW IMPORT'!AJ58="A",1,0)</f>
        <v>1</v>
      </c>
      <c r="AK68" s="142">
        <f>IF('RAW IMPORT'!AK58="B",1,0)</f>
        <v>1</v>
      </c>
      <c r="AL68" s="142">
        <f>IF('RAW IMPORT'!AL58="U",1,0)</f>
        <v>1</v>
      </c>
      <c r="AM68" s="142">
        <f>IF('RAW IMPORT'!AM58&lt;&gt;"",1,0)</f>
        <v>1</v>
      </c>
      <c r="AN68" s="142">
        <f>IF('RAW IMPORT'!AN58&lt;&gt;"",1,0)</f>
        <v>1</v>
      </c>
      <c r="AO68" s="142">
        <f>IF('RAW IMPORT'!AO58&lt;&gt;"",1,0)</f>
        <v>1</v>
      </c>
      <c r="AP68" s="142">
        <f>IF('RAW IMPORT'!AP58&lt;&gt;"",1,0)</f>
        <v>1</v>
      </c>
      <c r="AQ68" s="142">
        <f>IF('RAW IMPORT'!AQ58&lt;&gt;"",1,0)</f>
        <v>1</v>
      </c>
      <c r="AR68" s="142">
        <f>IF('RAW IMPORT'!AR58&lt;&gt;"",1,0)</f>
        <v>1</v>
      </c>
      <c r="AS68" s="142">
        <f>IF('RAW IMPORT'!AS58&lt;&gt;"",1,0)</f>
        <v>1</v>
      </c>
      <c r="AT68" s="142">
        <f>IF('RAW IMPORT'!AT58&lt;&gt;"",1,0)</f>
        <v>1</v>
      </c>
      <c r="AU68" s="142">
        <f>IF('RAW IMPORT'!AU58&lt;&gt;"",1,0)</f>
        <v>1</v>
      </c>
      <c r="AV68" s="142">
        <f>IF('RAW IMPORT'!AV58&lt;&gt;"",1,0)</f>
        <v>1</v>
      </c>
      <c r="AW68" s="142">
        <f>IF('RAW IMPORT'!AW58&lt;&gt;"",1,0)</f>
        <v>0</v>
      </c>
      <c r="AX68" s="142">
        <f>IF('RAW IMPORT'!AX58&lt;&gt;"",1,0)</f>
        <v>0</v>
      </c>
      <c r="AY68" s="142">
        <f>IF('RAW IMPORT'!AY58&lt;&gt;"",1,0)</f>
        <v>0</v>
      </c>
      <c r="AZ68" s="142">
        <f>IF('RAW IMPORT'!AZ58&lt;&gt;"",1,0)</f>
        <v>0</v>
      </c>
      <c r="BA68" s="142">
        <f>IF('RAW IMPORT'!BA58&lt;&gt;"",1,0)</f>
        <v>0</v>
      </c>
      <c r="BB68" s="142">
        <f>IF('RAW IMPORT'!BB58&lt;&gt;"",1,0)</f>
        <v>0</v>
      </c>
      <c r="BC68" s="142">
        <f>IF('RAW IMPORT'!BC58&lt;&gt;"",1,0)</f>
        <v>1</v>
      </c>
      <c r="BD68" s="142">
        <f>IF('RAW IMPORT'!BD58&lt;&gt;"",1,0)</f>
        <v>1</v>
      </c>
      <c r="BE68" s="142">
        <f>IF('RAW IMPORT'!BE58&lt;&gt;"",1,0)</f>
        <v>1</v>
      </c>
      <c r="BF68" s="142">
        <f>IF('RAW IMPORT'!BF58&lt;&gt;"",1,0)</f>
        <v>0</v>
      </c>
      <c r="BG68" s="142">
        <f>IF('RAW IMPORT'!BG58&lt;&gt;"",1,0)</f>
        <v>1</v>
      </c>
      <c r="BH68" s="142">
        <f>IF('RAW IMPORT'!BH58&lt;&gt;"",1,0)</f>
        <v>1</v>
      </c>
      <c r="BI68" s="142">
        <f>IF('RAW IMPORT'!BI58&lt;&gt;"",1,0)</f>
        <v>1</v>
      </c>
      <c r="BJ68" s="142">
        <f>IF('RAW IMPORT'!BJ58&lt;&gt;"",1,0)</f>
        <v>1</v>
      </c>
      <c r="BK68" s="142">
        <f>IF('RAW IMPORT'!BK58&lt;&gt;"",1,0)</f>
        <v>1</v>
      </c>
      <c r="BL68" s="142">
        <f>IF('RAW IMPORT'!BL58&lt;&gt;"",1,0)</f>
        <v>0</v>
      </c>
      <c r="BM68" s="142">
        <f>'RAW IMPORT'!BM58</f>
        <v>1</v>
      </c>
      <c r="BN68" s="165">
        <f>'RAW IMPORT'!BN58</f>
        <v>0</v>
      </c>
      <c r="BO68" s="197">
        <f>'RAW IMPORT'!BO58</f>
        <v>0</v>
      </c>
      <c r="BP68" s="142" t="str">
        <f>'RAW IMPORT'!BP58</f>
        <v>PDF</v>
      </c>
      <c r="BQ68" s="141">
        <f>'RAW IMPORT'!BQ58</f>
        <v>0</v>
      </c>
      <c r="BR68" s="141">
        <f>'RAW IMPORT'!BR58</f>
        <v>2.35E-2</v>
      </c>
      <c r="BS68" s="141">
        <f>'RAW IMPORT'!BS58</f>
        <v>0.16800000000000001</v>
      </c>
      <c r="BT68" s="141">
        <f>'RAW IMPORT'!BT58</f>
        <v>6.5000000000000002E-2</v>
      </c>
      <c r="BU68" s="141">
        <f>'RAW IMPORT'!BU58</f>
        <v>1.175E-2</v>
      </c>
      <c r="BV68" s="198">
        <f>'RAW IMPORT'!BV58</f>
        <v>0</v>
      </c>
      <c r="BW68" s="141">
        <f>'RAW IMPORT'!BW58</f>
        <v>0</v>
      </c>
      <c r="BX68" s="165">
        <f>'RAW IMPORT'!BX58</f>
        <v>85</v>
      </c>
      <c r="BY68" s="240"/>
      <c r="BZ68" s="126"/>
      <c r="CA68" s="143">
        <f t="shared" si="6"/>
        <v>54</v>
      </c>
      <c r="CB68" s="170">
        <f t="shared" ca="1" si="7"/>
        <v>73</v>
      </c>
      <c r="CC68" s="170" t="str">
        <f t="shared" ca="1" si="8"/>
        <v/>
      </c>
      <c r="CD68" s="204" t="str">
        <f t="shared" si="9"/>
        <v>"Model-8916A Kleihues":
    RETURN</v>
      </c>
      <c r="CE68" s="170"/>
    </row>
    <row r="69" spans="1:83" ht="15" customHeight="1" x14ac:dyDescent="0.25">
      <c r="A69" s="138" t="str">
        <f>'RAW IMPORT'!A59</f>
        <v>OGRO by ARCHITECTS</v>
      </c>
      <c r="B69" s="139" t="str">
        <f>'RAW IMPORT'!B59</f>
        <v>8920 Tchoban</v>
      </c>
      <c r="C69" s="142">
        <f>IF('RAW IMPORT'!C59&lt;&gt;"",1,0)</f>
        <v>1</v>
      </c>
      <c r="D69" s="142">
        <f>IF('RAW IMPORT'!D59&lt;&gt;"",1,0)</f>
        <v>1</v>
      </c>
      <c r="E69" s="142">
        <f>IF('RAW IMPORT'!E59&lt;&gt;"",1,0)</f>
        <v>0</v>
      </c>
      <c r="F69" s="142">
        <f>IF('RAW IMPORT'!F59&lt;&gt;"",1,0)</f>
        <v>0</v>
      </c>
      <c r="G69" s="142">
        <f>IF('RAW IMPORT'!G59&lt;&gt;"",1,0)</f>
        <v>0</v>
      </c>
      <c r="H69" s="142">
        <f>IF('RAW IMPORT'!H59&lt;&gt;"",1,0)</f>
        <v>0</v>
      </c>
      <c r="I69" s="142">
        <f>IF('RAW IMPORT'!I59&lt;&gt;"",1,0)</f>
        <v>0</v>
      </c>
      <c r="J69" s="142">
        <f>IF('RAW IMPORT'!J59&lt;&gt;"",1,0)</f>
        <v>0</v>
      </c>
      <c r="K69" s="142">
        <f>IF('RAW IMPORT'!K59&lt;&gt;"",1,0)</f>
        <v>0</v>
      </c>
      <c r="L69" s="142">
        <f>IF('RAW IMPORT'!L59&lt;&gt;"",1,0)</f>
        <v>0</v>
      </c>
      <c r="M69" s="142">
        <f>IF('RAW IMPORT'!M59&lt;&gt;"",1,0)</f>
        <v>0</v>
      </c>
      <c r="N69" s="165">
        <f>IF('RAW IMPORT'!N59&lt;&gt;"",1,0)</f>
        <v>0</v>
      </c>
      <c r="O69" s="167">
        <f>IF('RAW IMPORT'!O59&lt;&gt;"",1,0)</f>
        <v>0</v>
      </c>
      <c r="P69" s="142">
        <f>IF('RAW IMPORT'!P59&lt;&gt;"",1,0)</f>
        <v>0</v>
      </c>
      <c r="Q69" s="142">
        <f>IF('RAW IMPORT'!Q59&lt;&gt;"",1,0)</f>
        <v>0</v>
      </c>
      <c r="R69" s="138">
        <f>'RAW IMPORT'!R59</f>
        <v>0</v>
      </c>
      <c r="S69" s="138">
        <f>'RAW IMPORT'!S59</f>
        <v>7</v>
      </c>
      <c r="T69" s="138">
        <f>'RAW IMPORT'!T59</f>
        <v>5</v>
      </c>
      <c r="U69" s="138">
        <f>'RAW IMPORT'!U59</f>
        <v>0</v>
      </c>
      <c r="V69" s="138">
        <f>'RAW IMPORT'!V59</f>
        <v>0</v>
      </c>
      <c r="W69" s="138">
        <f>'RAW IMPORT'!W59</f>
        <v>0</v>
      </c>
      <c r="X69" s="138">
        <f>'RAW IMPORT'!X59</f>
        <v>0</v>
      </c>
      <c r="Y69" s="138">
        <f>'RAW IMPORT'!Y59</f>
        <v>0</v>
      </c>
      <c r="Z69" s="138">
        <f>'RAW IMPORT'!Z59</f>
        <v>0</v>
      </c>
      <c r="AA69" s="138">
        <f>'RAW IMPORT'!AA59</f>
        <v>0</v>
      </c>
      <c r="AB69" s="139">
        <f>'RAW IMPORT'!AB59</f>
        <v>0</v>
      </c>
      <c r="AC69" s="141">
        <f>'RAW IMPORT'!AC59</f>
        <v>4</v>
      </c>
      <c r="AD69" s="142">
        <f>'RAW IMPORT'!AD59</f>
        <v>7</v>
      </c>
      <c r="AE69" s="142">
        <f>'RAW IMPORT'!AE59</f>
        <v>0</v>
      </c>
      <c r="AF69" s="142">
        <f>IF('RAW IMPORT'!AF59="C1",3,IF('RAW IMPORT'!AF59="D1",4,0))</f>
        <v>4</v>
      </c>
      <c r="AG69" s="142">
        <f>'RAW IMPORT'!AG59</f>
        <v>1</v>
      </c>
      <c r="AH69" s="142">
        <f>'RAW IMPORT'!AH59</f>
        <v>5</v>
      </c>
      <c r="AI69" s="142">
        <f>IF('RAW IMPORT'!AI59="U",1,0)</f>
        <v>0</v>
      </c>
      <c r="AJ69" s="142">
        <f>IF('RAW IMPORT'!AJ59="A",1,0)</f>
        <v>1</v>
      </c>
      <c r="AK69" s="142">
        <f>IF('RAW IMPORT'!AK59="B",1,0)</f>
        <v>1</v>
      </c>
      <c r="AL69" s="142">
        <f>IF('RAW IMPORT'!AL59="U",1,0)</f>
        <v>1</v>
      </c>
      <c r="AM69" s="142">
        <f>IF('RAW IMPORT'!AM59&lt;&gt;"",1,0)</f>
        <v>0</v>
      </c>
      <c r="AN69" s="142">
        <f>IF('RAW IMPORT'!AN59&lt;&gt;"",1,0)</f>
        <v>0</v>
      </c>
      <c r="AO69" s="142">
        <f>IF('RAW IMPORT'!AO59&lt;&gt;"",1,0)</f>
        <v>0</v>
      </c>
      <c r="AP69" s="142">
        <f>IF('RAW IMPORT'!AP59&lt;&gt;"",1,0)</f>
        <v>1</v>
      </c>
      <c r="AQ69" s="142">
        <f>IF('RAW IMPORT'!AQ59&lt;&gt;"",1,0)</f>
        <v>1</v>
      </c>
      <c r="AR69" s="142">
        <f>IF('RAW IMPORT'!AR59&lt;&gt;"",1,0)</f>
        <v>1</v>
      </c>
      <c r="AS69" s="142">
        <f>IF('RAW IMPORT'!AS59&lt;&gt;"",1,0)</f>
        <v>1</v>
      </c>
      <c r="AT69" s="142">
        <f>IF('RAW IMPORT'!AT59&lt;&gt;"",1,0)</f>
        <v>1</v>
      </c>
      <c r="AU69" s="142">
        <f>IF('RAW IMPORT'!AU59&lt;&gt;"",1,0)</f>
        <v>1</v>
      </c>
      <c r="AV69" s="142">
        <f>IF('RAW IMPORT'!AV59&lt;&gt;"",1,0)</f>
        <v>1</v>
      </c>
      <c r="AW69" s="142">
        <f>IF('RAW IMPORT'!AW59&lt;&gt;"",1,0)</f>
        <v>1</v>
      </c>
      <c r="AX69" s="142">
        <f>IF('RAW IMPORT'!AX59&lt;&gt;"",1,0)</f>
        <v>1</v>
      </c>
      <c r="AY69" s="142">
        <f>IF('RAW IMPORT'!AY59&lt;&gt;"",1,0)</f>
        <v>1</v>
      </c>
      <c r="AZ69" s="142">
        <f>IF('RAW IMPORT'!AZ59&lt;&gt;"",1,0)</f>
        <v>1</v>
      </c>
      <c r="BA69" s="142">
        <f>IF('RAW IMPORT'!BA59&lt;&gt;"",1,0)</f>
        <v>1</v>
      </c>
      <c r="BB69" s="142">
        <f>IF('RAW IMPORT'!BB59&lt;&gt;"",1,0)</f>
        <v>1</v>
      </c>
      <c r="BC69" s="142">
        <f>IF('RAW IMPORT'!BC59&lt;&gt;"",1,0)</f>
        <v>0</v>
      </c>
      <c r="BD69" s="142">
        <f>IF('RAW IMPORT'!BD59&lt;&gt;"",1,0)</f>
        <v>1</v>
      </c>
      <c r="BE69" s="142">
        <f>IF('RAW IMPORT'!BE59&lt;&gt;"",1,0)</f>
        <v>1</v>
      </c>
      <c r="BF69" s="142">
        <f>IF('RAW IMPORT'!BF59&lt;&gt;"",1,0)</f>
        <v>0</v>
      </c>
      <c r="BG69" s="142">
        <f>IF('RAW IMPORT'!BG59&lt;&gt;"",1,0)</f>
        <v>1</v>
      </c>
      <c r="BH69" s="142">
        <f>IF('RAW IMPORT'!BH59&lt;&gt;"",1,0)</f>
        <v>1</v>
      </c>
      <c r="BI69" s="142">
        <f>IF('RAW IMPORT'!BI59&lt;&gt;"",1,0)</f>
        <v>1</v>
      </c>
      <c r="BJ69" s="142">
        <f>IF('RAW IMPORT'!BJ59&lt;&gt;"",1,0)</f>
        <v>1</v>
      </c>
      <c r="BK69" s="142">
        <f>IF('RAW IMPORT'!BK59&lt;&gt;"",1,0)</f>
        <v>1</v>
      </c>
      <c r="BL69" s="142">
        <f>IF('RAW IMPORT'!BL59&lt;&gt;"",1,0)</f>
        <v>1</v>
      </c>
      <c r="BM69" s="142">
        <f>'RAW IMPORT'!BM59</f>
        <v>1</v>
      </c>
      <c r="BN69" s="165">
        <f>'RAW IMPORT'!BN59</f>
        <v>0</v>
      </c>
      <c r="BO69" s="197">
        <f>'RAW IMPORT'!BO59</f>
        <v>1</v>
      </c>
      <c r="BP69" s="142" t="str">
        <f>'RAW IMPORT'!BP59</f>
        <v>PDF</v>
      </c>
      <c r="BQ69" s="141" t="str">
        <f>'RAW IMPORT'!BQ59</f>
        <v>SURF</v>
      </c>
      <c r="BR69" s="141">
        <f>'RAW IMPORT'!BR59</f>
        <v>2.35E-2</v>
      </c>
      <c r="BS69" s="141">
        <f>'RAW IMPORT'!BS59</f>
        <v>0.16</v>
      </c>
      <c r="BT69" s="141">
        <f>'RAW IMPORT'!BT59</f>
        <v>6.3E-2</v>
      </c>
      <c r="BU69" s="141">
        <f>'RAW IMPORT'!BU59</f>
        <v>1.7000000000000001E-2</v>
      </c>
      <c r="BV69" s="198">
        <f>'RAW IMPORT'!BV59</f>
        <v>0</v>
      </c>
      <c r="BW69" s="141">
        <f>'RAW IMPORT'!BW59</f>
        <v>37</v>
      </c>
      <c r="BX69" s="165">
        <f>'RAW IMPORT'!BX59</f>
        <v>0</v>
      </c>
      <c r="BY69" s="240"/>
      <c r="BZ69" s="126"/>
      <c r="CA69" s="143">
        <f t="shared" si="6"/>
        <v>55</v>
      </c>
      <c r="CB69" s="170">
        <f t="shared" ca="1" si="7"/>
        <v>74</v>
      </c>
      <c r="CC69" s="170" t="str">
        <f t="shared" ca="1" si="8"/>
        <v/>
      </c>
      <c r="CD69" s="204" t="str">
        <f t="shared" si="9"/>
        <v>"Model-8920 Tchoban":
    RETURN</v>
      </c>
      <c r="CE69" s="170">
        <v>15</v>
      </c>
    </row>
    <row r="70" spans="1:83" ht="15" customHeight="1" x14ac:dyDescent="0.25">
      <c r="A70" s="138" t="str">
        <f>'RAW IMPORT'!A60</f>
        <v>OGRO by ARCHITECTS</v>
      </c>
      <c r="B70" s="139" t="str">
        <f>'RAW IMPORT'!B60</f>
        <v>8928 Wagenfeld</v>
      </c>
      <c r="C70" s="142">
        <f>IF('RAW IMPORT'!C60&lt;&gt;"",1,0)</f>
        <v>1</v>
      </c>
      <c r="D70" s="142">
        <f>IF('RAW IMPORT'!D60&lt;&gt;"",1,0)</f>
        <v>1</v>
      </c>
      <c r="E70" s="142">
        <f>IF('RAW IMPORT'!E60&lt;&gt;"",1,0)</f>
        <v>0</v>
      </c>
      <c r="F70" s="142">
        <f>IF('RAW IMPORT'!F60&lt;&gt;"",1,0)</f>
        <v>0</v>
      </c>
      <c r="G70" s="142">
        <f>IF('RAW IMPORT'!G60&lt;&gt;"",1,0)</f>
        <v>0</v>
      </c>
      <c r="H70" s="142">
        <f>IF('RAW IMPORT'!H60&lt;&gt;"",1,0)</f>
        <v>0</v>
      </c>
      <c r="I70" s="142">
        <f>IF('RAW IMPORT'!I60&lt;&gt;"",1,0)</f>
        <v>0</v>
      </c>
      <c r="J70" s="142">
        <f>IF('RAW IMPORT'!J60&lt;&gt;"",1,0)</f>
        <v>0</v>
      </c>
      <c r="K70" s="142">
        <f>IF('RAW IMPORT'!K60&lt;&gt;"",1,0)</f>
        <v>0</v>
      </c>
      <c r="L70" s="142">
        <f>IF('RAW IMPORT'!L60&lt;&gt;"",1,0)</f>
        <v>0</v>
      </c>
      <c r="M70" s="142">
        <f>IF('RAW IMPORT'!M60&lt;&gt;"",1,0)</f>
        <v>0</v>
      </c>
      <c r="N70" s="165">
        <f>IF('RAW IMPORT'!N60&lt;&gt;"",1,0)</f>
        <v>0</v>
      </c>
      <c r="O70" s="167">
        <f>IF('RAW IMPORT'!O60&lt;&gt;"",1,0)</f>
        <v>0</v>
      </c>
      <c r="P70" s="142">
        <f>IF('RAW IMPORT'!P60&lt;&gt;"",1,0)</f>
        <v>0</v>
      </c>
      <c r="Q70" s="142">
        <f>IF('RAW IMPORT'!Q60&lt;&gt;"",1,0)</f>
        <v>0</v>
      </c>
      <c r="R70" s="138">
        <f>'RAW IMPORT'!R60</f>
        <v>0</v>
      </c>
      <c r="S70" s="138">
        <f>'RAW IMPORT'!S60</f>
        <v>7</v>
      </c>
      <c r="T70" s="138">
        <f>'RAW IMPORT'!T60</f>
        <v>5</v>
      </c>
      <c r="U70" s="138">
        <f>'RAW IMPORT'!U60</f>
        <v>0</v>
      </c>
      <c r="V70" s="138">
        <f>'RAW IMPORT'!V60</f>
        <v>0</v>
      </c>
      <c r="W70" s="138">
        <f>'RAW IMPORT'!W60</f>
        <v>0</v>
      </c>
      <c r="X70" s="138">
        <f>'RAW IMPORT'!X60</f>
        <v>0</v>
      </c>
      <c r="Y70" s="138">
        <f>'RAW IMPORT'!Y60</f>
        <v>0</v>
      </c>
      <c r="Z70" s="138">
        <f>'RAW IMPORT'!Z60</f>
        <v>0</v>
      </c>
      <c r="AA70" s="138">
        <f>'RAW IMPORT'!AA60</f>
        <v>0</v>
      </c>
      <c r="AB70" s="139">
        <f>'RAW IMPORT'!AB60</f>
        <v>0</v>
      </c>
      <c r="AC70" s="141">
        <f>'RAW IMPORT'!AC60</f>
        <v>4</v>
      </c>
      <c r="AD70" s="142">
        <f>'RAW IMPORT'!AD60</f>
        <v>7</v>
      </c>
      <c r="AE70" s="142">
        <f>'RAW IMPORT'!AE60</f>
        <v>0</v>
      </c>
      <c r="AF70" s="142">
        <f>IF('RAW IMPORT'!AF60="C1",3,IF('RAW IMPORT'!AF60="D1",4,0))</f>
        <v>3</v>
      </c>
      <c r="AG70" s="142">
        <f>'RAW IMPORT'!AG60</f>
        <v>1</v>
      </c>
      <c r="AH70" s="142">
        <f>'RAW IMPORT'!AH60</f>
        <v>5</v>
      </c>
      <c r="AI70" s="142">
        <f>IF('RAW IMPORT'!AI60="U",1,0)</f>
        <v>0</v>
      </c>
      <c r="AJ70" s="142">
        <f>IF('RAW IMPORT'!AJ60="A",1,0)</f>
        <v>1</v>
      </c>
      <c r="AK70" s="142">
        <f>IF('RAW IMPORT'!AK60="B",1,0)</f>
        <v>1</v>
      </c>
      <c r="AL70" s="142">
        <f>IF('RAW IMPORT'!AL60="U",1,0)</f>
        <v>1</v>
      </c>
      <c r="AM70" s="142">
        <f>IF('RAW IMPORT'!AM60&lt;&gt;"",1,0)</f>
        <v>1</v>
      </c>
      <c r="AN70" s="142">
        <f>IF('RAW IMPORT'!AN60&lt;&gt;"",1,0)</f>
        <v>1</v>
      </c>
      <c r="AO70" s="142">
        <f>IF('RAW IMPORT'!AO60&lt;&gt;"",1,0)</f>
        <v>1</v>
      </c>
      <c r="AP70" s="142">
        <f>IF('RAW IMPORT'!AP60&lt;&gt;"",1,0)</f>
        <v>0</v>
      </c>
      <c r="AQ70" s="142">
        <f>IF('RAW IMPORT'!AQ60&lt;&gt;"",1,0)</f>
        <v>1</v>
      </c>
      <c r="AR70" s="142">
        <f>IF('RAW IMPORT'!AR60&lt;&gt;"",1,0)</f>
        <v>1</v>
      </c>
      <c r="AS70" s="142">
        <f>IF('RAW IMPORT'!AS60&lt;&gt;"",1,0)</f>
        <v>1</v>
      </c>
      <c r="AT70" s="142">
        <f>IF('RAW IMPORT'!AT60&lt;&gt;"",1,0)</f>
        <v>1</v>
      </c>
      <c r="AU70" s="142">
        <f>IF('RAW IMPORT'!AU60&lt;&gt;"",1,0)</f>
        <v>1</v>
      </c>
      <c r="AV70" s="142">
        <f>IF('RAW IMPORT'!AV60&lt;&gt;"",1,0)</f>
        <v>1</v>
      </c>
      <c r="AW70" s="142">
        <f>IF('RAW IMPORT'!AW60&lt;&gt;"",1,0)</f>
        <v>1</v>
      </c>
      <c r="AX70" s="142">
        <f>IF('RAW IMPORT'!AX60&lt;&gt;"",1,0)</f>
        <v>1</v>
      </c>
      <c r="AY70" s="142">
        <f>IF('RAW IMPORT'!AY60&lt;&gt;"",1,0)</f>
        <v>1</v>
      </c>
      <c r="AZ70" s="142">
        <f>IF('RAW IMPORT'!AZ60&lt;&gt;"",1,0)</f>
        <v>1</v>
      </c>
      <c r="BA70" s="142">
        <f>IF('RAW IMPORT'!BA60&lt;&gt;"",1,0)</f>
        <v>1</v>
      </c>
      <c r="BB70" s="142">
        <f>IF('RAW IMPORT'!BB60&lt;&gt;"",1,0)</f>
        <v>1</v>
      </c>
      <c r="BC70" s="142">
        <f>IF('RAW IMPORT'!BC60&lt;&gt;"",1,0)</f>
        <v>0</v>
      </c>
      <c r="BD70" s="142">
        <f>IF('RAW IMPORT'!BD60&lt;&gt;"",1,0)</f>
        <v>1</v>
      </c>
      <c r="BE70" s="142">
        <f>IF('RAW IMPORT'!BE60&lt;&gt;"",1,0)</f>
        <v>1</v>
      </c>
      <c r="BF70" s="142">
        <f>IF('RAW IMPORT'!BF60&lt;&gt;"",1,0)</f>
        <v>0</v>
      </c>
      <c r="BG70" s="142">
        <f>IF('RAW IMPORT'!BG60&lt;&gt;"",1,0)</f>
        <v>1</v>
      </c>
      <c r="BH70" s="142">
        <f>IF('RAW IMPORT'!BH60&lt;&gt;"",1,0)</f>
        <v>1</v>
      </c>
      <c r="BI70" s="142">
        <f>IF('RAW IMPORT'!BI60&lt;&gt;"",1,0)</f>
        <v>1</v>
      </c>
      <c r="BJ70" s="142">
        <f>IF('RAW IMPORT'!BJ60&lt;&gt;"",1,0)</f>
        <v>1</v>
      </c>
      <c r="BK70" s="142">
        <f>IF('RAW IMPORT'!BK60&lt;&gt;"",1,0)</f>
        <v>1</v>
      </c>
      <c r="BL70" s="142">
        <f>IF('RAW IMPORT'!BL60&lt;&gt;"",1,0)</f>
        <v>1</v>
      </c>
      <c r="BM70" s="142">
        <f>'RAW IMPORT'!BM60</f>
        <v>1</v>
      </c>
      <c r="BN70" s="165">
        <f>'RAW IMPORT'!BN60</f>
        <v>0</v>
      </c>
      <c r="BO70" s="197">
        <f>'RAW IMPORT'!BO60</f>
        <v>0</v>
      </c>
      <c r="BP70" s="142" t="str">
        <f>'RAW IMPORT'!BP60</f>
        <v>PDF</v>
      </c>
      <c r="BQ70" s="141">
        <f>'RAW IMPORT'!BQ60</f>
        <v>0</v>
      </c>
      <c r="BR70" s="141">
        <f>'RAW IMPORT'!BR60</f>
        <v>0.02</v>
      </c>
      <c r="BS70" s="141">
        <f>'RAW IMPORT'!BS60</f>
        <v>0.115</v>
      </c>
      <c r="BT70" s="141">
        <f>'RAW IMPORT'!BT60</f>
        <v>0.05</v>
      </c>
      <c r="BU70" s="141">
        <f>'RAW IMPORT'!BU60</f>
        <v>0.01</v>
      </c>
      <c r="BV70" s="198">
        <f>'RAW IMPORT'!BV60</f>
        <v>0</v>
      </c>
      <c r="BW70" s="141">
        <f>'RAW IMPORT'!BW60</f>
        <v>38</v>
      </c>
      <c r="BX70" s="165">
        <f>'RAW IMPORT'!BX60</f>
        <v>86</v>
      </c>
      <c r="BY70" s="240"/>
      <c r="BZ70" s="126"/>
      <c r="CA70" s="143">
        <f t="shared" si="6"/>
        <v>56</v>
      </c>
      <c r="CB70" s="170">
        <f t="shared" ca="1" si="7"/>
        <v>75</v>
      </c>
      <c r="CC70" s="170" t="str">
        <f t="shared" ca="1" si="8"/>
        <v/>
      </c>
      <c r="CD70" s="204" t="str">
        <f t="shared" si="9"/>
        <v>"Model-8928 Wagenfeld":
    RETURN</v>
      </c>
      <c r="CE70" s="170"/>
    </row>
    <row r="71" spans="1:83" ht="15" customHeight="1" x14ac:dyDescent="0.25">
      <c r="A71" s="138" t="str">
        <f>'RAW IMPORT'!A61</f>
        <v>OGRO by ARCHITECTS</v>
      </c>
      <c r="B71" s="139" t="str">
        <f>'RAW IMPORT'!B61</f>
        <v>8928A Wagenfeld</v>
      </c>
      <c r="C71" s="142">
        <f>IF('RAW IMPORT'!C61&lt;&gt;"",1,0)</f>
        <v>1</v>
      </c>
      <c r="D71" s="142">
        <f>IF('RAW IMPORT'!D61&lt;&gt;"",1,0)</f>
        <v>1</v>
      </c>
      <c r="E71" s="142">
        <f>IF('RAW IMPORT'!E61&lt;&gt;"",1,0)</f>
        <v>0</v>
      </c>
      <c r="F71" s="142">
        <f>IF('RAW IMPORT'!F61&lt;&gt;"",1,0)</f>
        <v>0</v>
      </c>
      <c r="G71" s="142">
        <f>IF('RAW IMPORT'!G61&lt;&gt;"",1,0)</f>
        <v>0</v>
      </c>
      <c r="H71" s="142">
        <f>IF('RAW IMPORT'!H61&lt;&gt;"",1,0)</f>
        <v>0</v>
      </c>
      <c r="I71" s="142">
        <f>IF('RAW IMPORT'!I61&lt;&gt;"",1,0)</f>
        <v>0</v>
      </c>
      <c r="J71" s="142">
        <f>IF('RAW IMPORT'!J61&lt;&gt;"",1,0)</f>
        <v>0</v>
      </c>
      <c r="K71" s="142">
        <f>IF('RAW IMPORT'!K61&lt;&gt;"",1,0)</f>
        <v>0</v>
      </c>
      <c r="L71" s="142">
        <f>IF('RAW IMPORT'!L61&lt;&gt;"",1,0)</f>
        <v>0</v>
      </c>
      <c r="M71" s="142">
        <f>IF('RAW IMPORT'!M61&lt;&gt;"",1,0)</f>
        <v>0</v>
      </c>
      <c r="N71" s="165">
        <f>IF('RAW IMPORT'!N61&lt;&gt;"",1,0)</f>
        <v>0</v>
      </c>
      <c r="O71" s="167">
        <f>IF('RAW IMPORT'!O61&lt;&gt;"",1,0)</f>
        <v>0</v>
      </c>
      <c r="P71" s="142">
        <f>IF('RAW IMPORT'!P61&lt;&gt;"",1,0)</f>
        <v>0</v>
      </c>
      <c r="Q71" s="142">
        <f>IF('RAW IMPORT'!Q61&lt;&gt;"",1,0)</f>
        <v>0</v>
      </c>
      <c r="R71" s="138">
        <f>'RAW IMPORT'!R61</f>
        <v>0</v>
      </c>
      <c r="S71" s="138">
        <f>'RAW IMPORT'!S61</f>
        <v>7</v>
      </c>
      <c r="T71" s="138">
        <f>'RAW IMPORT'!T61</f>
        <v>5</v>
      </c>
      <c r="U71" s="138">
        <f>'RAW IMPORT'!U61</f>
        <v>0</v>
      </c>
      <c r="V71" s="138">
        <f>'RAW IMPORT'!V61</f>
        <v>0</v>
      </c>
      <c r="W71" s="138">
        <f>'RAW IMPORT'!W61</f>
        <v>0</v>
      </c>
      <c r="X71" s="138">
        <f>'RAW IMPORT'!X61</f>
        <v>0</v>
      </c>
      <c r="Y71" s="138">
        <f>'RAW IMPORT'!Y61</f>
        <v>0</v>
      </c>
      <c r="Z71" s="138">
        <f>'RAW IMPORT'!Z61</f>
        <v>0</v>
      </c>
      <c r="AA71" s="138">
        <f>'RAW IMPORT'!AA61</f>
        <v>0</v>
      </c>
      <c r="AB71" s="139">
        <f>'RAW IMPORT'!AB61</f>
        <v>0</v>
      </c>
      <c r="AC71" s="141">
        <f>'RAW IMPORT'!AC61</f>
        <v>4</v>
      </c>
      <c r="AD71" s="142">
        <f>'RAW IMPORT'!AD61</f>
        <v>7</v>
      </c>
      <c r="AE71" s="142">
        <f>'RAW IMPORT'!AE61</f>
        <v>0</v>
      </c>
      <c r="AF71" s="142">
        <f>IF('RAW IMPORT'!AF61="C1",3,IF('RAW IMPORT'!AF61="D1",4,0))</f>
        <v>3</v>
      </c>
      <c r="AG71" s="142">
        <f>'RAW IMPORT'!AG61</f>
        <v>1</v>
      </c>
      <c r="AH71" s="142">
        <f>'RAW IMPORT'!AH61</f>
        <v>5</v>
      </c>
      <c r="AI71" s="142">
        <f>IF('RAW IMPORT'!AI61="U",1,0)</f>
        <v>0</v>
      </c>
      <c r="AJ71" s="142">
        <f>IF('RAW IMPORT'!AJ61="A",1,0)</f>
        <v>1</v>
      </c>
      <c r="AK71" s="142">
        <f>IF('RAW IMPORT'!AK61="B",1,0)</f>
        <v>1</v>
      </c>
      <c r="AL71" s="142">
        <f>IF('RAW IMPORT'!AL61="U",1,0)</f>
        <v>1</v>
      </c>
      <c r="AM71" s="142">
        <f>IF('RAW IMPORT'!AM61&lt;&gt;"",1,0)</f>
        <v>1</v>
      </c>
      <c r="AN71" s="142">
        <f>IF('RAW IMPORT'!AN61&lt;&gt;"",1,0)</f>
        <v>1</v>
      </c>
      <c r="AO71" s="142">
        <f>IF('RAW IMPORT'!AO61&lt;&gt;"",1,0)</f>
        <v>1</v>
      </c>
      <c r="AP71" s="142">
        <f>IF('RAW IMPORT'!AP61&lt;&gt;"",1,0)</f>
        <v>0</v>
      </c>
      <c r="AQ71" s="142">
        <f>IF('RAW IMPORT'!AQ61&lt;&gt;"",1,0)</f>
        <v>1</v>
      </c>
      <c r="AR71" s="142">
        <f>IF('RAW IMPORT'!AR61&lt;&gt;"",1,0)</f>
        <v>1</v>
      </c>
      <c r="AS71" s="142">
        <f>IF('RAW IMPORT'!AS61&lt;&gt;"",1,0)</f>
        <v>1</v>
      </c>
      <c r="AT71" s="142">
        <f>IF('RAW IMPORT'!AT61&lt;&gt;"",1,0)</f>
        <v>1</v>
      </c>
      <c r="AU71" s="142">
        <f>IF('RAW IMPORT'!AU61&lt;&gt;"",1,0)</f>
        <v>1</v>
      </c>
      <c r="AV71" s="142">
        <f>IF('RAW IMPORT'!AV61&lt;&gt;"",1,0)</f>
        <v>1</v>
      </c>
      <c r="AW71" s="142">
        <f>IF('RAW IMPORT'!AW61&lt;&gt;"",1,0)</f>
        <v>0</v>
      </c>
      <c r="AX71" s="142">
        <f>IF('RAW IMPORT'!AX61&lt;&gt;"",1,0)</f>
        <v>0</v>
      </c>
      <c r="AY71" s="142">
        <f>IF('RAW IMPORT'!AY61&lt;&gt;"",1,0)</f>
        <v>0</v>
      </c>
      <c r="AZ71" s="142">
        <f>IF('RAW IMPORT'!AZ61&lt;&gt;"",1,0)</f>
        <v>0</v>
      </c>
      <c r="BA71" s="142">
        <f>IF('RAW IMPORT'!BA61&lt;&gt;"",1,0)</f>
        <v>0</v>
      </c>
      <c r="BB71" s="142">
        <f>IF('RAW IMPORT'!BB61&lt;&gt;"",1,0)</f>
        <v>0</v>
      </c>
      <c r="BC71" s="142">
        <f>IF('RAW IMPORT'!BC61&lt;&gt;"",1,0)</f>
        <v>1</v>
      </c>
      <c r="BD71" s="142">
        <f>IF('RAW IMPORT'!BD61&lt;&gt;"",1,0)</f>
        <v>1</v>
      </c>
      <c r="BE71" s="142">
        <f>IF('RAW IMPORT'!BE61&lt;&gt;"",1,0)</f>
        <v>1</v>
      </c>
      <c r="BF71" s="142">
        <f>IF('RAW IMPORT'!BF61&lt;&gt;"",1,0)</f>
        <v>0</v>
      </c>
      <c r="BG71" s="142">
        <f>IF('RAW IMPORT'!BG61&lt;&gt;"",1,0)</f>
        <v>1</v>
      </c>
      <c r="BH71" s="142">
        <f>IF('RAW IMPORT'!BH61&lt;&gt;"",1,0)</f>
        <v>1</v>
      </c>
      <c r="BI71" s="142">
        <f>IF('RAW IMPORT'!BI61&lt;&gt;"",1,0)</f>
        <v>1</v>
      </c>
      <c r="BJ71" s="142">
        <f>IF('RAW IMPORT'!BJ61&lt;&gt;"",1,0)</f>
        <v>1</v>
      </c>
      <c r="BK71" s="142">
        <f>IF('RAW IMPORT'!BK61&lt;&gt;"",1,0)</f>
        <v>1</v>
      </c>
      <c r="BL71" s="142">
        <f>IF('RAW IMPORT'!BL61&lt;&gt;"",1,0)</f>
        <v>0</v>
      </c>
      <c r="BM71" s="142">
        <f>'RAW IMPORT'!BM61</f>
        <v>1</v>
      </c>
      <c r="BN71" s="165">
        <f>'RAW IMPORT'!BN61</f>
        <v>0</v>
      </c>
      <c r="BO71" s="197">
        <f>'RAW IMPORT'!BO61</f>
        <v>0</v>
      </c>
      <c r="BP71" s="142" t="str">
        <f>'RAW IMPORT'!BP61</f>
        <v>PDF</v>
      </c>
      <c r="BQ71" s="141">
        <f>'RAW IMPORT'!BQ61</f>
        <v>0</v>
      </c>
      <c r="BR71" s="141">
        <f>'RAW IMPORT'!BR61</f>
        <v>0.02</v>
      </c>
      <c r="BS71" s="141">
        <f>'RAW IMPORT'!BS61</f>
        <v>0.13500000000000001</v>
      </c>
      <c r="BT71" s="141">
        <f>'RAW IMPORT'!BT61</f>
        <v>6.7000000000000004E-2</v>
      </c>
      <c r="BU71" s="141">
        <f>'RAW IMPORT'!BU61</f>
        <v>0.01</v>
      </c>
      <c r="BV71" s="198">
        <f>'RAW IMPORT'!BV61</f>
        <v>0</v>
      </c>
      <c r="BW71" s="141">
        <f>'RAW IMPORT'!BW61</f>
        <v>0</v>
      </c>
      <c r="BX71" s="165">
        <f>'RAW IMPORT'!BX61</f>
        <v>87</v>
      </c>
      <c r="BY71" s="240"/>
      <c r="BZ71" s="126"/>
      <c r="CA71" s="143">
        <f t="shared" si="6"/>
        <v>57</v>
      </c>
      <c r="CB71" s="170">
        <f t="shared" ca="1" si="7"/>
        <v>76</v>
      </c>
      <c r="CC71" s="170" t="str">
        <f t="shared" ca="1" si="8"/>
        <v/>
      </c>
      <c r="CD71" s="204" t="str">
        <f t="shared" si="9"/>
        <v>"Model-8928A Wagenfeld":
    RETURN</v>
      </c>
      <c r="CE71" s="170"/>
    </row>
    <row r="72" spans="1:83" ht="15" customHeight="1" x14ac:dyDescent="0.25">
      <c r="A72" s="138" t="str">
        <f>'RAW IMPORT'!A62</f>
        <v>OGRO</v>
      </c>
      <c r="B72" s="139">
        <f>'RAW IMPORT'!B62</f>
        <v>8940</v>
      </c>
      <c r="C72" s="142">
        <f>IF('RAW IMPORT'!C62&lt;&gt;"",1,0)</f>
        <v>1</v>
      </c>
      <c r="D72" s="142">
        <f>IF('RAW IMPORT'!D62&lt;&gt;"",1,0)</f>
        <v>1</v>
      </c>
      <c r="E72" s="142">
        <f>IF('RAW IMPORT'!E62&lt;&gt;"",1,0)</f>
        <v>0</v>
      </c>
      <c r="F72" s="142">
        <f>IF('RAW IMPORT'!F62&lt;&gt;"",1,0)</f>
        <v>0</v>
      </c>
      <c r="G72" s="142">
        <f>IF('RAW IMPORT'!G62&lt;&gt;"",1,0)</f>
        <v>0</v>
      </c>
      <c r="H72" s="142">
        <f>IF('RAW IMPORT'!H62&lt;&gt;"",1,0)</f>
        <v>0</v>
      </c>
      <c r="I72" s="142">
        <f>IF('RAW IMPORT'!I62&lt;&gt;"",1,0)</f>
        <v>0</v>
      </c>
      <c r="J72" s="142">
        <f>IF('RAW IMPORT'!J62&lt;&gt;"",1,0)</f>
        <v>0</v>
      </c>
      <c r="K72" s="142">
        <f>IF('RAW IMPORT'!K62&lt;&gt;"",1,0)</f>
        <v>0</v>
      </c>
      <c r="L72" s="142">
        <f>IF('RAW IMPORT'!L62&lt;&gt;"",1,0)</f>
        <v>0</v>
      </c>
      <c r="M72" s="142">
        <f>IF('RAW IMPORT'!M62&lt;&gt;"",1,0)</f>
        <v>0</v>
      </c>
      <c r="N72" s="165">
        <f>IF('RAW IMPORT'!N62&lt;&gt;"",1,0)</f>
        <v>0</v>
      </c>
      <c r="O72" s="167">
        <f>IF('RAW IMPORT'!O62&lt;&gt;"",1,0)</f>
        <v>0</v>
      </c>
      <c r="P72" s="142">
        <f>IF('RAW IMPORT'!P62&lt;&gt;"",1,0)</f>
        <v>0</v>
      </c>
      <c r="Q72" s="142">
        <f>IF('RAW IMPORT'!Q62&lt;&gt;"",1,0)</f>
        <v>0</v>
      </c>
      <c r="R72" s="138">
        <f>'RAW IMPORT'!R62</f>
        <v>0</v>
      </c>
      <c r="S72" s="138">
        <f>'RAW IMPORT'!S62</f>
        <v>7</v>
      </c>
      <c r="T72" s="138">
        <f>'RAW IMPORT'!T62</f>
        <v>5</v>
      </c>
      <c r="U72" s="138">
        <f>'RAW IMPORT'!U62</f>
        <v>0</v>
      </c>
      <c r="V72" s="138">
        <f>'RAW IMPORT'!V62</f>
        <v>0</v>
      </c>
      <c r="W72" s="138">
        <f>'RAW IMPORT'!W62</f>
        <v>0</v>
      </c>
      <c r="X72" s="138">
        <f>'RAW IMPORT'!X62</f>
        <v>0</v>
      </c>
      <c r="Y72" s="138">
        <f>'RAW IMPORT'!Y62</f>
        <v>0</v>
      </c>
      <c r="Z72" s="138">
        <f>'RAW IMPORT'!Z62</f>
        <v>0</v>
      </c>
      <c r="AA72" s="138">
        <f>'RAW IMPORT'!AA62</f>
        <v>0</v>
      </c>
      <c r="AB72" s="139">
        <f>'RAW IMPORT'!AB62</f>
        <v>0</v>
      </c>
      <c r="AC72" s="141">
        <f>'RAW IMPORT'!AC62</f>
        <v>4</v>
      </c>
      <c r="AD72" s="142">
        <f>'RAW IMPORT'!AD62</f>
        <v>7</v>
      </c>
      <c r="AE72" s="142">
        <f>'RAW IMPORT'!AE62</f>
        <v>0</v>
      </c>
      <c r="AF72" s="142">
        <f>IF('RAW IMPORT'!AF62="C1",3,IF('RAW IMPORT'!AF62="D1",4,0))</f>
        <v>4</v>
      </c>
      <c r="AG72" s="142">
        <f>'RAW IMPORT'!AG62</f>
        <v>1</v>
      </c>
      <c r="AH72" s="142">
        <f>'RAW IMPORT'!AH62</f>
        <v>5</v>
      </c>
      <c r="AI72" s="142">
        <f>IF('RAW IMPORT'!AI62="U",1,0)</f>
        <v>0</v>
      </c>
      <c r="AJ72" s="142">
        <f>IF('RAW IMPORT'!AJ62="A",1,0)</f>
        <v>1</v>
      </c>
      <c r="AK72" s="142">
        <f>IF('RAW IMPORT'!AK62="B",1,0)</f>
        <v>1</v>
      </c>
      <c r="AL72" s="142">
        <f>IF('RAW IMPORT'!AL62="U",1,0)</f>
        <v>1</v>
      </c>
      <c r="AM72" s="142">
        <f>IF('RAW IMPORT'!AM62&lt;&gt;"",1,0)</f>
        <v>1</v>
      </c>
      <c r="AN72" s="142">
        <f>IF('RAW IMPORT'!AN62&lt;&gt;"",1,0)</f>
        <v>1</v>
      </c>
      <c r="AO72" s="142">
        <f>IF('RAW IMPORT'!AO62&lt;&gt;"",1,0)</f>
        <v>1</v>
      </c>
      <c r="AP72" s="142">
        <f>IF('RAW IMPORT'!AP62&lt;&gt;"",1,0)</f>
        <v>1</v>
      </c>
      <c r="AQ72" s="142">
        <f>IF('RAW IMPORT'!AQ62&lt;&gt;"",1,0)</f>
        <v>1</v>
      </c>
      <c r="AR72" s="142">
        <f>IF('RAW IMPORT'!AR62&lt;&gt;"",1,0)</f>
        <v>1</v>
      </c>
      <c r="AS72" s="142">
        <f>IF('RAW IMPORT'!AS62&lt;&gt;"",1,0)</f>
        <v>1</v>
      </c>
      <c r="AT72" s="142">
        <f>IF('RAW IMPORT'!AT62&lt;&gt;"",1,0)</f>
        <v>1</v>
      </c>
      <c r="AU72" s="142">
        <f>IF('RAW IMPORT'!AU62&lt;&gt;"",1,0)</f>
        <v>1</v>
      </c>
      <c r="AV72" s="142">
        <f>IF('RAW IMPORT'!AV62&lt;&gt;"",1,0)</f>
        <v>1</v>
      </c>
      <c r="AW72" s="142">
        <f>IF('RAW IMPORT'!AW62&lt;&gt;"",1,0)</f>
        <v>1</v>
      </c>
      <c r="AX72" s="142">
        <f>IF('RAW IMPORT'!AX62&lt;&gt;"",1,0)</f>
        <v>1</v>
      </c>
      <c r="AY72" s="142">
        <f>IF('RAW IMPORT'!AY62&lt;&gt;"",1,0)</f>
        <v>1</v>
      </c>
      <c r="AZ72" s="142">
        <f>IF('RAW IMPORT'!AZ62&lt;&gt;"",1,0)</f>
        <v>1</v>
      </c>
      <c r="BA72" s="142">
        <f>IF('RAW IMPORT'!BA62&lt;&gt;"",1,0)</f>
        <v>1</v>
      </c>
      <c r="BB72" s="142">
        <f>IF('RAW IMPORT'!BB62&lt;&gt;"",1,0)</f>
        <v>1</v>
      </c>
      <c r="BC72" s="142">
        <f>IF('RAW IMPORT'!BC62&lt;&gt;"",1,0)</f>
        <v>0</v>
      </c>
      <c r="BD72" s="142">
        <f>IF('RAW IMPORT'!BD62&lt;&gt;"",1,0)</f>
        <v>1</v>
      </c>
      <c r="BE72" s="142">
        <f>IF('RAW IMPORT'!BE62&lt;&gt;"",1,0)</f>
        <v>1</v>
      </c>
      <c r="BF72" s="142">
        <f>IF('RAW IMPORT'!BF62&lt;&gt;"",1,0)</f>
        <v>0</v>
      </c>
      <c r="BG72" s="142">
        <f>IF('RAW IMPORT'!BG62&lt;&gt;"",1,0)</f>
        <v>1</v>
      </c>
      <c r="BH72" s="142">
        <f>IF('RAW IMPORT'!BH62&lt;&gt;"",1,0)</f>
        <v>1</v>
      </c>
      <c r="BI72" s="142">
        <f>IF('RAW IMPORT'!BI62&lt;&gt;"",1,0)</f>
        <v>1</v>
      </c>
      <c r="BJ72" s="142">
        <f>IF('RAW IMPORT'!BJ62&lt;&gt;"",1,0)</f>
        <v>1</v>
      </c>
      <c r="BK72" s="142">
        <f>IF('RAW IMPORT'!BK62&lt;&gt;"",1,0)</f>
        <v>1</v>
      </c>
      <c r="BL72" s="142">
        <f>IF('RAW IMPORT'!BL62&lt;&gt;"",1,0)</f>
        <v>1</v>
      </c>
      <c r="BM72" s="142">
        <f>'RAW IMPORT'!BM62</f>
        <v>1</v>
      </c>
      <c r="BN72" s="165">
        <f>'RAW IMPORT'!BN62</f>
        <v>0</v>
      </c>
      <c r="BO72" s="197">
        <f>'RAW IMPORT'!BO62</f>
        <v>0</v>
      </c>
      <c r="BP72" s="142" t="str">
        <f>'RAW IMPORT'!BP62</f>
        <v>PDF</v>
      </c>
      <c r="BQ72" s="141">
        <f>'RAW IMPORT'!BQ62</f>
        <v>0</v>
      </c>
      <c r="BR72" s="141">
        <f>'RAW IMPORT'!BR62</f>
        <v>2.35E-2</v>
      </c>
      <c r="BS72" s="141">
        <f>'RAW IMPORT'!BS62</f>
        <v>0.13500000000000001</v>
      </c>
      <c r="BT72" s="141">
        <f>'RAW IMPORT'!BT62</f>
        <v>0.06</v>
      </c>
      <c r="BU72" s="141">
        <f>'RAW IMPORT'!BU62</f>
        <v>1.175E-2</v>
      </c>
      <c r="BV72" s="198">
        <f>'RAW IMPORT'!BV62</f>
        <v>0</v>
      </c>
      <c r="BW72" s="141">
        <f>'RAW IMPORT'!BW62</f>
        <v>39</v>
      </c>
      <c r="BX72" s="165">
        <f>'RAW IMPORT'!BX62</f>
        <v>88</v>
      </c>
      <c r="BY72" s="240"/>
      <c r="BZ72" s="126"/>
      <c r="CA72" s="143">
        <f t="shared" si="6"/>
        <v>58</v>
      </c>
      <c r="CB72" s="170">
        <f t="shared" ca="1" si="7"/>
        <v>77</v>
      </c>
      <c r="CC72" s="170" t="str">
        <f t="shared" ca="1" si="8"/>
        <v/>
      </c>
      <c r="CD72" s="204" t="str">
        <f t="shared" si="9"/>
        <v>"Model-8940":
    RETURN</v>
      </c>
      <c r="CE72" s="170"/>
    </row>
    <row r="73" spans="1:83" ht="15" customHeight="1" x14ac:dyDescent="0.25">
      <c r="A73" s="138" t="str">
        <f>'RAW IMPORT'!A63</f>
        <v>OGRO</v>
      </c>
      <c r="B73" s="139" t="str">
        <f>'RAW IMPORT'!B63</f>
        <v>8940A</v>
      </c>
      <c r="C73" s="142">
        <f>IF('RAW IMPORT'!C63&lt;&gt;"",1,0)</f>
        <v>1</v>
      </c>
      <c r="D73" s="142">
        <f>IF('RAW IMPORT'!D63&lt;&gt;"",1,0)</f>
        <v>1</v>
      </c>
      <c r="E73" s="142">
        <f>IF('RAW IMPORT'!E63&lt;&gt;"",1,0)</f>
        <v>0</v>
      </c>
      <c r="F73" s="142">
        <f>IF('RAW IMPORT'!F63&lt;&gt;"",1,0)</f>
        <v>0</v>
      </c>
      <c r="G73" s="142">
        <f>IF('RAW IMPORT'!G63&lt;&gt;"",1,0)</f>
        <v>0</v>
      </c>
      <c r="H73" s="142">
        <f>IF('RAW IMPORT'!H63&lt;&gt;"",1,0)</f>
        <v>0</v>
      </c>
      <c r="I73" s="142">
        <f>IF('RAW IMPORT'!I63&lt;&gt;"",1,0)</f>
        <v>0</v>
      </c>
      <c r="J73" s="142">
        <f>IF('RAW IMPORT'!J63&lt;&gt;"",1,0)</f>
        <v>0</v>
      </c>
      <c r="K73" s="142">
        <f>IF('RAW IMPORT'!K63&lt;&gt;"",1,0)</f>
        <v>0</v>
      </c>
      <c r="L73" s="142">
        <f>IF('RAW IMPORT'!L63&lt;&gt;"",1,0)</f>
        <v>0</v>
      </c>
      <c r="M73" s="142">
        <f>IF('RAW IMPORT'!M63&lt;&gt;"",1,0)</f>
        <v>0</v>
      </c>
      <c r="N73" s="165">
        <f>IF('RAW IMPORT'!N63&lt;&gt;"",1,0)</f>
        <v>0</v>
      </c>
      <c r="O73" s="167">
        <f>IF('RAW IMPORT'!O63&lt;&gt;"",1,0)</f>
        <v>0</v>
      </c>
      <c r="P73" s="142">
        <f>IF('RAW IMPORT'!P63&lt;&gt;"",1,0)</f>
        <v>0</v>
      </c>
      <c r="Q73" s="142">
        <f>IF('RAW IMPORT'!Q63&lt;&gt;"",1,0)</f>
        <v>0</v>
      </c>
      <c r="R73" s="138">
        <f>'RAW IMPORT'!R63</f>
        <v>0</v>
      </c>
      <c r="S73" s="138">
        <f>'RAW IMPORT'!S63</f>
        <v>7</v>
      </c>
      <c r="T73" s="138">
        <f>'RAW IMPORT'!T63</f>
        <v>5</v>
      </c>
      <c r="U73" s="138">
        <f>'RAW IMPORT'!U63</f>
        <v>0</v>
      </c>
      <c r="V73" s="138">
        <f>'RAW IMPORT'!V63</f>
        <v>0</v>
      </c>
      <c r="W73" s="138">
        <f>'RAW IMPORT'!W63</f>
        <v>0</v>
      </c>
      <c r="X73" s="138">
        <f>'RAW IMPORT'!X63</f>
        <v>0</v>
      </c>
      <c r="Y73" s="138">
        <f>'RAW IMPORT'!Y63</f>
        <v>0</v>
      </c>
      <c r="Z73" s="138">
        <f>'RAW IMPORT'!Z63</f>
        <v>0</v>
      </c>
      <c r="AA73" s="138">
        <f>'RAW IMPORT'!AA63</f>
        <v>0</v>
      </c>
      <c r="AB73" s="139">
        <f>'RAW IMPORT'!AB63</f>
        <v>0</v>
      </c>
      <c r="AC73" s="141">
        <f>'RAW IMPORT'!AC63</f>
        <v>4</v>
      </c>
      <c r="AD73" s="142">
        <f>'RAW IMPORT'!AD63</f>
        <v>7</v>
      </c>
      <c r="AE73" s="142">
        <f>'RAW IMPORT'!AE63</f>
        <v>0</v>
      </c>
      <c r="AF73" s="142">
        <f>IF('RAW IMPORT'!AF63="C1",3,IF('RAW IMPORT'!AF63="D1",4,0))</f>
        <v>3</v>
      </c>
      <c r="AG73" s="142">
        <f>'RAW IMPORT'!AG63</f>
        <v>1</v>
      </c>
      <c r="AH73" s="142">
        <f>'RAW IMPORT'!AH63</f>
        <v>5</v>
      </c>
      <c r="AI73" s="142">
        <f>IF('RAW IMPORT'!AI63="U",1,0)</f>
        <v>0</v>
      </c>
      <c r="AJ73" s="142">
        <f>IF('RAW IMPORT'!AJ63="A",1,0)</f>
        <v>1</v>
      </c>
      <c r="AK73" s="142">
        <f>IF('RAW IMPORT'!AK63="B",1,0)</f>
        <v>1</v>
      </c>
      <c r="AL73" s="142">
        <f>IF('RAW IMPORT'!AL63="U",1,0)</f>
        <v>1</v>
      </c>
      <c r="AM73" s="142">
        <f>IF('RAW IMPORT'!AM63&lt;&gt;"",1,0)</f>
        <v>1</v>
      </c>
      <c r="AN73" s="142">
        <f>IF('RAW IMPORT'!AN63&lt;&gt;"",1,0)</f>
        <v>1</v>
      </c>
      <c r="AO73" s="142">
        <f>IF('RAW IMPORT'!AO63&lt;&gt;"",1,0)</f>
        <v>1</v>
      </c>
      <c r="AP73" s="142">
        <f>IF('RAW IMPORT'!AP63&lt;&gt;"",1,0)</f>
        <v>0</v>
      </c>
      <c r="AQ73" s="142">
        <f>IF('RAW IMPORT'!AQ63&lt;&gt;"",1,0)</f>
        <v>1</v>
      </c>
      <c r="AR73" s="142">
        <f>IF('RAW IMPORT'!AR63&lt;&gt;"",1,0)</f>
        <v>1</v>
      </c>
      <c r="AS73" s="142">
        <f>IF('RAW IMPORT'!AS63&lt;&gt;"",1,0)</f>
        <v>1</v>
      </c>
      <c r="AT73" s="142">
        <f>IF('RAW IMPORT'!AT63&lt;&gt;"",1,0)</f>
        <v>1</v>
      </c>
      <c r="AU73" s="142">
        <f>IF('RAW IMPORT'!AU63&lt;&gt;"",1,0)</f>
        <v>0</v>
      </c>
      <c r="AV73" s="142">
        <f>IF('RAW IMPORT'!AV63&lt;&gt;"",1,0)</f>
        <v>1</v>
      </c>
      <c r="AW73" s="142">
        <f>IF('RAW IMPORT'!AW63&lt;&gt;"",1,0)</f>
        <v>0</v>
      </c>
      <c r="AX73" s="142">
        <f>IF('RAW IMPORT'!AX63&lt;&gt;"",1,0)</f>
        <v>0</v>
      </c>
      <c r="AY73" s="142">
        <f>IF('RAW IMPORT'!AY63&lt;&gt;"",1,0)</f>
        <v>0</v>
      </c>
      <c r="AZ73" s="142">
        <f>IF('RAW IMPORT'!AZ63&lt;&gt;"",1,0)</f>
        <v>0</v>
      </c>
      <c r="BA73" s="142">
        <f>IF('RAW IMPORT'!BA63&lt;&gt;"",1,0)</f>
        <v>0</v>
      </c>
      <c r="BB73" s="142">
        <f>IF('RAW IMPORT'!BB63&lt;&gt;"",1,0)</f>
        <v>0</v>
      </c>
      <c r="BC73" s="142">
        <f>IF('RAW IMPORT'!BC63&lt;&gt;"",1,0)</f>
        <v>1</v>
      </c>
      <c r="BD73" s="142">
        <f>IF('RAW IMPORT'!BD63&lt;&gt;"",1,0)</f>
        <v>1</v>
      </c>
      <c r="BE73" s="142">
        <f>IF('RAW IMPORT'!BE63&lt;&gt;"",1,0)</f>
        <v>1</v>
      </c>
      <c r="BF73" s="142">
        <f>IF('RAW IMPORT'!BF63&lt;&gt;"",1,0)</f>
        <v>0</v>
      </c>
      <c r="BG73" s="142">
        <f>IF('RAW IMPORT'!BG63&lt;&gt;"",1,0)</f>
        <v>1</v>
      </c>
      <c r="BH73" s="142">
        <f>IF('RAW IMPORT'!BH63&lt;&gt;"",1,0)</f>
        <v>1</v>
      </c>
      <c r="BI73" s="142">
        <f>IF('RAW IMPORT'!BI63&lt;&gt;"",1,0)</f>
        <v>1</v>
      </c>
      <c r="BJ73" s="142">
        <f>IF('RAW IMPORT'!BJ63&lt;&gt;"",1,0)</f>
        <v>1</v>
      </c>
      <c r="BK73" s="142">
        <f>IF('RAW IMPORT'!BK63&lt;&gt;"",1,0)</f>
        <v>1</v>
      </c>
      <c r="BL73" s="142">
        <f>IF('RAW IMPORT'!BL63&lt;&gt;"",1,0)</f>
        <v>0</v>
      </c>
      <c r="BM73" s="142">
        <f>'RAW IMPORT'!BM63</f>
        <v>1</v>
      </c>
      <c r="BN73" s="165">
        <f>'RAW IMPORT'!BN63</f>
        <v>0</v>
      </c>
      <c r="BO73" s="197">
        <f>'RAW IMPORT'!BO63</f>
        <v>0</v>
      </c>
      <c r="BP73" s="142" t="str">
        <f>'RAW IMPORT'!BP63</f>
        <v>PDF</v>
      </c>
      <c r="BQ73" s="141">
        <f>'RAW IMPORT'!BQ63</f>
        <v>0</v>
      </c>
      <c r="BR73" s="141">
        <f>'RAW IMPORT'!BR63</f>
        <v>2.35E-2</v>
      </c>
      <c r="BS73" s="141">
        <f>'RAW IMPORT'!BS63</f>
        <v>0.155</v>
      </c>
      <c r="BT73" s="141">
        <f>'RAW IMPORT'!BT63</f>
        <v>7.5999999999999998E-2</v>
      </c>
      <c r="BU73" s="141">
        <f>'RAW IMPORT'!BU63</f>
        <v>1.175E-2</v>
      </c>
      <c r="BV73" s="198">
        <f>'RAW IMPORT'!BV63</f>
        <v>0</v>
      </c>
      <c r="BW73" s="141">
        <f>'RAW IMPORT'!BW63</f>
        <v>0</v>
      </c>
      <c r="BX73" s="165">
        <f>'RAW IMPORT'!BX63</f>
        <v>89</v>
      </c>
      <c r="BY73" s="240"/>
      <c r="BZ73" s="126"/>
      <c r="CA73" s="143">
        <f t="shared" si="6"/>
        <v>59</v>
      </c>
      <c r="CB73" s="170">
        <f t="shared" ca="1" si="7"/>
        <v>78</v>
      </c>
      <c r="CC73" s="170" t="str">
        <f t="shared" ca="1" si="8"/>
        <v/>
      </c>
      <c r="CD73" s="204" t="str">
        <f t="shared" si="9"/>
        <v>"Model-8940A":
    RETURN</v>
      </c>
      <c r="CE73" s="170"/>
    </row>
    <row r="74" spans="1:83" ht="15" customHeight="1" x14ac:dyDescent="0.25">
      <c r="A74" s="138" t="str">
        <f>'RAW IMPORT'!A64</f>
        <v>OGRO by ARCHITECTS</v>
      </c>
      <c r="B74" s="139" t="str">
        <f>'RAW IMPORT'!B64</f>
        <v>8960 Forstner</v>
      </c>
      <c r="C74" s="142">
        <f>IF('RAW IMPORT'!C64&lt;&gt;"",1,0)</f>
        <v>1</v>
      </c>
      <c r="D74" s="142">
        <f>IF('RAW IMPORT'!D64&lt;&gt;"",1,0)</f>
        <v>1</v>
      </c>
      <c r="E74" s="142">
        <f>IF('RAW IMPORT'!E64&lt;&gt;"",1,0)</f>
        <v>0</v>
      </c>
      <c r="F74" s="142">
        <f>IF('RAW IMPORT'!F64&lt;&gt;"",1,0)</f>
        <v>0</v>
      </c>
      <c r="G74" s="142">
        <f>IF('RAW IMPORT'!G64&lt;&gt;"",1,0)</f>
        <v>0</v>
      </c>
      <c r="H74" s="142">
        <f>IF('RAW IMPORT'!H64&lt;&gt;"",1,0)</f>
        <v>0</v>
      </c>
      <c r="I74" s="142">
        <f>IF('RAW IMPORT'!I64&lt;&gt;"",1,0)</f>
        <v>0</v>
      </c>
      <c r="J74" s="142">
        <f>IF('RAW IMPORT'!J64&lt;&gt;"",1,0)</f>
        <v>0</v>
      </c>
      <c r="K74" s="142">
        <f>IF('RAW IMPORT'!K64&lt;&gt;"",1,0)</f>
        <v>0</v>
      </c>
      <c r="L74" s="142">
        <f>IF('RAW IMPORT'!L64&lt;&gt;"",1,0)</f>
        <v>0</v>
      </c>
      <c r="M74" s="142">
        <f>IF('RAW IMPORT'!M64&lt;&gt;"",1,0)</f>
        <v>0</v>
      </c>
      <c r="N74" s="165">
        <f>IF('RAW IMPORT'!N64&lt;&gt;"",1,0)</f>
        <v>0</v>
      </c>
      <c r="O74" s="167">
        <f>IF('RAW IMPORT'!O64&lt;&gt;"",1,0)</f>
        <v>0</v>
      </c>
      <c r="P74" s="142">
        <f>IF('RAW IMPORT'!P64&lt;&gt;"",1,0)</f>
        <v>0</v>
      </c>
      <c r="Q74" s="142">
        <f>IF('RAW IMPORT'!Q64&lt;&gt;"",1,0)</f>
        <v>0</v>
      </c>
      <c r="R74" s="138">
        <f>'RAW IMPORT'!R64</f>
        <v>0</v>
      </c>
      <c r="S74" s="138">
        <f>'RAW IMPORT'!S64</f>
        <v>7</v>
      </c>
      <c r="T74" s="138">
        <f>'RAW IMPORT'!T64</f>
        <v>5</v>
      </c>
      <c r="U74" s="138">
        <f>'RAW IMPORT'!U64</f>
        <v>0</v>
      </c>
      <c r="V74" s="138">
        <f>'RAW IMPORT'!V64</f>
        <v>0</v>
      </c>
      <c r="W74" s="138">
        <f>'RAW IMPORT'!W64</f>
        <v>0</v>
      </c>
      <c r="X74" s="138">
        <f>'RAW IMPORT'!X64</f>
        <v>0</v>
      </c>
      <c r="Y74" s="138">
        <f>'RAW IMPORT'!Y64</f>
        <v>0</v>
      </c>
      <c r="Z74" s="138">
        <f>'RAW IMPORT'!Z64</f>
        <v>0</v>
      </c>
      <c r="AA74" s="138">
        <f>'RAW IMPORT'!AA64</f>
        <v>0</v>
      </c>
      <c r="AB74" s="139">
        <f>'RAW IMPORT'!AB64</f>
        <v>0</v>
      </c>
      <c r="AC74" s="141">
        <f>'RAW IMPORT'!AC64</f>
        <v>4</v>
      </c>
      <c r="AD74" s="142">
        <f>'RAW IMPORT'!AD64</f>
        <v>7</v>
      </c>
      <c r="AE74" s="142">
        <f>'RAW IMPORT'!AE64</f>
        <v>0</v>
      </c>
      <c r="AF74" s="142">
        <f>IF('RAW IMPORT'!AF64="C1",3,IF('RAW IMPORT'!AF64="D1",4,0))</f>
        <v>3</v>
      </c>
      <c r="AG74" s="142">
        <f>'RAW IMPORT'!AG64</f>
        <v>1</v>
      </c>
      <c r="AH74" s="142">
        <f>'RAW IMPORT'!AH64</f>
        <v>5</v>
      </c>
      <c r="AI74" s="142">
        <f>IF('RAW IMPORT'!AI64="U",1,0)</f>
        <v>0</v>
      </c>
      <c r="AJ74" s="142">
        <f>IF('RAW IMPORT'!AJ64="A",1,0)</f>
        <v>1</v>
      </c>
      <c r="AK74" s="142">
        <f>IF('RAW IMPORT'!AK64="B",1,0)</f>
        <v>1</v>
      </c>
      <c r="AL74" s="142">
        <f>IF('RAW IMPORT'!AL64="U",1,0)</f>
        <v>1</v>
      </c>
      <c r="AM74" s="142">
        <f>IF('RAW IMPORT'!AM64&lt;&gt;"",1,0)</f>
        <v>1</v>
      </c>
      <c r="AN74" s="142">
        <f>IF('RAW IMPORT'!AN64&lt;&gt;"",1,0)</f>
        <v>1</v>
      </c>
      <c r="AO74" s="142">
        <f>IF('RAW IMPORT'!AO64&lt;&gt;"",1,0)</f>
        <v>1</v>
      </c>
      <c r="AP74" s="142">
        <f>IF('RAW IMPORT'!AP64&lt;&gt;"",1,0)</f>
        <v>0</v>
      </c>
      <c r="AQ74" s="142">
        <f>IF('RAW IMPORT'!AQ64&lt;&gt;"",1,0)</f>
        <v>1</v>
      </c>
      <c r="AR74" s="142">
        <f>IF('RAW IMPORT'!AR64&lt;&gt;"",1,0)</f>
        <v>1</v>
      </c>
      <c r="AS74" s="142">
        <f>IF('RAW IMPORT'!AS64&lt;&gt;"",1,0)</f>
        <v>1</v>
      </c>
      <c r="AT74" s="142">
        <f>IF('RAW IMPORT'!AT64&lt;&gt;"",1,0)</f>
        <v>1</v>
      </c>
      <c r="AU74" s="142">
        <f>IF('RAW IMPORT'!AU64&lt;&gt;"",1,0)</f>
        <v>1</v>
      </c>
      <c r="AV74" s="142">
        <f>IF('RAW IMPORT'!AV64&lt;&gt;"",1,0)</f>
        <v>1</v>
      </c>
      <c r="AW74" s="142">
        <f>IF('RAW IMPORT'!AW64&lt;&gt;"",1,0)</f>
        <v>1</v>
      </c>
      <c r="AX74" s="142">
        <f>IF('RAW IMPORT'!AX64&lt;&gt;"",1,0)</f>
        <v>1</v>
      </c>
      <c r="AY74" s="142">
        <f>IF('RAW IMPORT'!AY64&lt;&gt;"",1,0)</f>
        <v>1</v>
      </c>
      <c r="AZ74" s="142">
        <f>IF('RAW IMPORT'!AZ64&lt;&gt;"",1,0)</f>
        <v>1</v>
      </c>
      <c r="BA74" s="142">
        <f>IF('RAW IMPORT'!BA64&lt;&gt;"",1,0)</f>
        <v>1</v>
      </c>
      <c r="BB74" s="142">
        <f>IF('RAW IMPORT'!BB64&lt;&gt;"",1,0)</f>
        <v>1</v>
      </c>
      <c r="BC74" s="142">
        <f>IF('RAW IMPORT'!BC64&lt;&gt;"",1,0)</f>
        <v>0</v>
      </c>
      <c r="BD74" s="142">
        <f>IF('RAW IMPORT'!BD64&lt;&gt;"",1,0)</f>
        <v>1</v>
      </c>
      <c r="BE74" s="142">
        <f>IF('RAW IMPORT'!BE64&lt;&gt;"",1,0)</f>
        <v>1</v>
      </c>
      <c r="BF74" s="142">
        <f>IF('RAW IMPORT'!BF64&lt;&gt;"",1,0)</f>
        <v>0</v>
      </c>
      <c r="BG74" s="142">
        <f>IF('RAW IMPORT'!BG64&lt;&gt;"",1,0)</f>
        <v>1</v>
      </c>
      <c r="BH74" s="142">
        <f>IF('RAW IMPORT'!BH64&lt;&gt;"",1,0)</f>
        <v>1</v>
      </c>
      <c r="BI74" s="142">
        <f>IF('RAW IMPORT'!BI64&lt;&gt;"",1,0)</f>
        <v>1</v>
      </c>
      <c r="BJ74" s="142">
        <f>IF('RAW IMPORT'!BJ64&lt;&gt;"",1,0)</f>
        <v>1</v>
      </c>
      <c r="BK74" s="142">
        <f>IF('RAW IMPORT'!BK64&lt;&gt;"",1,0)</f>
        <v>1</v>
      </c>
      <c r="BL74" s="142">
        <f>IF('RAW IMPORT'!BL64&lt;&gt;"",1,0)</f>
        <v>1</v>
      </c>
      <c r="BM74" s="142">
        <f>'RAW IMPORT'!BM64</f>
        <v>1</v>
      </c>
      <c r="BN74" s="165">
        <f>'RAW IMPORT'!BN64</f>
        <v>0</v>
      </c>
      <c r="BO74" s="197" t="str">
        <f>'RAW IMPORT'!BO64</f>
        <v>x</v>
      </c>
      <c r="BP74" s="142" t="str">
        <f>'RAW IMPORT'!BP64</f>
        <v>PDF</v>
      </c>
      <c r="BQ74" s="141" t="str">
        <f>'RAW IMPORT'!BQ64</f>
        <v>GDL</v>
      </c>
      <c r="BR74" s="141">
        <f>'RAW IMPORT'!BR64</f>
        <v>2.5000000000000001E-2</v>
      </c>
      <c r="BS74" s="141">
        <f>'RAW IMPORT'!BS64</f>
        <v>0.13</v>
      </c>
      <c r="BT74" s="141">
        <f>'RAW IMPORT'!BT64</f>
        <v>0.06</v>
      </c>
      <c r="BU74" s="141">
        <f>'RAW IMPORT'!BU64</f>
        <v>1.2500000000000001E-2</v>
      </c>
      <c r="BV74" s="198">
        <f>'RAW IMPORT'!BV64</f>
        <v>0</v>
      </c>
      <c r="BW74" s="141">
        <f>'RAW IMPORT'!BW64</f>
        <v>40</v>
      </c>
      <c r="BX74" s="165">
        <f>'RAW IMPORT'!BX64</f>
        <v>0</v>
      </c>
      <c r="BY74" s="240"/>
      <c r="BZ74" s="126"/>
      <c r="CA74" s="143">
        <f t="shared" si="6"/>
        <v>60</v>
      </c>
      <c r="CB74" s="170">
        <f t="shared" ca="1" si="7"/>
        <v>79</v>
      </c>
      <c r="CC74" s="170" t="str">
        <f t="shared" ca="1" si="8"/>
        <v/>
      </c>
      <c r="CD74" s="204" t="str">
        <f t="shared" si="9"/>
        <v>"Model-8960 Forstner":
    RETURN</v>
      </c>
      <c r="CE74" s="170">
        <v>16</v>
      </c>
    </row>
    <row r="75" spans="1:83" ht="15" customHeight="1" x14ac:dyDescent="0.25">
      <c r="A75" s="138" t="str">
        <f>'RAW IMPORT'!A65</f>
        <v>OGRO by ARCHITECTS</v>
      </c>
      <c r="B75" s="139" t="str">
        <f>'RAW IMPORT'!B65</f>
        <v>8962 Braun Feldweg</v>
      </c>
      <c r="C75" s="142">
        <f>IF('RAW IMPORT'!C65&lt;&gt;"",1,0)</f>
        <v>1</v>
      </c>
      <c r="D75" s="142">
        <f>IF('RAW IMPORT'!D65&lt;&gt;"",1,0)</f>
        <v>1</v>
      </c>
      <c r="E75" s="142">
        <f>IF('RAW IMPORT'!E65&lt;&gt;"",1,0)</f>
        <v>0</v>
      </c>
      <c r="F75" s="142">
        <f>IF('RAW IMPORT'!F65&lt;&gt;"",1,0)</f>
        <v>0</v>
      </c>
      <c r="G75" s="142">
        <f>IF('RAW IMPORT'!G65&lt;&gt;"",1,0)</f>
        <v>0</v>
      </c>
      <c r="H75" s="142">
        <f>IF('RAW IMPORT'!H65&lt;&gt;"",1,0)</f>
        <v>0</v>
      </c>
      <c r="I75" s="142">
        <f>IF('RAW IMPORT'!I65&lt;&gt;"",1,0)</f>
        <v>0</v>
      </c>
      <c r="J75" s="142">
        <f>IF('RAW IMPORT'!J65&lt;&gt;"",1,0)</f>
        <v>0</v>
      </c>
      <c r="K75" s="142">
        <f>IF('RAW IMPORT'!K65&lt;&gt;"",1,0)</f>
        <v>0</v>
      </c>
      <c r="L75" s="142">
        <f>IF('RAW IMPORT'!L65&lt;&gt;"",1,0)</f>
        <v>0</v>
      </c>
      <c r="M75" s="142">
        <f>IF('RAW IMPORT'!M65&lt;&gt;"",1,0)</f>
        <v>0</v>
      </c>
      <c r="N75" s="165">
        <f>IF('RAW IMPORT'!N65&lt;&gt;"",1,0)</f>
        <v>0</v>
      </c>
      <c r="O75" s="167">
        <f>IF('RAW IMPORT'!O65&lt;&gt;"",1,0)</f>
        <v>0</v>
      </c>
      <c r="P75" s="142">
        <f>IF('RAW IMPORT'!P65&lt;&gt;"",1,0)</f>
        <v>0</v>
      </c>
      <c r="Q75" s="142">
        <f>IF('RAW IMPORT'!Q65&lt;&gt;"",1,0)</f>
        <v>0</v>
      </c>
      <c r="R75" s="138">
        <f>'RAW IMPORT'!R65</f>
        <v>0</v>
      </c>
      <c r="S75" s="138">
        <f>'RAW IMPORT'!S65</f>
        <v>7</v>
      </c>
      <c r="T75" s="138">
        <f>'RAW IMPORT'!T65</f>
        <v>5</v>
      </c>
      <c r="U75" s="138">
        <f>'RAW IMPORT'!U65</f>
        <v>0</v>
      </c>
      <c r="V75" s="138">
        <f>'RAW IMPORT'!V65</f>
        <v>0</v>
      </c>
      <c r="W75" s="138">
        <f>'RAW IMPORT'!W65</f>
        <v>0</v>
      </c>
      <c r="X75" s="138">
        <f>'RAW IMPORT'!X65</f>
        <v>0</v>
      </c>
      <c r="Y75" s="138">
        <f>'RAW IMPORT'!Y65</f>
        <v>0</v>
      </c>
      <c r="Z75" s="138">
        <f>'RAW IMPORT'!Z65</f>
        <v>0</v>
      </c>
      <c r="AA75" s="138">
        <f>'RAW IMPORT'!AA65</f>
        <v>0</v>
      </c>
      <c r="AB75" s="139">
        <f>'RAW IMPORT'!AB65</f>
        <v>0</v>
      </c>
      <c r="AC75" s="141">
        <f>'RAW IMPORT'!AC65</f>
        <v>4</v>
      </c>
      <c r="AD75" s="142">
        <f>'RAW IMPORT'!AD65</f>
        <v>7</v>
      </c>
      <c r="AE75" s="142">
        <f>'RAW IMPORT'!AE65</f>
        <v>0</v>
      </c>
      <c r="AF75" s="142">
        <f>IF('RAW IMPORT'!AF65="C1",3,IF('RAW IMPORT'!AF65="D1",4,0))</f>
        <v>4</v>
      </c>
      <c r="AG75" s="142">
        <f>'RAW IMPORT'!AG65</f>
        <v>1</v>
      </c>
      <c r="AH75" s="142">
        <f>'RAW IMPORT'!AH65</f>
        <v>5</v>
      </c>
      <c r="AI75" s="142">
        <f>IF('RAW IMPORT'!AI65="U",1,0)</f>
        <v>0</v>
      </c>
      <c r="AJ75" s="142">
        <f>IF('RAW IMPORT'!AJ65="A",1,0)</f>
        <v>1</v>
      </c>
      <c r="AK75" s="142">
        <f>IF('RAW IMPORT'!AK65="B",1,0)</f>
        <v>1</v>
      </c>
      <c r="AL75" s="142">
        <f>IF('RAW IMPORT'!AL65="U",1,0)</f>
        <v>1</v>
      </c>
      <c r="AM75" s="142">
        <f>IF('RAW IMPORT'!AM65&lt;&gt;"",1,0)</f>
        <v>1</v>
      </c>
      <c r="AN75" s="142">
        <f>IF('RAW IMPORT'!AN65&lt;&gt;"",1,0)</f>
        <v>1</v>
      </c>
      <c r="AO75" s="142">
        <f>IF('RAW IMPORT'!AO65&lt;&gt;"",1,0)</f>
        <v>1</v>
      </c>
      <c r="AP75" s="142">
        <f>IF('RAW IMPORT'!AP65&lt;&gt;"",1,0)</f>
        <v>1</v>
      </c>
      <c r="AQ75" s="142">
        <f>IF('RAW IMPORT'!AQ65&lt;&gt;"",1,0)</f>
        <v>1</v>
      </c>
      <c r="AR75" s="142">
        <f>IF('RAW IMPORT'!AR65&lt;&gt;"",1,0)</f>
        <v>1</v>
      </c>
      <c r="AS75" s="142">
        <f>IF('RAW IMPORT'!AS65&lt;&gt;"",1,0)</f>
        <v>1</v>
      </c>
      <c r="AT75" s="142">
        <f>IF('RAW IMPORT'!AT65&lt;&gt;"",1,0)</f>
        <v>1</v>
      </c>
      <c r="AU75" s="142">
        <f>IF('RAW IMPORT'!AU65&lt;&gt;"",1,0)</f>
        <v>0</v>
      </c>
      <c r="AV75" s="142">
        <f>IF('RAW IMPORT'!AV65&lt;&gt;"",1,0)</f>
        <v>1</v>
      </c>
      <c r="AW75" s="142">
        <f>IF('RAW IMPORT'!AW65&lt;&gt;"",1,0)</f>
        <v>1</v>
      </c>
      <c r="AX75" s="142">
        <f>IF('RAW IMPORT'!AX65&lt;&gt;"",1,0)</f>
        <v>1</v>
      </c>
      <c r="AY75" s="142">
        <f>IF('RAW IMPORT'!AY65&lt;&gt;"",1,0)</f>
        <v>1</v>
      </c>
      <c r="AZ75" s="142">
        <f>IF('RAW IMPORT'!AZ65&lt;&gt;"",1,0)</f>
        <v>1</v>
      </c>
      <c r="BA75" s="142">
        <f>IF('RAW IMPORT'!BA65&lt;&gt;"",1,0)</f>
        <v>1</v>
      </c>
      <c r="BB75" s="142">
        <f>IF('RAW IMPORT'!BB65&lt;&gt;"",1,0)</f>
        <v>1</v>
      </c>
      <c r="BC75" s="142">
        <f>IF('RAW IMPORT'!BC65&lt;&gt;"",1,0)</f>
        <v>0</v>
      </c>
      <c r="BD75" s="142">
        <f>IF('RAW IMPORT'!BD65&lt;&gt;"",1,0)</f>
        <v>1</v>
      </c>
      <c r="BE75" s="142">
        <f>IF('RAW IMPORT'!BE65&lt;&gt;"",1,0)</f>
        <v>1</v>
      </c>
      <c r="BF75" s="142">
        <f>IF('RAW IMPORT'!BF65&lt;&gt;"",1,0)</f>
        <v>0</v>
      </c>
      <c r="BG75" s="142">
        <f>IF('RAW IMPORT'!BG65&lt;&gt;"",1,0)</f>
        <v>1</v>
      </c>
      <c r="BH75" s="142">
        <f>IF('RAW IMPORT'!BH65&lt;&gt;"",1,0)</f>
        <v>1</v>
      </c>
      <c r="BI75" s="142">
        <f>IF('RAW IMPORT'!BI65&lt;&gt;"",1,0)</f>
        <v>1</v>
      </c>
      <c r="BJ75" s="142">
        <f>IF('RAW IMPORT'!BJ65&lt;&gt;"",1,0)</f>
        <v>1</v>
      </c>
      <c r="BK75" s="142">
        <f>IF('RAW IMPORT'!BK65&lt;&gt;"",1,0)</f>
        <v>1</v>
      </c>
      <c r="BL75" s="142">
        <f>IF('RAW IMPORT'!BL65&lt;&gt;"",1,0)</f>
        <v>1</v>
      </c>
      <c r="BM75" s="142">
        <f>'RAW IMPORT'!BM65</f>
        <v>1</v>
      </c>
      <c r="BN75" s="165">
        <f>'RAW IMPORT'!BN65</f>
        <v>0</v>
      </c>
      <c r="BO75" s="197">
        <f>'RAW IMPORT'!BO65</f>
        <v>0</v>
      </c>
      <c r="BP75" s="142" t="str">
        <f>'RAW IMPORT'!BP65</f>
        <v>PDF</v>
      </c>
      <c r="BQ75" s="141">
        <f>'RAW IMPORT'!BQ65</f>
        <v>0</v>
      </c>
      <c r="BR75" s="141">
        <f>'RAW IMPORT'!BR65</f>
        <v>2.4E-2</v>
      </c>
      <c r="BS75" s="141">
        <f>'RAW IMPORT'!BS65</f>
        <v>0.1195</v>
      </c>
      <c r="BT75" s="141">
        <f>'RAW IMPORT'!BT65</f>
        <v>7.2499999999999995E-2</v>
      </c>
      <c r="BU75" s="141">
        <f>'RAW IMPORT'!BU65</f>
        <v>1.2E-2</v>
      </c>
      <c r="BV75" s="198">
        <f>'RAW IMPORT'!BV65</f>
        <v>0</v>
      </c>
      <c r="BW75" s="141">
        <f>'RAW IMPORT'!BW65</f>
        <v>41</v>
      </c>
      <c r="BX75" s="165">
        <f>'RAW IMPORT'!BX65</f>
        <v>0</v>
      </c>
      <c r="BY75" s="240"/>
      <c r="BZ75" s="126"/>
      <c r="CA75" s="143">
        <f t="shared" si="6"/>
        <v>61</v>
      </c>
      <c r="CB75" s="170">
        <f t="shared" ca="1" si="7"/>
        <v>80</v>
      </c>
      <c r="CC75" s="170" t="str">
        <f t="shared" ca="1" si="8"/>
        <v/>
      </c>
      <c r="CD75" s="204" t="str">
        <f t="shared" si="9"/>
        <v>"Model-8962 Braun Feldweg":
    RETURN</v>
      </c>
      <c r="CE75" s="170"/>
    </row>
    <row r="76" spans="1:83" ht="15" customHeight="1" x14ac:dyDescent="0.25">
      <c r="A76" s="138" t="str">
        <f>'RAW IMPORT'!A66</f>
        <v>OGRO</v>
      </c>
      <c r="B76" s="139">
        <f>'RAW IMPORT'!B66</f>
        <v>8968</v>
      </c>
      <c r="C76" s="142">
        <f>IF('RAW IMPORT'!C66&lt;&gt;"",1,0)</f>
        <v>0</v>
      </c>
      <c r="D76" s="142">
        <f>IF('RAW IMPORT'!D66&lt;&gt;"",1,0)</f>
        <v>0</v>
      </c>
      <c r="E76" s="142">
        <f>IF('RAW IMPORT'!E66&lt;&gt;"",1,0)</f>
        <v>0</v>
      </c>
      <c r="F76" s="142">
        <f>IF('RAW IMPORT'!F66&lt;&gt;"",1,0)</f>
        <v>0</v>
      </c>
      <c r="G76" s="142">
        <f>IF('RAW IMPORT'!G66&lt;&gt;"",1,0)</f>
        <v>0</v>
      </c>
      <c r="H76" s="142">
        <f>IF('RAW IMPORT'!H66&lt;&gt;"",1,0)</f>
        <v>0</v>
      </c>
      <c r="I76" s="142">
        <f>IF('RAW IMPORT'!I66&lt;&gt;"",1,0)</f>
        <v>0</v>
      </c>
      <c r="J76" s="142">
        <f>IF('RAW IMPORT'!J66&lt;&gt;"",1,0)</f>
        <v>0</v>
      </c>
      <c r="K76" s="142">
        <f>IF('RAW IMPORT'!K66&lt;&gt;"",1,0)</f>
        <v>0</v>
      </c>
      <c r="L76" s="142">
        <f>IF('RAW IMPORT'!L66&lt;&gt;"",1,0)</f>
        <v>0</v>
      </c>
      <c r="M76" s="142">
        <f>IF('RAW IMPORT'!M66&lt;&gt;"",1,0)</f>
        <v>0</v>
      </c>
      <c r="N76" s="165">
        <f>IF('RAW IMPORT'!N66&lt;&gt;"",1,0)</f>
        <v>0</v>
      </c>
      <c r="O76" s="167">
        <f>IF('RAW IMPORT'!O66&lt;&gt;"",1,0)</f>
        <v>0</v>
      </c>
      <c r="P76" s="142">
        <f>IF('RAW IMPORT'!P66&lt;&gt;"",1,0)</f>
        <v>0</v>
      </c>
      <c r="Q76" s="142">
        <f>IF('RAW IMPORT'!Q66&lt;&gt;"",1,0)</f>
        <v>0</v>
      </c>
      <c r="R76" s="138">
        <f>'RAW IMPORT'!R66</f>
        <v>0</v>
      </c>
      <c r="S76" s="138">
        <f>'RAW IMPORT'!S66</f>
        <v>7</v>
      </c>
      <c r="T76" s="138">
        <f>'RAW IMPORT'!T66</f>
        <v>5</v>
      </c>
      <c r="U76" s="138">
        <f>'RAW IMPORT'!U66</f>
        <v>0</v>
      </c>
      <c r="V76" s="138">
        <f>'RAW IMPORT'!V66</f>
        <v>0</v>
      </c>
      <c r="W76" s="138">
        <f>'RAW IMPORT'!W66</f>
        <v>0</v>
      </c>
      <c r="X76" s="138">
        <f>'RAW IMPORT'!X66</f>
        <v>0</v>
      </c>
      <c r="Y76" s="138">
        <f>'RAW IMPORT'!Y66</f>
        <v>0</v>
      </c>
      <c r="Z76" s="138">
        <f>'RAW IMPORT'!Z66</f>
        <v>0</v>
      </c>
      <c r="AA76" s="138">
        <f>'RAW IMPORT'!AA66</f>
        <v>0</v>
      </c>
      <c r="AB76" s="139">
        <f>'RAW IMPORT'!AB66</f>
        <v>0</v>
      </c>
      <c r="AC76" s="141">
        <f>'RAW IMPORT'!AC66</f>
        <v>4</v>
      </c>
      <c r="AD76" s="142">
        <f>'RAW IMPORT'!AD66</f>
        <v>7</v>
      </c>
      <c r="AE76" s="142">
        <f>'RAW IMPORT'!AE66</f>
        <v>0</v>
      </c>
      <c r="AF76" s="142">
        <f>IF('RAW IMPORT'!AF66="C1",3,IF('RAW IMPORT'!AF66="D1",4,0))</f>
        <v>0</v>
      </c>
      <c r="AG76" s="142">
        <f>'RAW IMPORT'!AG66</f>
        <v>1</v>
      </c>
      <c r="AH76" s="142">
        <f>'RAW IMPORT'!AH66</f>
        <v>5</v>
      </c>
      <c r="AI76" s="142">
        <f>IF('RAW IMPORT'!AI66="U",1,0)</f>
        <v>0</v>
      </c>
      <c r="AJ76" s="142">
        <f>IF('RAW IMPORT'!AJ66="A",1,0)</f>
        <v>1</v>
      </c>
      <c r="AK76" s="142">
        <f>IF('RAW IMPORT'!AK66="B",1,0)</f>
        <v>1</v>
      </c>
      <c r="AL76" s="142">
        <f>IF('RAW IMPORT'!AL66="U",1,0)</f>
        <v>1</v>
      </c>
      <c r="AM76" s="142">
        <f>IF('RAW IMPORT'!AM66&lt;&gt;"",1,0)</f>
        <v>0</v>
      </c>
      <c r="AN76" s="142">
        <f>IF('RAW IMPORT'!AN66&lt;&gt;"",1,0)</f>
        <v>0</v>
      </c>
      <c r="AO76" s="142">
        <f>IF('RAW IMPORT'!AO66&lt;&gt;"",1,0)</f>
        <v>0</v>
      </c>
      <c r="AP76" s="142">
        <f>IF('RAW IMPORT'!AP66&lt;&gt;"",1,0)</f>
        <v>1</v>
      </c>
      <c r="AQ76" s="142">
        <f>IF('RAW IMPORT'!AQ66&lt;&gt;"",1,0)</f>
        <v>1</v>
      </c>
      <c r="AR76" s="142">
        <f>IF('RAW IMPORT'!AR66&lt;&gt;"",1,0)</f>
        <v>1</v>
      </c>
      <c r="AS76" s="142">
        <f>IF('RAW IMPORT'!AS66&lt;&gt;"",1,0)</f>
        <v>1</v>
      </c>
      <c r="AT76" s="142">
        <f>IF('RAW IMPORT'!AT66&lt;&gt;"",1,0)</f>
        <v>1</v>
      </c>
      <c r="AU76" s="142">
        <f>IF('RAW IMPORT'!AU66&lt;&gt;"",1,0)</f>
        <v>0</v>
      </c>
      <c r="AV76" s="142">
        <f>IF('RAW IMPORT'!AV66&lt;&gt;"",1,0)</f>
        <v>1</v>
      </c>
      <c r="AW76" s="142">
        <f>IF('RAW IMPORT'!AW66&lt;&gt;"",1,0)</f>
        <v>1</v>
      </c>
      <c r="AX76" s="142">
        <f>IF('RAW IMPORT'!AX66&lt;&gt;"",1,0)</f>
        <v>1</v>
      </c>
      <c r="AY76" s="142">
        <f>IF('RAW IMPORT'!AY66&lt;&gt;"",1,0)</f>
        <v>1</v>
      </c>
      <c r="AZ76" s="142">
        <f>IF('RAW IMPORT'!AZ66&lt;&gt;"",1,0)</f>
        <v>1</v>
      </c>
      <c r="BA76" s="142">
        <f>IF('RAW IMPORT'!BA66&lt;&gt;"",1,0)</f>
        <v>1</v>
      </c>
      <c r="BB76" s="142">
        <f>IF('RAW IMPORT'!BB66&lt;&gt;"",1,0)</f>
        <v>1</v>
      </c>
      <c r="BC76" s="142">
        <f>IF('RAW IMPORT'!BC66&lt;&gt;"",1,0)</f>
        <v>0</v>
      </c>
      <c r="BD76" s="142">
        <f>IF('RAW IMPORT'!BD66&lt;&gt;"",1,0)</f>
        <v>1</v>
      </c>
      <c r="BE76" s="142">
        <f>IF('RAW IMPORT'!BE66&lt;&gt;"",1,0)</f>
        <v>1</v>
      </c>
      <c r="BF76" s="142">
        <f>IF('RAW IMPORT'!BF66&lt;&gt;"",1,0)</f>
        <v>0</v>
      </c>
      <c r="BG76" s="142">
        <f>IF('RAW IMPORT'!BG66&lt;&gt;"",1,0)</f>
        <v>1</v>
      </c>
      <c r="BH76" s="142">
        <f>IF('RAW IMPORT'!BH66&lt;&gt;"",1,0)</f>
        <v>1</v>
      </c>
      <c r="BI76" s="142">
        <f>IF('RAW IMPORT'!BI66&lt;&gt;"",1,0)</f>
        <v>1</v>
      </c>
      <c r="BJ76" s="142">
        <f>IF('RAW IMPORT'!BJ66&lt;&gt;"",1,0)</f>
        <v>1</v>
      </c>
      <c r="BK76" s="142">
        <f>IF('RAW IMPORT'!BK66&lt;&gt;"",1,0)</f>
        <v>1</v>
      </c>
      <c r="BL76" s="142">
        <f>IF('RAW IMPORT'!BL66&lt;&gt;"",1,0)</f>
        <v>1</v>
      </c>
      <c r="BM76" s="142">
        <f>'RAW IMPORT'!BM66</f>
        <v>1</v>
      </c>
      <c r="BN76" s="165">
        <f>'RAW IMPORT'!BN66</f>
        <v>0</v>
      </c>
      <c r="BO76" s="197">
        <f>'RAW IMPORT'!BO66</f>
        <v>0</v>
      </c>
      <c r="BP76" s="142" t="str">
        <f>'RAW IMPORT'!BP66</f>
        <v>PDF</v>
      </c>
      <c r="BQ76" s="141">
        <f>'RAW IMPORT'!BQ66</f>
        <v>0</v>
      </c>
      <c r="BR76" s="141">
        <f>'RAW IMPORT'!BR66</f>
        <v>2.35E-2</v>
      </c>
      <c r="BS76" s="141">
        <f>'RAW IMPORT'!BS66</f>
        <v>0.126</v>
      </c>
      <c r="BT76" s="141">
        <f>'RAW IMPORT'!BT66</f>
        <v>6.4000000000000001E-2</v>
      </c>
      <c r="BU76" s="141">
        <f>'RAW IMPORT'!BU66</f>
        <v>1.175E-2</v>
      </c>
      <c r="BV76" s="198">
        <f>'RAW IMPORT'!BV66</f>
        <v>0</v>
      </c>
      <c r="BW76" s="141">
        <f>'RAW IMPORT'!BW66</f>
        <v>42</v>
      </c>
      <c r="BX76" s="165">
        <f>'RAW IMPORT'!BX66</f>
        <v>0</v>
      </c>
      <c r="BY76" s="240"/>
      <c r="BZ76" s="126"/>
      <c r="CA76" s="143">
        <f t="shared" si="6"/>
        <v>62</v>
      </c>
      <c r="CB76" s="170">
        <f t="shared" ca="1" si="7"/>
        <v>81</v>
      </c>
      <c r="CC76" s="170" t="str">
        <f t="shared" ca="1" si="8"/>
        <v/>
      </c>
      <c r="CD76" s="204" t="str">
        <f t="shared" si="9"/>
        <v>"Model-8968":
    RETURN</v>
      </c>
      <c r="CE76" s="170"/>
    </row>
    <row r="77" spans="1:83" ht="15" customHeight="1" x14ac:dyDescent="0.25">
      <c r="A77" s="138" t="str">
        <f>'RAW IMPORT'!A67</f>
        <v>OGRO by ARCHITECTS</v>
      </c>
      <c r="B77" s="139" t="str">
        <f>'RAW IMPORT'!B67</f>
        <v>8972 Wagenfeld</v>
      </c>
      <c r="C77" s="142">
        <f>IF('RAW IMPORT'!C67&lt;&gt;"",1,0)</f>
        <v>1</v>
      </c>
      <c r="D77" s="142">
        <f>IF('RAW IMPORT'!D67&lt;&gt;"",1,0)</f>
        <v>1</v>
      </c>
      <c r="E77" s="142">
        <f>IF('RAW IMPORT'!E67&lt;&gt;"",1,0)</f>
        <v>0</v>
      </c>
      <c r="F77" s="142">
        <f>IF('RAW IMPORT'!F67&lt;&gt;"",1,0)</f>
        <v>0</v>
      </c>
      <c r="G77" s="142">
        <f>IF('RAW IMPORT'!G67&lt;&gt;"",1,0)</f>
        <v>0</v>
      </c>
      <c r="H77" s="142">
        <f>IF('RAW IMPORT'!H67&lt;&gt;"",1,0)</f>
        <v>0</v>
      </c>
      <c r="I77" s="142">
        <f>IF('RAW IMPORT'!I67&lt;&gt;"",1,0)</f>
        <v>0</v>
      </c>
      <c r="J77" s="142">
        <f>IF('RAW IMPORT'!J67&lt;&gt;"",1,0)</f>
        <v>0</v>
      </c>
      <c r="K77" s="142">
        <f>IF('RAW IMPORT'!K67&lt;&gt;"",1,0)</f>
        <v>0</v>
      </c>
      <c r="L77" s="142">
        <f>IF('RAW IMPORT'!L67&lt;&gt;"",1,0)</f>
        <v>0</v>
      </c>
      <c r="M77" s="142">
        <f>IF('RAW IMPORT'!M67&lt;&gt;"",1,0)</f>
        <v>0</v>
      </c>
      <c r="N77" s="165">
        <f>IF('RAW IMPORT'!N67&lt;&gt;"",1,0)</f>
        <v>0</v>
      </c>
      <c r="O77" s="167">
        <f>IF('RAW IMPORT'!O67&lt;&gt;"",1,0)</f>
        <v>0</v>
      </c>
      <c r="P77" s="142">
        <f>IF('RAW IMPORT'!P67&lt;&gt;"",1,0)</f>
        <v>0</v>
      </c>
      <c r="Q77" s="142">
        <f>IF('RAW IMPORT'!Q67&lt;&gt;"",1,0)</f>
        <v>0</v>
      </c>
      <c r="R77" s="138">
        <f>'RAW IMPORT'!R67</f>
        <v>0</v>
      </c>
      <c r="S77" s="138">
        <f>'RAW IMPORT'!S67</f>
        <v>7</v>
      </c>
      <c r="T77" s="138">
        <f>'RAW IMPORT'!T67</f>
        <v>5</v>
      </c>
      <c r="U77" s="138">
        <f>'RAW IMPORT'!U67</f>
        <v>0</v>
      </c>
      <c r="V77" s="138">
        <f>'RAW IMPORT'!V67</f>
        <v>0</v>
      </c>
      <c r="W77" s="138">
        <f>'RAW IMPORT'!W67</f>
        <v>0</v>
      </c>
      <c r="X77" s="138">
        <f>'RAW IMPORT'!X67</f>
        <v>0</v>
      </c>
      <c r="Y77" s="138">
        <f>'RAW IMPORT'!Y67</f>
        <v>0</v>
      </c>
      <c r="Z77" s="138">
        <f>'RAW IMPORT'!Z67</f>
        <v>0</v>
      </c>
      <c r="AA77" s="138">
        <f>'RAW IMPORT'!AA67</f>
        <v>0</v>
      </c>
      <c r="AB77" s="139">
        <f>'RAW IMPORT'!AB67</f>
        <v>0</v>
      </c>
      <c r="AC77" s="141">
        <f>'RAW IMPORT'!AC67</f>
        <v>4</v>
      </c>
      <c r="AD77" s="142">
        <f>'RAW IMPORT'!AD67</f>
        <v>7</v>
      </c>
      <c r="AE77" s="142">
        <f>'RAW IMPORT'!AE67</f>
        <v>0</v>
      </c>
      <c r="AF77" s="142">
        <f>IF('RAW IMPORT'!AF67="C1",3,IF('RAW IMPORT'!AF67="D1",4,0))</f>
        <v>4</v>
      </c>
      <c r="AG77" s="142">
        <f>'RAW IMPORT'!AG67</f>
        <v>1</v>
      </c>
      <c r="AH77" s="142">
        <f>'RAW IMPORT'!AH67</f>
        <v>5</v>
      </c>
      <c r="AI77" s="142">
        <f>IF('RAW IMPORT'!AI67="U",1,0)</f>
        <v>0</v>
      </c>
      <c r="AJ77" s="142">
        <f>IF('RAW IMPORT'!AJ67="A",1,0)</f>
        <v>1</v>
      </c>
      <c r="AK77" s="142">
        <f>IF('RAW IMPORT'!AK67="B",1,0)</f>
        <v>1</v>
      </c>
      <c r="AL77" s="142">
        <f>IF('RAW IMPORT'!AL67="U",1,0)</f>
        <v>1</v>
      </c>
      <c r="AM77" s="142">
        <f>IF('RAW IMPORT'!AM67&lt;&gt;"",1,0)</f>
        <v>1</v>
      </c>
      <c r="AN77" s="142">
        <f>IF('RAW IMPORT'!AN67&lt;&gt;"",1,0)</f>
        <v>1</v>
      </c>
      <c r="AO77" s="142">
        <f>IF('RAW IMPORT'!AO67&lt;&gt;"",1,0)</f>
        <v>1</v>
      </c>
      <c r="AP77" s="142">
        <f>IF('RAW IMPORT'!AP67&lt;&gt;"",1,0)</f>
        <v>1</v>
      </c>
      <c r="AQ77" s="142">
        <f>IF('RAW IMPORT'!AQ67&lt;&gt;"",1,0)</f>
        <v>1</v>
      </c>
      <c r="AR77" s="142">
        <f>IF('RAW IMPORT'!AR67&lt;&gt;"",1,0)</f>
        <v>1</v>
      </c>
      <c r="AS77" s="142">
        <f>IF('RAW IMPORT'!AS67&lt;&gt;"",1,0)</f>
        <v>1</v>
      </c>
      <c r="AT77" s="142">
        <f>IF('RAW IMPORT'!AT67&lt;&gt;"",1,0)</f>
        <v>1</v>
      </c>
      <c r="AU77" s="142">
        <f>IF('RAW IMPORT'!AU67&lt;&gt;"",1,0)</f>
        <v>1</v>
      </c>
      <c r="AV77" s="142">
        <f>IF('RAW IMPORT'!AV67&lt;&gt;"",1,0)</f>
        <v>1</v>
      </c>
      <c r="AW77" s="142">
        <f>IF('RAW IMPORT'!AW67&lt;&gt;"",1,0)</f>
        <v>1</v>
      </c>
      <c r="AX77" s="142">
        <f>IF('RAW IMPORT'!AX67&lt;&gt;"",1,0)</f>
        <v>1</v>
      </c>
      <c r="AY77" s="142">
        <f>IF('RAW IMPORT'!AY67&lt;&gt;"",1,0)</f>
        <v>1</v>
      </c>
      <c r="AZ77" s="142">
        <f>IF('RAW IMPORT'!AZ67&lt;&gt;"",1,0)</f>
        <v>1</v>
      </c>
      <c r="BA77" s="142">
        <f>IF('RAW IMPORT'!BA67&lt;&gt;"",1,0)</f>
        <v>1</v>
      </c>
      <c r="BB77" s="142">
        <f>IF('RAW IMPORT'!BB67&lt;&gt;"",1,0)</f>
        <v>1</v>
      </c>
      <c r="BC77" s="142">
        <f>IF('RAW IMPORT'!BC67&lt;&gt;"",1,0)</f>
        <v>0</v>
      </c>
      <c r="BD77" s="142">
        <f>IF('RAW IMPORT'!BD67&lt;&gt;"",1,0)</f>
        <v>1</v>
      </c>
      <c r="BE77" s="142">
        <f>IF('RAW IMPORT'!BE67&lt;&gt;"",1,0)</f>
        <v>1</v>
      </c>
      <c r="BF77" s="142">
        <f>IF('RAW IMPORT'!BF67&lt;&gt;"",1,0)</f>
        <v>0</v>
      </c>
      <c r="BG77" s="142">
        <f>IF('RAW IMPORT'!BG67&lt;&gt;"",1,0)</f>
        <v>1</v>
      </c>
      <c r="BH77" s="142">
        <f>IF('RAW IMPORT'!BH67&lt;&gt;"",1,0)</f>
        <v>1</v>
      </c>
      <c r="BI77" s="142">
        <f>IF('RAW IMPORT'!BI67&lt;&gt;"",1,0)</f>
        <v>1</v>
      </c>
      <c r="BJ77" s="142">
        <f>IF('RAW IMPORT'!BJ67&lt;&gt;"",1,0)</f>
        <v>1</v>
      </c>
      <c r="BK77" s="142">
        <f>IF('RAW IMPORT'!BK67&lt;&gt;"",1,0)</f>
        <v>1</v>
      </c>
      <c r="BL77" s="142">
        <f>IF('RAW IMPORT'!BL67&lt;&gt;"",1,0)</f>
        <v>1</v>
      </c>
      <c r="BM77" s="142">
        <f>'RAW IMPORT'!BM67</f>
        <v>1</v>
      </c>
      <c r="BN77" s="165">
        <f>'RAW IMPORT'!BN67</f>
        <v>0</v>
      </c>
      <c r="BO77" s="197" t="str">
        <f>'RAW IMPORT'!BO67</f>
        <v>x</v>
      </c>
      <c r="BP77" s="142" t="str">
        <f>'RAW IMPORT'!BP67</f>
        <v>PDF</v>
      </c>
      <c r="BQ77" s="141" t="str">
        <f>'RAW IMPORT'!BQ67</f>
        <v>GDL</v>
      </c>
      <c r="BR77" s="141">
        <f>'RAW IMPORT'!BR67</f>
        <v>2.35E-2</v>
      </c>
      <c r="BS77" s="141">
        <f>'RAW IMPORT'!BS67</f>
        <v>0.124</v>
      </c>
      <c r="BT77" s="141">
        <f>'RAW IMPORT'!BT67</f>
        <v>5.3999999999999999E-2</v>
      </c>
      <c r="BU77" s="141">
        <f>'RAW IMPORT'!BU67</f>
        <v>1.175E-2</v>
      </c>
      <c r="BV77" s="198">
        <f>'RAW IMPORT'!BV67</f>
        <v>0</v>
      </c>
      <c r="BW77" s="141">
        <f>'RAW IMPORT'!BW67</f>
        <v>43</v>
      </c>
      <c r="BX77" s="165">
        <f>'RAW IMPORT'!BX67</f>
        <v>90</v>
      </c>
      <c r="BY77" s="240"/>
      <c r="BZ77" s="126"/>
      <c r="CA77" s="143">
        <f t="shared" si="6"/>
        <v>63</v>
      </c>
      <c r="CB77" s="170">
        <f t="shared" ca="1" si="7"/>
        <v>82</v>
      </c>
      <c r="CC77" s="170" t="str">
        <f t="shared" ca="1" si="8"/>
        <v/>
      </c>
      <c r="CD77" s="204" t="str">
        <f t="shared" si="9"/>
        <v>"Model-8972 Wagenfeld":
    RETURN</v>
      </c>
      <c r="CE77" s="170">
        <v>7</v>
      </c>
    </row>
    <row r="78" spans="1:83" ht="15" customHeight="1" x14ac:dyDescent="0.25">
      <c r="A78" s="138" t="str">
        <f>'RAW IMPORT'!A68</f>
        <v>OGRO by ARCHITECTS</v>
      </c>
      <c r="B78" s="139" t="str">
        <f>'RAW IMPORT'!B68</f>
        <v>8972A Wagenfeld</v>
      </c>
      <c r="C78" s="142">
        <f>IF('RAW IMPORT'!C68&lt;&gt;"",1,0)</f>
        <v>1</v>
      </c>
      <c r="D78" s="142">
        <f>IF('RAW IMPORT'!D68&lt;&gt;"",1,0)</f>
        <v>1</v>
      </c>
      <c r="E78" s="142">
        <f>IF('RAW IMPORT'!E68&lt;&gt;"",1,0)</f>
        <v>0</v>
      </c>
      <c r="F78" s="142">
        <f>IF('RAW IMPORT'!F68&lt;&gt;"",1,0)</f>
        <v>0</v>
      </c>
      <c r="G78" s="142">
        <f>IF('RAW IMPORT'!G68&lt;&gt;"",1,0)</f>
        <v>0</v>
      </c>
      <c r="H78" s="142">
        <f>IF('RAW IMPORT'!H68&lt;&gt;"",1,0)</f>
        <v>0</v>
      </c>
      <c r="I78" s="142">
        <f>IF('RAW IMPORT'!I68&lt;&gt;"",1,0)</f>
        <v>0</v>
      </c>
      <c r="J78" s="142">
        <f>IF('RAW IMPORT'!J68&lt;&gt;"",1,0)</f>
        <v>0</v>
      </c>
      <c r="K78" s="142">
        <f>IF('RAW IMPORT'!K68&lt;&gt;"",1,0)</f>
        <v>0</v>
      </c>
      <c r="L78" s="142">
        <f>IF('RAW IMPORT'!L68&lt;&gt;"",1,0)</f>
        <v>0</v>
      </c>
      <c r="M78" s="142">
        <f>IF('RAW IMPORT'!M68&lt;&gt;"",1,0)</f>
        <v>0</v>
      </c>
      <c r="N78" s="165">
        <f>IF('RAW IMPORT'!N68&lt;&gt;"",1,0)</f>
        <v>0</v>
      </c>
      <c r="O78" s="167">
        <f>IF('RAW IMPORT'!O68&lt;&gt;"",1,0)</f>
        <v>0</v>
      </c>
      <c r="P78" s="142">
        <f>IF('RAW IMPORT'!P68&lt;&gt;"",1,0)</f>
        <v>0</v>
      </c>
      <c r="Q78" s="142">
        <f>IF('RAW IMPORT'!Q68&lt;&gt;"",1,0)</f>
        <v>0</v>
      </c>
      <c r="R78" s="138">
        <f>'RAW IMPORT'!R68</f>
        <v>0</v>
      </c>
      <c r="S78" s="138">
        <f>'RAW IMPORT'!S68</f>
        <v>7</v>
      </c>
      <c r="T78" s="138">
        <f>'RAW IMPORT'!T68</f>
        <v>5</v>
      </c>
      <c r="U78" s="138">
        <f>'RAW IMPORT'!U68</f>
        <v>0</v>
      </c>
      <c r="V78" s="138">
        <f>'RAW IMPORT'!V68</f>
        <v>0</v>
      </c>
      <c r="W78" s="138">
        <f>'RAW IMPORT'!W68</f>
        <v>0</v>
      </c>
      <c r="X78" s="138">
        <f>'RAW IMPORT'!X68</f>
        <v>0</v>
      </c>
      <c r="Y78" s="138">
        <f>'RAW IMPORT'!Y68</f>
        <v>0</v>
      </c>
      <c r="Z78" s="138">
        <f>'RAW IMPORT'!Z68</f>
        <v>0</v>
      </c>
      <c r="AA78" s="138">
        <f>'RAW IMPORT'!AA68</f>
        <v>0</v>
      </c>
      <c r="AB78" s="139">
        <f>'RAW IMPORT'!AB68</f>
        <v>0</v>
      </c>
      <c r="AC78" s="141">
        <f>'RAW IMPORT'!AC68</f>
        <v>4</v>
      </c>
      <c r="AD78" s="142">
        <f>'RAW IMPORT'!AD68</f>
        <v>7</v>
      </c>
      <c r="AE78" s="142">
        <f>'RAW IMPORT'!AE68</f>
        <v>0</v>
      </c>
      <c r="AF78" s="142">
        <f>IF('RAW IMPORT'!AF68="C1",3,IF('RAW IMPORT'!AF68="D1",4,0))</f>
        <v>3</v>
      </c>
      <c r="AG78" s="142">
        <f>'RAW IMPORT'!AG68</f>
        <v>1</v>
      </c>
      <c r="AH78" s="142">
        <f>'RAW IMPORT'!AH68</f>
        <v>5</v>
      </c>
      <c r="AI78" s="142">
        <f>IF('RAW IMPORT'!AI68="U",1,0)</f>
        <v>0</v>
      </c>
      <c r="AJ78" s="142">
        <f>IF('RAW IMPORT'!AJ68="A",1,0)</f>
        <v>1</v>
      </c>
      <c r="AK78" s="142">
        <f>IF('RAW IMPORT'!AK68="B",1,0)</f>
        <v>1</v>
      </c>
      <c r="AL78" s="142">
        <f>IF('RAW IMPORT'!AL68="U",1,0)</f>
        <v>1</v>
      </c>
      <c r="AM78" s="142">
        <f>IF('RAW IMPORT'!AM68&lt;&gt;"",1,0)</f>
        <v>1</v>
      </c>
      <c r="AN78" s="142">
        <f>IF('RAW IMPORT'!AN68&lt;&gt;"",1,0)</f>
        <v>1</v>
      </c>
      <c r="AO78" s="142">
        <f>IF('RAW IMPORT'!AO68&lt;&gt;"",1,0)</f>
        <v>1</v>
      </c>
      <c r="AP78" s="142">
        <f>IF('RAW IMPORT'!AP68&lt;&gt;"",1,0)</f>
        <v>0</v>
      </c>
      <c r="AQ78" s="142">
        <f>IF('RAW IMPORT'!AQ68&lt;&gt;"",1,0)</f>
        <v>1</v>
      </c>
      <c r="AR78" s="142">
        <f>IF('RAW IMPORT'!AR68&lt;&gt;"",1,0)</f>
        <v>1</v>
      </c>
      <c r="AS78" s="142">
        <f>IF('RAW IMPORT'!AS68&lt;&gt;"",1,0)</f>
        <v>1</v>
      </c>
      <c r="AT78" s="142">
        <f>IF('RAW IMPORT'!AT68&lt;&gt;"",1,0)</f>
        <v>1</v>
      </c>
      <c r="AU78" s="142">
        <f>IF('RAW IMPORT'!AU68&lt;&gt;"",1,0)</f>
        <v>1</v>
      </c>
      <c r="AV78" s="142">
        <f>IF('RAW IMPORT'!AV68&lt;&gt;"",1,0)</f>
        <v>1</v>
      </c>
      <c r="AW78" s="142">
        <f>IF('RAW IMPORT'!AW68&lt;&gt;"",1,0)</f>
        <v>0</v>
      </c>
      <c r="AX78" s="142">
        <f>IF('RAW IMPORT'!AX68&lt;&gt;"",1,0)</f>
        <v>0</v>
      </c>
      <c r="AY78" s="142">
        <f>IF('RAW IMPORT'!AY68&lt;&gt;"",1,0)</f>
        <v>0</v>
      </c>
      <c r="AZ78" s="142">
        <f>IF('RAW IMPORT'!AZ68&lt;&gt;"",1,0)</f>
        <v>0</v>
      </c>
      <c r="BA78" s="142">
        <f>IF('RAW IMPORT'!BA68&lt;&gt;"",1,0)</f>
        <v>0</v>
      </c>
      <c r="BB78" s="142">
        <f>IF('RAW IMPORT'!BB68&lt;&gt;"",1,0)</f>
        <v>0</v>
      </c>
      <c r="BC78" s="142">
        <f>IF('RAW IMPORT'!BC68&lt;&gt;"",1,0)</f>
        <v>1</v>
      </c>
      <c r="BD78" s="142">
        <f>IF('RAW IMPORT'!BD68&lt;&gt;"",1,0)</f>
        <v>1</v>
      </c>
      <c r="BE78" s="142">
        <f>IF('RAW IMPORT'!BE68&lt;&gt;"",1,0)</f>
        <v>1</v>
      </c>
      <c r="BF78" s="142">
        <f>IF('RAW IMPORT'!BF68&lt;&gt;"",1,0)</f>
        <v>0</v>
      </c>
      <c r="BG78" s="142">
        <f>IF('RAW IMPORT'!BG68&lt;&gt;"",1,0)</f>
        <v>1</v>
      </c>
      <c r="BH78" s="142">
        <f>IF('RAW IMPORT'!BH68&lt;&gt;"",1,0)</f>
        <v>1</v>
      </c>
      <c r="BI78" s="142">
        <f>IF('RAW IMPORT'!BI68&lt;&gt;"",1,0)</f>
        <v>1</v>
      </c>
      <c r="BJ78" s="142">
        <f>IF('RAW IMPORT'!BJ68&lt;&gt;"",1,0)</f>
        <v>1</v>
      </c>
      <c r="BK78" s="142">
        <f>IF('RAW IMPORT'!BK68&lt;&gt;"",1,0)</f>
        <v>1</v>
      </c>
      <c r="BL78" s="142">
        <f>IF('RAW IMPORT'!BL68&lt;&gt;"",1,0)</f>
        <v>0</v>
      </c>
      <c r="BM78" s="142">
        <f>'RAW IMPORT'!BM68</f>
        <v>1</v>
      </c>
      <c r="BN78" s="165">
        <f>'RAW IMPORT'!BN68</f>
        <v>0</v>
      </c>
      <c r="BO78" s="197">
        <f>'RAW IMPORT'!BO68</f>
        <v>0</v>
      </c>
      <c r="BP78" s="142" t="str">
        <f>'RAW IMPORT'!BP68</f>
        <v>PDF</v>
      </c>
      <c r="BQ78" s="141">
        <f>'RAW IMPORT'!BQ68</f>
        <v>0</v>
      </c>
      <c r="BR78" s="141">
        <f>'RAW IMPORT'!BR68</f>
        <v>2.35E-2</v>
      </c>
      <c r="BS78" s="141">
        <f>'RAW IMPORT'!BS68</f>
        <v>0.14399999999999999</v>
      </c>
      <c r="BT78" s="141">
        <f>'RAW IMPORT'!BT68</f>
        <v>7.0999999999999994E-2</v>
      </c>
      <c r="BU78" s="141">
        <f>'RAW IMPORT'!BU68</f>
        <v>1.175E-2</v>
      </c>
      <c r="BV78" s="198">
        <f>'RAW IMPORT'!BV68</f>
        <v>0</v>
      </c>
      <c r="BW78" s="141">
        <f>'RAW IMPORT'!BW68</f>
        <v>0</v>
      </c>
      <c r="BX78" s="165">
        <f>'RAW IMPORT'!BX68</f>
        <v>91</v>
      </c>
      <c r="BY78" s="240"/>
      <c r="BZ78" s="126"/>
      <c r="CA78" s="143">
        <f t="shared" si="6"/>
        <v>64</v>
      </c>
      <c r="CB78" s="170">
        <f t="shared" ca="1" si="7"/>
        <v>83</v>
      </c>
      <c r="CC78" s="170" t="str">
        <f t="shared" ca="1" si="8"/>
        <v/>
      </c>
      <c r="CD78" s="204" t="str">
        <f t="shared" si="9"/>
        <v>"Model-8972A Wagenfeld":
    RETURN</v>
      </c>
      <c r="CE78" s="170"/>
    </row>
    <row r="79" spans="1:83" ht="15" customHeight="1" x14ac:dyDescent="0.25">
      <c r="A79" s="138" t="str">
        <f>'RAW IMPORT'!A69</f>
        <v>OGRO by ARCHITECTS</v>
      </c>
      <c r="B79" s="139" t="str">
        <f>'RAW IMPORT'!B69</f>
        <v>8974 Wagenfeld</v>
      </c>
      <c r="C79" s="142">
        <f>IF('RAW IMPORT'!C69&lt;&gt;"",1,0)</f>
        <v>0</v>
      </c>
      <c r="D79" s="142">
        <f>IF('RAW IMPORT'!D69&lt;&gt;"",1,0)</f>
        <v>0</v>
      </c>
      <c r="E79" s="142">
        <f>IF('RAW IMPORT'!E69&lt;&gt;"",1,0)</f>
        <v>0</v>
      </c>
      <c r="F79" s="142">
        <f>IF('RAW IMPORT'!F69&lt;&gt;"",1,0)</f>
        <v>0</v>
      </c>
      <c r="G79" s="142">
        <f>IF('RAW IMPORT'!G69&lt;&gt;"",1,0)</f>
        <v>0</v>
      </c>
      <c r="H79" s="142">
        <f>IF('RAW IMPORT'!H69&lt;&gt;"",1,0)</f>
        <v>0</v>
      </c>
      <c r="I79" s="142">
        <f>IF('RAW IMPORT'!I69&lt;&gt;"",1,0)</f>
        <v>0</v>
      </c>
      <c r="J79" s="142">
        <f>IF('RAW IMPORT'!J69&lt;&gt;"",1,0)</f>
        <v>0</v>
      </c>
      <c r="K79" s="142">
        <f>IF('RAW IMPORT'!K69&lt;&gt;"",1,0)</f>
        <v>0</v>
      </c>
      <c r="L79" s="142">
        <f>IF('RAW IMPORT'!L69&lt;&gt;"",1,0)</f>
        <v>0</v>
      </c>
      <c r="M79" s="142">
        <f>IF('RAW IMPORT'!M69&lt;&gt;"",1,0)</f>
        <v>0</v>
      </c>
      <c r="N79" s="165">
        <f>IF('RAW IMPORT'!N69&lt;&gt;"",1,0)</f>
        <v>0</v>
      </c>
      <c r="O79" s="167">
        <f>IF('RAW IMPORT'!O69&lt;&gt;"",1,0)</f>
        <v>0</v>
      </c>
      <c r="P79" s="142">
        <f>IF('RAW IMPORT'!P69&lt;&gt;"",1,0)</f>
        <v>0</v>
      </c>
      <c r="Q79" s="142">
        <f>IF('RAW IMPORT'!Q69&lt;&gt;"",1,0)</f>
        <v>0</v>
      </c>
      <c r="R79" s="138">
        <f>'RAW IMPORT'!R69</f>
        <v>0</v>
      </c>
      <c r="S79" s="138">
        <f>'RAW IMPORT'!S69</f>
        <v>7</v>
      </c>
      <c r="T79" s="138">
        <f>'RAW IMPORT'!T69</f>
        <v>5</v>
      </c>
      <c r="U79" s="138">
        <f>'RAW IMPORT'!U69</f>
        <v>0</v>
      </c>
      <c r="V79" s="138">
        <f>'RAW IMPORT'!V69</f>
        <v>0</v>
      </c>
      <c r="W79" s="138">
        <f>'RAW IMPORT'!W69</f>
        <v>0</v>
      </c>
      <c r="X79" s="138">
        <f>'RAW IMPORT'!X69</f>
        <v>0</v>
      </c>
      <c r="Y79" s="138">
        <f>'RAW IMPORT'!Y69</f>
        <v>0</v>
      </c>
      <c r="Z79" s="138">
        <f>'RAW IMPORT'!Z69</f>
        <v>0</v>
      </c>
      <c r="AA79" s="138">
        <f>'RAW IMPORT'!AA69</f>
        <v>0</v>
      </c>
      <c r="AB79" s="139">
        <f>'RAW IMPORT'!AB69</f>
        <v>0</v>
      </c>
      <c r="AC79" s="141">
        <f>'RAW IMPORT'!AC69</f>
        <v>4</v>
      </c>
      <c r="AD79" s="142">
        <f>'RAW IMPORT'!AD69</f>
        <v>7</v>
      </c>
      <c r="AE79" s="142">
        <f>'RAW IMPORT'!AE69</f>
        <v>0</v>
      </c>
      <c r="AF79" s="142">
        <f>IF('RAW IMPORT'!AF69="C1",3,IF('RAW IMPORT'!AF69="D1",4,0))</f>
        <v>0</v>
      </c>
      <c r="AG79" s="142">
        <f>'RAW IMPORT'!AG69</f>
        <v>1</v>
      </c>
      <c r="AH79" s="142">
        <f>'RAW IMPORT'!AH69</f>
        <v>5</v>
      </c>
      <c r="AI79" s="142">
        <f>IF('RAW IMPORT'!AI69="U",1,0)</f>
        <v>0</v>
      </c>
      <c r="AJ79" s="142">
        <f>IF('RAW IMPORT'!AJ69="A",1,0)</f>
        <v>1</v>
      </c>
      <c r="AK79" s="142">
        <f>IF('RAW IMPORT'!AK69="B",1,0)</f>
        <v>1</v>
      </c>
      <c r="AL79" s="142">
        <f>IF('RAW IMPORT'!AL69="U",1,0)</f>
        <v>1</v>
      </c>
      <c r="AM79" s="142">
        <f>IF('RAW IMPORT'!AM69&lt;&gt;"",1,0)</f>
        <v>0</v>
      </c>
      <c r="AN79" s="142">
        <f>IF('RAW IMPORT'!AN69&lt;&gt;"",1,0)</f>
        <v>0</v>
      </c>
      <c r="AO79" s="142">
        <f>IF('RAW IMPORT'!AO69&lt;&gt;"",1,0)</f>
        <v>0</v>
      </c>
      <c r="AP79" s="142">
        <f>IF('RAW IMPORT'!AP69&lt;&gt;"",1,0)</f>
        <v>1</v>
      </c>
      <c r="AQ79" s="142">
        <f>IF('RAW IMPORT'!AQ69&lt;&gt;"",1,0)</f>
        <v>1</v>
      </c>
      <c r="AR79" s="142">
        <f>IF('RAW IMPORT'!AR69&lt;&gt;"",1,0)</f>
        <v>1</v>
      </c>
      <c r="AS79" s="142">
        <f>IF('RAW IMPORT'!AS69&lt;&gt;"",1,0)</f>
        <v>1</v>
      </c>
      <c r="AT79" s="142">
        <f>IF('RAW IMPORT'!AT69&lt;&gt;"",1,0)</f>
        <v>1</v>
      </c>
      <c r="AU79" s="142">
        <f>IF('RAW IMPORT'!AU69&lt;&gt;"",1,0)</f>
        <v>0</v>
      </c>
      <c r="AV79" s="142">
        <f>IF('RAW IMPORT'!AV69&lt;&gt;"",1,0)</f>
        <v>1</v>
      </c>
      <c r="AW79" s="142">
        <f>IF('RAW IMPORT'!AW69&lt;&gt;"",1,0)</f>
        <v>1</v>
      </c>
      <c r="AX79" s="142">
        <f>IF('RAW IMPORT'!AX69&lt;&gt;"",1,0)</f>
        <v>1</v>
      </c>
      <c r="AY79" s="142">
        <f>IF('RAW IMPORT'!AY69&lt;&gt;"",1,0)</f>
        <v>1</v>
      </c>
      <c r="AZ79" s="142">
        <f>IF('RAW IMPORT'!AZ69&lt;&gt;"",1,0)</f>
        <v>1</v>
      </c>
      <c r="BA79" s="142">
        <f>IF('RAW IMPORT'!BA69&lt;&gt;"",1,0)</f>
        <v>1</v>
      </c>
      <c r="BB79" s="142">
        <f>IF('RAW IMPORT'!BB69&lt;&gt;"",1,0)</f>
        <v>1</v>
      </c>
      <c r="BC79" s="142">
        <f>IF('RAW IMPORT'!BC69&lt;&gt;"",1,0)</f>
        <v>0</v>
      </c>
      <c r="BD79" s="142">
        <f>IF('RAW IMPORT'!BD69&lt;&gt;"",1,0)</f>
        <v>1</v>
      </c>
      <c r="BE79" s="142">
        <f>IF('RAW IMPORT'!BE69&lt;&gt;"",1,0)</f>
        <v>1</v>
      </c>
      <c r="BF79" s="142">
        <f>IF('RAW IMPORT'!BF69&lt;&gt;"",1,0)</f>
        <v>0</v>
      </c>
      <c r="BG79" s="142">
        <f>IF('RAW IMPORT'!BG69&lt;&gt;"",1,0)</f>
        <v>1</v>
      </c>
      <c r="BH79" s="142">
        <f>IF('RAW IMPORT'!BH69&lt;&gt;"",1,0)</f>
        <v>1</v>
      </c>
      <c r="BI79" s="142">
        <f>IF('RAW IMPORT'!BI69&lt;&gt;"",1,0)</f>
        <v>1</v>
      </c>
      <c r="BJ79" s="142">
        <f>IF('RAW IMPORT'!BJ69&lt;&gt;"",1,0)</f>
        <v>1</v>
      </c>
      <c r="BK79" s="142">
        <f>IF('RAW IMPORT'!BK69&lt;&gt;"",1,0)</f>
        <v>1</v>
      </c>
      <c r="BL79" s="142">
        <f>IF('RAW IMPORT'!BL69&lt;&gt;"",1,0)</f>
        <v>1</v>
      </c>
      <c r="BM79" s="142">
        <f>'RAW IMPORT'!BM69</f>
        <v>1</v>
      </c>
      <c r="BN79" s="165">
        <f>'RAW IMPORT'!BN69</f>
        <v>0</v>
      </c>
      <c r="BO79" s="197">
        <f>'RAW IMPORT'!BO69</f>
        <v>0</v>
      </c>
      <c r="BP79" s="142" t="str">
        <f>'RAW IMPORT'!BP69</f>
        <v>PDF</v>
      </c>
      <c r="BQ79" s="141">
        <f>'RAW IMPORT'!BQ69</f>
        <v>0</v>
      </c>
      <c r="BR79" s="141">
        <f>'RAW IMPORT'!BR69</f>
        <v>2.35E-2</v>
      </c>
      <c r="BS79" s="141">
        <f>'RAW IMPORT'!BS69</f>
        <v>0.12</v>
      </c>
      <c r="BT79" s="141">
        <f>'RAW IMPORT'!BT69</f>
        <v>5.7000000000000002E-2</v>
      </c>
      <c r="BU79" s="141">
        <f>'RAW IMPORT'!BU69</f>
        <v>1.175E-2</v>
      </c>
      <c r="BV79" s="198">
        <f>'RAW IMPORT'!BV69</f>
        <v>0</v>
      </c>
      <c r="BW79" s="141">
        <f>'RAW IMPORT'!BW69</f>
        <v>44</v>
      </c>
      <c r="BX79" s="165">
        <f>'RAW IMPORT'!BX69</f>
        <v>0</v>
      </c>
      <c r="BY79" s="240"/>
      <c r="BZ79" s="126"/>
      <c r="CA79" s="143">
        <f t="shared" ref="CA79:CA102" si="10">ROW()-ROW($BZ$14)</f>
        <v>65</v>
      </c>
      <c r="CB79" s="170">
        <f t="shared" ca="1" si="7"/>
        <v>84</v>
      </c>
      <c r="CC79" s="170" t="str">
        <f t="shared" ca="1" si="8"/>
        <v/>
      </c>
      <c r="CD79" s="204" t="str">
        <f t="shared" ref="CD79:CD112" si="11">HK&amp;"Model-"&amp;B79&amp;HK&amp;":"&amp;CRLF&amp;TB&amp;"RETURN"</f>
        <v>"Model-8974 Wagenfeld":
    RETURN</v>
      </c>
      <c r="CE79" s="170"/>
    </row>
    <row r="80" spans="1:83" ht="15" customHeight="1" x14ac:dyDescent="0.25">
      <c r="A80" s="138" t="str">
        <f>'RAW IMPORT'!A70</f>
        <v>OGRO by ARCHITECTS</v>
      </c>
      <c r="B80" s="139" t="str">
        <f>'RAW IMPORT'!B70</f>
        <v>8990 Botti</v>
      </c>
      <c r="C80" s="142">
        <f>IF('RAW IMPORT'!C70&lt;&gt;"",1,0)</f>
        <v>1</v>
      </c>
      <c r="D80" s="142">
        <f>IF('RAW IMPORT'!D70&lt;&gt;"",1,0)</f>
        <v>1</v>
      </c>
      <c r="E80" s="142">
        <f>IF('RAW IMPORT'!E70&lt;&gt;"",1,0)</f>
        <v>0</v>
      </c>
      <c r="F80" s="142">
        <f>IF('RAW IMPORT'!F70&lt;&gt;"",1,0)</f>
        <v>0</v>
      </c>
      <c r="G80" s="142">
        <f>IF('RAW IMPORT'!G70&lt;&gt;"",1,0)</f>
        <v>0</v>
      </c>
      <c r="H80" s="142">
        <f>IF('RAW IMPORT'!H70&lt;&gt;"",1,0)</f>
        <v>0</v>
      </c>
      <c r="I80" s="142">
        <f>IF('RAW IMPORT'!I70&lt;&gt;"",1,0)</f>
        <v>0</v>
      </c>
      <c r="J80" s="142">
        <f>IF('RAW IMPORT'!J70&lt;&gt;"",1,0)</f>
        <v>0</v>
      </c>
      <c r="K80" s="142">
        <f>IF('RAW IMPORT'!K70&lt;&gt;"",1,0)</f>
        <v>0</v>
      </c>
      <c r="L80" s="142">
        <f>IF('RAW IMPORT'!L70&lt;&gt;"",1,0)</f>
        <v>0</v>
      </c>
      <c r="M80" s="142">
        <f>IF('RAW IMPORT'!M70&lt;&gt;"",1,0)</f>
        <v>0</v>
      </c>
      <c r="N80" s="165">
        <f>IF('RAW IMPORT'!N70&lt;&gt;"",1,0)</f>
        <v>0</v>
      </c>
      <c r="O80" s="167">
        <f>IF('RAW IMPORT'!O70&lt;&gt;"",1,0)</f>
        <v>0</v>
      </c>
      <c r="P80" s="142">
        <f>IF('RAW IMPORT'!P70&lt;&gt;"",1,0)</f>
        <v>0</v>
      </c>
      <c r="Q80" s="142">
        <f>IF('RAW IMPORT'!Q70&lt;&gt;"",1,0)</f>
        <v>0</v>
      </c>
      <c r="R80" s="138">
        <f>'RAW IMPORT'!R70</f>
        <v>0</v>
      </c>
      <c r="S80" s="138">
        <f>'RAW IMPORT'!S70</f>
        <v>7</v>
      </c>
      <c r="T80" s="138">
        <f>'RAW IMPORT'!T70</f>
        <v>5</v>
      </c>
      <c r="U80" s="138">
        <f>'RAW IMPORT'!U70</f>
        <v>0</v>
      </c>
      <c r="V80" s="138">
        <f>'RAW IMPORT'!V70</f>
        <v>0</v>
      </c>
      <c r="W80" s="138">
        <f>'RAW IMPORT'!W70</f>
        <v>0</v>
      </c>
      <c r="X80" s="138">
        <f>'RAW IMPORT'!X70</f>
        <v>0</v>
      </c>
      <c r="Y80" s="138">
        <f>'RAW IMPORT'!Y70</f>
        <v>0</v>
      </c>
      <c r="Z80" s="138">
        <f>'RAW IMPORT'!Z70</f>
        <v>0</v>
      </c>
      <c r="AA80" s="138">
        <f>'RAW IMPORT'!AA70</f>
        <v>0</v>
      </c>
      <c r="AB80" s="139">
        <f>'RAW IMPORT'!AB70</f>
        <v>0</v>
      </c>
      <c r="AC80" s="141">
        <f>'RAW IMPORT'!AC70</f>
        <v>4</v>
      </c>
      <c r="AD80" s="142">
        <f>'RAW IMPORT'!AD70</f>
        <v>7</v>
      </c>
      <c r="AE80" s="142">
        <f>'RAW IMPORT'!AE70</f>
        <v>0</v>
      </c>
      <c r="AF80" s="142">
        <f>IF('RAW IMPORT'!AF70="C1",3,IF('RAW IMPORT'!AF70="D1",4,0))</f>
        <v>3</v>
      </c>
      <c r="AG80" s="142">
        <f>'RAW IMPORT'!AG70</f>
        <v>1</v>
      </c>
      <c r="AH80" s="142">
        <f>'RAW IMPORT'!AH70</f>
        <v>5</v>
      </c>
      <c r="AI80" s="142">
        <f>IF('RAW IMPORT'!AI70="U",1,0)</f>
        <v>0</v>
      </c>
      <c r="AJ80" s="142">
        <f>IF('RAW IMPORT'!AJ70="A",1,0)</f>
        <v>1</v>
      </c>
      <c r="AK80" s="142">
        <f>IF('RAW IMPORT'!AK70="B",1,0)</f>
        <v>1</v>
      </c>
      <c r="AL80" s="142">
        <f>IF('RAW IMPORT'!AL70="U",1,0)</f>
        <v>1</v>
      </c>
      <c r="AM80" s="142">
        <f>IF('RAW IMPORT'!AM70&lt;&gt;"",1,0)</f>
        <v>1</v>
      </c>
      <c r="AN80" s="142">
        <f>IF('RAW IMPORT'!AN70&lt;&gt;"",1,0)</f>
        <v>1</v>
      </c>
      <c r="AO80" s="142">
        <f>IF('RAW IMPORT'!AO70&lt;&gt;"",1,0)</f>
        <v>1</v>
      </c>
      <c r="AP80" s="142">
        <f>IF('RAW IMPORT'!AP70&lt;&gt;"",1,0)</f>
        <v>0</v>
      </c>
      <c r="AQ80" s="142">
        <f>IF('RAW IMPORT'!AQ70&lt;&gt;"",1,0)</f>
        <v>1</v>
      </c>
      <c r="AR80" s="142">
        <f>IF('RAW IMPORT'!AR70&lt;&gt;"",1,0)</f>
        <v>1</v>
      </c>
      <c r="AS80" s="142">
        <f>IF('RAW IMPORT'!AS70&lt;&gt;"",1,0)</f>
        <v>1</v>
      </c>
      <c r="AT80" s="142">
        <f>IF('RAW IMPORT'!AT70&lt;&gt;"",1,0)</f>
        <v>1</v>
      </c>
      <c r="AU80" s="142">
        <f>IF('RAW IMPORT'!AU70&lt;&gt;"",1,0)</f>
        <v>1</v>
      </c>
      <c r="AV80" s="142">
        <f>IF('RAW IMPORT'!AV70&lt;&gt;"",1,0)</f>
        <v>1</v>
      </c>
      <c r="AW80" s="142">
        <f>IF('RAW IMPORT'!AW70&lt;&gt;"",1,0)</f>
        <v>1</v>
      </c>
      <c r="AX80" s="142">
        <f>IF('RAW IMPORT'!AX70&lt;&gt;"",1,0)</f>
        <v>1</v>
      </c>
      <c r="AY80" s="142">
        <f>IF('RAW IMPORT'!AY70&lt;&gt;"",1,0)</f>
        <v>1</v>
      </c>
      <c r="AZ80" s="142">
        <f>IF('RAW IMPORT'!AZ70&lt;&gt;"",1,0)</f>
        <v>1</v>
      </c>
      <c r="BA80" s="142">
        <f>IF('RAW IMPORT'!BA70&lt;&gt;"",1,0)</f>
        <v>1</v>
      </c>
      <c r="BB80" s="142">
        <f>IF('RAW IMPORT'!BB70&lt;&gt;"",1,0)</f>
        <v>1</v>
      </c>
      <c r="BC80" s="142">
        <f>IF('RAW IMPORT'!BC70&lt;&gt;"",1,0)</f>
        <v>0</v>
      </c>
      <c r="BD80" s="142">
        <f>IF('RAW IMPORT'!BD70&lt;&gt;"",1,0)</f>
        <v>1</v>
      </c>
      <c r="BE80" s="142">
        <f>IF('RAW IMPORT'!BE70&lt;&gt;"",1,0)</f>
        <v>1</v>
      </c>
      <c r="BF80" s="142">
        <f>IF('RAW IMPORT'!BF70&lt;&gt;"",1,0)</f>
        <v>0</v>
      </c>
      <c r="BG80" s="142">
        <f>IF('RAW IMPORT'!BG70&lt;&gt;"",1,0)</f>
        <v>1</v>
      </c>
      <c r="BH80" s="142">
        <f>IF('RAW IMPORT'!BH70&lt;&gt;"",1,0)</f>
        <v>1</v>
      </c>
      <c r="BI80" s="142">
        <f>IF('RAW IMPORT'!BI70&lt;&gt;"",1,0)</f>
        <v>1</v>
      </c>
      <c r="BJ80" s="142">
        <f>IF('RAW IMPORT'!BJ70&lt;&gt;"",1,0)</f>
        <v>1</v>
      </c>
      <c r="BK80" s="142">
        <f>IF('RAW IMPORT'!BK70&lt;&gt;"",1,0)</f>
        <v>1</v>
      </c>
      <c r="BL80" s="142">
        <f>IF('RAW IMPORT'!BL70&lt;&gt;"",1,0)</f>
        <v>1</v>
      </c>
      <c r="BM80" s="142">
        <f>'RAW IMPORT'!BM70</f>
        <v>1</v>
      </c>
      <c r="BN80" s="165">
        <f>'RAW IMPORT'!BN70</f>
        <v>0</v>
      </c>
      <c r="BO80" s="197" t="str">
        <f>'RAW IMPORT'!BO70</f>
        <v>x</v>
      </c>
      <c r="BP80" s="142" t="str">
        <f>'RAW IMPORT'!BP70</f>
        <v>PDF</v>
      </c>
      <c r="BQ80" s="141" t="str">
        <f>'RAW IMPORT'!BQ70</f>
        <v>GDL</v>
      </c>
      <c r="BR80" s="141">
        <f>'RAW IMPORT'!BR70</f>
        <v>2.1999999999999999E-2</v>
      </c>
      <c r="BS80" s="141">
        <f>'RAW IMPORT'!BS70</f>
        <v>0.13</v>
      </c>
      <c r="BT80" s="141">
        <f>'RAW IMPORT'!BT70</f>
        <v>5.1999999999999998E-2</v>
      </c>
      <c r="BU80" s="141">
        <f>'RAW IMPORT'!BU70</f>
        <v>1.0999999999999999E-2</v>
      </c>
      <c r="BV80" s="198">
        <f>'RAW IMPORT'!BV70</f>
        <v>0</v>
      </c>
      <c r="BW80" s="141">
        <f>'RAW IMPORT'!BW70</f>
        <v>45</v>
      </c>
      <c r="BX80" s="165">
        <f>'RAW IMPORT'!BX70</f>
        <v>0</v>
      </c>
      <c r="BY80" s="240"/>
      <c r="BZ80" s="126"/>
      <c r="CA80" s="143">
        <f t="shared" si="10"/>
        <v>66</v>
      </c>
      <c r="CB80" s="170">
        <f t="shared" ca="1" si="7"/>
        <v>85</v>
      </c>
      <c r="CC80" s="170" t="str">
        <f t="shared" ca="1" si="8"/>
        <v/>
      </c>
      <c r="CD80" s="204" t="str">
        <f t="shared" si="11"/>
        <v>"Model-8990 Botti":
    RETURN</v>
      </c>
      <c r="CE80" s="170">
        <v>12</v>
      </c>
    </row>
    <row r="81" spans="1:83" ht="15" customHeight="1" x14ac:dyDescent="0.25">
      <c r="A81" s="138" t="str">
        <f>'RAW IMPORT'!A71</f>
        <v>OGRO by ARCHITECTS</v>
      </c>
      <c r="B81" s="139" t="str">
        <f>'RAW IMPORT'!B71</f>
        <v>8991 Botti</v>
      </c>
      <c r="C81" s="142">
        <f>IF('RAW IMPORT'!C71&lt;&gt;"",1,0)</f>
        <v>1</v>
      </c>
      <c r="D81" s="142">
        <f>IF('RAW IMPORT'!D71&lt;&gt;"",1,0)</f>
        <v>1</v>
      </c>
      <c r="E81" s="142">
        <f>IF('RAW IMPORT'!E71&lt;&gt;"",1,0)</f>
        <v>0</v>
      </c>
      <c r="F81" s="142">
        <f>IF('RAW IMPORT'!F71&lt;&gt;"",1,0)</f>
        <v>0</v>
      </c>
      <c r="G81" s="142">
        <f>IF('RAW IMPORT'!G71&lt;&gt;"",1,0)</f>
        <v>0</v>
      </c>
      <c r="H81" s="142">
        <f>IF('RAW IMPORT'!H71&lt;&gt;"",1,0)</f>
        <v>0</v>
      </c>
      <c r="I81" s="142">
        <f>IF('RAW IMPORT'!I71&lt;&gt;"",1,0)</f>
        <v>0</v>
      </c>
      <c r="J81" s="142">
        <f>IF('RAW IMPORT'!J71&lt;&gt;"",1,0)</f>
        <v>0</v>
      </c>
      <c r="K81" s="142">
        <f>IF('RAW IMPORT'!K71&lt;&gt;"",1,0)</f>
        <v>0</v>
      </c>
      <c r="L81" s="142">
        <f>IF('RAW IMPORT'!L71&lt;&gt;"",1,0)</f>
        <v>0</v>
      </c>
      <c r="M81" s="142">
        <f>IF('RAW IMPORT'!M71&lt;&gt;"",1,0)</f>
        <v>0</v>
      </c>
      <c r="N81" s="165">
        <f>IF('RAW IMPORT'!N71&lt;&gt;"",1,0)</f>
        <v>0</v>
      </c>
      <c r="O81" s="167">
        <f>IF('RAW IMPORT'!O71&lt;&gt;"",1,0)</f>
        <v>1</v>
      </c>
      <c r="P81" s="142">
        <f>IF('RAW IMPORT'!P71&lt;&gt;"",1,0)</f>
        <v>0</v>
      </c>
      <c r="Q81" s="142">
        <f>IF('RAW IMPORT'!Q71&lt;&gt;"",1,0)</f>
        <v>0</v>
      </c>
      <c r="R81" s="138">
        <f>'RAW IMPORT'!R71</f>
        <v>0</v>
      </c>
      <c r="S81" s="138">
        <f>'RAW IMPORT'!S71</f>
        <v>7</v>
      </c>
      <c r="T81" s="138">
        <f>'RAW IMPORT'!T71</f>
        <v>5</v>
      </c>
      <c r="U81" s="138">
        <f>'RAW IMPORT'!U71</f>
        <v>0</v>
      </c>
      <c r="V81" s="138">
        <f>'RAW IMPORT'!V71</f>
        <v>0</v>
      </c>
      <c r="W81" s="138">
        <f>'RAW IMPORT'!W71</f>
        <v>0</v>
      </c>
      <c r="X81" s="138">
        <f>'RAW IMPORT'!X71</f>
        <v>0</v>
      </c>
      <c r="Y81" s="138">
        <f>'RAW IMPORT'!Y71</f>
        <v>0</v>
      </c>
      <c r="Z81" s="138">
        <f>'RAW IMPORT'!Z71</f>
        <v>0</v>
      </c>
      <c r="AA81" s="138">
        <f>'RAW IMPORT'!AA71</f>
        <v>0</v>
      </c>
      <c r="AB81" s="139">
        <f>'RAW IMPORT'!AB71</f>
        <v>0</v>
      </c>
      <c r="AC81" s="141">
        <f>'RAW IMPORT'!AC71</f>
        <v>4</v>
      </c>
      <c r="AD81" s="142">
        <f>'RAW IMPORT'!AD71</f>
        <v>7</v>
      </c>
      <c r="AE81" s="142">
        <f>'RAW IMPORT'!AE71</f>
        <v>0</v>
      </c>
      <c r="AF81" s="142">
        <f>IF('RAW IMPORT'!AF71="C1",3,IF('RAW IMPORT'!AF71="D1",4,0))</f>
        <v>3</v>
      </c>
      <c r="AG81" s="142">
        <f>'RAW IMPORT'!AG71</f>
        <v>1</v>
      </c>
      <c r="AH81" s="142">
        <f>'RAW IMPORT'!AH71</f>
        <v>5</v>
      </c>
      <c r="AI81" s="142">
        <f>IF('RAW IMPORT'!AI71="U",1,0)</f>
        <v>0</v>
      </c>
      <c r="AJ81" s="142">
        <f>IF('RAW IMPORT'!AJ71="A",1,0)</f>
        <v>1</v>
      </c>
      <c r="AK81" s="142">
        <f>IF('RAW IMPORT'!AK71="B",1,0)</f>
        <v>1</v>
      </c>
      <c r="AL81" s="142">
        <f>IF('RAW IMPORT'!AL71="U",1,0)</f>
        <v>1</v>
      </c>
      <c r="AM81" s="142">
        <f>IF('RAW IMPORT'!AM71&lt;&gt;"",1,0)</f>
        <v>1</v>
      </c>
      <c r="AN81" s="142">
        <f>IF('RAW IMPORT'!AN71&lt;&gt;"",1,0)</f>
        <v>1</v>
      </c>
      <c r="AO81" s="142">
        <f>IF('RAW IMPORT'!AO71&lt;&gt;"",1,0)</f>
        <v>1</v>
      </c>
      <c r="AP81" s="142">
        <f>IF('RAW IMPORT'!AP71&lt;&gt;"",1,0)</f>
        <v>0</v>
      </c>
      <c r="AQ81" s="142">
        <f>IF('RAW IMPORT'!AQ71&lt;&gt;"",1,0)</f>
        <v>1</v>
      </c>
      <c r="AR81" s="142">
        <f>IF('RAW IMPORT'!AR71&lt;&gt;"",1,0)</f>
        <v>1</v>
      </c>
      <c r="AS81" s="142">
        <f>IF('RAW IMPORT'!AS71&lt;&gt;"",1,0)</f>
        <v>1</v>
      </c>
      <c r="AT81" s="142">
        <f>IF('RAW IMPORT'!AT71&lt;&gt;"",1,0)</f>
        <v>1</v>
      </c>
      <c r="AU81" s="142">
        <f>IF('RAW IMPORT'!AU71&lt;&gt;"",1,0)</f>
        <v>1</v>
      </c>
      <c r="AV81" s="142">
        <f>IF('RAW IMPORT'!AV71&lt;&gt;"",1,0)</f>
        <v>1</v>
      </c>
      <c r="AW81" s="142">
        <f>IF('RAW IMPORT'!AW71&lt;&gt;"",1,0)</f>
        <v>1</v>
      </c>
      <c r="AX81" s="142">
        <f>IF('RAW IMPORT'!AX71&lt;&gt;"",1,0)</f>
        <v>1</v>
      </c>
      <c r="AY81" s="142">
        <f>IF('RAW IMPORT'!AY71&lt;&gt;"",1,0)</f>
        <v>1</v>
      </c>
      <c r="AZ81" s="142">
        <f>IF('RAW IMPORT'!AZ71&lt;&gt;"",1,0)</f>
        <v>1</v>
      </c>
      <c r="BA81" s="142">
        <f>IF('RAW IMPORT'!BA71&lt;&gt;"",1,0)</f>
        <v>1</v>
      </c>
      <c r="BB81" s="142">
        <f>IF('RAW IMPORT'!BB71&lt;&gt;"",1,0)</f>
        <v>1</v>
      </c>
      <c r="BC81" s="142">
        <f>IF('RAW IMPORT'!BC71&lt;&gt;"",1,0)</f>
        <v>0</v>
      </c>
      <c r="BD81" s="142">
        <f>IF('RAW IMPORT'!BD71&lt;&gt;"",1,0)</f>
        <v>1</v>
      </c>
      <c r="BE81" s="142">
        <f>IF('RAW IMPORT'!BE71&lt;&gt;"",1,0)</f>
        <v>1</v>
      </c>
      <c r="BF81" s="142">
        <f>IF('RAW IMPORT'!BF71&lt;&gt;"",1,0)</f>
        <v>0</v>
      </c>
      <c r="BG81" s="142">
        <f>IF('RAW IMPORT'!BG71&lt;&gt;"",1,0)</f>
        <v>1</v>
      </c>
      <c r="BH81" s="142">
        <f>IF('RAW IMPORT'!BH71&lt;&gt;"",1,0)</f>
        <v>1</v>
      </c>
      <c r="BI81" s="142">
        <f>IF('RAW IMPORT'!BI71&lt;&gt;"",1,0)</f>
        <v>1</v>
      </c>
      <c r="BJ81" s="142">
        <f>IF('RAW IMPORT'!BJ71&lt;&gt;"",1,0)</f>
        <v>1</v>
      </c>
      <c r="BK81" s="142">
        <f>IF('RAW IMPORT'!BK71&lt;&gt;"",1,0)</f>
        <v>1</v>
      </c>
      <c r="BL81" s="142">
        <f>IF('RAW IMPORT'!BL71&lt;&gt;"",1,0)</f>
        <v>1</v>
      </c>
      <c r="BM81" s="142">
        <f>'RAW IMPORT'!BM71</f>
        <v>1</v>
      </c>
      <c r="BN81" s="165">
        <f>'RAW IMPORT'!BN71</f>
        <v>0</v>
      </c>
      <c r="BO81" s="197" t="str">
        <f>'RAW IMPORT'!BO71</f>
        <v>x</v>
      </c>
      <c r="BP81" s="142" t="str">
        <f>'RAW IMPORT'!BP71</f>
        <v>PDF</v>
      </c>
      <c r="BQ81" s="141" t="str">
        <f>'RAW IMPORT'!BQ71</f>
        <v>GDL</v>
      </c>
      <c r="BR81" s="141">
        <f>'RAW IMPORT'!BR71</f>
        <v>2.1999999999999999E-2</v>
      </c>
      <c r="BS81" s="141">
        <f>'RAW IMPORT'!BS71</f>
        <v>0.13600000000000001</v>
      </c>
      <c r="BT81" s="141">
        <f>'RAW IMPORT'!BT71</f>
        <v>5.0999999999999997E-2</v>
      </c>
      <c r="BU81" s="141">
        <f>'RAW IMPORT'!BU71</f>
        <v>1.0999999999999999E-2</v>
      </c>
      <c r="BV81" s="198">
        <f>'RAW IMPORT'!BV71</f>
        <v>0</v>
      </c>
      <c r="BW81" s="141">
        <f>'RAW IMPORT'!BW71</f>
        <v>46</v>
      </c>
      <c r="BX81" s="165">
        <f>'RAW IMPORT'!BX71</f>
        <v>92</v>
      </c>
      <c r="BY81" s="240"/>
      <c r="BZ81" s="126"/>
      <c r="CA81" s="143">
        <f t="shared" si="10"/>
        <v>67</v>
      </c>
      <c r="CB81" s="170">
        <f t="shared" ca="1" si="7"/>
        <v>86</v>
      </c>
      <c r="CC81" s="170" t="str">
        <f t="shared" ca="1" si="8"/>
        <v/>
      </c>
      <c r="CD81" s="204" t="str">
        <f t="shared" si="11"/>
        <v>"Model-8991 Botti":
    RETURN</v>
      </c>
      <c r="CE81" s="170">
        <v>13</v>
      </c>
    </row>
    <row r="82" spans="1:83" ht="15" customHeight="1" x14ac:dyDescent="0.25">
      <c r="A82" s="138" t="str">
        <f>'RAW IMPORT'!A72</f>
        <v>OGRO by ARCHITECTS</v>
      </c>
      <c r="B82" s="139" t="str">
        <f>'RAW IMPORT'!B72</f>
        <v>8991A Botti</v>
      </c>
      <c r="C82" s="142">
        <f>IF('RAW IMPORT'!C72&lt;&gt;"",1,0)</f>
        <v>1</v>
      </c>
      <c r="D82" s="142">
        <f>IF('RAW IMPORT'!D72&lt;&gt;"",1,0)</f>
        <v>1</v>
      </c>
      <c r="E82" s="142">
        <f>IF('RAW IMPORT'!E72&lt;&gt;"",1,0)</f>
        <v>0</v>
      </c>
      <c r="F82" s="142">
        <f>IF('RAW IMPORT'!F72&lt;&gt;"",1,0)</f>
        <v>0</v>
      </c>
      <c r="G82" s="142">
        <f>IF('RAW IMPORT'!G72&lt;&gt;"",1,0)</f>
        <v>0</v>
      </c>
      <c r="H82" s="142">
        <f>IF('RAW IMPORT'!H72&lt;&gt;"",1,0)</f>
        <v>0</v>
      </c>
      <c r="I82" s="142">
        <f>IF('RAW IMPORT'!I72&lt;&gt;"",1,0)</f>
        <v>0</v>
      </c>
      <c r="J82" s="142">
        <f>IF('RAW IMPORT'!J72&lt;&gt;"",1,0)</f>
        <v>0</v>
      </c>
      <c r="K82" s="142">
        <f>IF('RAW IMPORT'!K72&lt;&gt;"",1,0)</f>
        <v>0</v>
      </c>
      <c r="L82" s="142">
        <f>IF('RAW IMPORT'!L72&lt;&gt;"",1,0)</f>
        <v>0</v>
      </c>
      <c r="M82" s="142">
        <f>IF('RAW IMPORT'!M72&lt;&gt;"",1,0)</f>
        <v>0</v>
      </c>
      <c r="N82" s="165">
        <f>IF('RAW IMPORT'!N72&lt;&gt;"",1,0)</f>
        <v>0</v>
      </c>
      <c r="O82" s="167">
        <f>IF('RAW IMPORT'!O72&lt;&gt;"",1,0)</f>
        <v>1</v>
      </c>
      <c r="P82" s="142">
        <f>IF('RAW IMPORT'!P72&lt;&gt;"",1,0)</f>
        <v>0</v>
      </c>
      <c r="Q82" s="142">
        <f>IF('RAW IMPORT'!Q72&lt;&gt;"",1,0)</f>
        <v>0</v>
      </c>
      <c r="R82" s="138">
        <f>'RAW IMPORT'!R72</f>
        <v>0</v>
      </c>
      <c r="S82" s="138">
        <f>'RAW IMPORT'!S72</f>
        <v>7</v>
      </c>
      <c r="T82" s="138">
        <f>'RAW IMPORT'!T72</f>
        <v>5</v>
      </c>
      <c r="U82" s="138">
        <f>'RAW IMPORT'!U72</f>
        <v>0</v>
      </c>
      <c r="V82" s="138">
        <f>'RAW IMPORT'!V72</f>
        <v>0</v>
      </c>
      <c r="W82" s="138">
        <f>'RAW IMPORT'!W72</f>
        <v>0</v>
      </c>
      <c r="X82" s="138">
        <f>'RAW IMPORT'!X72</f>
        <v>0</v>
      </c>
      <c r="Y82" s="138">
        <f>'RAW IMPORT'!Y72</f>
        <v>0</v>
      </c>
      <c r="Z82" s="138">
        <f>'RAW IMPORT'!Z72</f>
        <v>0</v>
      </c>
      <c r="AA82" s="138">
        <f>'RAW IMPORT'!AA72</f>
        <v>0</v>
      </c>
      <c r="AB82" s="139">
        <f>'RAW IMPORT'!AB72</f>
        <v>0</v>
      </c>
      <c r="AC82" s="141">
        <f>'RAW IMPORT'!AC72</f>
        <v>4</v>
      </c>
      <c r="AD82" s="142">
        <f>'RAW IMPORT'!AD72</f>
        <v>7</v>
      </c>
      <c r="AE82" s="142">
        <f>'RAW IMPORT'!AE72</f>
        <v>0</v>
      </c>
      <c r="AF82" s="142">
        <f>IF('RAW IMPORT'!AF72="C1",3,IF('RAW IMPORT'!AF72="D1",4,0))</f>
        <v>3</v>
      </c>
      <c r="AG82" s="142">
        <f>'RAW IMPORT'!AG72</f>
        <v>1</v>
      </c>
      <c r="AH82" s="142">
        <f>'RAW IMPORT'!AH72</f>
        <v>5</v>
      </c>
      <c r="AI82" s="142">
        <f>IF('RAW IMPORT'!AI72="U",1,0)</f>
        <v>0</v>
      </c>
      <c r="AJ82" s="142">
        <f>IF('RAW IMPORT'!AJ72="A",1,0)</f>
        <v>1</v>
      </c>
      <c r="AK82" s="142">
        <f>IF('RAW IMPORT'!AK72="B",1,0)</f>
        <v>1</v>
      </c>
      <c r="AL82" s="142">
        <f>IF('RAW IMPORT'!AL72="U",1,0)</f>
        <v>1</v>
      </c>
      <c r="AM82" s="142">
        <f>IF('RAW IMPORT'!AM72&lt;&gt;"",1,0)</f>
        <v>1</v>
      </c>
      <c r="AN82" s="142">
        <f>IF('RAW IMPORT'!AN72&lt;&gt;"",1,0)</f>
        <v>1</v>
      </c>
      <c r="AO82" s="142">
        <f>IF('RAW IMPORT'!AO72&lt;&gt;"",1,0)</f>
        <v>1</v>
      </c>
      <c r="AP82" s="142">
        <f>IF('RAW IMPORT'!AP72&lt;&gt;"",1,0)</f>
        <v>0</v>
      </c>
      <c r="AQ82" s="142">
        <f>IF('RAW IMPORT'!AQ72&lt;&gt;"",1,0)</f>
        <v>1</v>
      </c>
      <c r="AR82" s="142">
        <f>IF('RAW IMPORT'!AR72&lt;&gt;"",1,0)</f>
        <v>1</v>
      </c>
      <c r="AS82" s="142">
        <f>IF('RAW IMPORT'!AS72&lt;&gt;"",1,0)</f>
        <v>1</v>
      </c>
      <c r="AT82" s="142">
        <f>IF('RAW IMPORT'!AT72&lt;&gt;"",1,0)</f>
        <v>1</v>
      </c>
      <c r="AU82" s="142">
        <f>IF('RAW IMPORT'!AU72&lt;&gt;"",1,0)</f>
        <v>1</v>
      </c>
      <c r="AV82" s="142">
        <f>IF('RAW IMPORT'!AV72&lt;&gt;"",1,0)</f>
        <v>1</v>
      </c>
      <c r="AW82" s="142">
        <f>IF('RAW IMPORT'!AW72&lt;&gt;"",1,0)</f>
        <v>0</v>
      </c>
      <c r="AX82" s="142">
        <f>IF('RAW IMPORT'!AX72&lt;&gt;"",1,0)</f>
        <v>0</v>
      </c>
      <c r="AY82" s="142">
        <f>IF('RAW IMPORT'!AY72&lt;&gt;"",1,0)</f>
        <v>0</v>
      </c>
      <c r="AZ82" s="142">
        <f>IF('RAW IMPORT'!AZ72&lt;&gt;"",1,0)</f>
        <v>0</v>
      </c>
      <c r="BA82" s="142">
        <f>IF('RAW IMPORT'!BA72&lt;&gt;"",1,0)</f>
        <v>0</v>
      </c>
      <c r="BB82" s="142">
        <f>IF('RAW IMPORT'!BB72&lt;&gt;"",1,0)</f>
        <v>0</v>
      </c>
      <c r="BC82" s="142">
        <f>IF('RAW IMPORT'!BC72&lt;&gt;"",1,0)</f>
        <v>1</v>
      </c>
      <c r="BD82" s="142">
        <f>IF('RAW IMPORT'!BD72&lt;&gt;"",1,0)</f>
        <v>1</v>
      </c>
      <c r="BE82" s="142">
        <f>IF('RAW IMPORT'!BE72&lt;&gt;"",1,0)</f>
        <v>1</v>
      </c>
      <c r="BF82" s="142">
        <f>IF('RAW IMPORT'!BF72&lt;&gt;"",1,0)</f>
        <v>0</v>
      </c>
      <c r="BG82" s="142">
        <f>IF('RAW IMPORT'!BG72&lt;&gt;"",1,0)</f>
        <v>1</v>
      </c>
      <c r="BH82" s="142">
        <f>IF('RAW IMPORT'!BH72&lt;&gt;"",1,0)</f>
        <v>1</v>
      </c>
      <c r="BI82" s="142">
        <f>IF('RAW IMPORT'!BI72&lt;&gt;"",1,0)</f>
        <v>1</v>
      </c>
      <c r="BJ82" s="142">
        <f>IF('RAW IMPORT'!BJ72&lt;&gt;"",1,0)</f>
        <v>1</v>
      </c>
      <c r="BK82" s="142">
        <f>IF('RAW IMPORT'!BK72&lt;&gt;"",1,0)</f>
        <v>1</v>
      </c>
      <c r="BL82" s="142">
        <f>IF('RAW IMPORT'!BL72&lt;&gt;"",1,0)</f>
        <v>0</v>
      </c>
      <c r="BM82" s="142">
        <f>'RAW IMPORT'!BM72</f>
        <v>1</v>
      </c>
      <c r="BN82" s="165">
        <f>'RAW IMPORT'!BN72</f>
        <v>0</v>
      </c>
      <c r="BO82" s="197">
        <f>'RAW IMPORT'!BO72</f>
        <v>0</v>
      </c>
      <c r="BP82" s="142" t="str">
        <f>'RAW IMPORT'!BP72</f>
        <v>PDF</v>
      </c>
      <c r="BQ82" s="141">
        <f>'RAW IMPORT'!BQ72</f>
        <v>0</v>
      </c>
      <c r="BR82" s="141">
        <f>'RAW IMPORT'!BR72</f>
        <v>2.35E-2</v>
      </c>
      <c r="BS82" s="141">
        <f>'RAW IMPORT'!BS72</f>
        <v>0.156</v>
      </c>
      <c r="BT82" s="141">
        <f>'RAW IMPORT'!BT72</f>
        <v>5.0999999999999997E-2</v>
      </c>
      <c r="BU82" s="141">
        <f>'RAW IMPORT'!BU72</f>
        <v>1.175E-2</v>
      </c>
      <c r="BV82" s="198">
        <f>'RAW IMPORT'!BV72</f>
        <v>0</v>
      </c>
      <c r="BW82" s="141">
        <f>'RAW IMPORT'!BW72</f>
        <v>0</v>
      </c>
      <c r="BX82" s="165">
        <f>'RAW IMPORT'!BX72</f>
        <v>93</v>
      </c>
      <c r="BY82" s="240"/>
      <c r="BZ82" s="126"/>
      <c r="CA82" s="143">
        <f t="shared" si="10"/>
        <v>68</v>
      </c>
      <c r="CB82" s="170">
        <f t="shared" ca="1" si="7"/>
        <v>87</v>
      </c>
      <c r="CC82" s="170" t="str">
        <f t="shared" ca="1" si="8"/>
        <v/>
      </c>
      <c r="CD82" s="204" t="str">
        <f t="shared" si="11"/>
        <v>"Model-8991A Botti":
    RETURN</v>
      </c>
      <c r="CE82" s="170"/>
    </row>
    <row r="83" spans="1:83" ht="15" customHeight="1" x14ac:dyDescent="0.25">
      <c r="A83" s="138" t="str">
        <f>'RAW IMPORT'!A73</f>
        <v>OGRO</v>
      </c>
      <c r="B83" s="139">
        <f>'RAW IMPORT'!B73</f>
        <v>8998</v>
      </c>
      <c r="C83" s="142">
        <f>IF('RAW IMPORT'!C73&lt;&gt;"",1,0)</f>
        <v>1</v>
      </c>
      <c r="D83" s="142">
        <f>IF('RAW IMPORT'!D73&lt;&gt;"",1,0)</f>
        <v>1</v>
      </c>
      <c r="E83" s="142">
        <f>IF('RAW IMPORT'!E73&lt;&gt;"",1,0)</f>
        <v>0</v>
      </c>
      <c r="F83" s="142">
        <f>IF('RAW IMPORT'!F73&lt;&gt;"",1,0)</f>
        <v>0</v>
      </c>
      <c r="G83" s="142">
        <f>IF('RAW IMPORT'!G73&lt;&gt;"",1,0)</f>
        <v>0</v>
      </c>
      <c r="H83" s="142">
        <f>IF('RAW IMPORT'!H73&lt;&gt;"",1,0)</f>
        <v>0</v>
      </c>
      <c r="I83" s="142">
        <f>IF('RAW IMPORT'!I73&lt;&gt;"",1,0)</f>
        <v>0</v>
      </c>
      <c r="J83" s="142">
        <f>IF('RAW IMPORT'!J73&lt;&gt;"",1,0)</f>
        <v>0</v>
      </c>
      <c r="K83" s="142">
        <f>IF('RAW IMPORT'!K73&lt;&gt;"",1,0)</f>
        <v>0</v>
      </c>
      <c r="L83" s="142">
        <f>IF('RAW IMPORT'!L73&lt;&gt;"",1,0)</f>
        <v>0</v>
      </c>
      <c r="M83" s="142">
        <f>IF('RAW IMPORT'!M73&lt;&gt;"",1,0)</f>
        <v>0</v>
      </c>
      <c r="N83" s="165">
        <f>IF('RAW IMPORT'!N73&lt;&gt;"",1,0)</f>
        <v>0</v>
      </c>
      <c r="O83" s="167">
        <f>IF('RAW IMPORT'!O73&lt;&gt;"",1,0)</f>
        <v>0</v>
      </c>
      <c r="P83" s="142">
        <f>IF('RAW IMPORT'!P73&lt;&gt;"",1,0)</f>
        <v>0</v>
      </c>
      <c r="Q83" s="142">
        <f>IF('RAW IMPORT'!Q73&lt;&gt;"",1,0)</f>
        <v>0</v>
      </c>
      <c r="R83" s="138">
        <f>'RAW IMPORT'!R73</f>
        <v>0</v>
      </c>
      <c r="S83" s="138">
        <f>'RAW IMPORT'!S73</f>
        <v>7</v>
      </c>
      <c r="T83" s="138">
        <f>'RAW IMPORT'!T73</f>
        <v>5</v>
      </c>
      <c r="U83" s="138">
        <f>'RAW IMPORT'!U73</f>
        <v>0</v>
      </c>
      <c r="V83" s="138">
        <f>'RAW IMPORT'!V73</f>
        <v>0</v>
      </c>
      <c r="W83" s="138">
        <f>'RAW IMPORT'!W73</f>
        <v>0</v>
      </c>
      <c r="X83" s="138">
        <f>'RAW IMPORT'!X73</f>
        <v>0</v>
      </c>
      <c r="Y83" s="138">
        <f>'RAW IMPORT'!Y73</f>
        <v>0</v>
      </c>
      <c r="Z83" s="138">
        <f>'RAW IMPORT'!Z73</f>
        <v>0</v>
      </c>
      <c r="AA83" s="138">
        <f>'RAW IMPORT'!AA73</f>
        <v>0</v>
      </c>
      <c r="AB83" s="139">
        <f>'RAW IMPORT'!AB73</f>
        <v>0</v>
      </c>
      <c r="AC83" s="141">
        <f>'RAW IMPORT'!AC73</f>
        <v>4</v>
      </c>
      <c r="AD83" s="142">
        <f>'RAW IMPORT'!AD73</f>
        <v>7</v>
      </c>
      <c r="AE83" s="142">
        <f>'RAW IMPORT'!AE73</f>
        <v>0</v>
      </c>
      <c r="AF83" s="142">
        <f>IF('RAW IMPORT'!AF73="C1",3,IF('RAW IMPORT'!AF73="D1",4,0))</f>
        <v>4</v>
      </c>
      <c r="AG83" s="142">
        <f>'RAW IMPORT'!AG73</f>
        <v>1</v>
      </c>
      <c r="AH83" s="142">
        <f>'RAW IMPORT'!AH73</f>
        <v>5</v>
      </c>
      <c r="AI83" s="142">
        <f>IF('RAW IMPORT'!AI73="U",1,0)</f>
        <v>0</v>
      </c>
      <c r="AJ83" s="142">
        <f>IF('RAW IMPORT'!AJ73="A",1,0)</f>
        <v>1</v>
      </c>
      <c r="AK83" s="142">
        <f>IF('RAW IMPORT'!AK73="B",1,0)</f>
        <v>1</v>
      </c>
      <c r="AL83" s="142">
        <f>IF('RAW IMPORT'!AL73="U",1,0)</f>
        <v>1</v>
      </c>
      <c r="AM83" s="142">
        <f>IF('RAW IMPORT'!AM73&lt;&gt;"",1,0)</f>
        <v>1</v>
      </c>
      <c r="AN83" s="142">
        <f>IF('RAW IMPORT'!AN73&lt;&gt;"",1,0)</f>
        <v>1</v>
      </c>
      <c r="AO83" s="142">
        <f>IF('RAW IMPORT'!AO73&lt;&gt;"",1,0)</f>
        <v>1</v>
      </c>
      <c r="AP83" s="142">
        <f>IF('RAW IMPORT'!AP73&lt;&gt;"",1,0)</f>
        <v>1</v>
      </c>
      <c r="AQ83" s="142">
        <f>IF('RAW IMPORT'!AQ73&lt;&gt;"",1,0)</f>
        <v>1</v>
      </c>
      <c r="AR83" s="142">
        <f>IF('RAW IMPORT'!AR73&lt;&gt;"",1,0)</f>
        <v>1</v>
      </c>
      <c r="AS83" s="142">
        <f>IF('RAW IMPORT'!AS73&lt;&gt;"",1,0)</f>
        <v>1</v>
      </c>
      <c r="AT83" s="142">
        <f>IF('RAW IMPORT'!AT73&lt;&gt;"",1,0)</f>
        <v>1</v>
      </c>
      <c r="AU83" s="142">
        <f>IF('RAW IMPORT'!AU73&lt;&gt;"",1,0)</f>
        <v>0</v>
      </c>
      <c r="AV83" s="142">
        <f>IF('RAW IMPORT'!AV73&lt;&gt;"",1,0)</f>
        <v>1</v>
      </c>
      <c r="AW83" s="142">
        <f>IF('RAW IMPORT'!AW73&lt;&gt;"",1,0)</f>
        <v>1</v>
      </c>
      <c r="AX83" s="142">
        <f>IF('RAW IMPORT'!AX73&lt;&gt;"",1,0)</f>
        <v>1</v>
      </c>
      <c r="AY83" s="142">
        <f>IF('RAW IMPORT'!AY73&lt;&gt;"",1,0)</f>
        <v>1</v>
      </c>
      <c r="AZ83" s="142">
        <f>IF('RAW IMPORT'!AZ73&lt;&gt;"",1,0)</f>
        <v>1</v>
      </c>
      <c r="BA83" s="142">
        <f>IF('RAW IMPORT'!BA73&lt;&gt;"",1,0)</f>
        <v>1</v>
      </c>
      <c r="BB83" s="142">
        <f>IF('RAW IMPORT'!BB73&lt;&gt;"",1,0)</f>
        <v>1</v>
      </c>
      <c r="BC83" s="142">
        <f>IF('RAW IMPORT'!BC73&lt;&gt;"",1,0)</f>
        <v>0</v>
      </c>
      <c r="BD83" s="142">
        <f>IF('RAW IMPORT'!BD73&lt;&gt;"",1,0)</f>
        <v>1</v>
      </c>
      <c r="BE83" s="142">
        <f>IF('RAW IMPORT'!BE73&lt;&gt;"",1,0)</f>
        <v>1</v>
      </c>
      <c r="BF83" s="142">
        <f>IF('RAW IMPORT'!BF73&lt;&gt;"",1,0)</f>
        <v>0</v>
      </c>
      <c r="BG83" s="142">
        <f>IF('RAW IMPORT'!BG73&lt;&gt;"",1,0)</f>
        <v>1</v>
      </c>
      <c r="BH83" s="142">
        <f>IF('RAW IMPORT'!BH73&lt;&gt;"",1,0)</f>
        <v>1</v>
      </c>
      <c r="BI83" s="142">
        <f>IF('RAW IMPORT'!BI73&lt;&gt;"",1,0)</f>
        <v>1</v>
      </c>
      <c r="BJ83" s="142">
        <f>IF('RAW IMPORT'!BJ73&lt;&gt;"",1,0)</f>
        <v>1</v>
      </c>
      <c r="BK83" s="142">
        <f>IF('RAW IMPORT'!BK73&lt;&gt;"",1,0)</f>
        <v>1</v>
      </c>
      <c r="BL83" s="142">
        <f>IF('RAW IMPORT'!BL73&lt;&gt;"",1,0)</f>
        <v>1</v>
      </c>
      <c r="BM83" s="142">
        <f>'RAW IMPORT'!BM73</f>
        <v>1</v>
      </c>
      <c r="BN83" s="165">
        <f>'RAW IMPORT'!BN73</f>
        <v>0</v>
      </c>
      <c r="BO83" s="197">
        <f>'RAW IMPORT'!BO73</f>
        <v>1</v>
      </c>
      <c r="BP83" s="142" t="str">
        <f>'RAW IMPORT'!BP73</f>
        <v>PDF</v>
      </c>
      <c r="BQ83" s="141" t="str">
        <f>'RAW IMPORT'!BQ73</f>
        <v>SURF</v>
      </c>
      <c r="BR83" s="141">
        <f>'RAW IMPORT'!BR73</f>
        <v>2.35E-2</v>
      </c>
      <c r="BS83" s="141">
        <f>'RAW IMPORT'!BS73</f>
        <v>0.126</v>
      </c>
      <c r="BT83" s="141">
        <f>'RAW IMPORT'!BT73</f>
        <v>6.2E-2</v>
      </c>
      <c r="BU83" s="141">
        <f>'RAW IMPORT'!BU73</f>
        <v>1.175E-2</v>
      </c>
      <c r="BV83" s="198">
        <f>'RAW IMPORT'!BV73</f>
        <v>0</v>
      </c>
      <c r="BW83" s="141">
        <f>'RAW IMPORT'!BW73</f>
        <v>47</v>
      </c>
      <c r="BX83" s="165">
        <f>'RAW IMPORT'!BX73</f>
        <v>94</v>
      </c>
      <c r="BY83" s="240"/>
      <c r="BZ83" s="126"/>
      <c r="CA83" s="143">
        <f t="shared" si="10"/>
        <v>69</v>
      </c>
      <c r="CB83" s="170">
        <f t="shared" ca="1" si="7"/>
        <v>88</v>
      </c>
      <c r="CC83" s="170" t="str">
        <f t="shared" ca="1" si="8"/>
        <v/>
      </c>
      <c r="CD83" s="204" t="str">
        <f t="shared" si="11"/>
        <v>"Model-8998":
    RETURN</v>
      </c>
      <c r="CE83" s="170">
        <v>8</v>
      </c>
    </row>
    <row r="84" spans="1:83" ht="15" customHeight="1" x14ac:dyDescent="0.25">
      <c r="A84" s="138" t="str">
        <f>'RAW IMPORT'!A74</f>
        <v>OGRO</v>
      </c>
      <c r="B84" s="139" t="str">
        <f>'RAW IMPORT'!B74</f>
        <v>8998A</v>
      </c>
      <c r="C84" s="142">
        <f>IF('RAW IMPORT'!C74&lt;&gt;"",1,0)</f>
        <v>1</v>
      </c>
      <c r="D84" s="142">
        <f>IF('RAW IMPORT'!D74&lt;&gt;"",1,0)</f>
        <v>1</v>
      </c>
      <c r="E84" s="142">
        <f>IF('RAW IMPORT'!E74&lt;&gt;"",1,0)</f>
        <v>0</v>
      </c>
      <c r="F84" s="142">
        <f>IF('RAW IMPORT'!F74&lt;&gt;"",1,0)</f>
        <v>0</v>
      </c>
      <c r="G84" s="142">
        <f>IF('RAW IMPORT'!G74&lt;&gt;"",1,0)</f>
        <v>0</v>
      </c>
      <c r="H84" s="142">
        <f>IF('RAW IMPORT'!H74&lt;&gt;"",1,0)</f>
        <v>0</v>
      </c>
      <c r="I84" s="142">
        <f>IF('RAW IMPORT'!I74&lt;&gt;"",1,0)</f>
        <v>0</v>
      </c>
      <c r="J84" s="142">
        <f>IF('RAW IMPORT'!J74&lt;&gt;"",1,0)</f>
        <v>0</v>
      </c>
      <c r="K84" s="142">
        <f>IF('RAW IMPORT'!K74&lt;&gt;"",1,0)</f>
        <v>0</v>
      </c>
      <c r="L84" s="142">
        <f>IF('RAW IMPORT'!L74&lt;&gt;"",1,0)</f>
        <v>0</v>
      </c>
      <c r="M84" s="142">
        <f>IF('RAW IMPORT'!M74&lt;&gt;"",1,0)</f>
        <v>0</v>
      </c>
      <c r="N84" s="165">
        <f>IF('RAW IMPORT'!N74&lt;&gt;"",1,0)</f>
        <v>0</v>
      </c>
      <c r="O84" s="167">
        <f>IF('RAW IMPORT'!O74&lt;&gt;"",1,0)</f>
        <v>0</v>
      </c>
      <c r="P84" s="142">
        <f>IF('RAW IMPORT'!P74&lt;&gt;"",1,0)</f>
        <v>0</v>
      </c>
      <c r="Q84" s="142">
        <f>IF('RAW IMPORT'!Q74&lt;&gt;"",1,0)</f>
        <v>0</v>
      </c>
      <c r="R84" s="138">
        <f>'RAW IMPORT'!R74</f>
        <v>0</v>
      </c>
      <c r="S84" s="138">
        <f>'RAW IMPORT'!S74</f>
        <v>7</v>
      </c>
      <c r="T84" s="138">
        <f>'RAW IMPORT'!T74</f>
        <v>5</v>
      </c>
      <c r="U84" s="138">
        <f>'RAW IMPORT'!U74</f>
        <v>0</v>
      </c>
      <c r="V84" s="138">
        <f>'RAW IMPORT'!V74</f>
        <v>0</v>
      </c>
      <c r="W84" s="138">
        <f>'RAW IMPORT'!W74</f>
        <v>0</v>
      </c>
      <c r="X84" s="138">
        <f>'RAW IMPORT'!X74</f>
        <v>0</v>
      </c>
      <c r="Y84" s="138">
        <f>'RAW IMPORT'!Y74</f>
        <v>0</v>
      </c>
      <c r="Z84" s="138">
        <f>'RAW IMPORT'!Z74</f>
        <v>0</v>
      </c>
      <c r="AA84" s="138">
        <f>'RAW IMPORT'!AA74</f>
        <v>0</v>
      </c>
      <c r="AB84" s="139">
        <f>'RAW IMPORT'!AB74</f>
        <v>0</v>
      </c>
      <c r="AC84" s="141">
        <f>'RAW IMPORT'!AC74</f>
        <v>4</v>
      </c>
      <c r="AD84" s="142">
        <f>'RAW IMPORT'!AD74</f>
        <v>7</v>
      </c>
      <c r="AE84" s="142">
        <f>'RAW IMPORT'!AE74</f>
        <v>0</v>
      </c>
      <c r="AF84" s="142">
        <f>IF('RAW IMPORT'!AF74="C1",3,IF('RAW IMPORT'!AF74="D1",4,0))</f>
        <v>4</v>
      </c>
      <c r="AG84" s="142">
        <f>'RAW IMPORT'!AG74</f>
        <v>1</v>
      </c>
      <c r="AH84" s="142">
        <f>'RAW IMPORT'!AH74</f>
        <v>5</v>
      </c>
      <c r="AI84" s="142">
        <f>IF('RAW IMPORT'!AI74="U",1,0)</f>
        <v>0</v>
      </c>
      <c r="AJ84" s="142">
        <f>IF('RAW IMPORT'!AJ74="A",1,0)</f>
        <v>1</v>
      </c>
      <c r="AK84" s="142">
        <f>IF('RAW IMPORT'!AK74="B",1,0)</f>
        <v>1</v>
      </c>
      <c r="AL84" s="142">
        <f>IF('RAW IMPORT'!AL74="U",1,0)</f>
        <v>1</v>
      </c>
      <c r="AM84" s="142">
        <f>IF('RAW IMPORT'!AM74&lt;&gt;"",1,0)</f>
        <v>1</v>
      </c>
      <c r="AN84" s="142">
        <f>IF('RAW IMPORT'!AN74&lt;&gt;"",1,0)</f>
        <v>1</v>
      </c>
      <c r="AO84" s="142">
        <f>IF('RAW IMPORT'!AO74&lt;&gt;"",1,0)</f>
        <v>1</v>
      </c>
      <c r="AP84" s="142">
        <f>IF('RAW IMPORT'!AP74&lt;&gt;"",1,0)</f>
        <v>1</v>
      </c>
      <c r="AQ84" s="142">
        <f>IF('RAW IMPORT'!AQ74&lt;&gt;"",1,0)</f>
        <v>1</v>
      </c>
      <c r="AR84" s="142">
        <f>IF('RAW IMPORT'!AR74&lt;&gt;"",1,0)</f>
        <v>1</v>
      </c>
      <c r="AS84" s="142">
        <f>IF('RAW IMPORT'!AS74&lt;&gt;"",1,0)</f>
        <v>1</v>
      </c>
      <c r="AT84" s="142">
        <f>IF('RAW IMPORT'!AT74&lt;&gt;"",1,0)</f>
        <v>1</v>
      </c>
      <c r="AU84" s="142">
        <f>IF('RAW IMPORT'!AU74&lt;&gt;"",1,0)</f>
        <v>0</v>
      </c>
      <c r="AV84" s="142">
        <f>IF('RAW IMPORT'!AV74&lt;&gt;"",1,0)</f>
        <v>1</v>
      </c>
      <c r="AW84" s="142">
        <f>IF('RAW IMPORT'!AW74&lt;&gt;"",1,0)</f>
        <v>0</v>
      </c>
      <c r="AX84" s="142">
        <f>IF('RAW IMPORT'!AX74&lt;&gt;"",1,0)</f>
        <v>0</v>
      </c>
      <c r="AY84" s="142">
        <f>IF('RAW IMPORT'!AY74&lt;&gt;"",1,0)</f>
        <v>0</v>
      </c>
      <c r="AZ84" s="142">
        <f>IF('RAW IMPORT'!AZ74&lt;&gt;"",1,0)</f>
        <v>0</v>
      </c>
      <c r="BA84" s="142">
        <f>IF('RAW IMPORT'!BA74&lt;&gt;"",1,0)</f>
        <v>0</v>
      </c>
      <c r="BB84" s="142">
        <f>IF('RAW IMPORT'!BB74&lt;&gt;"",1,0)</f>
        <v>0</v>
      </c>
      <c r="BC84" s="142">
        <f>IF('RAW IMPORT'!BC74&lt;&gt;"",1,0)</f>
        <v>1</v>
      </c>
      <c r="BD84" s="142">
        <f>IF('RAW IMPORT'!BD74&lt;&gt;"",1,0)</f>
        <v>1</v>
      </c>
      <c r="BE84" s="142">
        <f>IF('RAW IMPORT'!BE74&lt;&gt;"",1,0)</f>
        <v>1</v>
      </c>
      <c r="BF84" s="142">
        <f>IF('RAW IMPORT'!BF74&lt;&gt;"",1,0)</f>
        <v>0</v>
      </c>
      <c r="BG84" s="142">
        <f>IF('RAW IMPORT'!BG74&lt;&gt;"",1,0)</f>
        <v>1</v>
      </c>
      <c r="BH84" s="142">
        <f>IF('RAW IMPORT'!BH74&lt;&gt;"",1,0)</f>
        <v>1</v>
      </c>
      <c r="BI84" s="142">
        <f>IF('RAW IMPORT'!BI74&lt;&gt;"",1,0)</f>
        <v>1</v>
      </c>
      <c r="BJ84" s="142">
        <f>IF('RAW IMPORT'!BJ74&lt;&gt;"",1,0)</f>
        <v>1</v>
      </c>
      <c r="BK84" s="142">
        <f>IF('RAW IMPORT'!BK74&lt;&gt;"",1,0)</f>
        <v>1</v>
      </c>
      <c r="BL84" s="142">
        <f>IF('RAW IMPORT'!BL74&lt;&gt;"",1,0)</f>
        <v>0</v>
      </c>
      <c r="BM84" s="142">
        <f>'RAW IMPORT'!BM74</f>
        <v>1</v>
      </c>
      <c r="BN84" s="165">
        <f>'RAW IMPORT'!BN74</f>
        <v>0</v>
      </c>
      <c r="BO84" s="197">
        <f>'RAW IMPORT'!BO74</f>
        <v>0</v>
      </c>
      <c r="BP84" s="142" t="str">
        <f>'RAW IMPORT'!BP74</f>
        <v>PDF</v>
      </c>
      <c r="BQ84" s="141">
        <f>'RAW IMPORT'!BQ74</f>
        <v>0</v>
      </c>
      <c r="BR84" s="141">
        <f>'RAW IMPORT'!BR74</f>
        <v>2.35E-2</v>
      </c>
      <c r="BS84" s="141">
        <f>'RAW IMPORT'!BS74</f>
        <v>0.14599999999999999</v>
      </c>
      <c r="BT84" s="141">
        <f>'RAW IMPORT'!BT74</f>
        <v>8.1000000000000003E-2</v>
      </c>
      <c r="BU84" s="141">
        <f>'RAW IMPORT'!BU74</f>
        <v>1.175E-2</v>
      </c>
      <c r="BV84" s="198">
        <f>'RAW IMPORT'!BV74</f>
        <v>0</v>
      </c>
      <c r="BW84" s="141">
        <f>'RAW IMPORT'!BW74</f>
        <v>0</v>
      </c>
      <c r="BX84" s="165">
        <f>'RAW IMPORT'!BX74</f>
        <v>95</v>
      </c>
      <c r="BY84" s="240"/>
      <c r="BZ84" s="126"/>
      <c r="CA84" s="143">
        <f t="shared" si="10"/>
        <v>70</v>
      </c>
      <c r="CB84" s="170">
        <f ca="1">IFERROR(VLOOKUP(CB$4,OFFSET($A$15:$CA$207,CB83,0),72,0),"")</f>
        <v>5.5E-2</v>
      </c>
      <c r="CC84" s="170" t="str">
        <f ca="1">IFERROR(VLOOKUP(CC$4,OFFSET($A$15:$CA$207,CC83,0),72,0),"")</f>
        <v/>
      </c>
      <c r="CD84" s="204" t="str">
        <f t="shared" si="11"/>
        <v>"Model-8998A":
    RETURN</v>
      </c>
      <c r="CE84" s="170"/>
    </row>
    <row r="85" spans="1:83" ht="15" customHeight="1" x14ac:dyDescent="0.25">
      <c r="A85" s="138" t="str">
        <f>'RAW IMPORT'!A75</f>
        <v>OGRO</v>
      </c>
      <c r="B85" s="139">
        <f>'RAW IMPORT'!B75</f>
        <v>8999</v>
      </c>
      <c r="C85" s="142">
        <f>IF('RAW IMPORT'!C75&lt;&gt;"",1,0)</f>
        <v>1</v>
      </c>
      <c r="D85" s="142">
        <f>IF('RAW IMPORT'!D75&lt;&gt;"",1,0)</f>
        <v>1</v>
      </c>
      <c r="E85" s="142">
        <f>IF('RAW IMPORT'!E75&lt;&gt;"",1,0)</f>
        <v>0</v>
      </c>
      <c r="F85" s="142">
        <f>IF('RAW IMPORT'!F75&lt;&gt;"",1,0)</f>
        <v>0</v>
      </c>
      <c r="G85" s="142">
        <f>IF('RAW IMPORT'!G75&lt;&gt;"",1,0)</f>
        <v>0</v>
      </c>
      <c r="H85" s="142">
        <f>IF('RAW IMPORT'!H75&lt;&gt;"",1,0)</f>
        <v>0</v>
      </c>
      <c r="I85" s="142">
        <f>IF('RAW IMPORT'!I75&lt;&gt;"",1,0)</f>
        <v>0</v>
      </c>
      <c r="J85" s="142">
        <f>IF('RAW IMPORT'!J75&lt;&gt;"",1,0)</f>
        <v>0</v>
      </c>
      <c r="K85" s="142">
        <f>IF('RAW IMPORT'!K75&lt;&gt;"",1,0)</f>
        <v>0</v>
      </c>
      <c r="L85" s="142">
        <f>IF('RAW IMPORT'!L75&lt;&gt;"",1,0)</f>
        <v>0</v>
      </c>
      <c r="M85" s="142">
        <f>IF('RAW IMPORT'!M75&lt;&gt;"",1,0)</f>
        <v>0</v>
      </c>
      <c r="N85" s="165">
        <f>IF('RAW IMPORT'!N75&lt;&gt;"",1,0)</f>
        <v>0</v>
      </c>
      <c r="O85" s="167">
        <f>IF('RAW IMPORT'!O75&lt;&gt;"",1,0)</f>
        <v>1</v>
      </c>
      <c r="P85" s="142">
        <f>IF('RAW IMPORT'!P75&lt;&gt;"",1,0)</f>
        <v>0</v>
      </c>
      <c r="Q85" s="142">
        <f>IF('RAW IMPORT'!Q75&lt;&gt;"",1,0)</f>
        <v>0</v>
      </c>
      <c r="R85" s="138">
        <f>'RAW IMPORT'!R75</f>
        <v>0</v>
      </c>
      <c r="S85" s="138">
        <f>'RAW IMPORT'!S75</f>
        <v>7</v>
      </c>
      <c r="T85" s="138">
        <f>'RAW IMPORT'!T75</f>
        <v>5</v>
      </c>
      <c r="U85" s="138">
        <f>'RAW IMPORT'!U75</f>
        <v>0</v>
      </c>
      <c r="V85" s="138">
        <f>'RAW IMPORT'!V75</f>
        <v>0</v>
      </c>
      <c r="W85" s="138">
        <f>'RAW IMPORT'!W75</f>
        <v>0</v>
      </c>
      <c r="X85" s="138">
        <f>'RAW IMPORT'!X75</f>
        <v>0</v>
      </c>
      <c r="Y85" s="138">
        <f>'RAW IMPORT'!Y75</f>
        <v>0</v>
      </c>
      <c r="Z85" s="138">
        <f>'RAW IMPORT'!Z75</f>
        <v>0</v>
      </c>
      <c r="AA85" s="138">
        <f>'RAW IMPORT'!AA75</f>
        <v>0</v>
      </c>
      <c r="AB85" s="139">
        <f>'RAW IMPORT'!AB75</f>
        <v>0</v>
      </c>
      <c r="AC85" s="141">
        <f>'RAW IMPORT'!AC75</f>
        <v>4</v>
      </c>
      <c r="AD85" s="142">
        <f>'RAW IMPORT'!AD75</f>
        <v>7</v>
      </c>
      <c r="AE85" s="142">
        <f>'RAW IMPORT'!AE75</f>
        <v>0</v>
      </c>
      <c r="AF85" s="142">
        <f>IF('RAW IMPORT'!AF75="C1",3,IF('RAW IMPORT'!AF75="D1",4,0))</f>
        <v>4</v>
      </c>
      <c r="AG85" s="142">
        <f>'RAW IMPORT'!AG75</f>
        <v>1</v>
      </c>
      <c r="AH85" s="142">
        <f>'RAW IMPORT'!AH75</f>
        <v>5</v>
      </c>
      <c r="AI85" s="142">
        <f>IF('RAW IMPORT'!AI75="U",1,0)</f>
        <v>0</v>
      </c>
      <c r="AJ85" s="142">
        <f>IF('RAW IMPORT'!AJ75="A",1,0)</f>
        <v>1</v>
      </c>
      <c r="AK85" s="142">
        <f>IF('RAW IMPORT'!AK75="B",1,0)</f>
        <v>1</v>
      </c>
      <c r="AL85" s="142">
        <f>IF('RAW IMPORT'!AL75="U",1,0)</f>
        <v>1</v>
      </c>
      <c r="AM85" s="142">
        <f>IF('RAW IMPORT'!AM75&lt;&gt;"",1,0)</f>
        <v>1</v>
      </c>
      <c r="AN85" s="142">
        <f>IF('RAW IMPORT'!AN75&lt;&gt;"",1,0)</f>
        <v>1</v>
      </c>
      <c r="AO85" s="142">
        <f>IF('RAW IMPORT'!AO75&lt;&gt;"",1,0)</f>
        <v>1</v>
      </c>
      <c r="AP85" s="142">
        <f>IF('RAW IMPORT'!AP75&lt;&gt;"",1,0)</f>
        <v>1</v>
      </c>
      <c r="AQ85" s="142">
        <f>IF('RAW IMPORT'!AQ75&lt;&gt;"",1,0)</f>
        <v>1</v>
      </c>
      <c r="AR85" s="142">
        <f>IF('RAW IMPORT'!AR75&lt;&gt;"",1,0)</f>
        <v>1</v>
      </c>
      <c r="AS85" s="142">
        <f>IF('RAW IMPORT'!AS75&lt;&gt;"",1,0)</f>
        <v>1</v>
      </c>
      <c r="AT85" s="142">
        <f>IF('RAW IMPORT'!AT75&lt;&gt;"",1,0)</f>
        <v>1</v>
      </c>
      <c r="AU85" s="142">
        <f>IF('RAW IMPORT'!AU75&lt;&gt;"",1,0)</f>
        <v>0</v>
      </c>
      <c r="AV85" s="142">
        <f>IF('RAW IMPORT'!AV75&lt;&gt;"",1,0)</f>
        <v>1</v>
      </c>
      <c r="AW85" s="142">
        <f>IF('RAW IMPORT'!AW75&lt;&gt;"",1,0)</f>
        <v>1</v>
      </c>
      <c r="AX85" s="142">
        <f>IF('RAW IMPORT'!AX75&lt;&gt;"",1,0)</f>
        <v>1</v>
      </c>
      <c r="AY85" s="142">
        <f>IF('RAW IMPORT'!AY75&lt;&gt;"",1,0)</f>
        <v>1</v>
      </c>
      <c r="AZ85" s="142">
        <f>IF('RAW IMPORT'!AZ75&lt;&gt;"",1,0)</f>
        <v>1</v>
      </c>
      <c r="BA85" s="142">
        <f>IF('RAW IMPORT'!BA75&lt;&gt;"",1,0)</f>
        <v>1</v>
      </c>
      <c r="BB85" s="142">
        <f>IF('RAW IMPORT'!BB75&lt;&gt;"",1,0)</f>
        <v>1</v>
      </c>
      <c r="BC85" s="142">
        <f>IF('RAW IMPORT'!BC75&lt;&gt;"",1,0)</f>
        <v>0</v>
      </c>
      <c r="BD85" s="142">
        <f>IF('RAW IMPORT'!BD75&lt;&gt;"",1,0)</f>
        <v>1</v>
      </c>
      <c r="BE85" s="142">
        <f>IF('RAW IMPORT'!BE75&lt;&gt;"",1,0)</f>
        <v>1</v>
      </c>
      <c r="BF85" s="142">
        <f>IF('RAW IMPORT'!BF75&lt;&gt;"",1,0)</f>
        <v>0</v>
      </c>
      <c r="BG85" s="142">
        <f>IF('RAW IMPORT'!BG75&lt;&gt;"",1,0)</f>
        <v>1</v>
      </c>
      <c r="BH85" s="142">
        <f>IF('RAW IMPORT'!BH75&lt;&gt;"",1,0)</f>
        <v>1</v>
      </c>
      <c r="BI85" s="142">
        <f>IF('RAW IMPORT'!BI75&lt;&gt;"",1,0)</f>
        <v>1</v>
      </c>
      <c r="BJ85" s="142">
        <f>IF('RAW IMPORT'!BJ75&lt;&gt;"",1,0)</f>
        <v>1</v>
      </c>
      <c r="BK85" s="142">
        <f>IF('RAW IMPORT'!BK75&lt;&gt;"",1,0)</f>
        <v>1</v>
      </c>
      <c r="BL85" s="142">
        <f>IF('RAW IMPORT'!BL75&lt;&gt;"",1,0)</f>
        <v>1</v>
      </c>
      <c r="BM85" s="142">
        <f>'RAW IMPORT'!BM75</f>
        <v>1</v>
      </c>
      <c r="BN85" s="165">
        <f>'RAW IMPORT'!BN75</f>
        <v>0</v>
      </c>
      <c r="BO85" s="197">
        <f>'RAW IMPORT'!BO75</f>
        <v>1</v>
      </c>
      <c r="BP85" s="142" t="str">
        <f>'RAW IMPORT'!BP75</f>
        <v>PDF</v>
      </c>
      <c r="BQ85" s="141" t="str">
        <f>'RAW IMPORT'!BQ75</f>
        <v>SURF</v>
      </c>
      <c r="BR85" s="141">
        <f>'RAW IMPORT'!BR75</f>
        <v>2.35E-2</v>
      </c>
      <c r="BS85" s="141">
        <f>'RAW IMPORT'!BS75</f>
        <v>0.13800000000000001</v>
      </c>
      <c r="BT85" s="141">
        <f>'RAW IMPORT'!BT75</f>
        <v>6.2E-2</v>
      </c>
      <c r="BU85" s="141">
        <f>'RAW IMPORT'!BU75</f>
        <v>1.175E-2</v>
      </c>
      <c r="BV85" s="198">
        <f>'RAW IMPORT'!BV75</f>
        <v>0</v>
      </c>
      <c r="BW85" s="141">
        <f>'RAW IMPORT'!BW75</f>
        <v>48</v>
      </c>
      <c r="BX85" s="165">
        <f>'RAW IMPORT'!BX75</f>
        <v>96</v>
      </c>
      <c r="BY85" s="240"/>
      <c r="BZ85" s="126"/>
      <c r="CA85" s="143">
        <f t="shared" si="10"/>
        <v>71</v>
      </c>
      <c r="CB85" s="170"/>
      <c r="CC85" s="170"/>
      <c r="CD85" s="204" t="str">
        <f t="shared" si="11"/>
        <v>"Model-8999":
    RETURN</v>
      </c>
      <c r="CE85" s="170">
        <v>9</v>
      </c>
    </row>
    <row r="86" spans="1:83" ht="15" customHeight="1" x14ac:dyDescent="0.25">
      <c r="A86" s="138" t="str">
        <f>'RAW IMPORT'!A76</f>
        <v>OGRO</v>
      </c>
      <c r="B86" s="139" t="str">
        <f>'RAW IMPORT'!B76</f>
        <v>8999A</v>
      </c>
      <c r="C86" s="142">
        <f>IF('RAW IMPORT'!C76&lt;&gt;"",1,0)</f>
        <v>1</v>
      </c>
      <c r="D86" s="142">
        <f>IF('RAW IMPORT'!D76&lt;&gt;"",1,0)</f>
        <v>1</v>
      </c>
      <c r="E86" s="142">
        <f>IF('RAW IMPORT'!E76&lt;&gt;"",1,0)</f>
        <v>0</v>
      </c>
      <c r="F86" s="142">
        <f>IF('RAW IMPORT'!F76&lt;&gt;"",1,0)</f>
        <v>0</v>
      </c>
      <c r="G86" s="142">
        <f>IF('RAW IMPORT'!G76&lt;&gt;"",1,0)</f>
        <v>0</v>
      </c>
      <c r="H86" s="142">
        <f>IF('RAW IMPORT'!H76&lt;&gt;"",1,0)</f>
        <v>0</v>
      </c>
      <c r="I86" s="142">
        <f>IF('RAW IMPORT'!I76&lt;&gt;"",1,0)</f>
        <v>0</v>
      </c>
      <c r="J86" s="142">
        <f>IF('RAW IMPORT'!J76&lt;&gt;"",1,0)</f>
        <v>0</v>
      </c>
      <c r="K86" s="142">
        <f>IF('RAW IMPORT'!K76&lt;&gt;"",1,0)</f>
        <v>0</v>
      </c>
      <c r="L86" s="142">
        <f>IF('RAW IMPORT'!L76&lt;&gt;"",1,0)</f>
        <v>0</v>
      </c>
      <c r="M86" s="142">
        <f>IF('RAW IMPORT'!M76&lt;&gt;"",1,0)</f>
        <v>0</v>
      </c>
      <c r="N86" s="165">
        <f>IF('RAW IMPORT'!N76&lt;&gt;"",1,0)</f>
        <v>0</v>
      </c>
      <c r="O86" s="167">
        <f>IF('RAW IMPORT'!O76&lt;&gt;"",1,0)</f>
        <v>1</v>
      </c>
      <c r="P86" s="142">
        <f>IF('RAW IMPORT'!P76&lt;&gt;"",1,0)</f>
        <v>0</v>
      </c>
      <c r="Q86" s="142">
        <f>IF('RAW IMPORT'!Q76&lt;&gt;"",1,0)</f>
        <v>0</v>
      </c>
      <c r="R86" s="138">
        <f>'RAW IMPORT'!R76</f>
        <v>0</v>
      </c>
      <c r="S86" s="138">
        <f>'RAW IMPORT'!S76</f>
        <v>7</v>
      </c>
      <c r="T86" s="138">
        <f>'RAW IMPORT'!T76</f>
        <v>5</v>
      </c>
      <c r="U86" s="138">
        <f>'RAW IMPORT'!U76</f>
        <v>0</v>
      </c>
      <c r="V86" s="138">
        <f>'RAW IMPORT'!V76</f>
        <v>0</v>
      </c>
      <c r="W86" s="138">
        <f>'RAW IMPORT'!W76</f>
        <v>0</v>
      </c>
      <c r="X86" s="138">
        <f>'RAW IMPORT'!X76</f>
        <v>0</v>
      </c>
      <c r="Y86" s="138">
        <f>'RAW IMPORT'!Y76</f>
        <v>0</v>
      </c>
      <c r="Z86" s="138">
        <f>'RAW IMPORT'!Z76</f>
        <v>0</v>
      </c>
      <c r="AA86" s="138">
        <f>'RAW IMPORT'!AA76</f>
        <v>0</v>
      </c>
      <c r="AB86" s="139">
        <f>'RAW IMPORT'!AB76</f>
        <v>0</v>
      </c>
      <c r="AC86" s="141">
        <f>'RAW IMPORT'!AC76</f>
        <v>4</v>
      </c>
      <c r="AD86" s="142">
        <f>'RAW IMPORT'!AD76</f>
        <v>7</v>
      </c>
      <c r="AE86" s="142">
        <f>'RAW IMPORT'!AE76</f>
        <v>0</v>
      </c>
      <c r="AF86" s="142">
        <f>IF('RAW IMPORT'!AF76="C1",3,IF('RAW IMPORT'!AF76="D1",4,0))</f>
        <v>4</v>
      </c>
      <c r="AG86" s="142">
        <f>'RAW IMPORT'!AG76</f>
        <v>1</v>
      </c>
      <c r="AH86" s="142">
        <f>'RAW IMPORT'!AH76</f>
        <v>5</v>
      </c>
      <c r="AI86" s="142">
        <f>IF('RAW IMPORT'!AI76="U",1,0)</f>
        <v>0</v>
      </c>
      <c r="AJ86" s="142">
        <f>IF('RAW IMPORT'!AJ76="A",1,0)</f>
        <v>1</v>
      </c>
      <c r="AK86" s="142">
        <f>IF('RAW IMPORT'!AK76="B",1,0)</f>
        <v>1</v>
      </c>
      <c r="AL86" s="142">
        <f>IF('RAW IMPORT'!AL76="U",1,0)</f>
        <v>1</v>
      </c>
      <c r="AM86" s="142">
        <f>IF('RAW IMPORT'!AM76&lt;&gt;"",1,0)</f>
        <v>1</v>
      </c>
      <c r="AN86" s="142">
        <f>IF('RAW IMPORT'!AN76&lt;&gt;"",1,0)</f>
        <v>1</v>
      </c>
      <c r="AO86" s="142">
        <f>IF('RAW IMPORT'!AO76&lt;&gt;"",1,0)</f>
        <v>1</v>
      </c>
      <c r="AP86" s="142">
        <f>IF('RAW IMPORT'!AP76&lt;&gt;"",1,0)</f>
        <v>1</v>
      </c>
      <c r="AQ86" s="142">
        <f>IF('RAW IMPORT'!AQ76&lt;&gt;"",1,0)</f>
        <v>1</v>
      </c>
      <c r="AR86" s="142">
        <f>IF('RAW IMPORT'!AR76&lt;&gt;"",1,0)</f>
        <v>1</v>
      </c>
      <c r="AS86" s="142">
        <f>IF('RAW IMPORT'!AS76&lt;&gt;"",1,0)</f>
        <v>1</v>
      </c>
      <c r="AT86" s="142">
        <f>IF('RAW IMPORT'!AT76&lt;&gt;"",1,0)</f>
        <v>1</v>
      </c>
      <c r="AU86" s="142">
        <f>IF('RAW IMPORT'!AU76&lt;&gt;"",1,0)</f>
        <v>0</v>
      </c>
      <c r="AV86" s="142">
        <f>IF('RAW IMPORT'!AV76&lt;&gt;"",1,0)</f>
        <v>1</v>
      </c>
      <c r="AW86" s="142">
        <f>IF('RAW IMPORT'!AW76&lt;&gt;"",1,0)</f>
        <v>0</v>
      </c>
      <c r="AX86" s="142">
        <f>IF('RAW IMPORT'!AX76&lt;&gt;"",1,0)</f>
        <v>0</v>
      </c>
      <c r="AY86" s="142">
        <f>IF('RAW IMPORT'!AY76&lt;&gt;"",1,0)</f>
        <v>0</v>
      </c>
      <c r="AZ86" s="142">
        <f>IF('RAW IMPORT'!AZ76&lt;&gt;"",1,0)</f>
        <v>0</v>
      </c>
      <c r="BA86" s="142">
        <f>IF('RAW IMPORT'!BA76&lt;&gt;"",1,0)</f>
        <v>0</v>
      </c>
      <c r="BB86" s="142">
        <f>IF('RAW IMPORT'!BB76&lt;&gt;"",1,0)</f>
        <v>0</v>
      </c>
      <c r="BC86" s="142">
        <f>IF('RAW IMPORT'!BC76&lt;&gt;"",1,0)</f>
        <v>1</v>
      </c>
      <c r="BD86" s="142">
        <f>IF('RAW IMPORT'!BD76&lt;&gt;"",1,0)</f>
        <v>1</v>
      </c>
      <c r="BE86" s="142">
        <f>IF('RAW IMPORT'!BE76&lt;&gt;"",1,0)</f>
        <v>1</v>
      </c>
      <c r="BF86" s="142">
        <f>IF('RAW IMPORT'!BF76&lt;&gt;"",1,0)</f>
        <v>0</v>
      </c>
      <c r="BG86" s="142">
        <f>IF('RAW IMPORT'!BG76&lt;&gt;"",1,0)</f>
        <v>1</v>
      </c>
      <c r="BH86" s="142">
        <f>IF('RAW IMPORT'!BH76&lt;&gt;"",1,0)</f>
        <v>1</v>
      </c>
      <c r="BI86" s="142">
        <f>IF('RAW IMPORT'!BI76&lt;&gt;"",1,0)</f>
        <v>1</v>
      </c>
      <c r="BJ86" s="142">
        <f>IF('RAW IMPORT'!BJ76&lt;&gt;"",1,0)</f>
        <v>1</v>
      </c>
      <c r="BK86" s="142">
        <f>IF('RAW IMPORT'!BK76&lt;&gt;"",1,0)</f>
        <v>1</v>
      </c>
      <c r="BL86" s="142">
        <f>IF('RAW IMPORT'!BL76&lt;&gt;"",1,0)</f>
        <v>0</v>
      </c>
      <c r="BM86" s="142">
        <f>'RAW IMPORT'!BM76</f>
        <v>1</v>
      </c>
      <c r="BN86" s="165">
        <f>'RAW IMPORT'!BN76</f>
        <v>0</v>
      </c>
      <c r="BO86" s="197">
        <f>'RAW IMPORT'!BO76</f>
        <v>0</v>
      </c>
      <c r="BP86" s="142" t="str">
        <f>'RAW IMPORT'!BP76</f>
        <v>PDF</v>
      </c>
      <c r="BQ86" s="141">
        <f>'RAW IMPORT'!BQ76</f>
        <v>0</v>
      </c>
      <c r="BR86" s="141">
        <f>'RAW IMPORT'!BR76</f>
        <v>2.35E-2</v>
      </c>
      <c r="BS86" s="141">
        <f>'RAW IMPORT'!BS76</f>
        <v>0.158</v>
      </c>
      <c r="BT86" s="141">
        <f>'RAW IMPORT'!BT76</f>
        <v>8.1000000000000003E-2</v>
      </c>
      <c r="BU86" s="141">
        <f>'RAW IMPORT'!BU76</f>
        <v>1.175E-2</v>
      </c>
      <c r="BV86" s="198">
        <f>'RAW IMPORT'!BV76</f>
        <v>0</v>
      </c>
      <c r="BW86" s="141">
        <f>'RAW IMPORT'!BW76</f>
        <v>0</v>
      </c>
      <c r="BX86" s="165">
        <f>'RAW IMPORT'!BX76</f>
        <v>97</v>
      </c>
      <c r="BY86" s="240"/>
      <c r="BZ86" s="126"/>
      <c r="CA86" s="143">
        <f t="shared" si="10"/>
        <v>72</v>
      </c>
      <c r="CB86" s="170"/>
      <c r="CC86" s="170"/>
      <c r="CD86" s="204" t="str">
        <f t="shared" si="11"/>
        <v>"Model-8999A":
    RETURN</v>
      </c>
      <c r="CE86" s="170"/>
    </row>
    <row r="87" spans="1:83" ht="15" customHeight="1" x14ac:dyDescent="0.25">
      <c r="A87" s="138" t="str">
        <f>'RAW IMPORT'!A77</f>
        <v>OGRO</v>
      </c>
      <c r="B87" s="139">
        <f>'RAW IMPORT'!B77</f>
        <v>8020</v>
      </c>
      <c r="C87" s="142">
        <f>IF('RAW IMPORT'!C77&lt;&gt;"",1,0)</f>
        <v>1</v>
      </c>
      <c r="D87" s="142">
        <f>IF('RAW IMPORT'!D77&lt;&gt;"",1,0)</f>
        <v>1</v>
      </c>
      <c r="E87" s="142">
        <f>IF('RAW IMPORT'!E77&lt;&gt;"",1,0)</f>
        <v>0</v>
      </c>
      <c r="F87" s="142">
        <f>IF('RAW IMPORT'!F77&lt;&gt;"",1,0)</f>
        <v>0</v>
      </c>
      <c r="G87" s="142">
        <f>IF('RAW IMPORT'!G77&lt;&gt;"",1,0)</f>
        <v>0</v>
      </c>
      <c r="H87" s="142">
        <f>IF('RAW IMPORT'!H77&lt;&gt;"",1,0)</f>
        <v>0</v>
      </c>
      <c r="I87" s="142">
        <f>IF('RAW IMPORT'!I77&lt;&gt;"",1,0)</f>
        <v>0</v>
      </c>
      <c r="J87" s="142">
        <f>IF('RAW IMPORT'!J77&lt;&gt;"",1,0)</f>
        <v>0</v>
      </c>
      <c r="K87" s="142">
        <f>IF('RAW IMPORT'!K77&lt;&gt;"",1,0)</f>
        <v>0</v>
      </c>
      <c r="L87" s="142">
        <f>IF('RAW IMPORT'!L77&lt;&gt;"",1,0)</f>
        <v>0</v>
      </c>
      <c r="M87" s="142">
        <f>IF('RAW IMPORT'!M77&lt;&gt;"",1,0)</f>
        <v>0</v>
      </c>
      <c r="N87" s="165">
        <f>IF('RAW IMPORT'!N77&lt;&gt;"",1,0)</f>
        <v>0</v>
      </c>
      <c r="O87" s="167">
        <f>IF('RAW IMPORT'!O77&lt;&gt;"",1,0)</f>
        <v>0</v>
      </c>
      <c r="P87" s="142">
        <f>IF('RAW IMPORT'!P77&lt;&gt;"",1,0)</f>
        <v>0</v>
      </c>
      <c r="Q87" s="142">
        <f>IF('RAW IMPORT'!Q77&lt;&gt;"",1,0)</f>
        <v>0</v>
      </c>
      <c r="R87" s="138">
        <f>'RAW IMPORT'!R77</f>
        <v>0</v>
      </c>
      <c r="S87" s="138">
        <f>'RAW IMPORT'!S77</f>
        <v>7</v>
      </c>
      <c r="T87" s="138">
        <f>'RAW IMPORT'!T77</f>
        <v>5</v>
      </c>
      <c r="U87" s="138">
        <f>'RAW IMPORT'!U77</f>
        <v>0</v>
      </c>
      <c r="V87" s="138">
        <f>'RAW IMPORT'!V77</f>
        <v>0</v>
      </c>
      <c r="W87" s="138">
        <f>'RAW IMPORT'!W77</f>
        <v>0</v>
      </c>
      <c r="X87" s="138">
        <f>'RAW IMPORT'!X77</f>
        <v>0</v>
      </c>
      <c r="Y87" s="138">
        <f>'RAW IMPORT'!Y77</f>
        <v>0</v>
      </c>
      <c r="Z87" s="138">
        <f>'RAW IMPORT'!Z77</f>
        <v>0</v>
      </c>
      <c r="AA87" s="138">
        <f>'RAW IMPORT'!AA77</f>
        <v>0</v>
      </c>
      <c r="AB87" s="139">
        <f>'RAW IMPORT'!AB77</f>
        <v>0</v>
      </c>
      <c r="AC87" s="141">
        <f>'RAW IMPORT'!AC77</f>
        <v>4</v>
      </c>
      <c r="AD87" s="142">
        <f>'RAW IMPORT'!AD77</f>
        <v>7</v>
      </c>
      <c r="AE87" s="142">
        <f>'RAW IMPORT'!AE77</f>
        <v>0</v>
      </c>
      <c r="AF87" s="142">
        <f>IF('RAW IMPORT'!AF77="C1",3,IF('RAW IMPORT'!AF77="D1",4,0))</f>
        <v>4</v>
      </c>
      <c r="AG87" s="142">
        <f>'RAW IMPORT'!AG77</f>
        <v>1</v>
      </c>
      <c r="AH87" s="142">
        <f>'RAW IMPORT'!AH77</f>
        <v>5</v>
      </c>
      <c r="AI87" s="142">
        <f>IF('RAW IMPORT'!AI77="U",1,0)</f>
        <v>0</v>
      </c>
      <c r="AJ87" s="142">
        <f>IF('RAW IMPORT'!AJ77="A",1,0)</f>
        <v>1</v>
      </c>
      <c r="AK87" s="142">
        <f>IF('RAW IMPORT'!AK77="B",1,0)</f>
        <v>1</v>
      </c>
      <c r="AL87" s="142">
        <f>IF('RAW IMPORT'!AL77="U",1,0)</f>
        <v>1</v>
      </c>
      <c r="AM87" s="142">
        <f>IF('RAW IMPORT'!AM77&lt;&gt;"",1,0)</f>
        <v>1</v>
      </c>
      <c r="AN87" s="142">
        <f>IF('RAW IMPORT'!AN77&lt;&gt;"",1,0)</f>
        <v>1</v>
      </c>
      <c r="AO87" s="142">
        <f>IF('RAW IMPORT'!AO77&lt;&gt;"",1,0)</f>
        <v>1</v>
      </c>
      <c r="AP87" s="142">
        <f>IF('RAW IMPORT'!AP77&lt;&gt;"",1,0)</f>
        <v>1</v>
      </c>
      <c r="AQ87" s="142">
        <f>IF('RAW IMPORT'!AQ77&lt;&gt;"",1,0)</f>
        <v>0</v>
      </c>
      <c r="AR87" s="142">
        <f>IF('RAW IMPORT'!AR77&lt;&gt;"",1,0)</f>
        <v>1</v>
      </c>
      <c r="AS87" s="142">
        <f>IF('RAW IMPORT'!AS77&lt;&gt;"",1,0)</f>
        <v>0</v>
      </c>
      <c r="AT87" s="142">
        <f>IF('RAW IMPORT'!AT77&lt;&gt;"",1,0)</f>
        <v>0</v>
      </c>
      <c r="AU87" s="142">
        <f>IF('RAW IMPORT'!AU77&lt;&gt;"",1,0)</f>
        <v>0</v>
      </c>
      <c r="AV87" s="142">
        <f>IF('RAW IMPORT'!AV77&lt;&gt;"",1,0)</f>
        <v>0</v>
      </c>
      <c r="AW87" s="142">
        <f>IF('RAW IMPORT'!AW77&lt;&gt;"",1,0)</f>
        <v>1</v>
      </c>
      <c r="AX87" s="142">
        <f>IF('RAW IMPORT'!AX77&lt;&gt;"",1,0)</f>
        <v>1</v>
      </c>
      <c r="AY87" s="142">
        <f>IF('RAW IMPORT'!AY77&lt;&gt;"",1,0)</f>
        <v>1</v>
      </c>
      <c r="AZ87" s="142">
        <f>IF('RAW IMPORT'!AZ77&lt;&gt;"",1,0)</f>
        <v>1</v>
      </c>
      <c r="BA87" s="142">
        <f>IF('RAW IMPORT'!BA77&lt;&gt;"",1,0)</f>
        <v>1</v>
      </c>
      <c r="BB87" s="142">
        <f>IF('RAW IMPORT'!BB77&lt;&gt;"",1,0)</f>
        <v>1</v>
      </c>
      <c r="BC87" s="142">
        <f>IF('RAW IMPORT'!BC77&lt;&gt;"",1,0)</f>
        <v>0</v>
      </c>
      <c r="BD87" s="142">
        <f>IF('RAW IMPORT'!BD77&lt;&gt;"",1,0)</f>
        <v>1</v>
      </c>
      <c r="BE87" s="142">
        <f>IF('RAW IMPORT'!BE77&lt;&gt;"",1,0)</f>
        <v>1</v>
      </c>
      <c r="BF87" s="142">
        <f>IF('RAW IMPORT'!BF77&lt;&gt;"",1,0)</f>
        <v>0</v>
      </c>
      <c r="BG87" s="142">
        <f>IF('RAW IMPORT'!BG77&lt;&gt;"",1,0)</f>
        <v>1</v>
      </c>
      <c r="BH87" s="142">
        <f>IF('RAW IMPORT'!BH77&lt;&gt;"",1,0)</f>
        <v>1</v>
      </c>
      <c r="BI87" s="142">
        <f>IF('RAW IMPORT'!BI77&lt;&gt;"",1,0)</f>
        <v>1</v>
      </c>
      <c r="BJ87" s="142">
        <f>IF('RAW IMPORT'!BJ77&lt;&gt;"",1,0)</f>
        <v>1</v>
      </c>
      <c r="BK87" s="142">
        <f>IF('RAW IMPORT'!BK77&lt;&gt;"",1,0)</f>
        <v>1</v>
      </c>
      <c r="BL87" s="142">
        <f>IF('RAW IMPORT'!BL77&lt;&gt;"",1,0)</f>
        <v>0</v>
      </c>
      <c r="BM87" s="142">
        <f>'RAW IMPORT'!BM77</f>
        <v>3</v>
      </c>
      <c r="BN87" s="165">
        <f>'RAW IMPORT'!BN77</f>
        <v>0</v>
      </c>
      <c r="BO87" s="197">
        <f>'RAW IMPORT'!BO77</f>
        <v>0</v>
      </c>
      <c r="BP87" s="142" t="str">
        <f>'RAW IMPORT'!BP77</f>
        <v>PDF</v>
      </c>
      <c r="BQ87" s="141">
        <f>'RAW IMPORT'!BQ77</f>
        <v>0</v>
      </c>
      <c r="BR87" s="141">
        <f>'RAW IMPORT'!BR77</f>
        <v>2.1000000000000001E-2</v>
      </c>
      <c r="BS87" s="141">
        <f>'RAW IMPORT'!BS77</f>
        <v>0.05</v>
      </c>
      <c r="BT87" s="141">
        <f>'RAW IMPORT'!BT77</f>
        <v>4.2999999999999997E-2</v>
      </c>
      <c r="BU87" s="141">
        <f>'RAW IMPORT'!BU77</f>
        <v>2.5000000000000001E-2</v>
      </c>
      <c r="BV87" s="198">
        <f>'RAW IMPORT'!BV77</f>
        <v>0</v>
      </c>
      <c r="BW87" s="141">
        <f>'RAW IMPORT'!BW77</f>
        <v>49</v>
      </c>
      <c r="BX87" s="165">
        <f>'RAW IMPORT'!BX77</f>
        <v>49</v>
      </c>
      <c r="BY87" s="240"/>
      <c r="BZ87" s="126"/>
      <c r="CA87" s="143">
        <f t="shared" si="10"/>
        <v>73</v>
      </c>
      <c r="CB87" s="170"/>
      <c r="CC87" s="170"/>
      <c r="CD87" s="204" t="str">
        <f t="shared" si="11"/>
        <v>"Model-8020":
    RETURN</v>
      </c>
      <c r="CE87" s="170"/>
    </row>
    <row r="88" spans="1:83" ht="15" customHeight="1" x14ac:dyDescent="0.25">
      <c r="A88" s="138" t="str">
        <f>'RAW IMPORT'!A78</f>
        <v>OGRO</v>
      </c>
      <c r="B88" s="139" t="str">
        <f>'RAW IMPORT'!B78</f>
        <v>8020A</v>
      </c>
      <c r="C88" s="142">
        <f>IF('RAW IMPORT'!C78&lt;&gt;"",1,0)</f>
        <v>1</v>
      </c>
      <c r="D88" s="142">
        <f>IF('RAW IMPORT'!D78&lt;&gt;"",1,0)</f>
        <v>1</v>
      </c>
      <c r="E88" s="142">
        <f>IF('RAW IMPORT'!E78&lt;&gt;"",1,0)</f>
        <v>0</v>
      </c>
      <c r="F88" s="142">
        <f>IF('RAW IMPORT'!F78&lt;&gt;"",1,0)</f>
        <v>0</v>
      </c>
      <c r="G88" s="142">
        <f>IF('RAW IMPORT'!G78&lt;&gt;"",1,0)</f>
        <v>0</v>
      </c>
      <c r="H88" s="142">
        <f>IF('RAW IMPORT'!H78&lt;&gt;"",1,0)</f>
        <v>0</v>
      </c>
      <c r="I88" s="142">
        <f>IF('RAW IMPORT'!I78&lt;&gt;"",1,0)</f>
        <v>0</v>
      </c>
      <c r="J88" s="142">
        <f>IF('RAW IMPORT'!J78&lt;&gt;"",1,0)</f>
        <v>0</v>
      </c>
      <c r="K88" s="142">
        <f>IF('RAW IMPORT'!K78&lt;&gt;"",1,0)</f>
        <v>0</v>
      </c>
      <c r="L88" s="142">
        <f>IF('RAW IMPORT'!L78&lt;&gt;"",1,0)</f>
        <v>0</v>
      </c>
      <c r="M88" s="142">
        <f>IF('RAW IMPORT'!M78&lt;&gt;"",1,0)</f>
        <v>0</v>
      </c>
      <c r="N88" s="165">
        <f>IF('RAW IMPORT'!N78&lt;&gt;"",1,0)</f>
        <v>0</v>
      </c>
      <c r="O88" s="167">
        <f>IF('RAW IMPORT'!O78&lt;&gt;"",1,0)</f>
        <v>0</v>
      </c>
      <c r="P88" s="142">
        <f>IF('RAW IMPORT'!P78&lt;&gt;"",1,0)</f>
        <v>0</v>
      </c>
      <c r="Q88" s="142">
        <f>IF('RAW IMPORT'!Q78&lt;&gt;"",1,0)</f>
        <v>0</v>
      </c>
      <c r="R88" s="138">
        <f>'RAW IMPORT'!R78</f>
        <v>0</v>
      </c>
      <c r="S88" s="138">
        <f>'RAW IMPORT'!S78</f>
        <v>7</v>
      </c>
      <c r="T88" s="138">
        <f>'RAW IMPORT'!T78</f>
        <v>5</v>
      </c>
      <c r="U88" s="138">
        <f>'RAW IMPORT'!U78</f>
        <v>0</v>
      </c>
      <c r="V88" s="138">
        <f>'RAW IMPORT'!V78</f>
        <v>0</v>
      </c>
      <c r="W88" s="138">
        <f>'RAW IMPORT'!W78</f>
        <v>0</v>
      </c>
      <c r="X88" s="138">
        <f>'RAW IMPORT'!X78</f>
        <v>0</v>
      </c>
      <c r="Y88" s="138">
        <f>'RAW IMPORT'!Y78</f>
        <v>0</v>
      </c>
      <c r="Z88" s="138">
        <f>'RAW IMPORT'!Z78</f>
        <v>0</v>
      </c>
      <c r="AA88" s="138">
        <f>'RAW IMPORT'!AA78</f>
        <v>0</v>
      </c>
      <c r="AB88" s="139">
        <f>'RAW IMPORT'!AB78</f>
        <v>0</v>
      </c>
      <c r="AC88" s="141">
        <f>'RAW IMPORT'!AC78</f>
        <v>4</v>
      </c>
      <c r="AD88" s="142">
        <f>'RAW IMPORT'!AD78</f>
        <v>7</v>
      </c>
      <c r="AE88" s="142">
        <f>'RAW IMPORT'!AE78</f>
        <v>0</v>
      </c>
      <c r="AF88" s="142">
        <f>IF('RAW IMPORT'!AF78="C1",3,IF('RAW IMPORT'!AF78="D1",4,0))</f>
        <v>3</v>
      </c>
      <c r="AG88" s="142">
        <f>'RAW IMPORT'!AG78</f>
        <v>1</v>
      </c>
      <c r="AH88" s="142">
        <f>'RAW IMPORT'!AH78</f>
        <v>5</v>
      </c>
      <c r="AI88" s="142">
        <f>IF('RAW IMPORT'!AI78="U",1,0)</f>
        <v>0</v>
      </c>
      <c r="AJ88" s="142">
        <f>IF('RAW IMPORT'!AJ78="A",1,0)</f>
        <v>1</v>
      </c>
      <c r="AK88" s="142">
        <f>IF('RAW IMPORT'!AK78="B",1,0)</f>
        <v>1</v>
      </c>
      <c r="AL88" s="142">
        <f>IF('RAW IMPORT'!AL78="U",1,0)</f>
        <v>1</v>
      </c>
      <c r="AM88" s="142">
        <f>IF('RAW IMPORT'!AM78&lt;&gt;"",1,0)</f>
        <v>1</v>
      </c>
      <c r="AN88" s="142">
        <f>IF('RAW IMPORT'!AN78&lt;&gt;"",1,0)</f>
        <v>1</v>
      </c>
      <c r="AO88" s="142">
        <f>IF('RAW IMPORT'!AO78&lt;&gt;"",1,0)</f>
        <v>1</v>
      </c>
      <c r="AP88" s="142">
        <f>IF('RAW IMPORT'!AP78&lt;&gt;"",1,0)</f>
        <v>0</v>
      </c>
      <c r="AQ88" s="142">
        <f>IF('RAW IMPORT'!AQ78&lt;&gt;"",1,0)</f>
        <v>0</v>
      </c>
      <c r="AR88" s="142">
        <f>IF('RAW IMPORT'!AR78&lt;&gt;"",1,0)</f>
        <v>1</v>
      </c>
      <c r="AS88" s="142">
        <f>IF('RAW IMPORT'!AS78&lt;&gt;"",1,0)</f>
        <v>0</v>
      </c>
      <c r="AT88" s="142">
        <f>IF('RAW IMPORT'!AT78&lt;&gt;"",1,0)</f>
        <v>0</v>
      </c>
      <c r="AU88" s="142">
        <f>IF('RAW IMPORT'!AU78&lt;&gt;"",1,0)</f>
        <v>0</v>
      </c>
      <c r="AV88" s="142">
        <f>IF('RAW IMPORT'!AV78&lt;&gt;"",1,0)</f>
        <v>0</v>
      </c>
      <c r="AW88" s="142">
        <f>IF('RAW IMPORT'!AW78&lt;&gt;"",1,0)</f>
        <v>1</v>
      </c>
      <c r="AX88" s="142">
        <f>IF('RAW IMPORT'!AX78&lt;&gt;"",1,0)</f>
        <v>1</v>
      </c>
      <c r="AY88" s="142">
        <f>IF('RAW IMPORT'!AY78&lt;&gt;"",1,0)</f>
        <v>1</v>
      </c>
      <c r="AZ88" s="142">
        <f>IF('RAW IMPORT'!AZ78&lt;&gt;"",1,0)</f>
        <v>1</v>
      </c>
      <c r="BA88" s="142">
        <f>IF('RAW IMPORT'!BA78&lt;&gt;"",1,0)</f>
        <v>1</v>
      </c>
      <c r="BB88" s="142">
        <f>IF('RAW IMPORT'!BB78&lt;&gt;"",1,0)</f>
        <v>0</v>
      </c>
      <c r="BC88" s="142">
        <f>IF('RAW IMPORT'!BC78&lt;&gt;"",1,0)</f>
        <v>1</v>
      </c>
      <c r="BD88" s="142">
        <f>IF('RAW IMPORT'!BD78&lt;&gt;"",1,0)</f>
        <v>1</v>
      </c>
      <c r="BE88" s="142">
        <f>IF('RAW IMPORT'!BE78&lt;&gt;"",1,0)</f>
        <v>1</v>
      </c>
      <c r="BF88" s="142">
        <f>IF('RAW IMPORT'!BF78&lt;&gt;"",1,0)</f>
        <v>0</v>
      </c>
      <c r="BG88" s="142">
        <f>IF('RAW IMPORT'!BG78&lt;&gt;"",1,0)</f>
        <v>1</v>
      </c>
      <c r="BH88" s="142">
        <f>IF('RAW IMPORT'!BH78&lt;&gt;"",1,0)</f>
        <v>1</v>
      </c>
      <c r="BI88" s="142">
        <f>IF('RAW IMPORT'!BI78&lt;&gt;"",1,0)</f>
        <v>1</v>
      </c>
      <c r="BJ88" s="142">
        <f>IF('RAW IMPORT'!BJ78&lt;&gt;"",1,0)</f>
        <v>1</v>
      </c>
      <c r="BK88" s="142">
        <f>IF('RAW IMPORT'!BK78&lt;&gt;"",1,0)</f>
        <v>1</v>
      </c>
      <c r="BL88" s="142">
        <f>IF('RAW IMPORT'!BL78&lt;&gt;"",1,0)</f>
        <v>0</v>
      </c>
      <c r="BM88" s="142">
        <f>'RAW IMPORT'!BM78</f>
        <v>3</v>
      </c>
      <c r="BN88" s="165">
        <f>'RAW IMPORT'!BN78</f>
        <v>0</v>
      </c>
      <c r="BO88" s="197">
        <f>'RAW IMPORT'!BO78</f>
        <v>0</v>
      </c>
      <c r="BP88" s="142" t="str">
        <f>'RAW IMPORT'!BP78</f>
        <v>PDF</v>
      </c>
      <c r="BQ88" s="141">
        <f>'RAW IMPORT'!BQ78</f>
        <v>0</v>
      </c>
      <c r="BR88" s="141">
        <f>'RAW IMPORT'!BR78</f>
        <v>2.1000000000000001E-2</v>
      </c>
      <c r="BS88" s="141">
        <f>'RAW IMPORT'!BS78</f>
        <v>7.0000000000000007E-2</v>
      </c>
      <c r="BT88" s="141">
        <f>'RAW IMPORT'!BT78</f>
        <v>0.05</v>
      </c>
      <c r="BU88" s="141">
        <f>'RAW IMPORT'!BU78</f>
        <v>1.0500000000000001E-2</v>
      </c>
      <c r="BV88" s="198">
        <f>'RAW IMPORT'!BV78</f>
        <v>0</v>
      </c>
      <c r="BW88" s="141">
        <f>'RAW IMPORT'!BW78</f>
        <v>50</v>
      </c>
      <c r="BX88" s="165">
        <f>'RAW IMPORT'!BX78</f>
        <v>50</v>
      </c>
      <c r="BY88" s="240"/>
      <c r="BZ88" s="126"/>
      <c r="CA88" s="143">
        <f t="shared" si="10"/>
        <v>74</v>
      </c>
      <c r="CB88" s="170"/>
      <c r="CC88" s="170"/>
      <c r="CD88" s="204" t="str">
        <f t="shared" si="11"/>
        <v>"Model-8020A":
    RETURN</v>
      </c>
      <c r="CE88" s="170"/>
    </row>
    <row r="89" spans="1:83" ht="15" customHeight="1" x14ac:dyDescent="0.25">
      <c r="A89" s="138" t="str">
        <f>'RAW IMPORT'!A79</f>
        <v>OGRO</v>
      </c>
      <c r="B89" s="139">
        <f>'RAW IMPORT'!B79</f>
        <v>8025</v>
      </c>
      <c r="C89" s="142">
        <f>IF('RAW IMPORT'!C79&lt;&gt;"",1,0)</f>
        <v>1</v>
      </c>
      <c r="D89" s="142">
        <f>IF('RAW IMPORT'!D79&lt;&gt;"",1,0)</f>
        <v>1</v>
      </c>
      <c r="E89" s="142">
        <f>IF('RAW IMPORT'!E79&lt;&gt;"",1,0)</f>
        <v>0</v>
      </c>
      <c r="F89" s="142">
        <f>IF('RAW IMPORT'!F79&lt;&gt;"",1,0)</f>
        <v>0</v>
      </c>
      <c r="G89" s="142">
        <f>IF('RAW IMPORT'!G79&lt;&gt;"",1,0)</f>
        <v>0</v>
      </c>
      <c r="H89" s="142">
        <f>IF('RAW IMPORT'!H79&lt;&gt;"",1,0)</f>
        <v>0</v>
      </c>
      <c r="I89" s="142">
        <f>IF('RAW IMPORT'!I79&lt;&gt;"",1,0)</f>
        <v>0</v>
      </c>
      <c r="J89" s="142">
        <f>IF('RAW IMPORT'!J79&lt;&gt;"",1,0)</f>
        <v>0</v>
      </c>
      <c r="K89" s="142">
        <f>IF('RAW IMPORT'!K79&lt;&gt;"",1,0)</f>
        <v>0</v>
      </c>
      <c r="L89" s="142">
        <f>IF('RAW IMPORT'!L79&lt;&gt;"",1,0)</f>
        <v>0</v>
      </c>
      <c r="M89" s="142">
        <f>IF('RAW IMPORT'!M79&lt;&gt;"",1,0)</f>
        <v>0</v>
      </c>
      <c r="N89" s="165">
        <f>IF('RAW IMPORT'!N79&lt;&gt;"",1,0)</f>
        <v>0</v>
      </c>
      <c r="O89" s="167">
        <f>IF('RAW IMPORT'!O79&lt;&gt;"",1,0)</f>
        <v>0</v>
      </c>
      <c r="P89" s="142">
        <f>IF('RAW IMPORT'!P79&lt;&gt;"",1,0)</f>
        <v>0</v>
      </c>
      <c r="Q89" s="142">
        <f>IF('RAW IMPORT'!Q79&lt;&gt;"",1,0)</f>
        <v>0</v>
      </c>
      <c r="R89" s="138">
        <f>'RAW IMPORT'!R79</f>
        <v>0</v>
      </c>
      <c r="S89" s="138">
        <f>'RAW IMPORT'!S79</f>
        <v>7</v>
      </c>
      <c r="T89" s="138">
        <f>'RAW IMPORT'!T79</f>
        <v>5</v>
      </c>
      <c r="U89" s="138">
        <f>'RAW IMPORT'!U79</f>
        <v>0</v>
      </c>
      <c r="V89" s="138">
        <f>'RAW IMPORT'!V79</f>
        <v>0</v>
      </c>
      <c r="W89" s="138">
        <f>'RAW IMPORT'!W79</f>
        <v>0</v>
      </c>
      <c r="X89" s="138">
        <f>'RAW IMPORT'!X79</f>
        <v>0</v>
      </c>
      <c r="Y89" s="138">
        <f>'RAW IMPORT'!Y79</f>
        <v>0</v>
      </c>
      <c r="Z89" s="138">
        <f>'RAW IMPORT'!Z79</f>
        <v>0</v>
      </c>
      <c r="AA89" s="138">
        <f>'RAW IMPORT'!AA79</f>
        <v>0</v>
      </c>
      <c r="AB89" s="139">
        <f>'RAW IMPORT'!AB79</f>
        <v>0</v>
      </c>
      <c r="AC89" s="141">
        <f>'RAW IMPORT'!AC79</f>
        <v>4</v>
      </c>
      <c r="AD89" s="142">
        <f>'RAW IMPORT'!AD79</f>
        <v>7</v>
      </c>
      <c r="AE89" s="142">
        <f>'RAW IMPORT'!AE79</f>
        <v>0</v>
      </c>
      <c r="AF89" s="142">
        <f>IF('RAW IMPORT'!AF79="C1",3,IF('RAW IMPORT'!AF79="D1",4,0))</f>
        <v>4</v>
      </c>
      <c r="AG89" s="142">
        <f>'RAW IMPORT'!AG79</f>
        <v>1</v>
      </c>
      <c r="AH89" s="142">
        <f>'RAW IMPORT'!AH79</f>
        <v>5</v>
      </c>
      <c r="AI89" s="142">
        <f>IF('RAW IMPORT'!AI79="U",1,0)</f>
        <v>0</v>
      </c>
      <c r="AJ89" s="142">
        <f>IF('RAW IMPORT'!AJ79="A",1,0)</f>
        <v>1</v>
      </c>
      <c r="AK89" s="142">
        <f>IF('RAW IMPORT'!AK79="B",1,0)</f>
        <v>1</v>
      </c>
      <c r="AL89" s="142">
        <f>IF('RAW IMPORT'!AL79="U",1,0)</f>
        <v>1</v>
      </c>
      <c r="AM89" s="142">
        <f>IF('RAW IMPORT'!AM79&lt;&gt;"",1,0)</f>
        <v>1</v>
      </c>
      <c r="AN89" s="142">
        <f>IF('RAW IMPORT'!AN79&lt;&gt;"",1,0)</f>
        <v>1</v>
      </c>
      <c r="AO89" s="142">
        <f>IF('RAW IMPORT'!AO79&lt;&gt;"",1,0)</f>
        <v>1</v>
      </c>
      <c r="AP89" s="142">
        <f>IF('RAW IMPORT'!AP79&lt;&gt;"",1,0)</f>
        <v>1</v>
      </c>
      <c r="AQ89" s="142">
        <f>IF('RAW IMPORT'!AQ79&lt;&gt;"",1,0)</f>
        <v>0</v>
      </c>
      <c r="AR89" s="142">
        <f>IF('RAW IMPORT'!AR79&lt;&gt;"",1,0)</f>
        <v>1</v>
      </c>
      <c r="AS89" s="142">
        <f>IF('RAW IMPORT'!AS79&lt;&gt;"",1,0)</f>
        <v>0</v>
      </c>
      <c r="AT89" s="142">
        <f>IF('RAW IMPORT'!AT79&lt;&gt;"",1,0)</f>
        <v>0</v>
      </c>
      <c r="AU89" s="142">
        <f>IF('RAW IMPORT'!AU79&lt;&gt;"",1,0)</f>
        <v>0</v>
      </c>
      <c r="AV89" s="142">
        <f>IF('RAW IMPORT'!AV79&lt;&gt;"",1,0)</f>
        <v>0</v>
      </c>
      <c r="AW89" s="142">
        <f>IF('RAW IMPORT'!AW79&lt;&gt;"",1,0)</f>
        <v>1</v>
      </c>
      <c r="AX89" s="142">
        <f>IF('RAW IMPORT'!AX79&lt;&gt;"",1,0)</f>
        <v>1</v>
      </c>
      <c r="AY89" s="142">
        <f>IF('RAW IMPORT'!AY79&lt;&gt;"",1,0)</f>
        <v>1</v>
      </c>
      <c r="AZ89" s="142">
        <f>IF('RAW IMPORT'!AZ79&lt;&gt;"",1,0)</f>
        <v>1</v>
      </c>
      <c r="BA89" s="142">
        <f>IF('RAW IMPORT'!BA79&lt;&gt;"",1,0)</f>
        <v>1</v>
      </c>
      <c r="BB89" s="142">
        <f>IF('RAW IMPORT'!BB79&lt;&gt;"",1,0)</f>
        <v>1</v>
      </c>
      <c r="BC89" s="142">
        <f>IF('RAW IMPORT'!BC79&lt;&gt;"",1,0)</f>
        <v>0</v>
      </c>
      <c r="BD89" s="142">
        <f>IF('RAW IMPORT'!BD79&lt;&gt;"",1,0)</f>
        <v>1</v>
      </c>
      <c r="BE89" s="142">
        <f>IF('RAW IMPORT'!BE79&lt;&gt;"",1,0)</f>
        <v>1</v>
      </c>
      <c r="BF89" s="142">
        <f>IF('RAW IMPORT'!BF79&lt;&gt;"",1,0)</f>
        <v>0</v>
      </c>
      <c r="BG89" s="142">
        <f>IF('RAW IMPORT'!BG79&lt;&gt;"",1,0)</f>
        <v>1</v>
      </c>
      <c r="BH89" s="142">
        <f>IF('RAW IMPORT'!BH79&lt;&gt;"",1,0)</f>
        <v>1</v>
      </c>
      <c r="BI89" s="142">
        <f>IF('RAW IMPORT'!BI79&lt;&gt;"",1,0)</f>
        <v>1</v>
      </c>
      <c r="BJ89" s="142">
        <f>IF('RAW IMPORT'!BJ79&lt;&gt;"",1,0)</f>
        <v>1</v>
      </c>
      <c r="BK89" s="142">
        <f>IF('RAW IMPORT'!BK79&lt;&gt;"",1,0)</f>
        <v>1</v>
      </c>
      <c r="BL89" s="142">
        <f>IF('RAW IMPORT'!BL79&lt;&gt;"",1,0)</f>
        <v>0</v>
      </c>
      <c r="BM89" s="142">
        <f>'RAW IMPORT'!BM79</f>
        <v>3</v>
      </c>
      <c r="BN89" s="165">
        <f>'RAW IMPORT'!BN79</f>
        <v>0</v>
      </c>
      <c r="BO89" s="197">
        <f>'RAW IMPORT'!BO79</f>
        <v>0</v>
      </c>
      <c r="BP89" s="142" t="str">
        <f>'RAW IMPORT'!BP79</f>
        <v>PDF</v>
      </c>
      <c r="BQ89" s="141">
        <f>'RAW IMPORT'!BQ79</f>
        <v>0</v>
      </c>
      <c r="BR89" s="141">
        <f>'RAW IMPORT'!BR79</f>
        <v>2.1000000000000001E-2</v>
      </c>
      <c r="BS89" s="141">
        <f>'RAW IMPORT'!BS79</f>
        <v>0.05</v>
      </c>
      <c r="BT89" s="141">
        <f>'RAW IMPORT'!BT79</f>
        <v>6.25E-2</v>
      </c>
      <c r="BU89" s="141">
        <f>'RAW IMPORT'!BU79</f>
        <v>2.5000000000000001E-2</v>
      </c>
      <c r="BV89" s="198">
        <f>'RAW IMPORT'!BV79</f>
        <v>0</v>
      </c>
      <c r="BW89" s="141">
        <f>'RAW IMPORT'!BW79</f>
        <v>51</v>
      </c>
      <c r="BX89" s="165">
        <f>'RAW IMPORT'!BX79</f>
        <v>51</v>
      </c>
      <c r="BY89" s="240"/>
      <c r="BZ89" s="126"/>
      <c r="CA89" s="143">
        <f t="shared" si="10"/>
        <v>75</v>
      </c>
      <c r="CB89" s="170"/>
      <c r="CC89" s="170"/>
      <c r="CD89" s="204" t="str">
        <f t="shared" si="11"/>
        <v>"Model-8025":
    RETURN</v>
      </c>
      <c r="CE89" s="170"/>
    </row>
    <row r="90" spans="1:83" ht="15" customHeight="1" x14ac:dyDescent="0.25">
      <c r="A90" s="138" t="str">
        <f>'RAW IMPORT'!A80</f>
        <v>OGRO</v>
      </c>
      <c r="B90" s="139" t="str">
        <f>'RAW IMPORT'!B80</f>
        <v>8025V</v>
      </c>
      <c r="C90" s="142">
        <f>IF('RAW IMPORT'!C80&lt;&gt;"",1,0)</f>
        <v>1</v>
      </c>
      <c r="D90" s="142">
        <f>IF('RAW IMPORT'!D80&lt;&gt;"",1,0)</f>
        <v>1</v>
      </c>
      <c r="E90" s="142">
        <f>IF('RAW IMPORT'!E80&lt;&gt;"",1,0)</f>
        <v>0</v>
      </c>
      <c r="F90" s="142">
        <f>IF('RAW IMPORT'!F80&lt;&gt;"",1,0)</f>
        <v>0</v>
      </c>
      <c r="G90" s="142">
        <f>IF('RAW IMPORT'!G80&lt;&gt;"",1,0)</f>
        <v>0</v>
      </c>
      <c r="H90" s="142">
        <f>IF('RAW IMPORT'!H80&lt;&gt;"",1,0)</f>
        <v>0</v>
      </c>
      <c r="I90" s="142">
        <f>IF('RAW IMPORT'!I80&lt;&gt;"",1,0)</f>
        <v>0</v>
      </c>
      <c r="J90" s="142">
        <f>IF('RAW IMPORT'!J80&lt;&gt;"",1,0)</f>
        <v>0</v>
      </c>
      <c r="K90" s="142">
        <f>IF('RAW IMPORT'!K80&lt;&gt;"",1,0)</f>
        <v>0</v>
      </c>
      <c r="L90" s="142">
        <f>IF('RAW IMPORT'!L80&lt;&gt;"",1,0)</f>
        <v>0</v>
      </c>
      <c r="M90" s="142">
        <f>IF('RAW IMPORT'!M80&lt;&gt;"",1,0)</f>
        <v>0</v>
      </c>
      <c r="N90" s="165">
        <f>IF('RAW IMPORT'!N80&lt;&gt;"",1,0)</f>
        <v>0</v>
      </c>
      <c r="O90" s="167">
        <f>IF('RAW IMPORT'!O80&lt;&gt;"",1,0)</f>
        <v>0</v>
      </c>
      <c r="P90" s="142">
        <f>IF('RAW IMPORT'!P80&lt;&gt;"",1,0)</f>
        <v>0</v>
      </c>
      <c r="Q90" s="142">
        <f>IF('RAW IMPORT'!Q80&lt;&gt;"",1,0)</f>
        <v>0</v>
      </c>
      <c r="R90" s="138">
        <f>'RAW IMPORT'!R80</f>
        <v>0</v>
      </c>
      <c r="S90" s="138">
        <f>'RAW IMPORT'!S80</f>
        <v>7</v>
      </c>
      <c r="T90" s="138">
        <f>'RAW IMPORT'!T80</f>
        <v>5</v>
      </c>
      <c r="U90" s="138">
        <f>'RAW IMPORT'!U80</f>
        <v>0</v>
      </c>
      <c r="V90" s="138">
        <f>'RAW IMPORT'!V80</f>
        <v>0</v>
      </c>
      <c r="W90" s="138">
        <f>'RAW IMPORT'!W80</f>
        <v>0</v>
      </c>
      <c r="X90" s="138">
        <f>'RAW IMPORT'!X80</f>
        <v>0</v>
      </c>
      <c r="Y90" s="138">
        <f>'RAW IMPORT'!Y80</f>
        <v>0</v>
      </c>
      <c r="Z90" s="138">
        <f>'RAW IMPORT'!Z80</f>
        <v>0</v>
      </c>
      <c r="AA90" s="138">
        <f>'RAW IMPORT'!AA80</f>
        <v>0</v>
      </c>
      <c r="AB90" s="139">
        <f>'RAW IMPORT'!AB80</f>
        <v>0</v>
      </c>
      <c r="AC90" s="141">
        <f>'RAW IMPORT'!AC80</f>
        <v>4</v>
      </c>
      <c r="AD90" s="142">
        <f>'RAW IMPORT'!AD80</f>
        <v>7</v>
      </c>
      <c r="AE90" s="142">
        <f>'RAW IMPORT'!AE80</f>
        <v>0</v>
      </c>
      <c r="AF90" s="142">
        <f>IF('RAW IMPORT'!AF80="C1",3,IF('RAW IMPORT'!AF80="D1",4,0))</f>
        <v>4</v>
      </c>
      <c r="AG90" s="142">
        <f>'RAW IMPORT'!AG80</f>
        <v>1</v>
      </c>
      <c r="AH90" s="142">
        <f>'RAW IMPORT'!AH80</f>
        <v>5</v>
      </c>
      <c r="AI90" s="142">
        <f>IF('RAW IMPORT'!AI80="U",1,0)</f>
        <v>0</v>
      </c>
      <c r="AJ90" s="142">
        <f>IF('RAW IMPORT'!AJ80="A",1,0)</f>
        <v>1</v>
      </c>
      <c r="AK90" s="142">
        <f>IF('RAW IMPORT'!AK80="B",1,0)</f>
        <v>1</v>
      </c>
      <c r="AL90" s="142">
        <f>IF('RAW IMPORT'!AL80="U",1,0)</f>
        <v>1</v>
      </c>
      <c r="AM90" s="142">
        <f>IF('RAW IMPORT'!AM80&lt;&gt;"",1,0)</f>
        <v>1</v>
      </c>
      <c r="AN90" s="142">
        <f>IF('RAW IMPORT'!AN80&lt;&gt;"",1,0)</f>
        <v>1</v>
      </c>
      <c r="AO90" s="142">
        <f>IF('RAW IMPORT'!AO80&lt;&gt;"",1,0)</f>
        <v>1</v>
      </c>
      <c r="AP90" s="142">
        <f>IF('RAW IMPORT'!AP80&lt;&gt;"",1,0)</f>
        <v>1</v>
      </c>
      <c r="AQ90" s="142">
        <f>IF('RAW IMPORT'!AQ80&lt;&gt;"",1,0)</f>
        <v>0</v>
      </c>
      <c r="AR90" s="142">
        <f>IF('RAW IMPORT'!AR80&lt;&gt;"",1,0)</f>
        <v>1</v>
      </c>
      <c r="AS90" s="142">
        <f>IF('RAW IMPORT'!AS80&lt;&gt;"",1,0)</f>
        <v>0</v>
      </c>
      <c r="AT90" s="142">
        <f>IF('RAW IMPORT'!AT80&lt;&gt;"",1,0)</f>
        <v>0</v>
      </c>
      <c r="AU90" s="142">
        <f>IF('RAW IMPORT'!AU80&lt;&gt;"",1,0)</f>
        <v>0</v>
      </c>
      <c r="AV90" s="142">
        <f>IF('RAW IMPORT'!AV80&lt;&gt;"",1,0)</f>
        <v>0</v>
      </c>
      <c r="AW90" s="142">
        <f>IF('RAW IMPORT'!AW80&lt;&gt;"",1,0)</f>
        <v>1</v>
      </c>
      <c r="AX90" s="142">
        <f>IF('RAW IMPORT'!AX80&lt;&gt;"",1,0)</f>
        <v>1</v>
      </c>
      <c r="AY90" s="142">
        <f>IF('RAW IMPORT'!AY80&lt;&gt;"",1,0)</f>
        <v>1</v>
      </c>
      <c r="AZ90" s="142">
        <f>IF('RAW IMPORT'!AZ80&lt;&gt;"",1,0)</f>
        <v>1</v>
      </c>
      <c r="BA90" s="142">
        <f>IF('RAW IMPORT'!BA80&lt;&gt;"",1,0)</f>
        <v>1</v>
      </c>
      <c r="BB90" s="142">
        <f>IF('RAW IMPORT'!BB80&lt;&gt;"",1,0)</f>
        <v>0</v>
      </c>
      <c r="BC90" s="142">
        <f>IF('RAW IMPORT'!BC80&lt;&gt;"",1,0)</f>
        <v>1</v>
      </c>
      <c r="BD90" s="142">
        <f>IF('RAW IMPORT'!BD80&lt;&gt;"",1,0)</f>
        <v>1</v>
      </c>
      <c r="BE90" s="142">
        <f>IF('RAW IMPORT'!BE80&lt;&gt;"",1,0)</f>
        <v>1</v>
      </c>
      <c r="BF90" s="142">
        <f>IF('RAW IMPORT'!BF80&lt;&gt;"",1,0)</f>
        <v>0</v>
      </c>
      <c r="BG90" s="142">
        <f>IF('RAW IMPORT'!BG80&lt;&gt;"",1,0)</f>
        <v>1</v>
      </c>
      <c r="BH90" s="142">
        <f>IF('RAW IMPORT'!BH80&lt;&gt;"",1,0)</f>
        <v>1</v>
      </c>
      <c r="BI90" s="142">
        <f>IF('RAW IMPORT'!BI80&lt;&gt;"",1,0)</f>
        <v>1</v>
      </c>
      <c r="BJ90" s="142">
        <f>IF('RAW IMPORT'!BJ80&lt;&gt;"",1,0)</f>
        <v>1</v>
      </c>
      <c r="BK90" s="142">
        <f>IF('RAW IMPORT'!BK80&lt;&gt;"",1,0)</f>
        <v>1</v>
      </c>
      <c r="BL90" s="142">
        <f>IF('RAW IMPORT'!BL80&lt;&gt;"",1,0)</f>
        <v>0</v>
      </c>
      <c r="BM90" s="142">
        <f>'RAW IMPORT'!BM80</f>
        <v>3</v>
      </c>
      <c r="BN90" s="165">
        <f>'RAW IMPORT'!BN80</f>
        <v>0</v>
      </c>
      <c r="BO90" s="197">
        <f>'RAW IMPORT'!BO80</f>
        <v>0</v>
      </c>
      <c r="BP90" s="142" t="str">
        <f>'RAW IMPORT'!BP80</f>
        <v>PDF</v>
      </c>
      <c r="BQ90" s="141">
        <f>'RAW IMPORT'!BQ80</f>
        <v>0</v>
      </c>
      <c r="BR90" s="141">
        <f>'RAW IMPORT'!BR80</f>
        <v>2.1000000000000001E-2</v>
      </c>
      <c r="BS90" s="141">
        <f>'RAW IMPORT'!BS80</f>
        <v>0.08</v>
      </c>
      <c r="BT90" s="141">
        <f>'RAW IMPORT'!BT80</f>
        <v>6.6500000000000004E-2</v>
      </c>
      <c r="BU90" s="141">
        <f>'RAW IMPORT'!BU80</f>
        <v>1.0500000000000001E-2</v>
      </c>
      <c r="BV90" s="198">
        <f>'RAW IMPORT'!BV80</f>
        <v>0</v>
      </c>
      <c r="BW90" s="141">
        <f>'RAW IMPORT'!BW80</f>
        <v>52</v>
      </c>
      <c r="BX90" s="165">
        <f>'RAW IMPORT'!BX80</f>
        <v>52</v>
      </c>
      <c r="BY90" s="240"/>
      <c r="BZ90" s="126"/>
      <c r="CA90" s="143">
        <f t="shared" si="10"/>
        <v>76</v>
      </c>
      <c r="CB90" s="170"/>
      <c r="CC90" s="170"/>
      <c r="CD90" s="204" t="str">
        <f t="shared" si="11"/>
        <v>"Model-8025V":
    RETURN</v>
      </c>
      <c r="CE90" s="170"/>
    </row>
    <row r="91" spans="1:83" ht="15" customHeight="1" x14ac:dyDescent="0.25">
      <c r="A91" s="138" t="str">
        <f>'RAW IMPORT'!A81</f>
        <v>OGRO</v>
      </c>
      <c r="B91" s="139">
        <f>'RAW IMPORT'!B81</f>
        <v>8030</v>
      </c>
      <c r="C91" s="142">
        <f>IF('RAW IMPORT'!C81&lt;&gt;"",1,0)</f>
        <v>1</v>
      </c>
      <c r="D91" s="142">
        <f>IF('RAW IMPORT'!D81&lt;&gt;"",1,0)</f>
        <v>1</v>
      </c>
      <c r="E91" s="142">
        <f>IF('RAW IMPORT'!E81&lt;&gt;"",1,0)</f>
        <v>0</v>
      </c>
      <c r="F91" s="142">
        <f>IF('RAW IMPORT'!F81&lt;&gt;"",1,0)</f>
        <v>0</v>
      </c>
      <c r="G91" s="142">
        <f>IF('RAW IMPORT'!G81&lt;&gt;"",1,0)</f>
        <v>0</v>
      </c>
      <c r="H91" s="142">
        <f>IF('RAW IMPORT'!H81&lt;&gt;"",1,0)</f>
        <v>0</v>
      </c>
      <c r="I91" s="142">
        <f>IF('RAW IMPORT'!I81&lt;&gt;"",1,0)</f>
        <v>0</v>
      </c>
      <c r="J91" s="142">
        <f>IF('RAW IMPORT'!J81&lt;&gt;"",1,0)</f>
        <v>0</v>
      </c>
      <c r="K91" s="142">
        <f>IF('RAW IMPORT'!K81&lt;&gt;"",1,0)</f>
        <v>0</v>
      </c>
      <c r="L91" s="142">
        <f>IF('RAW IMPORT'!L81&lt;&gt;"",1,0)</f>
        <v>0</v>
      </c>
      <c r="M91" s="142">
        <f>IF('RAW IMPORT'!M81&lt;&gt;"",1,0)</f>
        <v>0</v>
      </c>
      <c r="N91" s="165">
        <f>IF('RAW IMPORT'!N81&lt;&gt;"",1,0)</f>
        <v>0</v>
      </c>
      <c r="O91" s="167">
        <f>IF('RAW IMPORT'!O81&lt;&gt;"",1,0)</f>
        <v>0</v>
      </c>
      <c r="P91" s="142">
        <f>IF('RAW IMPORT'!P81&lt;&gt;"",1,0)</f>
        <v>0</v>
      </c>
      <c r="Q91" s="142">
        <f>IF('RAW IMPORT'!Q81&lt;&gt;"",1,0)</f>
        <v>0</v>
      </c>
      <c r="R91" s="138">
        <f>'RAW IMPORT'!R81</f>
        <v>0</v>
      </c>
      <c r="S91" s="138">
        <f>'RAW IMPORT'!S81</f>
        <v>7</v>
      </c>
      <c r="T91" s="138">
        <f>'RAW IMPORT'!T81</f>
        <v>5</v>
      </c>
      <c r="U91" s="138">
        <f>'RAW IMPORT'!U81</f>
        <v>0</v>
      </c>
      <c r="V91" s="138">
        <f>'RAW IMPORT'!V81</f>
        <v>0</v>
      </c>
      <c r="W91" s="138">
        <f>'RAW IMPORT'!W81</f>
        <v>0</v>
      </c>
      <c r="X91" s="138">
        <f>'RAW IMPORT'!X81</f>
        <v>0</v>
      </c>
      <c r="Y91" s="138">
        <f>'RAW IMPORT'!Y81</f>
        <v>0</v>
      </c>
      <c r="Z91" s="138">
        <f>'RAW IMPORT'!Z81</f>
        <v>0</v>
      </c>
      <c r="AA91" s="138">
        <f>'RAW IMPORT'!AA81</f>
        <v>0</v>
      </c>
      <c r="AB91" s="139">
        <f>'RAW IMPORT'!AB81</f>
        <v>0</v>
      </c>
      <c r="AC91" s="141">
        <f>'RAW IMPORT'!AC81</f>
        <v>4</v>
      </c>
      <c r="AD91" s="142">
        <f>'RAW IMPORT'!AD81</f>
        <v>7</v>
      </c>
      <c r="AE91" s="142">
        <f>'RAW IMPORT'!AE81</f>
        <v>0</v>
      </c>
      <c r="AF91" s="142">
        <f>IF('RAW IMPORT'!AF81="C1",3,IF('RAW IMPORT'!AF81="D1",4,0))</f>
        <v>4</v>
      </c>
      <c r="AG91" s="142">
        <f>'RAW IMPORT'!AG81</f>
        <v>1</v>
      </c>
      <c r="AH91" s="142">
        <f>'RAW IMPORT'!AH81</f>
        <v>5</v>
      </c>
      <c r="AI91" s="142">
        <f>IF('RAW IMPORT'!AI81="U",1,0)</f>
        <v>0</v>
      </c>
      <c r="AJ91" s="142">
        <f>IF('RAW IMPORT'!AJ81="A",1,0)</f>
        <v>1</v>
      </c>
      <c r="AK91" s="142">
        <f>IF('RAW IMPORT'!AK81="B",1,0)</f>
        <v>1</v>
      </c>
      <c r="AL91" s="142">
        <f>IF('RAW IMPORT'!AL81="U",1,0)</f>
        <v>1</v>
      </c>
      <c r="AM91" s="142">
        <f>IF('RAW IMPORT'!AM81&lt;&gt;"",1,0)</f>
        <v>1</v>
      </c>
      <c r="AN91" s="142">
        <f>IF('RAW IMPORT'!AN81&lt;&gt;"",1,0)</f>
        <v>1</v>
      </c>
      <c r="AO91" s="142">
        <f>IF('RAW IMPORT'!AO81&lt;&gt;"",1,0)</f>
        <v>1</v>
      </c>
      <c r="AP91" s="142">
        <f>IF('RAW IMPORT'!AP81&lt;&gt;"",1,0)</f>
        <v>1</v>
      </c>
      <c r="AQ91" s="142">
        <f>IF('RAW IMPORT'!AQ81&lt;&gt;"",1,0)</f>
        <v>0</v>
      </c>
      <c r="AR91" s="142">
        <f>IF('RAW IMPORT'!AR81&lt;&gt;"",1,0)</f>
        <v>1</v>
      </c>
      <c r="AS91" s="142">
        <f>IF('RAW IMPORT'!AS81&lt;&gt;"",1,0)</f>
        <v>0</v>
      </c>
      <c r="AT91" s="142">
        <f>IF('RAW IMPORT'!AT81&lt;&gt;"",1,0)</f>
        <v>0</v>
      </c>
      <c r="AU91" s="142">
        <f>IF('RAW IMPORT'!AU81&lt;&gt;"",1,0)</f>
        <v>0</v>
      </c>
      <c r="AV91" s="142">
        <f>IF('RAW IMPORT'!AV81&lt;&gt;"",1,0)</f>
        <v>0</v>
      </c>
      <c r="AW91" s="142">
        <f>IF('RAW IMPORT'!AW81&lt;&gt;"",1,0)</f>
        <v>1</v>
      </c>
      <c r="AX91" s="142">
        <f>IF('RAW IMPORT'!AX81&lt;&gt;"",1,0)</f>
        <v>1</v>
      </c>
      <c r="AY91" s="142">
        <f>IF('RAW IMPORT'!AY81&lt;&gt;"",1,0)</f>
        <v>1</v>
      </c>
      <c r="AZ91" s="142">
        <f>IF('RAW IMPORT'!AZ81&lt;&gt;"",1,0)</f>
        <v>1</v>
      </c>
      <c r="BA91" s="142">
        <f>IF('RAW IMPORT'!BA81&lt;&gt;"",1,0)</f>
        <v>1</v>
      </c>
      <c r="BB91" s="142">
        <f>IF('RAW IMPORT'!BB81&lt;&gt;"",1,0)</f>
        <v>1</v>
      </c>
      <c r="BC91" s="142">
        <f>IF('RAW IMPORT'!BC81&lt;&gt;"",1,0)</f>
        <v>0</v>
      </c>
      <c r="BD91" s="142">
        <f>IF('RAW IMPORT'!BD81&lt;&gt;"",1,0)</f>
        <v>1</v>
      </c>
      <c r="BE91" s="142">
        <f>IF('RAW IMPORT'!BE81&lt;&gt;"",1,0)</f>
        <v>1</v>
      </c>
      <c r="BF91" s="142">
        <f>IF('RAW IMPORT'!BF81&lt;&gt;"",1,0)</f>
        <v>0</v>
      </c>
      <c r="BG91" s="142">
        <f>IF('RAW IMPORT'!BG81&lt;&gt;"",1,0)</f>
        <v>1</v>
      </c>
      <c r="BH91" s="142">
        <f>IF('RAW IMPORT'!BH81&lt;&gt;"",1,0)</f>
        <v>1</v>
      </c>
      <c r="BI91" s="142">
        <f>IF('RAW IMPORT'!BI81&lt;&gt;"",1,0)</f>
        <v>1</v>
      </c>
      <c r="BJ91" s="142">
        <f>IF('RAW IMPORT'!BJ81&lt;&gt;"",1,0)</f>
        <v>1</v>
      </c>
      <c r="BK91" s="142">
        <f>IF('RAW IMPORT'!BK81&lt;&gt;"",1,0)</f>
        <v>1</v>
      </c>
      <c r="BL91" s="142">
        <f>IF('RAW IMPORT'!BL81&lt;&gt;"",1,0)</f>
        <v>0</v>
      </c>
      <c r="BM91" s="142">
        <f>'RAW IMPORT'!BM81</f>
        <v>3</v>
      </c>
      <c r="BN91" s="165">
        <f>'RAW IMPORT'!BN81</f>
        <v>0</v>
      </c>
      <c r="BO91" s="197">
        <f>'RAW IMPORT'!BO81</f>
        <v>0</v>
      </c>
      <c r="BP91" s="142" t="str">
        <f>'RAW IMPORT'!BP81</f>
        <v>PDF</v>
      </c>
      <c r="BQ91" s="141">
        <f>'RAW IMPORT'!BQ81</f>
        <v>0</v>
      </c>
      <c r="BR91" s="141">
        <f>'RAW IMPORT'!BR81</f>
        <v>2.1000000000000001E-2</v>
      </c>
      <c r="BS91" s="141">
        <f>'RAW IMPORT'!BS81</f>
        <v>0.05</v>
      </c>
      <c r="BT91" s="141">
        <f>'RAW IMPORT'!BT81</f>
        <v>6.25E-2</v>
      </c>
      <c r="BU91" s="141">
        <f>'RAW IMPORT'!BU81</f>
        <v>2.5000000000000001E-2</v>
      </c>
      <c r="BV91" s="198">
        <f>'RAW IMPORT'!BV81</f>
        <v>0</v>
      </c>
      <c r="BW91" s="141">
        <f>'RAW IMPORT'!BW81</f>
        <v>53</v>
      </c>
      <c r="BX91" s="165">
        <f>'RAW IMPORT'!BX81</f>
        <v>53</v>
      </c>
      <c r="BY91" s="240"/>
      <c r="BZ91" s="126"/>
      <c r="CA91" s="143">
        <f t="shared" si="10"/>
        <v>77</v>
      </c>
      <c r="CB91" s="170"/>
      <c r="CC91" s="170"/>
      <c r="CD91" s="204" t="str">
        <f t="shared" si="11"/>
        <v>"Model-8030":
    RETURN</v>
      </c>
      <c r="CE91" s="170"/>
    </row>
    <row r="92" spans="1:83" ht="15" customHeight="1" x14ac:dyDescent="0.25">
      <c r="A92" s="138" t="str">
        <f>'RAW IMPORT'!A82</f>
        <v>OGRO</v>
      </c>
      <c r="B92" s="139" t="str">
        <f>'RAW IMPORT'!B82</f>
        <v>8030V</v>
      </c>
      <c r="C92" s="142">
        <f>IF('RAW IMPORT'!C82&lt;&gt;"",1,0)</f>
        <v>1</v>
      </c>
      <c r="D92" s="142">
        <f>IF('RAW IMPORT'!D82&lt;&gt;"",1,0)</f>
        <v>1</v>
      </c>
      <c r="E92" s="142">
        <f>IF('RAW IMPORT'!E82&lt;&gt;"",1,0)</f>
        <v>0</v>
      </c>
      <c r="F92" s="142">
        <f>IF('RAW IMPORT'!F82&lt;&gt;"",1,0)</f>
        <v>0</v>
      </c>
      <c r="G92" s="142">
        <f>IF('RAW IMPORT'!G82&lt;&gt;"",1,0)</f>
        <v>0</v>
      </c>
      <c r="H92" s="142">
        <f>IF('RAW IMPORT'!H82&lt;&gt;"",1,0)</f>
        <v>0</v>
      </c>
      <c r="I92" s="142">
        <f>IF('RAW IMPORT'!I82&lt;&gt;"",1,0)</f>
        <v>0</v>
      </c>
      <c r="J92" s="142">
        <f>IF('RAW IMPORT'!J82&lt;&gt;"",1,0)</f>
        <v>0</v>
      </c>
      <c r="K92" s="142">
        <f>IF('RAW IMPORT'!K82&lt;&gt;"",1,0)</f>
        <v>0</v>
      </c>
      <c r="L92" s="142">
        <f>IF('RAW IMPORT'!L82&lt;&gt;"",1,0)</f>
        <v>0</v>
      </c>
      <c r="M92" s="142">
        <f>IF('RAW IMPORT'!M82&lt;&gt;"",1,0)</f>
        <v>0</v>
      </c>
      <c r="N92" s="165">
        <f>IF('RAW IMPORT'!N82&lt;&gt;"",1,0)</f>
        <v>0</v>
      </c>
      <c r="O92" s="167">
        <f>IF('RAW IMPORT'!O82&lt;&gt;"",1,0)</f>
        <v>0</v>
      </c>
      <c r="P92" s="142">
        <f>IF('RAW IMPORT'!P82&lt;&gt;"",1,0)</f>
        <v>0</v>
      </c>
      <c r="Q92" s="142">
        <f>IF('RAW IMPORT'!Q82&lt;&gt;"",1,0)</f>
        <v>0</v>
      </c>
      <c r="R92" s="138">
        <f>'RAW IMPORT'!R82</f>
        <v>0</v>
      </c>
      <c r="S92" s="138">
        <f>'RAW IMPORT'!S82</f>
        <v>7</v>
      </c>
      <c r="T92" s="138">
        <f>'RAW IMPORT'!T82</f>
        <v>5</v>
      </c>
      <c r="U92" s="138">
        <f>'RAW IMPORT'!U82</f>
        <v>0</v>
      </c>
      <c r="V92" s="138">
        <f>'RAW IMPORT'!V82</f>
        <v>0</v>
      </c>
      <c r="W92" s="138">
        <f>'RAW IMPORT'!W82</f>
        <v>0</v>
      </c>
      <c r="X92" s="138">
        <f>'RAW IMPORT'!X82</f>
        <v>0</v>
      </c>
      <c r="Y92" s="138">
        <f>'RAW IMPORT'!Y82</f>
        <v>0</v>
      </c>
      <c r="Z92" s="138">
        <f>'RAW IMPORT'!Z82</f>
        <v>0</v>
      </c>
      <c r="AA92" s="138">
        <f>'RAW IMPORT'!AA82</f>
        <v>0</v>
      </c>
      <c r="AB92" s="139">
        <f>'RAW IMPORT'!AB82</f>
        <v>0</v>
      </c>
      <c r="AC92" s="141">
        <f>'RAW IMPORT'!AC82</f>
        <v>4</v>
      </c>
      <c r="AD92" s="142">
        <f>'RAW IMPORT'!AD82</f>
        <v>7</v>
      </c>
      <c r="AE92" s="142">
        <f>'RAW IMPORT'!AE82</f>
        <v>0</v>
      </c>
      <c r="AF92" s="142">
        <f>IF('RAW IMPORT'!AF82="C1",3,IF('RAW IMPORT'!AF82="D1",4,0))</f>
        <v>4</v>
      </c>
      <c r="AG92" s="142">
        <f>'RAW IMPORT'!AG82</f>
        <v>1</v>
      </c>
      <c r="AH92" s="142">
        <f>'RAW IMPORT'!AH82</f>
        <v>5</v>
      </c>
      <c r="AI92" s="142">
        <f>IF('RAW IMPORT'!AI82="U",1,0)</f>
        <v>0</v>
      </c>
      <c r="AJ92" s="142">
        <f>IF('RAW IMPORT'!AJ82="A",1,0)</f>
        <v>1</v>
      </c>
      <c r="AK92" s="142">
        <f>IF('RAW IMPORT'!AK82="B",1,0)</f>
        <v>1</v>
      </c>
      <c r="AL92" s="142">
        <f>IF('RAW IMPORT'!AL82="U",1,0)</f>
        <v>1</v>
      </c>
      <c r="AM92" s="142">
        <f>IF('RAW IMPORT'!AM82&lt;&gt;"",1,0)</f>
        <v>1</v>
      </c>
      <c r="AN92" s="142">
        <f>IF('RAW IMPORT'!AN82&lt;&gt;"",1,0)</f>
        <v>1</v>
      </c>
      <c r="AO92" s="142">
        <f>IF('RAW IMPORT'!AO82&lt;&gt;"",1,0)</f>
        <v>1</v>
      </c>
      <c r="AP92" s="142">
        <f>IF('RAW IMPORT'!AP82&lt;&gt;"",1,0)</f>
        <v>1</v>
      </c>
      <c r="AQ92" s="142">
        <f>IF('RAW IMPORT'!AQ82&lt;&gt;"",1,0)</f>
        <v>0</v>
      </c>
      <c r="AR92" s="142">
        <f>IF('RAW IMPORT'!AR82&lt;&gt;"",1,0)</f>
        <v>1</v>
      </c>
      <c r="AS92" s="142">
        <f>IF('RAW IMPORT'!AS82&lt;&gt;"",1,0)</f>
        <v>0</v>
      </c>
      <c r="AT92" s="142">
        <f>IF('RAW IMPORT'!AT82&lt;&gt;"",1,0)</f>
        <v>0</v>
      </c>
      <c r="AU92" s="142">
        <f>IF('RAW IMPORT'!AU82&lt;&gt;"",1,0)</f>
        <v>0</v>
      </c>
      <c r="AV92" s="142">
        <f>IF('RAW IMPORT'!AV82&lt;&gt;"",1,0)</f>
        <v>0</v>
      </c>
      <c r="AW92" s="142">
        <f>IF('RAW IMPORT'!AW82&lt;&gt;"",1,0)</f>
        <v>1</v>
      </c>
      <c r="AX92" s="142">
        <f>IF('RAW IMPORT'!AX82&lt;&gt;"",1,0)</f>
        <v>1</v>
      </c>
      <c r="AY92" s="142">
        <f>IF('RAW IMPORT'!AY82&lt;&gt;"",1,0)</f>
        <v>1</v>
      </c>
      <c r="AZ92" s="142">
        <f>IF('RAW IMPORT'!AZ82&lt;&gt;"",1,0)</f>
        <v>1</v>
      </c>
      <c r="BA92" s="142">
        <f>IF('RAW IMPORT'!BA82&lt;&gt;"",1,0)</f>
        <v>1</v>
      </c>
      <c r="BB92" s="142">
        <f>IF('RAW IMPORT'!BB82&lt;&gt;"",1,0)</f>
        <v>0</v>
      </c>
      <c r="BC92" s="142">
        <f>IF('RAW IMPORT'!BC82&lt;&gt;"",1,0)</f>
        <v>1</v>
      </c>
      <c r="BD92" s="142">
        <f>IF('RAW IMPORT'!BD82&lt;&gt;"",1,0)</f>
        <v>1</v>
      </c>
      <c r="BE92" s="142">
        <f>IF('RAW IMPORT'!BE82&lt;&gt;"",1,0)</f>
        <v>1</v>
      </c>
      <c r="BF92" s="142">
        <f>IF('RAW IMPORT'!BF82&lt;&gt;"",1,0)</f>
        <v>0</v>
      </c>
      <c r="BG92" s="142">
        <f>IF('RAW IMPORT'!BG82&lt;&gt;"",1,0)</f>
        <v>1</v>
      </c>
      <c r="BH92" s="142">
        <f>IF('RAW IMPORT'!BH82&lt;&gt;"",1,0)</f>
        <v>1</v>
      </c>
      <c r="BI92" s="142">
        <f>IF('RAW IMPORT'!BI82&lt;&gt;"",1,0)</f>
        <v>1</v>
      </c>
      <c r="BJ92" s="142">
        <f>IF('RAW IMPORT'!BJ82&lt;&gt;"",1,0)</f>
        <v>1</v>
      </c>
      <c r="BK92" s="142">
        <f>IF('RAW IMPORT'!BK82&lt;&gt;"",1,0)</f>
        <v>1</v>
      </c>
      <c r="BL92" s="142">
        <f>IF('RAW IMPORT'!BL82&lt;&gt;"",1,0)</f>
        <v>0</v>
      </c>
      <c r="BM92" s="142">
        <f>'RAW IMPORT'!BM82</f>
        <v>3</v>
      </c>
      <c r="BN92" s="165">
        <f>'RAW IMPORT'!BN82</f>
        <v>0</v>
      </c>
      <c r="BO92" s="197">
        <f>'RAW IMPORT'!BO82</f>
        <v>0</v>
      </c>
      <c r="BP92" s="142" t="str">
        <f>'RAW IMPORT'!BP82</f>
        <v>PDF</v>
      </c>
      <c r="BQ92" s="141">
        <f>'RAW IMPORT'!BQ82</f>
        <v>0</v>
      </c>
      <c r="BR92" s="141">
        <f>'RAW IMPORT'!BR82</f>
        <v>2.1000000000000001E-2</v>
      </c>
      <c r="BS92" s="141">
        <f>'RAW IMPORT'!BS82</f>
        <v>8.1000000000000003E-2</v>
      </c>
      <c r="BT92" s="141">
        <f>'RAW IMPORT'!BT82</f>
        <v>6.6500000000000004E-2</v>
      </c>
      <c r="BU92" s="141">
        <f>'RAW IMPORT'!BU82</f>
        <v>1.0500000000000001E-2</v>
      </c>
      <c r="BV92" s="198">
        <f>'RAW IMPORT'!BV82</f>
        <v>0</v>
      </c>
      <c r="BW92" s="141">
        <f>'RAW IMPORT'!BW82</f>
        <v>54</v>
      </c>
      <c r="BX92" s="165">
        <f>'RAW IMPORT'!BX82</f>
        <v>54</v>
      </c>
      <c r="BY92" s="240"/>
      <c r="BZ92" s="126"/>
      <c r="CA92" s="143">
        <f t="shared" si="10"/>
        <v>78</v>
      </c>
      <c r="CB92" s="170"/>
      <c r="CC92" s="170"/>
      <c r="CD92" s="204" t="str">
        <f t="shared" si="11"/>
        <v>"Model-8030V":
    RETURN</v>
      </c>
      <c r="CE92" s="170"/>
    </row>
    <row r="93" spans="1:83" ht="15" customHeight="1" x14ac:dyDescent="0.25">
      <c r="A93" s="138" t="str">
        <f>'RAW IMPORT'!A83</f>
        <v>OGRO</v>
      </c>
      <c r="B93" s="139">
        <f>'RAW IMPORT'!B83</f>
        <v>8548</v>
      </c>
      <c r="C93" s="142">
        <f>IF('RAW IMPORT'!C83&lt;&gt;"",1,0)</f>
        <v>1</v>
      </c>
      <c r="D93" s="142">
        <f>IF('RAW IMPORT'!D83&lt;&gt;"",1,0)</f>
        <v>1</v>
      </c>
      <c r="E93" s="142">
        <f>IF('RAW IMPORT'!E83&lt;&gt;"",1,0)</f>
        <v>0</v>
      </c>
      <c r="F93" s="142">
        <f>IF('RAW IMPORT'!F83&lt;&gt;"",1,0)</f>
        <v>0</v>
      </c>
      <c r="G93" s="142">
        <f>IF('RAW IMPORT'!G83&lt;&gt;"",1,0)</f>
        <v>0</v>
      </c>
      <c r="H93" s="142">
        <f>IF('RAW IMPORT'!H83&lt;&gt;"",1,0)</f>
        <v>0</v>
      </c>
      <c r="I93" s="142">
        <f>IF('RAW IMPORT'!I83&lt;&gt;"",1,0)</f>
        <v>0</v>
      </c>
      <c r="J93" s="142">
        <f>IF('RAW IMPORT'!J83&lt;&gt;"",1,0)</f>
        <v>0</v>
      </c>
      <c r="K93" s="142">
        <f>IF('RAW IMPORT'!K83&lt;&gt;"",1,0)</f>
        <v>0</v>
      </c>
      <c r="L93" s="142">
        <f>IF('RAW IMPORT'!L83&lt;&gt;"",1,0)</f>
        <v>0</v>
      </c>
      <c r="M93" s="142">
        <f>IF('RAW IMPORT'!M83&lt;&gt;"",1,0)</f>
        <v>0</v>
      </c>
      <c r="N93" s="165">
        <f>IF('RAW IMPORT'!N83&lt;&gt;"",1,0)</f>
        <v>0</v>
      </c>
      <c r="O93" s="167">
        <f>IF('RAW IMPORT'!O83&lt;&gt;"",1,0)</f>
        <v>0</v>
      </c>
      <c r="P93" s="142">
        <f>IF('RAW IMPORT'!P83&lt;&gt;"",1,0)</f>
        <v>0</v>
      </c>
      <c r="Q93" s="142">
        <f>IF('RAW IMPORT'!Q83&lt;&gt;"",1,0)</f>
        <v>0</v>
      </c>
      <c r="R93" s="138">
        <f>'RAW IMPORT'!R83</f>
        <v>0</v>
      </c>
      <c r="S93" s="138">
        <f>'RAW IMPORT'!S83</f>
        <v>7</v>
      </c>
      <c r="T93" s="138">
        <f>'RAW IMPORT'!T83</f>
        <v>5</v>
      </c>
      <c r="U93" s="138">
        <f>'RAW IMPORT'!U83</f>
        <v>0</v>
      </c>
      <c r="V93" s="138">
        <f>'RAW IMPORT'!V83</f>
        <v>0</v>
      </c>
      <c r="W93" s="138">
        <f>'RAW IMPORT'!W83</f>
        <v>0</v>
      </c>
      <c r="X93" s="138">
        <f>'RAW IMPORT'!X83</f>
        <v>0</v>
      </c>
      <c r="Y93" s="138">
        <f>'RAW IMPORT'!Y83</f>
        <v>0</v>
      </c>
      <c r="Z93" s="138">
        <f>'RAW IMPORT'!Z83</f>
        <v>0</v>
      </c>
      <c r="AA93" s="138">
        <f>'RAW IMPORT'!AA83</f>
        <v>0</v>
      </c>
      <c r="AB93" s="139">
        <f>'RAW IMPORT'!AB83</f>
        <v>0</v>
      </c>
      <c r="AC93" s="141">
        <f>'RAW IMPORT'!AC83</f>
        <v>4</v>
      </c>
      <c r="AD93" s="142">
        <f>'RAW IMPORT'!AD83</f>
        <v>7</v>
      </c>
      <c r="AE93" s="142">
        <f>'RAW IMPORT'!AE83</f>
        <v>0</v>
      </c>
      <c r="AF93" s="142">
        <f>IF('RAW IMPORT'!AF83="C1",3,IF('RAW IMPORT'!AF83="D1",4,0))</f>
        <v>4</v>
      </c>
      <c r="AG93" s="142">
        <f>'RAW IMPORT'!AG83</f>
        <v>1</v>
      </c>
      <c r="AH93" s="142">
        <f>'RAW IMPORT'!AH83</f>
        <v>5</v>
      </c>
      <c r="AI93" s="142">
        <f>IF('RAW IMPORT'!AI83="U",1,0)</f>
        <v>0</v>
      </c>
      <c r="AJ93" s="142">
        <f>IF('RAW IMPORT'!AJ83="A",1,0)</f>
        <v>1</v>
      </c>
      <c r="AK93" s="142">
        <f>IF('RAW IMPORT'!AK83="B",1,0)</f>
        <v>1</v>
      </c>
      <c r="AL93" s="142">
        <f>IF('RAW IMPORT'!AL83="U",1,0)</f>
        <v>1</v>
      </c>
      <c r="AM93" s="142">
        <f>IF('RAW IMPORT'!AM83&lt;&gt;"",1,0)</f>
        <v>1</v>
      </c>
      <c r="AN93" s="142">
        <f>IF('RAW IMPORT'!AN83&lt;&gt;"",1,0)</f>
        <v>1</v>
      </c>
      <c r="AO93" s="142">
        <f>IF('RAW IMPORT'!AO83&lt;&gt;"",1,0)</f>
        <v>1</v>
      </c>
      <c r="AP93" s="142">
        <f>IF('RAW IMPORT'!AP83&lt;&gt;"",1,0)</f>
        <v>1</v>
      </c>
      <c r="AQ93" s="142">
        <f>IF('RAW IMPORT'!AQ83&lt;&gt;"",1,0)</f>
        <v>0</v>
      </c>
      <c r="AR93" s="142">
        <f>IF('RAW IMPORT'!AR83&lt;&gt;"",1,0)</f>
        <v>1</v>
      </c>
      <c r="AS93" s="142">
        <f>IF('RAW IMPORT'!AS83&lt;&gt;"",1,0)</f>
        <v>0</v>
      </c>
      <c r="AT93" s="142">
        <f>IF('RAW IMPORT'!AT83&lt;&gt;"",1,0)</f>
        <v>0</v>
      </c>
      <c r="AU93" s="142">
        <f>IF('RAW IMPORT'!AU83&lt;&gt;"",1,0)</f>
        <v>0</v>
      </c>
      <c r="AV93" s="142">
        <f>IF('RAW IMPORT'!AV83&lt;&gt;"",1,0)</f>
        <v>0</v>
      </c>
      <c r="AW93" s="142">
        <f>IF('RAW IMPORT'!AW83&lt;&gt;"",1,0)</f>
        <v>1</v>
      </c>
      <c r="AX93" s="142">
        <f>IF('RAW IMPORT'!AX83&lt;&gt;"",1,0)</f>
        <v>1</v>
      </c>
      <c r="AY93" s="142">
        <f>IF('RAW IMPORT'!AY83&lt;&gt;"",1,0)</f>
        <v>1</v>
      </c>
      <c r="AZ93" s="142">
        <f>IF('RAW IMPORT'!AZ83&lt;&gt;"",1,0)</f>
        <v>1</v>
      </c>
      <c r="BA93" s="142">
        <f>IF('RAW IMPORT'!BA83&lt;&gt;"",1,0)</f>
        <v>1</v>
      </c>
      <c r="BB93" s="142">
        <f>IF('RAW IMPORT'!BB83&lt;&gt;"",1,0)</f>
        <v>1</v>
      </c>
      <c r="BC93" s="142">
        <f>IF('RAW IMPORT'!BC83&lt;&gt;"",1,0)</f>
        <v>0</v>
      </c>
      <c r="BD93" s="142">
        <f>IF('RAW IMPORT'!BD83&lt;&gt;"",1,0)</f>
        <v>1</v>
      </c>
      <c r="BE93" s="142">
        <f>IF('RAW IMPORT'!BE83&lt;&gt;"",1,0)</f>
        <v>1</v>
      </c>
      <c r="BF93" s="142">
        <f>IF('RAW IMPORT'!BF83&lt;&gt;"",1,0)</f>
        <v>0</v>
      </c>
      <c r="BG93" s="142">
        <f>IF('RAW IMPORT'!BG83&lt;&gt;"",1,0)</f>
        <v>1</v>
      </c>
      <c r="BH93" s="142">
        <f>IF('RAW IMPORT'!BH83&lt;&gt;"",1,0)</f>
        <v>1</v>
      </c>
      <c r="BI93" s="142">
        <f>IF('RAW IMPORT'!BI83&lt;&gt;"",1,0)</f>
        <v>1</v>
      </c>
      <c r="BJ93" s="142">
        <f>IF('RAW IMPORT'!BJ83&lt;&gt;"",1,0)</f>
        <v>1</v>
      </c>
      <c r="BK93" s="142">
        <f>IF('RAW IMPORT'!BK83&lt;&gt;"",1,0)</f>
        <v>1</v>
      </c>
      <c r="BL93" s="142">
        <f>IF('RAW IMPORT'!BL83&lt;&gt;"",1,0)</f>
        <v>0</v>
      </c>
      <c r="BM93" s="142">
        <f>'RAW IMPORT'!BM83</f>
        <v>3</v>
      </c>
      <c r="BN93" s="165">
        <f>'RAW IMPORT'!BN83</f>
        <v>0</v>
      </c>
      <c r="BO93" s="197">
        <f>'RAW IMPORT'!BO83</f>
        <v>0</v>
      </c>
      <c r="BP93" s="142" t="str">
        <f>'RAW IMPORT'!BP83</f>
        <v>PDF</v>
      </c>
      <c r="BQ93" s="141">
        <f>'RAW IMPORT'!BQ83</f>
        <v>0</v>
      </c>
      <c r="BR93" s="141">
        <f>'RAW IMPORT'!BR83</f>
        <v>2.1000000000000001E-2</v>
      </c>
      <c r="BS93" s="141">
        <f>'RAW IMPORT'!BS83</f>
        <v>0.05</v>
      </c>
      <c r="BT93" s="141">
        <f>'RAW IMPORT'!BT83</f>
        <v>7.4999999999999997E-2</v>
      </c>
      <c r="BU93" s="141">
        <f>'RAW IMPORT'!BU83</f>
        <v>2.5000000000000001E-2</v>
      </c>
      <c r="BV93" s="198">
        <f>'RAW IMPORT'!BV83</f>
        <v>0</v>
      </c>
      <c r="BW93" s="141">
        <f>'RAW IMPORT'!BW83</f>
        <v>55</v>
      </c>
      <c r="BX93" s="165">
        <f>'RAW IMPORT'!BX83</f>
        <v>55</v>
      </c>
      <c r="BY93" s="240"/>
      <c r="BZ93" s="126"/>
      <c r="CA93" s="143">
        <f t="shared" si="10"/>
        <v>79</v>
      </c>
      <c r="CB93" s="170"/>
      <c r="CC93" s="170"/>
      <c r="CD93" s="204" t="str">
        <f t="shared" si="11"/>
        <v>"Model-8548":
    RETURN</v>
      </c>
      <c r="CE93" s="170"/>
    </row>
    <row r="94" spans="1:83" ht="15" customHeight="1" x14ac:dyDescent="0.25">
      <c r="A94" s="138" t="str">
        <f>'RAW IMPORT'!A84</f>
        <v>OGRO</v>
      </c>
      <c r="B94" s="139" t="str">
        <f>'RAW IMPORT'!B84</f>
        <v>8548V</v>
      </c>
      <c r="C94" s="142">
        <f>IF('RAW IMPORT'!C84&lt;&gt;"",1,0)</f>
        <v>1</v>
      </c>
      <c r="D94" s="142">
        <f>IF('RAW IMPORT'!D84&lt;&gt;"",1,0)</f>
        <v>1</v>
      </c>
      <c r="E94" s="142">
        <f>IF('RAW IMPORT'!E84&lt;&gt;"",1,0)</f>
        <v>0</v>
      </c>
      <c r="F94" s="142">
        <f>IF('RAW IMPORT'!F84&lt;&gt;"",1,0)</f>
        <v>0</v>
      </c>
      <c r="G94" s="142">
        <f>IF('RAW IMPORT'!G84&lt;&gt;"",1,0)</f>
        <v>0</v>
      </c>
      <c r="H94" s="142">
        <f>IF('RAW IMPORT'!H84&lt;&gt;"",1,0)</f>
        <v>0</v>
      </c>
      <c r="I94" s="142">
        <f>IF('RAW IMPORT'!I84&lt;&gt;"",1,0)</f>
        <v>0</v>
      </c>
      <c r="J94" s="142">
        <f>IF('RAW IMPORT'!J84&lt;&gt;"",1,0)</f>
        <v>0</v>
      </c>
      <c r="K94" s="142">
        <f>IF('RAW IMPORT'!K84&lt;&gt;"",1,0)</f>
        <v>0</v>
      </c>
      <c r="L94" s="142">
        <f>IF('RAW IMPORT'!L84&lt;&gt;"",1,0)</f>
        <v>0</v>
      </c>
      <c r="M94" s="142">
        <f>IF('RAW IMPORT'!M84&lt;&gt;"",1,0)</f>
        <v>0</v>
      </c>
      <c r="N94" s="165">
        <f>IF('RAW IMPORT'!N84&lt;&gt;"",1,0)</f>
        <v>0</v>
      </c>
      <c r="O94" s="167">
        <f>IF('RAW IMPORT'!O84&lt;&gt;"",1,0)</f>
        <v>0</v>
      </c>
      <c r="P94" s="142">
        <f>IF('RAW IMPORT'!P84&lt;&gt;"",1,0)</f>
        <v>0</v>
      </c>
      <c r="Q94" s="142">
        <f>IF('RAW IMPORT'!Q84&lt;&gt;"",1,0)</f>
        <v>0</v>
      </c>
      <c r="R94" s="138">
        <f>'RAW IMPORT'!R84</f>
        <v>0</v>
      </c>
      <c r="S94" s="138">
        <f>'RAW IMPORT'!S84</f>
        <v>7</v>
      </c>
      <c r="T94" s="138">
        <f>'RAW IMPORT'!T84</f>
        <v>5</v>
      </c>
      <c r="U94" s="138">
        <f>'RAW IMPORT'!U84</f>
        <v>0</v>
      </c>
      <c r="V94" s="138">
        <f>'RAW IMPORT'!V84</f>
        <v>0</v>
      </c>
      <c r="W94" s="138">
        <f>'RAW IMPORT'!W84</f>
        <v>0</v>
      </c>
      <c r="X94" s="138">
        <f>'RAW IMPORT'!X84</f>
        <v>0</v>
      </c>
      <c r="Y94" s="138">
        <f>'RAW IMPORT'!Y84</f>
        <v>0</v>
      </c>
      <c r="Z94" s="138">
        <f>'RAW IMPORT'!Z84</f>
        <v>0</v>
      </c>
      <c r="AA94" s="138">
        <f>'RAW IMPORT'!AA84</f>
        <v>0</v>
      </c>
      <c r="AB94" s="139">
        <f>'RAW IMPORT'!AB84</f>
        <v>0</v>
      </c>
      <c r="AC94" s="141">
        <f>'RAW IMPORT'!AC84</f>
        <v>4</v>
      </c>
      <c r="AD94" s="142">
        <f>'RAW IMPORT'!AD84</f>
        <v>7</v>
      </c>
      <c r="AE94" s="142">
        <f>'RAW IMPORT'!AE84</f>
        <v>0</v>
      </c>
      <c r="AF94" s="142">
        <f>IF('RAW IMPORT'!AF84="C1",3,IF('RAW IMPORT'!AF84="D1",4,0))</f>
        <v>4</v>
      </c>
      <c r="AG94" s="142">
        <f>'RAW IMPORT'!AG84</f>
        <v>1</v>
      </c>
      <c r="AH94" s="142">
        <f>'RAW IMPORT'!AH84</f>
        <v>5</v>
      </c>
      <c r="AI94" s="142">
        <f>IF('RAW IMPORT'!AI84="U",1,0)</f>
        <v>0</v>
      </c>
      <c r="AJ94" s="142">
        <f>IF('RAW IMPORT'!AJ84="A",1,0)</f>
        <v>1</v>
      </c>
      <c r="AK94" s="142">
        <f>IF('RAW IMPORT'!AK84="B",1,0)</f>
        <v>1</v>
      </c>
      <c r="AL94" s="142">
        <f>IF('RAW IMPORT'!AL84="U",1,0)</f>
        <v>1</v>
      </c>
      <c r="AM94" s="142">
        <f>IF('RAW IMPORT'!AM84&lt;&gt;"",1,0)</f>
        <v>1</v>
      </c>
      <c r="AN94" s="142">
        <f>IF('RAW IMPORT'!AN84&lt;&gt;"",1,0)</f>
        <v>1</v>
      </c>
      <c r="AO94" s="142">
        <f>IF('RAW IMPORT'!AO84&lt;&gt;"",1,0)</f>
        <v>1</v>
      </c>
      <c r="AP94" s="142">
        <f>IF('RAW IMPORT'!AP84&lt;&gt;"",1,0)</f>
        <v>1</v>
      </c>
      <c r="AQ94" s="142">
        <f>IF('RAW IMPORT'!AQ84&lt;&gt;"",1,0)</f>
        <v>0</v>
      </c>
      <c r="AR94" s="142">
        <f>IF('RAW IMPORT'!AR84&lt;&gt;"",1,0)</f>
        <v>1</v>
      </c>
      <c r="AS94" s="142">
        <f>IF('RAW IMPORT'!AS84&lt;&gt;"",1,0)</f>
        <v>0</v>
      </c>
      <c r="AT94" s="142">
        <f>IF('RAW IMPORT'!AT84&lt;&gt;"",1,0)</f>
        <v>0</v>
      </c>
      <c r="AU94" s="142">
        <f>IF('RAW IMPORT'!AU84&lt;&gt;"",1,0)</f>
        <v>0</v>
      </c>
      <c r="AV94" s="142">
        <f>IF('RAW IMPORT'!AV84&lt;&gt;"",1,0)</f>
        <v>0</v>
      </c>
      <c r="AW94" s="142">
        <f>IF('RAW IMPORT'!AW84&lt;&gt;"",1,0)</f>
        <v>1</v>
      </c>
      <c r="AX94" s="142">
        <f>IF('RAW IMPORT'!AX84&lt;&gt;"",1,0)</f>
        <v>0</v>
      </c>
      <c r="AY94" s="142">
        <f>IF('RAW IMPORT'!AY84&lt;&gt;"",1,0)</f>
        <v>0</v>
      </c>
      <c r="AZ94" s="142">
        <f>IF('RAW IMPORT'!AZ84&lt;&gt;"",1,0)</f>
        <v>0</v>
      </c>
      <c r="BA94" s="142">
        <f>IF('RAW IMPORT'!BA84&lt;&gt;"",1,0)</f>
        <v>0</v>
      </c>
      <c r="BB94" s="142">
        <f>IF('RAW IMPORT'!BB84&lt;&gt;"",1,0)</f>
        <v>0</v>
      </c>
      <c r="BC94" s="142">
        <f>IF('RAW IMPORT'!BC84&lt;&gt;"",1,0)</f>
        <v>1</v>
      </c>
      <c r="BD94" s="142">
        <f>IF('RAW IMPORT'!BD84&lt;&gt;"",1,0)</f>
        <v>1</v>
      </c>
      <c r="BE94" s="142">
        <f>IF('RAW IMPORT'!BE84&lt;&gt;"",1,0)</f>
        <v>1</v>
      </c>
      <c r="BF94" s="142">
        <f>IF('RAW IMPORT'!BF84&lt;&gt;"",1,0)</f>
        <v>0</v>
      </c>
      <c r="BG94" s="142">
        <f>IF('RAW IMPORT'!BG84&lt;&gt;"",1,0)</f>
        <v>1</v>
      </c>
      <c r="BH94" s="142">
        <f>IF('RAW IMPORT'!BH84&lt;&gt;"",1,0)</f>
        <v>1</v>
      </c>
      <c r="BI94" s="142">
        <f>IF('RAW IMPORT'!BI84&lt;&gt;"",1,0)</f>
        <v>1</v>
      </c>
      <c r="BJ94" s="142">
        <f>IF('RAW IMPORT'!BJ84&lt;&gt;"",1,0)</f>
        <v>1</v>
      </c>
      <c r="BK94" s="142">
        <f>IF('RAW IMPORT'!BK84&lt;&gt;"",1,0)</f>
        <v>1</v>
      </c>
      <c r="BL94" s="142">
        <f>IF('RAW IMPORT'!BL84&lt;&gt;"",1,0)</f>
        <v>0</v>
      </c>
      <c r="BM94" s="142">
        <f>'RAW IMPORT'!BM84</f>
        <v>3</v>
      </c>
      <c r="BN94" s="165">
        <f>'RAW IMPORT'!BN84</f>
        <v>0</v>
      </c>
      <c r="BO94" s="197">
        <f>'RAW IMPORT'!BO84</f>
        <v>0</v>
      </c>
      <c r="BP94" s="142" t="str">
        <f>'RAW IMPORT'!BP84</f>
        <v>PDF</v>
      </c>
      <c r="BQ94" s="141">
        <f>'RAW IMPORT'!BQ84</f>
        <v>0</v>
      </c>
      <c r="BR94" s="141">
        <f>'RAW IMPORT'!BR84</f>
        <v>0.02</v>
      </c>
      <c r="BS94" s="141">
        <f>'RAW IMPORT'!BS84</f>
        <v>7.5999999999999998E-2</v>
      </c>
      <c r="BT94" s="141">
        <f>'RAW IMPORT'!BT84</f>
        <v>0.08</v>
      </c>
      <c r="BU94" s="141">
        <f>'RAW IMPORT'!BU84</f>
        <v>0.01</v>
      </c>
      <c r="BV94" s="198">
        <f>'RAW IMPORT'!BV84</f>
        <v>0</v>
      </c>
      <c r="BW94" s="141">
        <f>'RAW IMPORT'!BW84</f>
        <v>56</v>
      </c>
      <c r="BX94" s="165">
        <f>'RAW IMPORT'!BX84</f>
        <v>56</v>
      </c>
      <c r="BY94" s="240"/>
      <c r="BZ94" s="126"/>
      <c r="CA94" s="143">
        <f t="shared" si="10"/>
        <v>80</v>
      </c>
      <c r="CB94" s="170"/>
      <c r="CC94" s="170"/>
      <c r="CD94" s="204" t="str">
        <f t="shared" si="11"/>
        <v>"Model-8548V":
    RETURN</v>
      </c>
      <c r="CE94" s="170"/>
    </row>
    <row r="95" spans="1:83" ht="15" customHeight="1" x14ac:dyDescent="0.25">
      <c r="A95" s="138" t="str">
        <f>'RAW IMPORT'!A85</f>
        <v>OGRO</v>
      </c>
      <c r="B95" s="139">
        <f>'RAW IMPORT'!B85</f>
        <v>3020</v>
      </c>
      <c r="C95" s="142">
        <f>IF('RAW IMPORT'!C85&lt;&gt;"",1,0)</f>
        <v>1</v>
      </c>
      <c r="D95" s="142">
        <f>IF('RAW IMPORT'!D85&lt;&gt;"",1,0)</f>
        <v>1</v>
      </c>
      <c r="E95" s="142">
        <f>IF('RAW IMPORT'!E85&lt;&gt;"",1,0)</f>
        <v>0</v>
      </c>
      <c r="F95" s="142">
        <f>IF('RAW IMPORT'!F85&lt;&gt;"",1,0)</f>
        <v>0</v>
      </c>
      <c r="G95" s="142">
        <f>IF('RAW IMPORT'!G85&lt;&gt;"",1,0)</f>
        <v>0</v>
      </c>
      <c r="H95" s="142">
        <f>IF('RAW IMPORT'!H85&lt;&gt;"",1,0)</f>
        <v>0</v>
      </c>
      <c r="I95" s="142">
        <f>IF('RAW IMPORT'!I85&lt;&gt;"",1,0)</f>
        <v>0</v>
      </c>
      <c r="J95" s="142">
        <f>IF('RAW IMPORT'!J85&lt;&gt;"",1,0)</f>
        <v>0</v>
      </c>
      <c r="K95" s="142">
        <f>IF('RAW IMPORT'!K85&lt;&gt;"",1,0)</f>
        <v>0</v>
      </c>
      <c r="L95" s="142">
        <f>IF('RAW IMPORT'!L85&lt;&gt;"",1,0)</f>
        <v>0</v>
      </c>
      <c r="M95" s="142">
        <f>IF('RAW IMPORT'!M85&lt;&gt;"",1,0)</f>
        <v>0</v>
      </c>
      <c r="N95" s="165">
        <f>IF('RAW IMPORT'!N85&lt;&gt;"",1,0)</f>
        <v>0</v>
      </c>
      <c r="O95" s="167">
        <f>IF('RAW IMPORT'!O85&lt;&gt;"",1,0)</f>
        <v>0</v>
      </c>
      <c r="P95" s="142">
        <f>IF('RAW IMPORT'!P85&lt;&gt;"",1,0)</f>
        <v>0</v>
      </c>
      <c r="Q95" s="142">
        <f>IF('RAW IMPORT'!Q85&lt;&gt;"",1,0)</f>
        <v>0</v>
      </c>
      <c r="R95" s="138">
        <f>'RAW IMPORT'!R85</f>
        <v>0</v>
      </c>
      <c r="S95" s="138">
        <f>'RAW IMPORT'!S85</f>
        <v>7</v>
      </c>
      <c r="T95" s="138">
        <f>'RAW IMPORT'!T85</f>
        <v>5</v>
      </c>
      <c r="U95" s="138">
        <f>'RAW IMPORT'!U85</f>
        <v>0</v>
      </c>
      <c r="V95" s="138">
        <f>'RAW IMPORT'!V85</f>
        <v>0</v>
      </c>
      <c r="W95" s="138">
        <f>'RAW IMPORT'!W85</f>
        <v>0</v>
      </c>
      <c r="X95" s="138">
        <f>'RAW IMPORT'!X85</f>
        <v>0</v>
      </c>
      <c r="Y95" s="138">
        <f>'RAW IMPORT'!Y85</f>
        <v>0</v>
      </c>
      <c r="Z95" s="138">
        <f>'RAW IMPORT'!Z85</f>
        <v>0</v>
      </c>
      <c r="AA95" s="138">
        <f>'RAW IMPORT'!AA85</f>
        <v>0</v>
      </c>
      <c r="AB95" s="139">
        <f>'RAW IMPORT'!AB85</f>
        <v>0</v>
      </c>
      <c r="AC95" s="141">
        <f>'RAW IMPORT'!AC85</f>
        <v>4</v>
      </c>
      <c r="AD95" s="142">
        <f>'RAW IMPORT'!AD85</f>
        <v>7</v>
      </c>
      <c r="AE95" s="142">
        <f>'RAW IMPORT'!AE85</f>
        <v>0</v>
      </c>
      <c r="AF95" s="142">
        <f>IF('RAW IMPORT'!AF85="C1",3,IF('RAW IMPORT'!AF85="D1",4,0))</f>
        <v>4</v>
      </c>
      <c r="AG95" s="142">
        <f>'RAW IMPORT'!AG85</f>
        <v>1</v>
      </c>
      <c r="AH95" s="142">
        <f>'RAW IMPORT'!AH85</f>
        <v>5</v>
      </c>
      <c r="AI95" s="142">
        <f>IF('RAW IMPORT'!AI85="U",1,0)</f>
        <v>0</v>
      </c>
      <c r="AJ95" s="142">
        <f>IF('RAW IMPORT'!AJ85="A",1,0)</f>
        <v>1</v>
      </c>
      <c r="AK95" s="142">
        <f>IF('RAW IMPORT'!AK85="B",1,0)</f>
        <v>1</v>
      </c>
      <c r="AL95" s="142">
        <f>IF('RAW IMPORT'!AL85="U",1,0)</f>
        <v>1</v>
      </c>
      <c r="AM95" s="142">
        <f>IF('RAW IMPORT'!AM85&lt;&gt;"",1,0)</f>
        <v>1</v>
      </c>
      <c r="AN95" s="142">
        <f>IF('RAW IMPORT'!AN85&lt;&gt;"",1,0)</f>
        <v>1</v>
      </c>
      <c r="AO95" s="142">
        <f>IF('RAW IMPORT'!AO85&lt;&gt;"",1,0)</f>
        <v>1</v>
      </c>
      <c r="AP95" s="142">
        <f>IF('RAW IMPORT'!AP85&lt;&gt;"",1,0)</f>
        <v>1</v>
      </c>
      <c r="AQ95" s="142">
        <f>IF('RAW IMPORT'!AQ85&lt;&gt;"",1,0)</f>
        <v>0</v>
      </c>
      <c r="AR95" s="142">
        <f>IF('RAW IMPORT'!AR85&lt;&gt;"",1,0)</f>
        <v>1</v>
      </c>
      <c r="AS95" s="142">
        <f>IF('RAW IMPORT'!AS85&lt;&gt;"",1,0)</f>
        <v>0</v>
      </c>
      <c r="AT95" s="142">
        <f>IF('RAW IMPORT'!AT85&lt;&gt;"",1,0)</f>
        <v>0</v>
      </c>
      <c r="AU95" s="142">
        <f>IF('RAW IMPORT'!AU85&lt;&gt;"",1,0)</f>
        <v>0</v>
      </c>
      <c r="AV95" s="142">
        <f>IF('RAW IMPORT'!AV85&lt;&gt;"",1,0)</f>
        <v>0</v>
      </c>
      <c r="AW95" s="142">
        <f>IF('RAW IMPORT'!AW85&lt;&gt;"",1,0)</f>
        <v>1</v>
      </c>
      <c r="AX95" s="142">
        <f>IF('RAW IMPORT'!AX85&lt;&gt;"",1,0)</f>
        <v>0</v>
      </c>
      <c r="AY95" s="142">
        <f>IF('RAW IMPORT'!AY85&lt;&gt;"",1,0)</f>
        <v>0</v>
      </c>
      <c r="AZ95" s="142">
        <f>IF('RAW IMPORT'!AZ85&lt;&gt;"",1,0)</f>
        <v>0</v>
      </c>
      <c r="BA95" s="142">
        <f>IF('RAW IMPORT'!BA85&lt;&gt;"",1,0)</f>
        <v>0</v>
      </c>
      <c r="BB95" s="142">
        <f>IF('RAW IMPORT'!BB85&lt;&gt;"",1,0)</f>
        <v>0</v>
      </c>
      <c r="BC95" s="142">
        <f>IF('RAW IMPORT'!BC85&lt;&gt;"",1,0)</f>
        <v>0</v>
      </c>
      <c r="BD95" s="142">
        <f>IF('RAW IMPORT'!BD85&lt;&gt;"",1,0)</f>
        <v>1</v>
      </c>
      <c r="BE95" s="142">
        <f>IF('RAW IMPORT'!BE85&lt;&gt;"",1,0)</f>
        <v>1</v>
      </c>
      <c r="BF95" s="142">
        <f>IF('RAW IMPORT'!BF85&lt;&gt;"",1,0)</f>
        <v>0</v>
      </c>
      <c r="BG95" s="142">
        <f>IF('RAW IMPORT'!BG85&lt;&gt;"",1,0)</f>
        <v>1</v>
      </c>
      <c r="BH95" s="142">
        <f>IF('RAW IMPORT'!BH85&lt;&gt;"",1,0)</f>
        <v>1</v>
      </c>
      <c r="BI95" s="142">
        <f>IF('RAW IMPORT'!BI85&lt;&gt;"",1,0)</f>
        <v>1</v>
      </c>
      <c r="BJ95" s="142">
        <f>IF('RAW IMPORT'!BJ85&lt;&gt;"",1,0)</f>
        <v>1</v>
      </c>
      <c r="BK95" s="142">
        <f>IF('RAW IMPORT'!BK85&lt;&gt;"",1,0)</f>
        <v>1</v>
      </c>
      <c r="BL95" s="142">
        <f>IF('RAW IMPORT'!BL85&lt;&gt;"",1,0)</f>
        <v>0</v>
      </c>
      <c r="BM95" s="142">
        <f>'RAW IMPORT'!BM85</f>
        <v>2</v>
      </c>
      <c r="BN95" s="165">
        <f>'RAW IMPORT'!BN85</f>
        <v>0</v>
      </c>
      <c r="BO95" s="197">
        <f>'RAW IMPORT'!BO85</f>
        <v>0</v>
      </c>
      <c r="BP95" s="142" t="str">
        <f>'RAW IMPORT'!BP85</f>
        <v>PDF</v>
      </c>
      <c r="BQ95" s="141">
        <f>'RAW IMPORT'!BQ85</f>
        <v>0</v>
      </c>
      <c r="BR95" s="141">
        <f>'RAW IMPORT'!BR85</f>
        <v>2.1000000000000001E-2</v>
      </c>
      <c r="BS95" s="141">
        <f>'RAW IMPORT'!BS85</f>
        <v>0.05</v>
      </c>
      <c r="BT95" s="141">
        <f>'RAW IMPORT'!BT85</f>
        <v>4.2999999999999997E-2</v>
      </c>
      <c r="BU95" s="141">
        <f>'RAW IMPORT'!BU85</f>
        <v>2.5000000000000001E-2</v>
      </c>
      <c r="BV95" s="198">
        <f>'RAW IMPORT'!BV85</f>
        <v>0</v>
      </c>
      <c r="BW95" s="141">
        <f>'RAW IMPORT'!BW85</f>
        <v>49</v>
      </c>
      <c r="BX95" s="165">
        <f>'RAW IMPORT'!BX85</f>
        <v>49</v>
      </c>
      <c r="BY95" s="240"/>
      <c r="BZ95" s="126"/>
      <c r="CA95" s="143">
        <f t="shared" si="10"/>
        <v>81</v>
      </c>
      <c r="CB95" s="170"/>
      <c r="CC95" s="170"/>
      <c r="CD95" s="204" t="str">
        <f t="shared" si="11"/>
        <v>"Model-3020":
    RETURN</v>
      </c>
      <c r="CE95" s="170"/>
    </row>
    <row r="96" spans="1:83" ht="15" customHeight="1" x14ac:dyDescent="0.25">
      <c r="A96" s="138" t="str">
        <f>'RAW IMPORT'!A86</f>
        <v>OGRO</v>
      </c>
      <c r="B96" s="139" t="str">
        <f>'RAW IMPORT'!B86</f>
        <v>3020A</v>
      </c>
      <c r="C96" s="142">
        <f>IF('RAW IMPORT'!C86&lt;&gt;"",1,0)</f>
        <v>1</v>
      </c>
      <c r="D96" s="142">
        <f>IF('RAW IMPORT'!D86&lt;&gt;"",1,0)</f>
        <v>1</v>
      </c>
      <c r="E96" s="142">
        <f>IF('RAW IMPORT'!E86&lt;&gt;"",1,0)</f>
        <v>0</v>
      </c>
      <c r="F96" s="142">
        <f>IF('RAW IMPORT'!F86&lt;&gt;"",1,0)</f>
        <v>0</v>
      </c>
      <c r="G96" s="142">
        <f>IF('RAW IMPORT'!G86&lt;&gt;"",1,0)</f>
        <v>0</v>
      </c>
      <c r="H96" s="142">
        <f>IF('RAW IMPORT'!H86&lt;&gt;"",1,0)</f>
        <v>0</v>
      </c>
      <c r="I96" s="142">
        <f>IF('RAW IMPORT'!I86&lt;&gt;"",1,0)</f>
        <v>0</v>
      </c>
      <c r="J96" s="142">
        <f>IF('RAW IMPORT'!J86&lt;&gt;"",1,0)</f>
        <v>0</v>
      </c>
      <c r="K96" s="142">
        <f>IF('RAW IMPORT'!K86&lt;&gt;"",1,0)</f>
        <v>0</v>
      </c>
      <c r="L96" s="142">
        <f>IF('RAW IMPORT'!L86&lt;&gt;"",1,0)</f>
        <v>0</v>
      </c>
      <c r="M96" s="142">
        <f>IF('RAW IMPORT'!M86&lt;&gt;"",1,0)</f>
        <v>0</v>
      </c>
      <c r="N96" s="165">
        <f>IF('RAW IMPORT'!N86&lt;&gt;"",1,0)</f>
        <v>0</v>
      </c>
      <c r="O96" s="167">
        <f>IF('RAW IMPORT'!O86&lt;&gt;"",1,0)</f>
        <v>0</v>
      </c>
      <c r="P96" s="142">
        <f>IF('RAW IMPORT'!P86&lt;&gt;"",1,0)</f>
        <v>0</v>
      </c>
      <c r="Q96" s="142">
        <f>IF('RAW IMPORT'!Q86&lt;&gt;"",1,0)</f>
        <v>0</v>
      </c>
      <c r="R96" s="138">
        <f>'RAW IMPORT'!R86</f>
        <v>0</v>
      </c>
      <c r="S96" s="138">
        <f>'RAW IMPORT'!S86</f>
        <v>7</v>
      </c>
      <c r="T96" s="138">
        <f>'RAW IMPORT'!T86</f>
        <v>5</v>
      </c>
      <c r="U96" s="138">
        <f>'RAW IMPORT'!U86</f>
        <v>0</v>
      </c>
      <c r="V96" s="138">
        <f>'RAW IMPORT'!V86</f>
        <v>0</v>
      </c>
      <c r="W96" s="138">
        <f>'RAW IMPORT'!W86</f>
        <v>0</v>
      </c>
      <c r="X96" s="138">
        <f>'RAW IMPORT'!X86</f>
        <v>0</v>
      </c>
      <c r="Y96" s="138">
        <f>'RAW IMPORT'!Y86</f>
        <v>0</v>
      </c>
      <c r="Z96" s="138">
        <f>'RAW IMPORT'!Z86</f>
        <v>0</v>
      </c>
      <c r="AA96" s="138">
        <f>'RAW IMPORT'!AA86</f>
        <v>0</v>
      </c>
      <c r="AB96" s="139">
        <f>'RAW IMPORT'!AB86</f>
        <v>0</v>
      </c>
      <c r="AC96" s="141">
        <f>'RAW IMPORT'!AC86</f>
        <v>4</v>
      </c>
      <c r="AD96" s="142">
        <f>'RAW IMPORT'!AD86</f>
        <v>7</v>
      </c>
      <c r="AE96" s="142">
        <f>'RAW IMPORT'!AE86</f>
        <v>0</v>
      </c>
      <c r="AF96" s="142">
        <f>IF('RAW IMPORT'!AF86="C1",3,IF('RAW IMPORT'!AF86="D1",4,0))</f>
        <v>3</v>
      </c>
      <c r="AG96" s="142">
        <f>'RAW IMPORT'!AG86</f>
        <v>1</v>
      </c>
      <c r="AH96" s="142">
        <f>'RAW IMPORT'!AH86</f>
        <v>5</v>
      </c>
      <c r="AI96" s="142">
        <f>IF('RAW IMPORT'!AI86="U",1,0)</f>
        <v>0</v>
      </c>
      <c r="AJ96" s="142">
        <f>IF('RAW IMPORT'!AJ86="A",1,0)</f>
        <v>1</v>
      </c>
      <c r="AK96" s="142">
        <f>IF('RAW IMPORT'!AK86="B",1,0)</f>
        <v>1</v>
      </c>
      <c r="AL96" s="142">
        <f>IF('RAW IMPORT'!AL86="U",1,0)</f>
        <v>1</v>
      </c>
      <c r="AM96" s="142">
        <f>IF('RAW IMPORT'!AM86&lt;&gt;"",1,0)</f>
        <v>1</v>
      </c>
      <c r="AN96" s="142">
        <f>IF('RAW IMPORT'!AN86&lt;&gt;"",1,0)</f>
        <v>1</v>
      </c>
      <c r="AO96" s="142">
        <f>IF('RAW IMPORT'!AO86&lt;&gt;"",1,0)</f>
        <v>1</v>
      </c>
      <c r="AP96" s="142">
        <f>IF('RAW IMPORT'!AP86&lt;&gt;"",1,0)</f>
        <v>0</v>
      </c>
      <c r="AQ96" s="142">
        <f>IF('RAW IMPORT'!AQ86&lt;&gt;"",1,0)</f>
        <v>0</v>
      </c>
      <c r="AR96" s="142">
        <f>IF('RAW IMPORT'!AR86&lt;&gt;"",1,0)</f>
        <v>1</v>
      </c>
      <c r="AS96" s="142">
        <f>IF('RAW IMPORT'!AS86&lt;&gt;"",1,0)</f>
        <v>0</v>
      </c>
      <c r="AT96" s="142">
        <f>IF('RAW IMPORT'!AT86&lt;&gt;"",1,0)</f>
        <v>0</v>
      </c>
      <c r="AU96" s="142">
        <f>IF('RAW IMPORT'!AU86&lt;&gt;"",1,0)</f>
        <v>0</v>
      </c>
      <c r="AV96" s="142">
        <f>IF('RAW IMPORT'!AV86&lt;&gt;"",1,0)</f>
        <v>0</v>
      </c>
      <c r="AW96" s="142">
        <f>IF('RAW IMPORT'!AW86&lt;&gt;"",1,0)</f>
        <v>1</v>
      </c>
      <c r="AX96" s="142">
        <f>IF('RAW IMPORT'!AX86&lt;&gt;"",1,0)</f>
        <v>0</v>
      </c>
      <c r="AY96" s="142">
        <f>IF('RAW IMPORT'!AY86&lt;&gt;"",1,0)</f>
        <v>0</v>
      </c>
      <c r="AZ96" s="142">
        <f>IF('RAW IMPORT'!AZ86&lt;&gt;"",1,0)</f>
        <v>0</v>
      </c>
      <c r="BA96" s="142">
        <f>IF('RAW IMPORT'!BA86&lt;&gt;"",1,0)</f>
        <v>0</v>
      </c>
      <c r="BB96" s="142">
        <f>IF('RAW IMPORT'!BB86&lt;&gt;"",1,0)</f>
        <v>0</v>
      </c>
      <c r="BC96" s="142">
        <f>IF('RAW IMPORT'!BC86&lt;&gt;"",1,0)</f>
        <v>1</v>
      </c>
      <c r="BD96" s="142">
        <f>IF('RAW IMPORT'!BD86&lt;&gt;"",1,0)</f>
        <v>1</v>
      </c>
      <c r="BE96" s="142">
        <f>IF('RAW IMPORT'!BE86&lt;&gt;"",1,0)</f>
        <v>1</v>
      </c>
      <c r="BF96" s="142">
        <f>IF('RAW IMPORT'!BF86&lt;&gt;"",1,0)</f>
        <v>0</v>
      </c>
      <c r="BG96" s="142">
        <f>IF('RAW IMPORT'!BG86&lt;&gt;"",1,0)</f>
        <v>1</v>
      </c>
      <c r="BH96" s="142">
        <f>IF('RAW IMPORT'!BH86&lt;&gt;"",1,0)</f>
        <v>1</v>
      </c>
      <c r="BI96" s="142">
        <f>IF('RAW IMPORT'!BI86&lt;&gt;"",1,0)</f>
        <v>1</v>
      </c>
      <c r="BJ96" s="142">
        <f>IF('RAW IMPORT'!BJ86&lt;&gt;"",1,0)</f>
        <v>1</v>
      </c>
      <c r="BK96" s="142">
        <f>IF('RAW IMPORT'!BK86&lt;&gt;"",1,0)</f>
        <v>1</v>
      </c>
      <c r="BL96" s="142">
        <f>IF('RAW IMPORT'!BL86&lt;&gt;"",1,0)</f>
        <v>0</v>
      </c>
      <c r="BM96" s="142">
        <f>'RAW IMPORT'!BM86</f>
        <v>2</v>
      </c>
      <c r="BN96" s="165">
        <f>'RAW IMPORT'!BN86</f>
        <v>0</v>
      </c>
      <c r="BO96" s="197">
        <f>'RAW IMPORT'!BO86</f>
        <v>0</v>
      </c>
      <c r="BP96" s="142" t="str">
        <f>'RAW IMPORT'!BP86</f>
        <v>PDF</v>
      </c>
      <c r="BQ96" s="141">
        <f>'RAW IMPORT'!BQ86</f>
        <v>0</v>
      </c>
      <c r="BR96" s="141">
        <f>'RAW IMPORT'!BR86</f>
        <v>2.1000000000000001E-2</v>
      </c>
      <c r="BS96" s="141">
        <f>'RAW IMPORT'!BS86</f>
        <v>7.0000000000000007E-2</v>
      </c>
      <c r="BT96" s="141">
        <f>'RAW IMPORT'!BT86</f>
        <v>0.05</v>
      </c>
      <c r="BU96" s="141">
        <f>'RAW IMPORT'!BU86</f>
        <v>1.0500000000000001E-2</v>
      </c>
      <c r="BV96" s="198">
        <f>'RAW IMPORT'!BV86</f>
        <v>0</v>
      </c>
      <c r="BW96" s="141">
        <f>'RAW IMPORT'!BW86</f>
        <v>50</v>
      </c>
      <c r="BX96" s="165">
        <f>'RAW IMPORT'!BX86</f>
        <v>50</v>
      </c>
      <c r="BY96" s="240"/>
      <c r="BZ96" s="126"/>
      <c r="CA96" s="143">
        <f t="shared" si="10"/>
        <v>82</v>
      </c>
      <c r="CB96" s="170"/>
      <c r="CC96" s="170"/>
      <c r="CD96" s="204" t="str">
        <f t="shared" si="11"/>
        <v>"Model-3020A":
    RETURN</v>
      </c>
      <c r="CE96" s="170"/>
    </row>
    <row r="97" spans="1:83" ht="15" customHeight="1" x14ac:dyDescent="0.25">
      <c r="A97" s="138" t="str">
        <f>'RAW IMPORT'!A87</f>
        <v>OGRO</v>
      </c>
      <c r="B97" s="139">
        <f>'RAW IMPORT'!B87</f>
        <v>3025</v>
      </c>
      <c r="C97" s="142">
        <f>IF('RAW IMPORT'!C87&lt;&gt;"",1,0)</f>
        <v>1</v>
      </c>
      <c r="D97" s="142">
        <f>IF('RAW IMPORT'!D87&lt;&gt;"",1,0)</f>
        <v>1</v>
      </c>
      <c r="E97" s="142">
        <f>IF('RAW IMPORT'!E87&lt;&gt;"",1,0)</f>
        <v>0</v>
      </c>
      <c r="F97" s="142">
        <f>IF('RAW IMPORT'!F87&lt;&gt;"",1,0)</f>
        <v>0</v>
      </c>
      <c r="G97" s="142">
        <f>IF('RAW IMPORT'!G87&lt;&gt;"",1,0)</f>
        <v>0</v>
      </c>
      <c r="H97" s="142">
        <f>IF('RAW IMPORT'!H87&lt;&gt;"",1,0)</f>
        <v>0</v>
      </c>
      <c r="I97" s="142">
        <f>IF('RAW IMPORT'!I87&lt;&gt;"",1,0)</f>
        <v>0</v>
      </c>
      <c r="J97" s="142">
        <f>IF('RAW IMPORT'!J87&lt;&gt;"",1,0)</f>
        <v>0</v>
      </c>
      <c r="K97" s="142">
        <f>IF('RAW IMPORT'!K87&lt;&gt;"",1,0)</f>
        <v>0</v>
      </c>
      <c r="L97" s="142">
        <f>IF('RAW IMPORT'!L87&lt;&gt;"",1,0)</f>
        <v>0</v>
      </c>
      <c r="M97" s="142">
        <f>IF('RAW IMPORT'!M87&lt;&gt;"",1,0)</f>
        <v>0</v>
      </c>
      <c r="N97" s="165">
        <f>IF('RAW IMPORT'!N87&lt;&gt;"",1,0)</f>
        <v>0</v>
      </c>
      <c r="O97" s="167">
        <f>IF('RAW IMPORT'!O87&lt;&gt;"",1,0)</f>
        <v>0</v>
      </c>
      <c r="P97" s="142">
        <f>IF('RAW IMPORT'!P87&lt;&gt;"",1,0)</f>
        <v>0</v>
      </c>
      <c r="Q97" s="142">
        <f>IF('RAW IMPORT'!Q87&lt;&gt;"",1,0)</f>
        <v>0</v>
      </c>
      <c r="R97" s="138">
        <f>'RAW IMPORT'!R87</f>
        <v>0</v>
      </c>
      <c r="S97" s="138">
        <f>'RAW IMPORT'!S87</f>
        <v>7</v>
      </c>
      <c r="T97" s="138">
        <f>'RAW IMPORT'!T87</f>
        <v>5</v>
      </c>
      <c r="U97" s="138">
        <f>'RAW IMPORT'!U87</f>
        <v>0</v>
      </c>
      <c r="V97" s="138">
        <f>'RAW IMPORT'!V87</f>
        <v>0</v>
      </c>
      <c r="W97" s="138">
        <f>'RAW IMPORT'!W87</f>
        <v>0</v>
      </c>
      <c r="X97" s="138">
        <f>'RAW IMPORT'!X87</f>
        <v>0</v>
      </c>
      <c r="Y97" s="138">
        <f>'RAW IMPORT'!Y87</f>
        <v>0</v>
      </c>
      <c r="Z97" s="138">
        <f>'RAW IMPORT'!Z87</f>
        <v>0</v>
      </c>
      <c r="AA97" s="138">
        <f>'RAW IMPORT'!AA87</f>
        <v>0</v>
      </c>
      <c r="AB97" s="139">
        <f>'RAW IMPORT'!AB87</f>
        <v>0</v>
      </c>
      <c r="AC97" s="141">
        <f>'RAW IMPORT'!AC87</f>
        <v>4</v>
      </c>
      <c r="AD97" s="142">
        <f>'RAW IMPORT'!AD87</f>
        <v>7</v>
      </c>
      <c r="AE97" s="142">
        <f>'RAW IMPORT'!AE87</f>
        <v>0</v>
      </c>
      <c r="AF97" s="142">
        <f>IF('RAW IMPORT'!AF87="C1",3,IF('RAW IMPORT'!AF87="D1",4,0))</f>
        <v>4</v>
      </c>
      <c r="AG97" s="142">
        <f>'RAW IMPORT'!AG87</f>
        <v>1</v>
      </c>
      <c r="AH97" s="142">
        <f>'RAW IMPORT'!AH87</f>
        <v>5</v>
      </c>
      <c r="AI97" s="142">
        <f>IF('RAW IMPORT'!AI87="U",1,0)</f>
        <v>0</v>
      </c>
      <c r="AJ97" s="142">
        <f>IF('RAW IMPORT'!AJ87="A",1,0)</f>
        <v>1</v>
      </c>
      <c r="AK97" s="142">
        <f>IF('RAW IMPORT'!AK87="B",1,0)</f>
        <v>1</v>
      </c>
      <c r="AL97" s="142">
        <f>IF('RAW IMPORT'!AL87="U",1,0)</f>
        <v>1</v>
      </c>
      <c r="AM97" s="142">
        <f>IF('RAW IMPORT'!AM87&lt;&gt;"",1,0)</f>
        <v>1</v>
      </c>
      <c r="AN97" s="142">
        <f>IF('RAW IMPORT'!AN87&lt;&gt;"",1,0)</f>
        <v>1</v>
      </c>
      <c r="AO97" s="142">
        <f>IF('RAW IMPORT'!AO87&lt;&gt;"",1,0)</f>
        <v>1</v>
      </c>
      <c r="AP97" s="142">
        <f>IF('RAW IMPORT'!AP87&lt;&gt;"",1,0)</f>
        <v>1</v>
      </c>
      <c r="AQ97" s="142">
        <f>IF('RAW IMPORT'!AQ87&lt;&gt;"",1,0)</f>
        <v>0</v>
      </c>
      <c r="AR97" s="142">
        <f>IF('RAW IMPORT'!AR87&lt;&gt;"",1,0)</f>
        <v>1</v>
      </c>
      <c r="AS97" s="142">
        <f>IF('RAW IMPORT'!AS87&lt;&gt;"",1,0)</f>
        <v>0</v>
      </c>
      <c r="AT97" s="142">
        <f>IF('RAW IMPORT'!AT87&lt;&gt;"",1,0)</f>
        <v>0</v>
      </c>
      <c r="AU97" s="142">
        <f>IF('RAW IMPORT'!AU87&lt;&gt;"",1,0)</f>
        <v>0</v>
      </c>
      <c r="AV97" s="142">
        <f>IF('RAW IMPORT'!AV87&lt;&gt;"",1,0)</f>
        <v>0</v>
      </c>
      <c r="AW97" s="142">
        <f>IF('RAW IMPORT'!AW87&lt;&gt;"",1,0)</f>
        <v>1</v>
      </c>
      <c r="AX97" s="142">
        <f>IF('RAW IMPORT'!AX87&lt;&gt;"",1,0)</f>
        <v>1</v>
      </c>
      <c r="AY97" s="142">
        <f>IF('RAW IMPORT'!AY87&lt;&gt;"",1,0)</f>
        <v>1</v>
      </c>
      <c r="AZ97" s="142">
        <f>IF('RAW IMPORT'!AZ87&lt;&gt;"",1,0)</f>
        <v>1</v>
      </c>
      <c r="BA97" s="142">
        <f>IF('RAW IMPORT'!BA87&lt;&gt;"",1,0)</f>
        <v>1</v>
      </c>
      <c r="BB97" s="142">
        <f>IF('RAW IMPORT'!BB87&lt;&gt;"",1,0)</f>
        <v>1</v>
      </c>
      <c r="BC97" s="142">
        <f>IF('RAW IMPORT'!BC87&lt;&gt;"",1,0)</f>
        <v>0</v>
      </c>
      <c r="BD97" s="142">
        <f>IF('RAW IMPORT'!BD87&lt;&gt;"",1,0)</f>
        <v>1</v>
      </c>
      <c r="BE97" s="142">
        <f>IF('RAW IMPORT'!BE87&lt;&gt;"",1,0)</f>
        <v>1</v>
      </c>
      <c r="BF97" s="142">
        <f>IF('RAW IMPORT'!BF87&lt;&gt;"",1,0)</f>
        <v>0</v>
      </c>
      <c r="BG97" s="142">
        <f>IF('RAW IMPORT'!BG87&lt;&gt;"",1,0)</f>
        <v>1</v>
      </c>
      <c r="BH97" s="142">
        <f>IF('RAW IMPORT'!BH87&lt;&gt;"",1,0)</f>
        <v>1</v>
      </c>
      <c r="BI97" s="142">
        <f>IF('RAW IMPORT'!BI87&lt;&gt;"",1,0)</f>
        <v>1</v>
      </c>
      <c r="BJ97" s="142">
        <f>IF('RAW IMPORT'!BJ87&lt;&gt;"",1,0)</f>
        <v>1</v>
      </c>
      <c r="BK97" s="142">
        <f>IF('RAW IMPORT'!BK87&lt;&gt;"",1,0)</f>
        <v>1</v>
      </c>
      <c r="BL97" s="142">
        <f>IF('RAW IMPORT'!BL87&lt;&gt;"",1,0)</f>
        <v>0</v>
      </c>
      <c r="BM97" s="142">
        <f>'RAW IMPORT'!BM87</f>
        <v>2</v>
      </c>
      <c r="BN97" s="165">
        <f>'RAW IMPORT'!BN87</f>
        <v>0</v>
      </c>
      <c r="BO97" s="197">
        <f>'RAW IMPORT'!BO87</f>
        <v>0</v>
      </c>
      <c r="BP97" s="142" t="str">
        <f>'RAW IMPORT'!BP87</f>
        <v>PDF</v>
      </c>
      <c r="BQ97" s="141">
        <f>'RAW IMPORT'!BQ87</f>
        <v>0</v>
      </c>
      <c r="BR97" s="141">
        <f>'RAW IMPORT'!BR87</f>
        <v>2.1000000000000001E-2</v>
      </c>
      <c r="BS97" s="141">
        <f>'RAW IMPORT'!BS87</f>
        <v>0.05</v>
      </c>
      <c r="BT97" s="141">
        <f>'RAW IMPORT'!BT87</f>
        <v>6.25E-2</v>
      </c>
      <c r="BU97" s="141">
        <f>'RAW IMPORT'!BU87</f>
        <v>2.5000000000000001E-2</v>
      </c>
      <c r="BV97" s="198">
        <f>'RAW IMPORT'!BV87</f>
        <v>0</v>
      </c>
      <c r="BW97" s="141">
        <f>'RAW IMPORT'!BW87</f>
        <v>51</v>
      </c>
      <c r="BX97" s="165">
        <f>'RAW IMPORT'!BX87</f>
        <v>51</v>
      </c>
      <c r="BY97" s="240"/>
      <c r="BZ97" s="126"/>
      <c r="CA97" s="143">
        <f t="shared" si="10"/>
        <v>83</v>
      </c>
      <c r="CB97" s="170"/>
      <c r="CC97" s="170"/>
      <c r="CD97" s="204" t="str">
        <f t="shared" si="11"/>
        <v>"Model-3025":
    RETURN</v>
      </c>
      <c r="CE97" s="170"/>
    </row>
    <row r="98" spans="1:83" ht="15" customHeight="1" x14ac:dyDescent="0.25">
      <c r="A98" s="138" t="str">
        <f>'RAW IMPORT'!A88</f>
        <v>OGRO</v>
      </c>
      <c r="B98" s="139" t="str">
        <f>'RAW IMPORT'!B88</f>
        <v>3025V</v>
      </c>
      <c r="C98" s="142">
        <f>IF('RAW IMPORT'!C88&lt;&gt;"",1,0)</f>
        <v>1</v>
      </c>
      <c r="D98" s="142">
        <f>IF('RAW IMPORT'!D88&lt;&gt;"",1,0)</f>
        <v>1</v>
      </c>
      <c r="E98" s="142">
        <f>IF('RAW IMPORT'!E88&lt;&gt;"",1,0)</f>
        <v>0</v>
      </c>
      <c r="F98" s="142">
        <f>IF('RAW IMPORT'!F88&lt;&gt;"",1,0)</f>
        <v>0</v>
      </c>
      <c r="G98" s="142">
        <f>IF('RAW IMPORT'!G88&lt;&gt;"",1,0)</f>
        <v>0</v>
      </c>
      <c r="H98" s="142">
        <f>IF('RAW IMPORT'!H88&lt;&gt;"",1,0)</f>
        <v>0</v>
      </c>
      <c r="I98" s="142">
        <f>IF('RAW IMPORT'!I88&lt;&gt;"",1,0)</f>
        <v>0</v>
      </c>
      <c r="J98" s="142">
        <f>IF('RAW IMPORT'!J88&lt;&gt;"",1,0)</f>
        <v>0</v>
      </c>
      <c r="K98" s="142">
        <f>IF('RAW IMPORT'!K88&lt;&gt;"",1,0)</f>
        <v>0</v>
      </c>
      <c r="L98" s="142">
        <f>IF('RAW IMPORT'!L88&lt;&gt;"",1,0)</f>
        <v>0</v>
      </c>
      <c r="M98" s="142">
        <f>IF('RAW IMPORT'!M88&lt;&gt;"",1,0)</f>
        <v>0</v>
      </c>
      <c r="N98" s="165">
        <f>IF('RAW IMPORT'!N88&lt;&gt;"",1,0)</f>
        <v>0</v>
      </c>
      <c r="O98" s="167">
        <f>IF('RAW IMPORT'!O88&lt;&gt;"",1,0)</f>
        <v>0</v>
      </c>
      <c r="P98" s="142">
        <f>IF('RAW IMPORT'!P88&lt;&gt;"",1,0)</f>
        <v>0</v>
      </c>
      <c r="Q98" s="142">
        <f>IF('RAW IMPORT'!Q88&lt;&gt;"",1,0)</f>
        <v>0</v>
      </c>
      <c r="R98" s="138">
        <f>'RAW IMPORT'!R88</f>
        <v>0</v>
      </c>
      <c r="S98" s="138">
        <f>'RAW IMPORT'!S88</f>
        <v>7</v>
      </c>
      <c r="T98" s="138">
        <f>'RAW IMPORT'!T88</f>
        <v>5</v>
      </c>
      <c r="U98" s="138">
        <f>'RAW IMPORT'!U88</f>
        <v>0</v>
      </c>
      <c r="V98" s="138">
        <f>'RAW IMPORT'!V88</f>
        <v>0</v>
      </c>
      <c r="W98" s="138">
        <f>'RAW IMPORT'!W88</f>
        <v>0</v>
      </c>
      <c r="X98" s="138">
        <f>'RAW IMPORT'!X88</f>
        <v>0</v>
      </c>
      <c r="Y98" s="138">
        <f>'RAW IMPORT'!Y88</f>
        <v>0</v>
      </c>
      <c r="Z98" s="138">
        <f>'RAW IMPORT'!Z88</f>
        <v>0</v>
      </c>
      <c r="AA98" s="138">
        <f>'RAW IMPORT'!AA88</f>
        <v>0</v>
      </c>
      <c r="AB98" s="139">
        <f>'RAW IMPORT'!AB88</f>
        <v>0</v>
      </c>
      <c r="AC98" s="141">
        <f>'RAW IMPORT'!AC88</f>
        <v>4</v>
      </c>
      <c r="AD98" s="142">
        <f>'RAW IMPORT'!AD88</f>
        <v>7</v>
      </c>
      <c r="AE98" s="142">
        <f>'RAW IMPORT'!AE88</f>
        <v>0</v>
      </c>
      <c r="AF98" s="142">
        <f>IF('RAW IMPORT'!AF88="C1",3,IF('RAW IMPORT'!AF88="D1",4,0))</f>
        <v>4</v>
      </c>
      <c r="AG98" s="142">
        <f>'RAW IMPORT'!AG88</f>
        <v>1</v>
      </c>
      <c r="AH98" s="142">
        <f>'RAW IMPORT'!AH88</f>
        <v>5</v>
      </c>
      <c r="AI98" s="142">
        <f>IF('RAW IMPORT'!AI88="U",1,0)</f>
        <v>0</v>
      </c>
      <c r="AJ98" s="142">
        <f>IF('RAW IMPORT'!AJ88="A",1,0)</f>
        <v>1</v>
      </c>
      <c r="AK98" s="142">
        <f>IF('RAW IMPORT'!AK88="B",1,0)</f>
        <v>1</v>
      </c>
      <c r="AL98" s="142">
        <f>IF('RAW IMPORT'!AL88="U",1,0)</f>
        <v>1</v>
      </c>
      <c r="AM98" s="142">
        <f>IF('RAW IMPORT'!AM88&lt;&gt;"",1,0)</f>
        <v>1</v>
      </c>
      <c r="AN98" s="142">
        <f>IF('RAW IMPORT'!AN88&lt;&gt;"",1,0)</f>
        <v>1</v>
      </c>
      <c r="AO98" s="142">
        <f>IF('RAW IMPORT'!AO88&lt;&gt;"",1,0)</f>
        <v>1</v>
      </c>
      <c r="AP98" s="142">
        <f>IF('RAW IMPORT'!AP88&lt;&gt;"",1,0)</f>
        <v>1</v>
      </c>
      <c r="AQ98" s="142">
        <f>IF('RAW IMPORT'!AQ88&lt;&gt;"",1,0)</f>
        <v>0</v>
      </c>
      <c r="AR98" s="142">
        <f>IF('RAW IMPORT'!AR88&lt;&gt;"",1,0)</f>
        <v>1</v>
      </c>
      <c r="AS98" s="142">
        <f>IF('RAW IMPORT'!AS88&lt;&gt;"",1,0)</f>
        <v>0</v>
      </c>
      <c r="AT98" s="142">
        <f>IF('RAW IMPORT'!AT88&lt;&gt;"",1,0)</f>
        <v>0</v>
      </c>
      <c r="AU98" s="142">
        <f>IF('RAW IMPORT'!AU88&lt;&gt;"",1,0)</f>
        <v>0</v>
      </c>
      <c r="AV98" s="142">
        <f>IF('RAW IMPORT'!AV88&lt;&gt;"",1,0)</f>
        <v>0</v>
      </c>
      <c r="AW98" s="142">
        <f>IF('RAW IMPORT'!AW88&lt;&gt;"",1,0)</f>
        <v>1</v>
      </c>
      <c r="AX98" s="142">
        <f>IF('RAW IMPORT'!AX88&lt;&gt;"",1,0)</f>
        <v>1</v>
      </c>
      <c r="AY98" s="142">
        <f>IF('RAW IMPORT'!AY88&lt;&gt;"",1,0)</f>
        <v>1</v>
      </c>
      <c r="AZ98" s="142">
        <f>IF('RAW IMPORT'!AZ88&lt;&gt;"",1,0)</f>
        <v>1</v>
      </c>
      <c r="BA98" s="142">
        <f>IF('RAW IMPORT'!BA88&lt;&gt;"",1,0)</f>
        <v>1</v>
      </c>
      <c r="BB98" s="142">
        <f>IF('RAW IMPORT'!BB88&lt;&gt;"",1,0)</f>
        <v>0</v>
      </c>
      <c r="BC98" s="142">
        <f>IF('RAW IMPORT'!BC88&lt;&gt;"",1,0)</f>
        <v>1</v>
      </c>
      <c r="BD98" s="142">
        <f>IF('RAW IMPORT'!BD88&lt;&gt;"",1,0)</f>
        <v>1</v>
      </c>
      <c r="BE98" s="142">
        <f>IF('RAW IMPORT'!BE88&lt;&gt;"",1,0)</f>
        <v>1</v>
      </c>
      <c r="BF98" s="142">
        <f>IF('RAW IMPORT'!BF88&lt;&gt;"",1,0)</f>
        <v>0</v>
      </c>
      <c r="BG98" s="142">
        <f>IF('RAW IMPORT'!BG88&lt;&gt;"",1,0)</f>
        <v>1</v>
      </c>
      <c r="BH98" s="142">
        <f>IF('RAW IMPORT'!BH88&lt;&gt;"",1,0)</f>
        <v>1</v>
      </c>
      <c r="BI98" s="142">
        <f>IF('RAW IMPORT'!BI88&lt;&gt;"",1,0)</f>
        <v>1</v>
      </c>
      <c r="BJ98" s="142">
        <f>IF('RAW IMPORT'!BJ88&lt;&gt;"",1,0)</f>
        <v>1</v>
      </c>
      <c r="BK98" s="142">
        <f>IF('RAW IMPORT'!BK88&lt;&gt;"",1,0)</f>
        <v>1</v>
      </c>
      <c r="BL98" s="142">
        <f>IF('RAW IMPORT'!BL88&lt;&gt;"",1,0)</f>
        <v>0</v>
      </c>
      <c r="BM98" s="142">
        <f>'RAW IMPORT'!BM88</f>
        <v>2</v>
      </c>
      <c r="BN98" s="165">
        <f>'RAW IMPORT'!BN88</f>
        <v>0</v>
      </c>
      <c r="BO98" s="197">
        <f>'RAW IMPORT'!BO88</f>
        <v>0</v>
      </c>
      <c r="BP98" s="142" t="str">
        <f>'RAW IMPORT'!BP88</f>
        <v>PDF</v>
      </c>
      <c r="BQ98" s="141">
        <f>'RAW IMPORT'!BQ88</f>
        <v>0</v>
      </c>
      <c r="BR98" s="141">
        <f>'RAW IMPORT'!BR88</f>
        <v>2.1000000000000001E-2</v>
      </c>
      <c r="BS98" s="141">
        <f>'RAW IMPORT'!BS88</f>
        <v>0.08</v>
      </c>
      <c r="BT98" s="141">
        <f>'RAW IMPORT'!BT88</f>
        <v>6.6500000000000004E-2</v>
      </c>
      <c r="BU98" s="141">
        <f>'RAW IMPORT'!BU88</f>
        <v>1.0500000000000001E-2</v>
      </c>
      <c r="BV98" s="198">
        <f>'RAW IMPORT'!BV88</f>
        <v>0</v>
      </c>
      <c r="BW98" s="141">
        <f>'RAW IMPORT'!BW88</f>
        <v>52</v>
      </c>
      <c r="BX98" s="165">
        <f>'RAW IMPORT'!BX88</f>
        <v>52</v>
      </c>
      <c r="BY98" s="240"/>
      <c r="BZ98" s="126"/>
      <c r="CA98" s="143">
        <f t="shared" si="10"/>
        <v>84</v>
      </c>
      <c r="CB98" s="170"/>
      <c r="CC98" s="170"/>
      <c r="CD98" s="204" t="str">
        <f t="shared" si="11"/>
        <v>"Model-3025V":
    RETURN</v>
      </c>
      <c r="CE98" s="170"/>
    </row>
    <row r="99" spans="1:83" ht="15" customHeight="1" x14ac:dyDescent="0.25">
      <c r="A99" s="138" t="str">
        <f>'RAW IMPORT'!A89</f>
        <v>OGRO</v>
      </c>
      <c r="B99" s="139">
        <f>'RAW IMPORT'!B89</f>
        <v>3030</v>
      </c>
      <c r="C99" s="142">
        <f>IF('RAW IMPORT'!C89&lt;&gt;"",1,0)</f>
        <v>1</v>
      </c>
      <c r="D99" s="142">
        <f>IF('RAW IMPORT'!D89&lt;&gt;"",1,0)</f>
        <v>1</v>
      </c>
      <c r="E99" s="142">
        <f>IF('RAW IMPORT'!E89&lt;&gt;"",1,0)</f>
        <v>0</v>
      </c>
      <c r="F99" s="142">
        <f>IF('RAW IMPORT'!F89&lt;&gt;"",1,0)</f>
        <v>0</v>
      </c>
      <c r="G99" s="142">
        <f>IF('RAW IMPORT'!G89&lt;&gt;"",1,0)</f>
        <v>0</v>
      </c>
      <c r="H99" s="142">
        <f>IF('RAW IMPORT'!H89&lt;&gt;"",1,0)</f>
        <v>0</v>
      </c>
      <c r="I99" s="142">
        <f>IF('RAW IMPORT'!I89&lt;&gt;"",1,0)</f>
        <v>0</v>
      </c>
      <c r="J99" s="142">
        <f>IF('RAW IMPORT'!J89&lt;&gt;"",1,0)</f>
        <v>0</v>
      </c>
      <c r="K99" s="142">
        <f>IF('RAW IMPORT'!K89&lt;&gt;"",1,0)</f>
        <v>0</v>
      </c>
      <c r="L99" s="142">
        <f>IF('RAW IMPORT'!L89&lt;&gt;"",1,0)</f>
        <v>0</v>
      </c>
      <c r="M99" s="142">
        <f>IF('RAW IMPORT'!M89&lt;&gt;"",1,0)</f>
        <v>0</v>
      </c>
      <c r="N99" s="165">
        <f>IF('RAW IMPORT'!N89&lt;&gt;"",1,0)</f>
        <v>0</v>
      </c>
      <c r="O99" s="167">
        <f>IF('RAW IMPORT'!O89&lt;&gt;"",1,0)</f>
        <v>0</v>
      </c>
      <c r="P99" s="142">
        <f>IF('RAW IMPORT'!P89&lt;&gt;"",1,0)</f>
        <v>0</v>
      </c>
      <c r="Q99" s="142">
        <f>IF('RAW IMPORT'!Q89&lt;&gt;"",1,0)</f>
        <v>0</v>
      </c>
      <c r="R99" s="138">
        <f>'RAW IMPORT'!R89</f>
        <v>0</v>
      </c>
      <c r="S99" s="138">
        <f>'RAW IMPORT'!S89</f>
        <v>7</v>
      </c>
      <c r="T99" s="138">
        <f>'RAW IMPORT'!T89</f>
        <v>5</v>
      </c>
      <c r="U99" s="138">
        <f>'RAW IMPORT'!U89</f>
        <v>0</v>
      </c>
      <c r="V99" s="138">
        <f>'RAW IMPORT'!V89</f>
        <v>0</v>
      </c>
      <c r="W99" s="138">
        <f>'RAW IMPORT'!W89</f>
        <v>0</v>
      </c>
      <c r="X99" s="138">
        <f>'RAW IMPORT'!X89</f>
        <v>0</v>
      </c>
      <c r="Y99" s="138">
        <f>'RAW IMPORT'!Y89</f>
        <v>0</v>
      </c>
      <c r="Z99" s="138">
        <f>'RAW IMPORT'!Z89</f>
        <v>0</v>
      </c>
      <c r="AA99" s="138">
        <f>'RAW IMPORT'!AA89</f>
        <v>0</v>
      </c>
      <c r="AB99" s="139">
        <f>'RAW IMPORT'!AB89</f>
        <v>0</v>
      </c>
      <c r="AC99" s="141">
        <f>'RAW IMPORT'!AC89</f>
        <v>4</v>
      </c>
      <c r="AD99" s="142">
        <f>'RAW IMPORT'!AD89</f>
        <v>7</v>
      </c>
      <c r="AE99" s="142">
        <f>'RAW IMPORT'!AE89</f>
        <v>0</v>
      </c>
      <c r="AF99" s="142">
        <f>IF('RAW IMPORT'!AF89="C1",3,IF('RAW IMPORT'!AF89="D1",4,0))</f>
        <v>4</v>
      </c>
      <c r="AG99" s="142">
        <f>'RAW IMPORT'!AG89</f>
        <v>1</v>
      </c>
      <c r="AH99" s="142">
        <f>'RAW IMPORT'!AH89</f>
        <v>5</v>
      </c>
      <c r="AI99" s="142">
        <f>IF('RAW IMPORT'!AI89="U",1,0)</f>
        <v>0</v>
      </c>
      <c r="AJ99" s="142">
        <f>IF('RAW IMPORT'!AJ89="A",1,0)</f>
        <v>1</v>
      </c>
      <c r="AK99" s="142">
        <f>IF('RAW IMPORT'!AK89="B",1,0)</f>
        <v>1</v>
      </c>
      <c r="AL99" s="142">
        <f>IF('RAW IMPORT'!AL89="U",1,0)</f>
        <v>1</v>
      </c>
      <c r="AM99" s="142">
        <f>IF('RAW IMPORT'!AM89&lt;&gt;"",1,0)</f>
        <v>1</v>
      </c>
      <c r="AN99" s="142">
        <f>IF('RAW IMPORT'!AN89&lt;&gt;"",1,0)</f>
        <v>1</v>
      </c>
      <c r="AO99" s="142">
        <f>IF('RAW IMPORT'!AO89&lt;&gt;"",1,0)</f>
        <v>1</v>
      </c>
      <c r="AP99" s="142">
        <f>IF('RAW IMPORT'!AP89&lt;&gt;"",1,0)</f>
        <v>1</v>
      </c>
      <c r="AQ99" s="142">
        <f>IF('RAW IMPORT'!AQ89&lt;&gt;"",1,0)</f>
        <v>0</v>
      </c>
      <c r="AR99" s="142">
        <f>IF('RAW IMPORT'!AR89&lt;&gt;"",1,0)</f>
        <v>1</v>
      </c>
      <c r="AS99" s="142">
        <f>IF('RAW IMPORT'!AS89&lt;&gt;"",1,0)</f>
        <v>0</v>
      </c>
      <c r="AT99" s="142">
        <f>IF('RAW IMPORT'!AT89&lt;&gt;"",1,0)</f>
        <v>0</v>
      </c>
      <c r="AU99" s="142">
        <f>IF('RAW IMPORT'!AU89&lt;&gt;"",1,0)</f>
        <v>0</v>
      </c>
      <c r="AV99" s="142">
        <f>IF('RAW IMPORT'!AV89&lt;&gt;"",1,0)</f>
        <v>0</v>
      </c>
      <c r="AW99" s="142">
        <f>IF('RAW IMPORT'!AW89&lt;&gt;"",1,0)</f>
        <v>1</v>
      </c>
      <c r="AX99" s="142">
        <f>IF('RAW IMPORT'!AX89&lt;&gt;"",1,0)</f>
        <v>1</v>
      </c>
      <c r="AY99" s="142">
        <f>IF('RAW IMPORT'!AY89&lt;&gt;"",1,0)</f>
        <v>1</v>
      </c>
      <c r="AZ99" s="142">
        <f>IF('RAW IMPORT'!AZ89&lt;&gt;"",1,0)</f>
        <v>1</v>
      </c>
      <c r="BA99" s="142">
        <f>IF('RAW IMPORT'!BA89&lt;&gt;"",1,0)</f>
        <v>1</v>
      </c>
      <c r="BB99" s="142">
        <f>IF('RAW IMPORT'!BB89&lt;&gt;"",1,0)</f>
        <v>1</v>
      </c>
      <c r="BC99" s="142">
        <f>IF('RAW IMPORT'!BC89&lt;&gt;"",1,0)</f>
        <v>0</v>
      </c>
      <c r="BD99" s="142">
        <f>IF('RAW IMPORT'!BD89&lt;&gt;"",1,0)</f>
        <v>1</v>
      </c>
      <c r="BE99" s="142">
        <f>IF('RAW IMPORT'!BE89&lt;&gt;"",1,0)</f>
        <v>1</v>
      </c>
      <c r="BF99" s="142">
        <f>IF('RAW IMPORT'!BF89&lt;&gt;"",1,0)</f>
        <v>0</v>
      </c>
      <c r="BG99" s="142">
        <f>IF('RAW IMPORT'!BG89&lt;&gt;"",1,0)</f>
        <v>1</v>
      </c>
      <c r="BH99" s="142">
        <f>IF('RAW IMPORT'!BH89&lt;&gt;"",1,0)</f>
        <v>1</v>
      </c>
      <c r="BI99" s="142">
        <f>IF('RAW IMPORT'!BI89&lt;&gt;"",1,0)</f>
        <v>1</v>
      </c>
      <c r="BJ99" s="142">
        <f>IF('RAW IMPORT'!BJ89&lt;&gt;"",1,0)</f>
        <v>1</v>
      </c>
      <c r="BK99" s="142">
        <f>IF('RAW IMPORT'!BK89&lt;&gt;"",1,0)</f>
        <v>1</v>
      </c>
      <c r="BL99" s="142">
        <f>IF('RAW IMPORT'!BL89&lt;&gt;"",1,0)</f>
        <v>0</v>
      </c>
      <c r="BM99" s="142">
        <f>'RAW IMPORT'!BM89</f>
        <v>2</v>
      </c>
      <c r="BN99" s="165">
        <f>'RAW IMPORT'!BN89</f>
        <v>0</v>
      </c>
      <c r="BO99" s="197">
        <f>'RAW IMPORT'!BO89</f>
        <v>0</v>
      </c>
      <c r="BP99" s="142" t="str">
        <f>'RAW IMPORT'!BP89</f>
        <v>PDF</v>
      </c>
      <c r="BQ99" s="141">
        <f>'RAW IMPORT'!BQ89</f>
        <v>0</v>
      </c>
      <c r="BR99" s="141">
        <f>'RAW IMPORT'!BR89</f>
        <v>2.1000000000000001E-2</v>
      </c>
      <c r="BS99" s="141">
        <f>'RAW IMPORT'!BS89</f>
        <v>0.05</v>
      </c>
      <c r="BT99" s="141">
        <f>'RAW IMPORT'!BT89</f>
        <v>6.25E-2</v>
      </c>
      <c r="BU99" s="141">
        <f>'RAW IMPORT'!BU89</f>
        <v>2.5000000000000001E-2</v>
      </c>
      <c r="BV99" s="198">
        <f>'RAW IMPORT'!BV89</f>
        <v>0</v>
      </c>
      <c r="BW99" s="141">
        <f>'RAW IMPORT'!BW89</f>
        <v>53</v>
      </c>
      <c r="BX99" s="165">
        <f>'RAW IMPORT'!BX89</f>
        <v>53</v>
      </c>
      <c r="BY99" s="240"/>
      <c r="BZ99" s="126"/>
      <c r="CA99" s="143">
        <f t="shared" si="10"/>
        <v>85</v>
      </c>
      <c r="CB99" s="170"/>
      <c r="CC99" s="170"/>
      <c r="CD99" s="204" t="str">
        <f t="shared" si="11"/>
        <v>"Model-3030":
    RETURN</v>
      </c>
      <c r="CE99" s="170"/>
    </row>
    <row r="100" spans="1:83" ht="15" customHeight="1" x14ac:dyDescent="0.25">
      <c r="A100" s="138" t="str">
        <f>'RAW IMPORT'!A90</f>
        <v>OGRO</v>
      </c>
      <c r="B100" s="139" t="str">
        <f>'RAW IMPORT'!B90</f>
        <v>3030V</v>
      </c>
      <c r="C100" s="142">
        <f>IF('RAW IMPORT'!C90&lt;&gt;"",1,0)</f>
        <v>1</v>
      </c>
      <c r="D100" s="142">
        <f>IF('RAW IMPORT'!D90&lt;&gt;"",1,0)</f>
        <v>1</v>
      </c>
      <c r="E100" s="142">
        <f>IF('RAW IMPORT'!E90&lt;&gt;"",1,0)</f>
        <v>0</v>
      </c>
      <c r="F100" s="142">
        <f>IF('RAW IMPORT'!F90&lt;&gt;"",1,0)</f>
        <v>0</v>
      </c>
      <c r="G100" s="142">
        <f>IF('RAW IMPORT'!G90&lt;&gt;"",1,0)</f>
        <v>0</v>
      </c>
      <c r="H100" s="142">
        <f>IF('RAW IMPORT'!H90&lt;&gt;"",1,0)</f>
        <v>0</v>
      </c>
      <c r="I100" s="142">
        <f>IF('RAW IMPORT'!I90&lt;&gt;"",1,0)</f>
        <v>0</v>
      </c>
      <c r="J100" s="142">
        <f>IF('RAW IMPORT'!J90&lt;&gt;"",1,0)</f>
        <v>0</v>
      </c>
      <c r="K100" s="142">
        <f>IF('RAW IMPORT'!K90&lt;&gt;"",1,0)</f>
        <v>0</v>
      </c>
      <c r="L100" s="142">
        <f>IF('RAW IMPORT'!L90&lt;&gt;"",1,0)</f>
        <v>0</v>
      </c>
      <c r="M100" s="142">
        <f>IF('RAW IMPORT'!M90&lt;&gt;"",1,0)</f>
        <v>0</v>
      </c>
      <c r="N100" s="165">
        <f>IF('RAW IMPORT'!N90&lt;&gt;"",1,0)</f>
        <v>0</v>
      </c>
      <c r="O100" s="167">
        <f>IF('RAW IMPORT'!O90&lt;&gt;"",1,0)</f>
        <v>0</v>
      </c>
      <c r="P100" s="142">
        <f>IF('RAW IMPORT'!P90&lt;&gt;"",1,0)</f>
        <v>0</v>
      </c>
      <c r="Q100" s="142">
        <f>IF('RAW IMPORT'!Q90&lt;&gt;"",1,0)</f>
        <v>0</v>
      </c>
      <c r="R100" s="138">
        <f>'RAW IMPORT'!R90</f>
        <v>0</v>
      </c>
      <c r="S100" s="138">
        <f>'RAW IMPORT'!S90</f>
        <v>7</v>
      </c>
      <c r="T100" s="138">
        <f>'RAW IMPORT'!T90</f>
        <v>5</v>
      </c>
      <c r="U100" s="138">
        <f>'RAW IMPORT'!U90</f>
        <v>0</v>
      </c>
      <c r="V100" s="138">
        <f>'RAW IMPORT'!V90</f>
        <v>0</v>
      </c>
      <c r="W100" s="138">
        <f>'RAW IMPORT'!W90</f>
        <v>0</v>
      </c>
      <c r="X100" s="138">
        <f>'RAW IMPORT'!X90</f>
        <v>0</v>
      </c>
      <c r="Y100" s="138">
        <f>'RAW IMPORT'!Y90</f>
        <v>0</v>
      </c>
      <c r="Z100" s="138">
        <f>'RAW IMPORT'!Z90</f>
        <v>0</v>
      </c>
      <c r="AA100" s="138">
        <f>'RAW IMPORT'!AA90</f>
        <v>0</v>
      </c>
      <c r="AB100" s="139">
        <f>'RAW IMPORT'!AB90</f>
        <v>0</v>
      </c>
      <c r="AC100" s="141">
        <f>'RAW IMPORT'!AC90</f>
        <v>4</v>
      </c>
      <c r="AD100" s="142">
        <f>'RAW IMPORT'!AD90</f>
        <v>7</v>
      </c>
      <c r="AE100" s="142">
        <f>'RAW IMPORT'!AE90</f>
        <v>0</v>
      </c>
      <c r="AF100" s="142">
        <f>IF('RAW IMPORT'!AF90="C1",3,IF('RAW IMPORT'!AF90="D1",4,0))</f>
        <v>4</v>
      </c>
      <c r="AG100" s="142">
        <f>'RAW IMPORT'!AG90</f>
        <v>1</v>
      </c>
      <c r="AH100" s="142">
        <f>'RAW IMPORT'!AH90</f>
        <v>5</v>
      </c>
      <c r="AI100" s="142">
        <f>IF('RAW IMPORT'!AI90="U",1,0)</f>
        <v>0</v>
      </c>
      <c r="AJ100" s="142">
        <f>IF('RAW IMPORT'!AJ90="A",1,0)</f>
        <v>1</v>
      </c>
      <c r="AK100" s="142">
        <f>IF('RAW IMPORT'!AK90="B",1,0)</f>
        <v>1</v>
      </c>
      <c r="AL100" s="142">
        <f>IF('RAW IMPORT'!AL90="U",1,0)</f>
        <v>1</v>
      </c>
      <c r="AM100" s="142">
        <f>IF('RAW IMPORT'!AM90&lt;&gt;"",1,0)</f>
        <v>1</v>
      </c>
      <c r="AN100" s="142">
        <f>IF('RAW IMPORT'!AN90&lt;&gt;"",1,0)</f>
        <v>1</v>
      </c>
      <c r="AO100" s="142">
        <f>IF('RAW IMPORT'!AO90&lt;&gt;"",1,0)</f>
        <v>1</v>
      </c>
      <c r="AP100" s="142">
        <f>IF('RAW IMPORT'!AP90&lt;&gt;"",1,0)</f>
        <v>1</v>
      </c>
      <c r="AQ100" s="142">
        <f>IF('RAW IMPORT'!AQ90&lt;&gt;"",1,0)</f>
        <v>0</v>
      </c>
      <c r="AR100" s="142">
        <f>IF('RAW IMPORT'!AR90&lt;&gt;"",1,0)</f>
        <v>1</v>
      </c>
      <c r="AS100" s="142">
        <f>IF('RAW IMPORT'!AS90&lt;&gt;"",1,0)</f>
        <v>0</v>
      </c>
      <c r="AT100" s="142">
        <f>IF('RAW IMPORT'!AT90&lt;&gt;"",1,0)</f>
        <v>0</v>
      </c>
      <c r="AU100" s="142">
        <f>IF('RAW IMPORT'!AU90&lt;&gt;"",1,0)</f>
        <v>0</v>
      </c>
      <c r="AV100" s="142">
        <f>IF('RAW IMPORT'!AV90&lt;&gt;"",1,0)</f>
        <v>0</v>
      </c>
      <c r="AW100" s="142">
        <f>IF('RAW IMPORT'!AW90&lt;&gt;"",1,0)</f>
        <v>1</v>
      </c>
      <c r="AX100" s="142">
        <f>IF('RAW IMPORT'!AX90&lt;&gt;"",1,0)</f>
        <v>1</v>
      </c>
      <c r="AY100" s="142">
        <f>IF('RAW IMPORT'!AY90&lt;&gt;"",1,0)</f>
        <v>1</v>
      </c>
      <c r="AZ100" s="142">
        <f>IF('RAW IMPORT'!AZ90&lt;&gt;"",1,0)</f>
        <v>1</v>
      </c>
      <c r="BA100" s="142">
        <f>IF('RAW IMPORT'!BA90&lt;&gt;"",1,0)</f>
        <v>1</v>
      </c>
      <c r="BB100" s="142">
        <f>IF('RAW IMPORT'!BB90&lt;&gt;"",1,0)</f>
        <v>0</v>
      </c>
      <c r="BC100" s="142">
        <f>IF('RAW IMPORT'!BC90&lt;&gt;"",1,0)</f>
        <v>1</v>
      </c>
      <c r="BD100" s="142">
        <f>IF('RAW IMPORT'!BD90&lt;&gt;"",1,0)</f>
        <v>1</v>
      </c>
      <c r="BE100" s="142">
        <f>IF('RAW IMPORT'!BE90&lt;&gt;"",1,0)</f>
        <v>1</v>
      </c>
      <c r="BF100" s="142">
        <f>IF('RAW IMPORT'!BF90&lt;&gt;"",1,0)</f>
        <v>0</v>
      </c>
      <c r="BG100" s="142">
        <f>IF('RAW IMPORT'!BG90&lt;&gt;"",1,0)</f>
        <v>1</v>
      </c>
      <c r="BH100" s="142">
        <f>IF('RAW IMPORT'!BH90&lt;&gt;"",1,0)</f>
        <v>1</v>
      </c>
      <c r="BI100" s="142">
        <f>IF('RAW IMPORT'!BI90&lt;&gt;"",1,0)</f>
        <v>1</v>
      </c>
      <c r="BJ100" s="142">
        <f>IF('RAW IMPORT'!BJ90&lt;&gt;"",1,0)</f>
        <v>1</v>
      </c>
      <c r="BK100" s="142">
        <f>IF('RAW IMPORT'!BK90&lt;&gt;"",1,0)</f>
        <v>1</v>
      </c>
      <c r="BL100" s="142">
        <f>IF('RAW IMPORT'!BL90&lt;&gt;"",1,0)</f>
        <v>0</v>
      </c>
      <c r="BM100" s="142">
        <f>'RAW IMPORT'!BM90</f>
        <v>2</v>
      </c>
      <c r="BN100" s="165">
        <f>'RAW IMPORT'!BN90</f>
        <v>0</v>
      </c>
      <c r="BO100" s="197">
        <f>'RAW IMPORT'!BO90</f>
        <v>0</v>
      </c>
      <c r="BP100" s="142" t="str">
        <f>'RAW IMPORT'!BP90</f>
        <v>PDF</v>
      </c>
      <c r="BQ100" s="141">
        <f>'RAW IMPORT'!BQ90</f>
        <v>0</v>
      </c>
      <c r="BR100" s="141">
        <f>'RAW IMPORT'!BR90</f>
        <v>2.1000000000000001E-2</v>
      </c>
      <c r="BS100" s="141">
        <f>'RAW IMPORT'!BS90</f>
        <v>8.1000000000000003E-2</v>
      </c>
      <c r="BT100" s="141">
        <f>'RAW IMPORT'!BT90</f>
        <v>6.6500000000000004E-2</v>
      </c>
      <c r="BU100" s="141">
        <f>'RAW IMPORT'!BU90</f>
        <v>1.0500000000000001E-2</v>
      </c>
      <c r="BV100" s="198">
        <f>'RAW IMPORT'!BV90</f>
        <v>0</v>
      </c>
      <c r="BW100" s="141">
        <f>'RAW IMPORT'!BW90</f>
        <v>54</v>
      </c>
      <c r="BX100" s="165">
        <f>'RAW IMPORT'!BX90</f>
        <v>54</v>
      </c>
      <c r="BY100" s="240"/>
      <c r="BZ100" s="126"/>
      <c r="CA100" s="143">
        <f t="shared" si="10"/>
        <v>86</v>
      </c>
      <c r="CB100" s="170"/>
      <c r="CC100" s="170"/>
      <c r="CD100" s="204" t="str">
        <f t="shared" si="11"/>
        <v>"Model-3030V":
    RETURN</v>
      </c>
      <c r="CE100" s="170"/>
    </row>
    <row r="101" spans="1:83" ht="15" customHeight="1" x14ac:dyDescent="0.25">
      <c r="A101" s="138" t="str">
        <f>'RAW IMPORT'!A91</f>
        <v>OGRO</v>
      </c>
      <c r="B101" s="139">
        <f>'RAW IMPORT'!B91</f>
        <v>3548</v>
      </c>
      <c r="C101" s="142">
        <f>IF('RAW IMPORT'!C91&lt;&gt;"",1,0)</f>
        <v>1</v>
      </c>
      <c r="D101" s="142">
        <f>IF('RAW IMPORT'!D91&lt;&gt;"",1,0)</f>
        <v>1</v>
      </c>
      <c r="E101" s="142">
        <f>IF('RAW IMPORT'!E91&lt;&gt;"",1,0)</f>
        <v>0</v>
      </c>
      <c r="F101" s="142">
        <f>IF('RAW IMPORT'!F91&lt;&gt;"",1,0)</f>
        <v>0</v>
      </c>
      <c r="G101" s="142">
        <f>IF('RAW IMPORT'!G91&lt;&gt;"",1,0)</f>
        <v>0</v>
      </c>
      <c r="H101" s="142">
        <f>IF('RAW IMPORT'!H91&lt;&gt;"",1,0)</f>
        <v>0</v>
      </c>
      <c r="I101" s="142">
        <f>IF('RAW IMPORT'!I91&lt;&gt;"",1,0)</f>
        <v>0</v>
      </c>
      <c r="J101" s="142">
        <f>IF('RAW IMPORT'!J91&lt;&gt;"",1,0)</f>
        <v>0</v>
      </c>
      <c r="K101" s="142">
        <f>IF('RAW IMPORT'!K91&lt;&gt;"",1,0)</f>
        <v>0</v>
      </c>
      <c r="L101" s="142">
        <f>IF('RAW IMPORT'!L91&lt;&gt;"",1,0)</f>
        <v>0</v>
      </c>
      <c r="M101" s="142">
        <f>IF('RAW IMPORT'!M91&lt;&gt;"",1,0)</f>
        <v>0</v>
      </c>
      <c r="N101" s="165">
        <f>IF('RAW IMPORT'!N91&lt;&gt;"",1,0)</f>
        <v>0</v>
      </c>
      <c r="O101" s="167">
        <f>IF('RAW IMPORT'!O91&lt;&gt;"",1,0)</f>
        <v>0</v>
      </c>
      <c r="P101" s="142">
        <f>IF('RAW IMPORT'!P91&lt;&gt;"",1,0)</f>
        <v>0</v>
      </c>
      <c r="Q101" s="142">
        <f>IF('RAW IMPORT'!Q91&lt;&gt;"",1,0)</f>
        <v>0</v>
      </c>
      <c r="R101" s="138">
        <f>'RAW IMPORT'!R91</f>
        <v>0</v>
      </c>
      <c r="S101" s="138">
        <f>'RAW IMPORT'!S91</f>
        <v>7</v>
      </c>
      <c r="T101" s="138">
        <f>'RAW IMPORT'!T91</f>
        <v>5</v>
      </c>
      <c r="U101" s="138">
        <f>'RAW IMPORT'!U91</f>
        <v>0</v>
      </c>
      <c r="V101" s="138">
        <f>'RAW IMPORT'!V91</f>
        <v>0</v>
      </c>
      <c r="W101" s="138">
        <f>'RAW IMPORT'!W91</f>
        <v>0</v>
      </c>
      <c r="X101" s="138">
        <f>'RAW IMPORT'!X91</f>
        <v>0</v>
      </c>
      <c r="Y101" s="138">
        <f>'RAW IMPORT'!Y91</f>
        <v>0</v>
      </c>
      <c r="Z101" s="138">
        <f>'RAW IMPORT'!Z91</f>
        <v>0</v>
      </c>
      <c r="AA101" s="138">
        <f>'RAW IMPORT'!AA91</f>
        <v>0</v>
      </c>
      <c r="AB101" s="139">
        <f>'RAW IMPORT'!AB91</f>
        <v>0</v>
      </c>
      <c r="AC101" s="141">
        <f>'RAW IMPORT'!AC91</f>
        <v>4</v>
      </c>
      <c r="AD101" s="142">
        <f>'RAW IMPORT'!AD91</f>
        <v>7</v>
      </c>
      <c r="AE101" s="142">
        <f>'RAW IMPORT'!AE91</f>
        <v>0</v>
      </c>
      <c r="AF101" s="142">
        <f>IF('RAW IMPORT'!AF91="C1",3,IF('RAW IMPORT'!AF91="D1",4,0))</f>
        <v>4</v>
      </c>
      <c r="AG101" s="142">
        <f>'RAW IMPORT'!AG91</f>
        <v>1</v>
      </c>
      <c r="AH101" s="142">
        <f>'RAW IMPORT'!AH91</f>
        <v>5</v>
      </c>
      <c r="AI101" s="142">
        <f>IF('RAW IMPORT'!AI91="U",1,0)</f>
        <v>0</v>
      </c>
      <c r="AJ101" s="142">
        <f>IF('RAW IMPORT'!AJ91="A",1,0)</f>
        <v>1</v>
      </c>
      <c r="AK101" s="142">
        <f>IF('RAW IMPORT'!AK91="B",1,0)</f>
        <v>1</v>
      </c>
      <c r="AL101" s="142">
        <f>IF('RAW IMPORT'!AL91="U",1,0)</f>
        <v>1</v>
      </c>
      <c r="AM101" s="142">
        <f>IF('RAW IMPORT'!AM91&lt;&gt;"",1,0)</f>
        <v>1</v>
      </c>
      <c r="AN101" s="142">
        <f>IF('RAW IMPORT'!AN91&lt;&gt;"",1,0)</f>
        <v>1</v>
      </c>
      <c r="AO101" s="142">
        <f>IF('RAW IMPORT'!AO91&lt;&gt;"",1,0)</f>
        <v>1</v>
      </c>
      <c r="AP101" s="142">
        <f>IF('RAW IMPORT'!AP91&lt;&gt;"",1,0)</f>
        <v>1</v>
      </c>
      <c r="AQ101" s="142">
        <f>IF('RAW IMPORT'!AQ91&lt;&gt;"",1,0)</f>
        <v>0</v>
      </c>
      <c r="AR101" s="142">
        <f>IF('RAW IMPORT'!AR91&lt;&gt;"",1,0)</f>
        <v>1</v>
      </c>
      <c r="AS101" s="142">
        <f>IF('RAW IMPORT'!AS91&lt;&gt;"",1,0)</f>
        <v>0</v>
      </c>
      <c r="AT101" s="142">
        <f>IF('RAW IMPORT'!AT91&lt;&gt;"",1,0)</f>
        <v>0</v>
      </c>
      <c r="AU101" s="142">
        <f>IF('RAW IMPORT'!AU91&lt;&gt;"",1,0)</f>
        <v>0</v>
      </c>
      <c r="AV101" s="142">
        <f>IF('RAW IMPORT'!AV91&lt;&gt;"",1,0)</f>
        <v>0</v>
      </c>
      <c r="AW101" s="142">
        <f>IF('RAW IMPORT'!AW91&lt;&gt;"",1,0)</f>
        <v>1</v>
      </c>
      <c r="AX101" s="142">
        <f>IF('RAW IMPORT'!AX91&lt;&gt;"",1,0)</f>
        <v>1</v>
      </c>
      <c r="AY101" s="142">
        <f>IF('RAW IMPORT'!AY91&lt;&gt;"",1,0)</f>
        <v>1</v>
      </c>
      <c r="AZ101" s="142">
        <f>IF('RAW IMPORT'!AZ91&lt;&gt;"",1,0)</f>
        <v>1</v>
      </c>
      <c r="BA101" s="142">
        <f>IF('RAW IMPORT'!BA91&lt;&gt;"",1,0)</f>
        <v>1</v>
      </c>
      <c r="BB101" s="142">
        <f>IF('RAW IMPORT'!BB91&lt;&gt;"",1,0)</f>
        <v>1</v>
      </c>
      <c r="BC101" s="142">
        <f>IF('RAW IMPORT'!BC91&lt;&gt;"",1,0)</f>
        <v>0</v>
      </c>
      <c r="BD101" s="142">
        <f>IF('RAW IMPORT'!BD91&lt;&gt;"",1,0)</f>
        <v>1</v>
      </c>
      <c r="BE101" s="142">
        <f>IF('RAW IMPORT'!BE91&lt;&gt;"",1,0)</f>
        <v>1</v>
      </c>
      <c r="BF101" s="142">
        <f>IF('RAW IMPORT'!BF91&lt;&gt;"",1,0)</f>
        <v>0</v>
      </c>
      <c r="BG101" s="142">
        <f>IF('RAW IMPORT'!BG91&lt;&gt;"",1,0)</f>
        <v>1</v>
      </c>
      <c r="BH101" s="142">
        <f>IF('RAW IMPORT'!BH91&lt;&gt;"",1,0)</f>
        <v>1</v>
      </c>
      <c r="BI101" s="142">
        <f>IF('RAW IMPORT'!BI91&lt;&gt;"",1,0)</f>
        <v>1</v>
      </c>
      <c r="BJ101" s="142">
        <f>IF('RAW IMPORT'!BJ91&lt;&gt;"",1,0)</f>
        <v>1</v>
      </c>
      <c r="BK101" s="142">
        <f>IF('RAW IMPORT'!BK91&lt;&gt;"",1,0)</f>
        <v>1</v>
      </c>
      <c r="BL101" s="142">
        <f>IF('RAW IMPORT'!BL91&lt;&gt;"",1,0)</f>
        <v>0</v>
      </c>
      <c r="BM101" s="142">
        <f>'RAW IMPORT'!BM91</f>
        <v>2</v>
      </c>
      <c r="BN101" s="165">
        <f>'RAW IMPORT'!BN91</f>
        <v>0</v>
      </c>
      <c r="BO101" s="197">
        <f>'RAW IMPORT'!BO91</f>
        <v>0</v>
      </c>
      <c r="BP101" s="142" t="str">
        <f>'RAW IMPORT'!BP91</f>
        <v>PDF</v>
      </c>
      <c r="BQ101" s="141">
        <f>'RAW IMPORT'!BQ91</f>
        <v>0</v>
      </c>
      <c r="BR101" s="141">
        <f>'RAW IMPORT'!BR91</f>
        <v>2.1000000000000001E-2</v>
      </c>
      <c r="BS101" s="141">
        <f>'RAW IMPORT'!BS91</f>
        <v>0.05</v>
      </c>
      <c r="BT101" s="141">
        <f>'RAW IMPORT'!BT91</f>
        <v>7.4999999999999997E-2</v>
      </c>
      <c r="BU101" s="141">
        <f>'RAW IMPORT'!BU91</f>
        <v>2.5000000000000001E-2</v>
      </c>
      <c r="BV101" s="198">
        <f>'RAW IMPORT'!BV91</f>
        <v>0</v>
      </c>
      <c r="BW101" s="141">
        <f>'RAW IMPORT'!BW91</f>
        <v>55</v>
      </c>
      <c r="BX101" s="165">
        <f>'RAW IMPORT'!BX91</f>
        <v>55</v>
      </c>
      <c r="BY101" s="240"/>
      <c r="BZ101" s="126"/>
      <c r="CA101" s="143">
        <f t="shared" si="10"/>
        <v>87</v>
      </c>
      <c r="CB101" s="170"/>
      <c r="CC101" s="170"/>
      <c r="CD101" s="204" t="str">
        <f t="shared" si="11"/>
        <v>"Model-3548":
    RETURN</v>
      </c>
      <c r="CE101" s="170"/>
    </row>
    <row r="102" spans="1:83" ht="15" customHeight="1" x14ac:dyDescent="0.25">
      <c r="A102" s="138" t="str">
        <f>'RAW IMPORT'!A92</f>
        <v>OGRO</v>
      </c>
      <c r="B102" s="139" t="str">
        <f>'RAW IMPORT'!B92</f>
        <v>3548V</v>
      </c>
      <c r="C102" s="142">
        <f>IF('RAW IMPORT'!C92&lt;&gt;"",1,0)</f>
        <v>1</v>
      </c>
      <c r="D102" s="142">
        <f>IF('RAW IMPORT'!D92&lt;&gt;"",1,0)</f>
        <v>1</v>
      </c>
      <c r="E102" s="142">
        <f>IF('RAW IMPORT'!E92&lt;&gt;"",1,0)</f>
        <v>0</v>
      </c>
      <c r="F102" s="142">
        <f>IF('RAW IMPORT'!F92&lt;&gt;"",1,0)</f>
        <v>0</v>
      </c>
      <c r="G102" s="142">
        <f>IF('RAW IMPORT'!G92&lt;&gt;"",1,0)</f>
        <v>0</v>
      </c>
      <c r="H102" s="142">
        <f>IF('RAW IMPORT'!H92&lt;&gt;"",1,0)</f>
        <v>0</v>
      </c>
      <c r="I102" s="142">
        <f>IF('RAW IMPORT'!I92&lt;&gt;"",1,0)</f>
        <v>0</v>
      </c>
      <c r="J102" s="142">
        <f>IF('RAW IMPORT'!J92&lt;&gt;"",1,0)</f>
        <v>0</v>
      </c>
      <c r="K102" s="142">
        <f>IF('RAW IMPORT'!K92&lt;&gt;"",1,0)</f>
        <v>0</v>
      </c>
      <c r="L102" s="142">
        <f>IF('RAW IMPORT'!L92&lt;&gt;"",1,0)</f>
        <v>0</v>
      </c>
      <c r="M102" s="142">
        <f>IF('RAW IMPORT'!M92&lt;&gt;"",1,0)</f>
        <v>0</v>
      </c>
      <c r="N102" s="165">
        <f>IF('RAW IMPORT'!N92&lt;&gt;"",1,0)</f>
        <v>0</v>
      </c>
      <c r="O102" s="167">
        <f>IF('RAW IMPORT'!O92&lt;&gt;"",1,0)</f>
        <v>0</v>
      </c>
      <c r="P102" s="142">
        <f>IF('RAW IMPORT'!P92&lt;&gt;"",1,0)</f>
        <v>0</v>
      </c>
      <c r="Q102" s="142">
        <f>IF('RAW IMPORT'!Q92&lt;&gt;"",1,0)</f>
        <v>0</v>
      </c>
      <c r="R102" s="138">
        <f>'RAW IMPORT'!R92</f>
        <v>0</v>
      </c>
      <c r="S102" s="138">
        <f>'RAW IMPORT'!S92</f>
        <v>7</v>
      </c>
      <c r="T102" s="138">
        <f>'RAW IMPORT'!T92</f>
        <v>5</v>
      </c>
      <c r="U102" s="138">
        <f>'RAW IMPORT'!U92</f>
        <v>0</v>
      </c>
      <c r="V102" s="138">
        <f>'RAW IMPORT'!V92</f>
        <v>0</v>
      </c>
      <c r="W102" s="138">
        <f>'RAW IMPORT'!W92</f>
        <v>0</v>
      </c>
      <c r="X102" s="138">
        <f>'RAW IMPORT'!X92</f>
        <v>0</v>
      </c>
      <c r="Y102" s="138">
        <f>'RAW IMPORT'!Y92</f>
        <v>0</v>
      </c>
      <c r="Z102" s="138">
        <f>'RAW IMPORT'!Z92</f>
        <v>0</v>
      </c>
      <c r="AA102" s="138">
        <f>'RAW IMPORT'!AA92</f>
        <v>0</v>
      </c>
      <c r="AB102" s="139">
        <f>'RAW IMPORT'!AB92</f>
        <v>0</v>
      </c>
      <c r="AC102" s="141">
        <f>'RAW IMPORT'!AC92</f>
        <v>4</v>
      </c>
      <c r="AD102" s="142">
        <f>'RAW IMPORT'!AD92</f>
        <v>7</v>
      </c>
      <c r="AE102" s="142">
        <f>'RAW IMPORT'!AE92</f>
        <v>0</v>
      </c>
      <c r="AF102" s="142">
        <f>IF('RAW IMPORT'!AF92="C1",3,IF('RAW IMPORT'!AF92="D1",4,0))</f>
        <v>4</v>
      </c>
      <c r="AG102" s="142">
        <f>'RAW IMPORT'!AG92</f>
        <v>1</v>
      </c>
      <c r="AH102" s="142">
        <f>'RAW IMPORT'!AH92</f>
        <v>5</v>
      </c>
      <c r="AI102" s="142">
        <f>IF('RAW IMPORT'!AI92="U",1,0)</f>
        <v>0</v>
      </c>
      <c r="AJ102" s="142">
        <f>IF('RAW IMPORT'!AJ92="A",1,0)</f>
        <v>1</v>
      </c>
      <c r="AK102" s="142">
        <f>IF('RAW IMPORT'!AK92="B",1,0)</f>
        <v>1</v>
      </c>
      <c r="AL102" s="142">
        <f>IF('RAW IMPORT'!AL92="U",1,0)</f>
        <v>1</v>
      </c>
      <c r="AM102" s="142">
        <f>IF('RAW IMPORT'!AM92&lt;&gt;"",1,0)</f>
        <v>1</v>
      </c>
      <c r="AN102" s="142">
        <f>IF('RAW IMPORT'!AN92&lt;&gt;"",1,0)</f>
        <v>1</v>
      </c>
      <c r="AO102" s="142">
        <f>IF('RAW IMPORT'!AO92&lt;&gt;"",1,0)</f>
        <v>1</v>
      </c>
      <c r="AP102" s="142">
        <f>IF('RAW IMPORT'!AP92&lt;&gt;"",1,0)</f>
        <v>1</v>
      </c>
      <c r="AQ102" s="142">
        <f>IF('RAW IMPORT'!AQ92&lt;&gt;"",1,0)</f>
        <v>0</v>
      </c>
      <c r="AR102" s="142">
        <f>IF('RAW IMPORT'!AR92&lt;&gt;"",1,0)</f>
        <v>1</v>
      </c>
      <c r="AS102" s="142">
        <f>IF('RAW IMPORT'!AS92&lt;&gt;"",1,0)</f>
        <v>0</v>
      </c>
      <c r="AT102" s="142">
        <f>IF('RAW IMPORT'!AT92&lt;&gt;"",1,0)</f>
        <v>0</v>
      </c>
      <c r="AU102" s="142">
        <f>IF('RAW IMPORT'!AU92&lt;&gt;"",1,0)</f>
        <v>0</v>
      </c>
      <c r="AV102" s="142">
        <f>IF('RAW IMPORT'!AV92&lt;&gt;"",1,0)</f>
        <v>0</v>
      </c>
      <c r="AW102" s="142">
        <f>IF('RAW IMPORT'!AW92&lt;&gt;"",1,0)</f>
        <v>1</v>
      </c>
      <c r="AX102" s="142">
        <f>IF('RAW IMPORT'!AX92&lt;&gt;"",1,0)</f>
        <v>1</v>
      </c>
      <c r="AY102" s="142">
        <f>IF('RAW IMPORT'!AY92&lt;&gt;"",1,0)</f>
        <v>1</v>
      </c>
      <c r="AZ102" s="142">
        <f>IF('RAW IMPORT'!AZ92&lt;&gt;"",1,0)</f>
        <v>1</v>
      </c>
      <c r="BA102" s="142">
        <f>IF('RAW IMPORT'!BA92&lt;&gt;"",1,0)</f>
        <v>1</v>
      </c>
      <c r="BB102" s="142">
        <f>IF('RAW IMPORT'!BB92&lt;&gt;"",1,0)</f>
        <v>0</v>
      </c>
      <c r="BC102" s="142">
        <f>IF('RAW IMPORT'!BC92&lt;&gt;"",1,0)</f>
        <v>1</v>
      </c>
      <c r="BD102" s="142">
        <f>IF('RAW IMPORT'!BD92&lt;&gt;"",1,0)</f>
        <v>1</v>
      </c>
      <c r="BE102" s="142">
        <f>IF('RAW IMPORT'!BE92&lt;&gt;"",1,0)</f>
        <v>1</v>
      </c>
      <c r="BF102" s="142">
        <f>IF('RAW IMPORT'!BF92&lt;&gt;"",1,0)</f>
        <v>0</v>
      </c>
      <c r="BG102" s="142">
        <f>IF('RAW IMPORT'!BG92&lt;&gt;"",1,0)</f>
        <v>1</v>
      </c>
      <c r="BH102" s="142">
        <f>IF('RAW IMPORT'!BH92&lt;&gt;"",1,0)</f>
        <v>1</v>
      </c>
      <c r="BI102" s="142">
        <f>IF('RAW IMPORT'!BI92&lt;&gt;"",1,0)</f>
        <v>1</v>
      </c>
      <c r="BJ102" s="142">
        <f>IF('RAW IMPORT'!BJ92&lt;&gt;"",1,0)</f>
        <v>1</v>
      </c>
      <c r="BK102" s="142">
        <f>IF('RAW IMPORT'!BK92&lt;&gt;"",1,0)</f>
        <v>1</v>
      </c>
      <c r="BL102" s="142">
        <f>IF('RAW IMPORT'!BL92&lt;&gt;"",1,0)</f>
        <v>0</v>
      </c>
      <c r="BM102" s="142">
        <f>'RAW IMPORT'!BM92</f>
        <v>2</v>
      </c>
      <c r="BN102" s="165">
        <f>'RAW IMPORT'!BN92</f>
        <v>0</v>
      </c>
      <c r="BO102" s="197">
        <f>'RAW IMPORT'!BO92</f>
        <v>0</v>
      </c>
      <c r="BP102" s="142" t="str">
        <f>'RAW IMPORT'!BP92</f>
        <v>PDF</v>
      </c>
      <c r="BQ102" s="141">
        <f>'RAW IMPORT'!BQ92</f>
        <v>0</v>
      </c>
      <c r="BR102" s="141">
        <f>'RAW IMPORT'!BR92</f>
        <v>0.02</v>
      </c>
      <c r="BS102" s="141">
        <f>'RAW IMPORT'!BS92</f>
        <v>7.5999999999999998E-2</v>
      </c>
      <c r="BT102" s="141">
        <f>'RAW IMPORT'!BT92</f>
        <v>0.08</v>
      </c>
      <c r="BU102" s="141">
        <f>'RAW IMPORT'!BU92</f>
        <v>0.01</v>
      </c>
      <c r="BV102" s="198">
        <f>'RAW IMPORT'!BV92</f>
        <v>0</v>
      </c>
      <c r="BW102" s="141">
        <f>'RAW IMPORT'!BW92</f>
        <v>56</v>
      </c>
      <c r="BX102" s="165">
        <f>'RAW IMPORT'!BX92</f>
        <v>56</v>
      </c>
      <c r="BY102" s="240"/>
      <c r="BZ102" s="126"/>
      <c r="CA102" s="143">
        <f t="shared" si="10"/>
        <v>88</v>
      </c>
      <c r="CB102" s="170"/>
      <c r="CC102" s="170"/>
      <c r="CD102" s="204" t="str">
        <f t="shared" si="11"/>
        <v>"Model-3548V":
    RETURN</v>
      </c>
      <c r="CE102" s="170"/>
    </row>
    <row r="103" spans="1:83" ht="30.75" customHeight="1" x14ac:dyDescent="0.25">
      <c r="A103" s="138" t="str">
        <f>'RAW IMPORT'!A93</f>
        <v>OGRO</v>
      </c>
      <c r="B103" s="139" t="str">
        <f>'RAW IMPORT'!B93</f>
        <v>650x + 6612</v>
      </c>
      <c r="C103" s="142">
        <f>IF('RAW IMPORT'!C94&lt;&gt;"",1,0)</f>
        <v>0</v>
      </c>
      <c r="D103" s="142">
        <f>IF('RAW IMPORT'!D94&lt;&gt;"",1,0)</f>
        <v>0</v>
      </c>
      <c r="E103" s="142">
        <f>IF('RAW IMPORT'!E94&lt;&gt;"",1,0)</f>
        <v>0</v>
      </c>
      <c r="F103" s="142">
        <f>IF('RAW IMPORT'!F94&lt;&gt;"",1,0)</f>
        <v>0</v>
      </c>
      <c r="G103" s="142">
        <f>IF('RAW IMPORT'!G94&lt;&gt;"",1,0)</f>
        <v>0</v>
      </c>
      <c r="H103" s="142">
        <f>IF('RAW IMPORT'!H94&lt;&gt;"",1,0)</f>
        <v>0</v>
      </c>
      <c r="I103" s="142">
        <f>IF('RAW IMPORT'!I94&lt;&gt;"",1,0)</f>
        <v>0</v>
      </c>
      <c r="J103" s="142">
        <f>IF('RAW IMPORT'!J94&lt;&gt;"",1,0)</f>
        <v>0</v>
      </c>
      <c r="K103" s="142">
        <f>IF('RAW IMPORT'!K94&lt;&gt;"",1,0)</f>
        <v>0</v>
      </c>
      <c r="L103" s="142">
        <f>IF('RAW IMPORT'!L94&lt;&gt;"",1,0)</f>
        <v>0</v>
      </c>
      <c r="M103" s="142">
        <f>IF('RAW IMPORT'!M94&lt;&gt;"",1,0)</f>
        <v>0</v>
      </c>
      <c r="N103" s="165">
        <f>IF('RAW IMPORT'!N94&lt;&gt;"",1,0)</f>
        <v>0</v>
      </c>
      <c r="O103" s="167">
        <f>IF('RAW IMPORT'!O94&lt;&gt;"",1,0)</f>
        <v>0</v>
      </c>
      <c r="P103" s="142">
        <f>IF('RAW IMPORT'!P94&lt;&gt;"",1,0)</f>
        <v>0</v>
      </c>
      <c r="Q103" s="142">
        <f>IF('RAW IMPORT'!Q94&lt;&gt;"",1,0)</f>
        <v>0</v>
      </c>
      <c r="R103" s="138">
        <f>'RAW IMPORT'!R94</f>
        <v>0</v>
      </c>
      <c r="S103" s="138">
        <f>'RAW IMPORT'!S94</f>
        <v>0</v>
      </c>
      <c r="T103" s="138">
        <f>'RAW IMPORT'!T94</f>
        <v>0</v>
      </c>
      <c r="U103" s="138">
        <f>'RAW IMPORT'!U94</f>
        <v>0</v>
      </c>
      <c r="V103" s="138">
        <f>'RAW IMPORT'!V94</f>
        <v>0</v>
      </c>
      <c r="W103" s="138">
        <f>'RAW IMPORT'!W94</f>
        <v>0</v>
      </c>
      <c r="X103" s="138">
        <f>'RAW IMPORT'!X94</f>
        <v>0</v>
      </c>
      <c r="Y103" s="138">
        <f>'RAW IMPORT'!Y94</f>
        <v>0</v>
      </c>
      <c r="Z103" s="138">
        <f>'RAW IMPORT'!Z94</f>
        <v>0</v>
      </c>
      <c r="AA103" s="138">
        <f>'RAW IMPORT'!AA94</f>
        <v>0</v>
      </c>
      <c r="AB103" s="139">
        <f>'RAW IMPORT'!AB94</f>
        <v>0</v>
      </c>
      <c r="AC103" s="141">
        <f>'RAW IMPORT'!AC94</f>
        <v>0</v>
      </c>
      <c r="AD103" s="142">
        <f>'RAW IMPORT'!AD94</f>
        <v>0</v>
      </c>
      <c r="AE103" s="142">
        <f>'RAW IMPORT'!AE94</f>
        <v>0</v>
      </c>
      <c r="AF103" s="142">
        <f>IF('RAW IMPORT'!AF94="C1",3,IF('RAW IMPORT'!AF94="D1",4,0))</f>
        <v>0</v>
      </c>
      <c r="AG103" s="142">
        <f>'RAW IMPORT'!AG94</f>
        <v>0</v>
      </c>
      <c r="AH103" s="142">
        <f>'RAW IMPORT'!AH94</f>
        <v>0</v>
      </c>
      <c r="AI103" s="142">
        <f>IF('RAW IMPORT'!AI94="U",1,0)</f>
        <v>0</v>
      </c>
      <c r="AJ103" s="142">
        <f>IF('RAW IMPORT'!AJ94="A",1,0)</f>
        <v>0</v>
      </c>
      <c r="AK103" s="142">
        <f>IF('RAW IMPORT'!AK94="B",1,0)</f>
        <v>0</v>
      </c>
      <c r="AL103" s="142">
        <f>IF('RAW IMPORT'!AL94="U",1,0)</f>
        <v>0</v>
      </c>
      <c r="AM103" s="142">
        <f>IF('RAW IMPORT'!AM94&lt;&gt;"",1,0)</f>
        <v>0</v>
      </c>
      <c r="AN103" s="142">
        <f>IF('RAW IMPORT'!AN94&lt;&gt;"",1,0)</f>
        <v>0</v>
      </c>
      <c r="AO103" s="142">
        <f>IF('RAW IMPORT'!AO94&lt;&gt;"",1,0)</f>
        <v>0</v>
      </c>
      <c r="AP103" s="142">
        <f>IF('RAW IMPORT'!AP94&lt;&gt;"",1,0)</f>
        <v>0</v>
      </c>
      <c r="AQ103" s="142">
        <f>IF('RAW IMPORT'!AQ94&lt;&gt;"",1,0)</f>
        <v>0</v>
      </c>
      <c r="AR103" s="142">
        <f>IF('RAW IMPORT'!AR94&lt;&gt;"",1,0)</f>
        <v>0</v>
      </c>
      <c r="AS103" s="142">
        <f>IF('RAW IMPORT'!AS94&lt;&gt;"",1,0)</f>
        <v>0</v>
      </c>
      <c r="AT103" s="142">
        <f>IF('RAW IMPORT'!AT94&lt;&gt;"",1,0)</f>
        <v>0</v>
      </c>
      <c r="AU103" s="142">
        <f>IF('RAW IMPORT'!AU94&lt;&gt;"",1,0)</f>
        <v>0</v>
      </c>
      <c r="AV103" s="142">
        <f>IF('RAW IMPORT'!AV94&lt;&gt;"",1,0)</f>
        <v>0</v>
      </c>
      <c r="AW103" s="142">
        <f>IF('RAW IMPORT'!AW93&lt;&gt;"",1,0)</f>
        <v>1</v>
      </c>
      <c r="AX103" s="142">
        <f>IF('RAW IMPORT'!AX93&lt;&gt;"",1,0)</f>
        <v>0</v>
      </c>
      <c r="AY103" s="142">
        <f>IF('RAW IMPORT'!AY93&lt;&gt;"",1,0)</f>
        <v>0</v>
      </c>
      <c r="AZ103" s="142">
        <f>IF('RAW IMPORT'!AZ93&lt;&gt;"",1,0)</f>
        <v>0</v>
      </c>
      <c r="BA103" s="142">
        <f>IF('RAW IMPORT'!BA93&lt;&gt;"",1,0)</f>
        <v>0</v>
      </c>
      <c r="BB103" s="142">
        <f>IF('RAW IMPORT'!BB93&lt;&gt;"",1,0)</f>
        <v>0</v>
      </c>
      <c r="BC103" s="142">
        <f>IF('RAW IMPORT'!BC93&lt;&gt;"",1,0)</f>
        <v>0</v>
      </c>
      <c r="BD103" s="142">
        <f>IF('RAW IMPORT'!BD93&lt;&gt;"",1,0)</f>
        <v>0</v>
      </c>
      <c r="BE103" s="142">
        <f>IF('RAW IMPORT'!BE93&lt;&gt;"",1,0)</f>
        <v>0</v>
      </c>
      <c r="BF103" s="142">
        <f>IF('RAW IMPORT'!BF93&lt;&gt;"",1,0)</f>
        <v>0</v>
      </c>
      <c r="BG103" s="142">
        <f>IF('RAW IMPORT'!BG93&lt;&gt;"",1,0)</f>
        <v>1</v>
      </c>
      <c r="BH103" s="142">
        <f>IF('RAW IMPORT'!BH93&lt;&gt;"",1,0)</f>
        <v>1</v>
      </c>
      <c r="BI103" s="142">
        <f>IF('RAW IMPORT'!BI93&lt;&gt;"",1,0)</f>
        <v>1</v>
      </c>
      <c r="BJ103" s="142">
        <f>IF('RAW IMPORT'!BJ93&lt;&gt;"",1,0)</f>
        <v>1</v>
      </c>
      <c r="BK103" s="142">
        <f>IF('RAW IMPORT'!BK93&lt;&gt;"",1,0)</f>
        <v>1</v>
      </c>
      <c r="BL103" s="142">
        <f>IF('RAW IMPORT'!BL93&lt;&gt;"",1,0)</f>
        <v>0</v>
      </c>
      <c r="BM103" s="142">
        <f>'RAW IMPORT'!BM93</f>
        <v>10</v>
      </c>
      <c r="BN103" s="165">
        <f>IF('RAW IMPORT'!BN93&lt;&gt;"",1,0)</f>
        <v>1</v>
      </c>
      <c r="BO103" s="197">
        <f>'RAW IMPORT'!BO93</f>
        <v>0</v>
      </c>
      <c r="BP103" s="142">
        <f>IF('RAW IMPORT'!BP94="A",1,0)</f>
        <v>0</v>
      </c>
      <c r="BQ103" s="141">
        <f>IF('RAW IMPORT'!BQ94="B",1,0)</f>
        <v>0</v>
      </c>
      <c r="BR103" s="141">
        <f>'RAW IMPORT'!BR93</f>
        <v>8.9999999999999993E-3</v>
      </c>
      <c r="BS103" s="141">
        <f>'RAW IMPORT'!BS93</f>
        <v>5.5E-2</v>
      </c>
      <c r="BT103" s="141">
        <f>'RAW IMPORT'!BT93</f>
        <v>5.5E-2</v>
      </c>
      <c r="BU103" s="141">
        <f>'RAW IMPORT'!BU93</f>
        <v>2.75E-2</v>
      </c>
      <c r="BV103" s="198">
        <f>IF('RAW IMPORT'!BV94="U",1,0)</f>
        <v>0</v>
      </c>
      <c r="BW103" s="141">
        <f>'RAW IMPORT'!BW93</f>
        <v>5</v>
      </c>
      <c r="BX103" s="165">
        <f>'RAW IMPORT'!BX93</f>
        <v>0</v>
      </c>
      <c r="BY103" s="240"/>
      <c r="BZ103" s="126"/>
      <c r="CD103" s="204" t="str">
        <f t="shared" si="11"/>
        <v>"Model-650x + 6612":
    RETURN</v>
      </c>
    </row>
    <row r="104" spans="1:83" ht="15.75" customHeight="1" x14ac:dyDescent="0.25">
      <c r="A104" s="138" t="str">
        <f>'RAW IMPORT'!A94</f>
        <v>OGRO</v>
      </c>
      <c r="B104" s="139" t="str">
        <f>'RAW IMPORT'!B94</f>
        <v>650x + 7122</v>
      </c>
      <c r="C104" s="142">
        <f>IF('RAW IMPORT'!C95&lt;&gt;"",1,0)</f>
        <v>0</v>
      </c>
      <c r="D104" s="142">
        <f>IF('RAW IMPORT'!D95&lt;&gt;"",1,0)</f>
        <v>0</v>
      </c>
      <c r="E104" s="142">
        <f>IF('RAW IMPORT'!E95&lt;&gt;"",1,0)</f>
        <v>0</v>
      </c>
      <c r="F104" s="142">
        <f>IF('RAW IMPORT'!F95&lt;&gt;"",1,0)</f>
        <v>0</v>
      </c>
      <c r="G104" s="142">
        <f>IF('RAW IMPORT'!G95&lt;&gt;"",1,0)</f>
        <v>0</v>
      </c>
      <c r="H104" s="142">
        <f>IF('RAW IMPORT'!H95&lt;&gt;"",1,0)</f>
        <v>0</v>
      </c>
      <c r="I104" s="142">
        <f>IF('RAW IMPORT'!I95&lt;&gt;"",1,0)</f>
        <v>0</v>
      </c>
      <c r="J104" s="142">
        <f>IF('RAW IMPORT'!J95&lt;&gt;"",1,0)</f>
        <v>0</v>
      </c>
      <c r="K104" s="142">
        <f>IF('RAW IMPORT'!K95&lt;&gt;"",1,0)</f>
        <v>0</v>
      </c>
      <c r="L104" s="142">
        <f>IF('RAW IMPORT'!L95&lt;&gt;"",1,0)</f>
        <v>0</v>
      </c>
      <c r="M104" s="142">
        <f>IF('RAW IMPORT'!M95&lt;&gt;"",1,0)</f>
        <v>0</v>
      </c>
      <c r="N104" s="165">
        <f>IF('RAW IMPORT'!N95&lt;&gt;"",1,0)</f>
        <v>0</v>
      </c>
      <c r="O104" s="167">
        <f>IF('RAW IMPORT'!O95&lt;&gt;"",1,0)</f>
        <v>0</v>
      </c>
      <c r="P104" s="142">
        <f>IF('RAW IMPORT'!P95&lt;&gt;"",1,0)</f>
        <v>0</v>
      </c>
      <c r="Q104" s="142">
        <f>IF('RAW IMPORT'!Q95&lt;&gt;"",1,0)</f>
        <v>0</v>
      </c>
      <c r="R104" s="138">
        <f>'RAW IMPORT'!R95</f>
        <v>0</v>
      </c>
      <c r="S104" s="138">
        <f>'RAW IMPORT'!S95</f>
        <v>0</v>
      </c>
      <c r="T104" s="138">
        <f>'RAW IMPORT'!T95</f>
        <v>0</v>
      </c>
      <c r="U104" s="138">
        <f>'RAW IMPORT'!U95</f>
        <v>0</v>
      </c>
      <c r="V104" s="138">
        <f>'RAW IMPORT'!V95</f>
        <v>0</v>
      </c>
      <c r="W104" s="138">
        <f>'RAW IMPORT'!W95</f>
        <v>0</v>
      </c>
      <c r="X104" s="138">
        <f>'RAW IMPORT'!X95</f>
        <v>0</v>
      </c>
      <c r="Y104" s="138">
        <f>'RAW IMPORT'!Y95</f>
        <v>0</v>
      </c>
      <c r="Z104" s="138">
        <f>'RAW IMPORT'!Z95</f>
        <v>0</v>
      </c>
      <c r="AA104" s="138">
        <f>'RAW IMPORT'!AA95</f>
        <v>0</v>
      </c>
      <c r="AB104" s="139">
        <f>'RAW IMPORT'!AB95</f>
        <v>0</v>
      </c>
      <c r="AC104" s="141">
        <f>'RAW IMPORT'!AC95</f>
        <v>0</v>
      </c>
      <c r="AD104" s="142">
        <f>'RAW IMPORT'!AD95</f>
        <v>0</v>
      </c>
      <c r="AE104" s="142">
        <f>'RAW IMPORT'!AE95</f>
        <v>0</v>
      </c>
      <c r="AF104" s="142">
        <f>IF('RAW IMPORT'!AF95="C1",3,IF('RAW IMPORT'!AF95="D1",4,0))</f>
        <v>0</v>
      </c>
      <c r="AG104" s="142">
        <f>'RAW IMPORT'!AG95</f>
        <v>0</v>
      </c>
      <c r="AH104" s="142">
        <f>'RAW IMPORT'!AH95</f>
        <v>0</v>
      </c>
      <c r="AI104" s="142">
        <f>IF('RAW IMPORT'!AI95="U",1,0)</f>
        <v>0</v>
      </c>
      <c r="AJ104" s="142">
        <f>IF('RAW IMPORT'!AJ95="A",1,0)</f>
        <v>0</v>
      </c>
      <c r="AK104" s="142">
        <f>IF('RAW IMPORT'!AK95="B",1,0)</f>
        <v>0</v>
      </c>
      <c r="AL104" s="142">
        <f>IF('RAW IMPORT'!AL95="U",1,0)</f>
        <v>0</v>
      </c>
      <c r="AM104" s="142">
        <f>IF('RAW IMPORT'!AM95&lt;&gt;"",1,0)</f>
        <v>0</v>
      </c>
      <c r="AN104" s="142">
        <f>IF('RAW IMPORT'!AN95&lt;&gt;"",1,0)</f>
        <v>0</v>
      </c>
      <c r="AO104" s="142">
        <f>IF('RAW IMPORT'!AO95&lt;&gt;"",1,0)</f>
        <v>0</v>
      </c>
      <c r="AP104" s="142">
        <f>IF('RAW IMPORT'!AP95&lt;&gt;"",1,0)</f>
        <v>0</v>
      </c>
      <c r="AQ104" s="142">
        <f>IF('RAW IMPORT'!AQ95&lt;&gt;"",1,0)</f>
        <v>0</v>
      </c>
      <c r="AR104" s="142">
        <f>IF('RAW IMPORT'!AR95&lt;&gt;"",1,0)</f>
        <v>0</v>
      </c>
      <c r="AS104" s="142">
        <f>IF('RAW IMPORT'!AS95&lt;&gt;"",1,0)</f>
        <v>0</v>
      </c>
      <c r="AT104" s="142">
        <f>IF('RAW IMPORT'!AT95&lt;&gt;"",1,0)</f>
        <v>0</v>
      </c>
      <c r="AU104" s="142">
        <f>IF('RAW IMPORT'!AU95&lt;&gt;"",1,0)</f>
        <v>0</v>
      </c>
      <c r="AV104" s="142">
        <f>IF('RAW IMPORT'!AV95&lt;&gt;"",1,0)</f>
        <v>0</v>
      </c>
      <c r="AW104" s="142">
        <f>IF('RAW IMPORT'!AW94&lt;&gt;"",1,0)</f>
        <v>1</v>
      </c>
      <c r="AX104" s="142">
        <f>IF('RAW IMPORT'!AX94&lt;&gt;"",1,0)</f>
        <v>0</v>
      </c>
      <c r="AY104" s="142">
        <f>IF('RAW IMPORT'!AY94&lt;&gt;"",1,0)</f>
        <v>0</v>
      </c>
      <c r="AZ104" s="142">
        <f>IF('RAW IMPORT'!AZ94&lt;&gt;"",1,0)</f>
        <v>0</v>
      </c>
      <c r="BA104" s="142">
        <f>IF('RAW IMPORT'!BA94&lt;&gt;"",1,0)</f>
        <v>0</v>
      </c>
      <c r="BB104" s="142">
        <f>IF('RAW IMPORT'!BB94&lt;&gt;"",1,0)</f>
        <v>0</v>
      </c>
      <c r="BC104" s="142">
        <f>IF('RAW IMPORT'!BC94&lt;&gt;"",1,0)</f>
        <v>0</v>
      </c>
      <c r="BD104" s="142">
        <f>IF('RAW IMPORT'!BD94&lt;&gt;"",1,0)</f>
        <v>0</v>
      </c>
      <c r="BE104" s="142">
        <f>IF('RAW IMPORT'!BE94&lt;&gt;"",1,0)</f>
        <v>0</v>
      </c>
      <c r="BF104" s="142">
        <f>IF('RAW IMPORT'!BF94&lt;&gt;"",1,0)</f>
        <v>0</v>
      </c>
      <c r="BG104" s="142">
        <f>IF('RAW IMPORT'!BG94&lt;&gt;"",1,0)</f>
        <v>0</v>
      </c>
      <c r="BH104" s="142">
        <f>IF('RAW IMPORT'!BH94&lt;&gt;"",1,0)</f>
        <v>0</v>
      </c>
      <c r="BI104" s="142">
        <f>IF('RAW IMPORT'!BI94&lt;&gt;"",1,0)</f>
        <v>0</v>
      </c>
      <c r="BJ104" s="142">
        <f>IF('RAW IMPORT'!BJ94&lt;&gt;"",1,0)</f>
        <v>0</v>
      </c>
      <c r="BK104" s="142">
        <f>IF('RAW IMPORT'!BK94&lt;&gt;"",1,0)</f>
        <v>0</v>
      </c>
      <c r="BL104" s="142">
        <f>IF('RAW IMPORT'!BL94&lt;&gt;"",1,0)</f>
        <v>1</v>
      </c>
      <c r="BM104" s="142">
        <f>'RAW IMPORT'!BM94</f>
        <v>10</v>
      </c>
      <c r="BN104" s="165">
        <f>IF('RAW IMPORT'!BN94&lt;&gt;"",1,0)</f>
        <v>0</v>
      </c>
      <c r="BO104" s="197">
        <f>'RAW IMPORT'!BO94</f>
        <v>0</v>
      </c>
      <c r="BP104" s="142">
        <f>IF('RAW IMPORT'!BP95="A",1,0)</f>
        <v>0</v>
      </c>
      <c r="BQ104" s="141">
        <f>IF('RAW IMPORT'!BQ95="B",1,0)</f>
        <v>0</v>
      </c>
      <c r="BR104" s="141">
        <f>'RAW IMPORT'!BR94</f>
        <v>8.9999999999999993E-3</v>
      </c>
      <c r="BS104" s="141">
        <f>'RAW IMPORT'!BS94</f>
        <v>5.5E-2</v>
      </c>
      <c r="BT104" s="141">
        <f>'RAW IMPORT'!BT94</f>
        <v>5.5E-2</v>
      </c>
      <c r="BU104" s="141">
        <f>'RAW IMPORT'!BU94</f>
        <v>2.75E-2</v>
      </c>
      <c r="BV104" s="198">
        <f>IF('RAW IMPORT'!BV95="U",1,0)</f>
        <v>0</v>
      </c>
      <c r="BW104" s="141">
        <f>'RAW IMPORT'!BW94</f>
        <v>5</v>
      </c>
      <c r="BX104" s="165">
        <f>'RAW IMPORT'!BX94</f>
        <v>0</v>
      </c>
      <c r="BY104" s="240"/>
      <c r="BZ104" s="126"/>
      <c r="CD104" s="204" t="str">
        <f t="shared" si="11"/>
        <v>"Model-650x + 7122":
    RETURN</v>
      </c>
    </row>
    <row r="105" spans="1:83" ht="15.75" customHeight="1" x14ac:dyDescent="0.25">
      <c r="A105" s="138" t="str">
        <f>'RAW IMPORT'!A95</f>
        <v>OGRO</v>
      </c>
      <c r="B105" s="139" t="str">
        <f>'RAW IMPORT'!B95</f>
        <v>650x + 7123</v>
      </c>
      <c r="C105" s="142">
        <f>IF('RAW IMPORT'!C96&lt;&gt;"",1,0)</f>
        <v>0</v>
      </c>
      <c r="D105" s="142">
        <f>IF('RAW IMPORT'!D96&lt;&gt;"",1,0)</f>
        <v>0</v>
      </c>
      <c r="E105" s="142">
        <f>IF('RAW IMPORT'!E96&lt;&gt;"",1,0)</f>
        <v>0</v>
      </c>
      <c r="F105" s="142">
        <f>IF('RAW IMPORT'!F96&lt;&gt;"",1,0)</f>
        <v>0</v>
      </c>
      <c r="G105" s="142">
        <f>IF('RAW IMPORT'!G96&lt;&gt;"",1,0)</f>
        <v>0</v>
      </c>
      <c r="H105" s="142">
        <f>IF('RAW IMPORT'!H96&lt;&gt;"",1,0)</f>
        <v>0</v>
      </c>
      <c r="I105" s="142">
        <f>IF('RAW IMPORT'!I96&lt;&gt;"",1,0)</f>
        <v>0</v>
      </c>
      <c r="J105" s="142">
        <f>IF('RAW IMPORT'!J96&lt;&gt;"",1,0)</f>
        <v>0</v>
      </c>
      <c r="K105" s="142">
        <f>IF('RAW IMPORT'!K96&lt;&gt;"",1,0)</f>
        <v>0</v>
      </c>
      <c r="L105" s="142">
        <f>IF('RAW IMPORT'!L96&lt;&gt;"",1,0)</f>
        <v>0</v>
      </c>
      <c r="M105" s="142">
        <f>IF('RAW IMPORT'!M96&lt;&gt;"",1,0)</f>
        <v>0</v>
      </c>
      <c r="N105" s="165">
        <f>IF('RAW IMPORT'!N96&lt;&gt;"",1,0)</f>
        <v>0</v>
      </c>
      <c r="O105" s="167">
        <f>IF('RAW IMPORT'!O96&lt;&gt;"",1,0)</f>
        <v>0</v>
      </c>
      <c r="P105" s="142">
        <f>IF('RAW IMPORT'!P96&lt;&gt;"",1,0)</f>
        <v>0</v>
      </c>
      <c r="Q105" s="142">
        <f>IF('RAW IMPORT'!Q96&lt;&gt;"",1,0)</f>
        <v>0</v>
      </c>
      <c r="R105" s="138">
        <f>'RAW IMPORT'!R96</f>
        <v>0</v>
      </c>
      <c r="S105" s="138">
        <f>'RAW IMPORT'!S96</f>
        <v>0</v>
      </c>
      <c r="T105" s="138">
        <f>'RAW IMPORT'!T96</f>
        <v>0</v>
      </c>
      <c r="U105" s="138">
        <f>'RAW IMPORT'!U96</f>
        <v>0</v>
      </c>
      <c r="V105" s="138">
        <f>'RAW IMPORT'!V96</f>
        <v>0</v>
      </c>
      <c r="W105" s="138">
        <f>'RAW IMPORT'!W96</f>
        <v>0</v>
      </c>
      <c r="X105" s="138">
        <f>'RAW IMPORT'!X96</f>
        <v>0</v>
      </c>
      <c r="Y105" s="138">
        <f>'RAW IMPORT'!Y96</f>
        <v>0</v>
      </c>
      <c r="Z105" s="138">
        <f>'RAW IMPORT'!Z96</f>
        <v>0</v>
      </c>
      <c r="AA105" s="138">
        <f>'RAW IMPORT'!AA96</f>
        <v>0</v>
      </c>
      <c r="AB105" s="139">
        <f>'RAW IMPORT'!AB96</f>
        <v>0</v>
      </c>
      <c r="AC105" s="141">
        <f>'RAW IMPORT'!AC96</f>
        <v>0</v>
      </c>
      <c r="AD105" s="142">
        <f>'RAW IMPORT'!AD96</f>
        <v>0</v>
      </c>
      <c r="AE105" s="142">
        <f>'RAW IMPORT'!AE96</f>
        <v>0</v>
      </c>
      <c r="AF105" s="142">
        <f>IF('RAW IMPORT'!AF96="C1",3,IF('RAW IMPORT'!AF96="D1",4,0))</f>
        <v>0</v>
      </c>
      <c r="AG105" s="142">
        <f>'RAW IMPORT'!AG96</f>
        <v>0</v>
      </c>
      <c r="AH105" s="142">
        <f>'RAW IMPORT'!AH96</f>
        <v>0</v>
      </c>
      <c r="AI105" s="142">
        <f>IF('RAW IMPORT'!AI96="U",1,0)</f>
        <v>0</v>
      </c>
      <c r="AJ105" s="142">
        <f>IF('RAW IMPORT'!AJ96="A",1,0)</f>
        <v>0</v>
      </c>
      <c r="AK105" s="142">
        <f>IF('RAW IMPORT'!AK96="B",1,0)</f>
        <v>0</v>
      </c>
      <c r="AL105" s="142">
        <f>IF('RAW IMPORT'!AL96="U",1,0)</f>
        <v>0</v>
      </c>
      <c r="AM105" s="142">
        <f>IF('RAW IMPORT'!AM96&lt;&gt;"",1,0)</f>
        <v>0</v>
      </c>
      <c r="AN105" s="142">
        <f>IF('RAW IMPORT'!AN96&lt;&gt;"",1,0)</f>
        <v>0</v>
      </c>
      <c r="AO105" s="142">
        <f>IF('RAW IMPORT'!AO96&lt;&gt;"",1,0)</f>
        <v>0</v>
      </c>
      <c r="AP105" s="142">
        <f>IF('RAW IMPORT'!AP96&lt;&gt;"",1,0)</f>
        <v>0</v>
      </c>
      <c r="AQ105" s="142">
        <f>IF('RAW IMPORT'!AQ96&lt;&gt;"",1,0)</f>
        <v>0</v>
      </c>
      <c r="AR105" s="142">
        <f>IF('RAW IMPORT'!AR96&lt;&gt;"",1,0)</f>
        <v>0</v>
      </c>
      <c r="AS105" s="142">
        <f>IF('RAW IMPORT'!AS96&lt;&gt;"",1,0)</f>
        <v>0</v>
      </c>
      <c r="AT105" s="142">
        <f>IF('RAW IMPORT'!AT96&lt;&gt;"",1,0)</f>
        <v>0</v>
      </c>
      <c r="AU105" s="142">
        <f>IF('RAW IMPORT'!AU96&lt;&gt;"",1,0)</f>
        <v>0</v>
      </c>
      <c r="AV105" s="142">
        <f>IF('RAW IMPORT'!AV96&lt;&gt;"",1,0)</f>
        <v>0</v>
      </c>
      <c r="AW105" s="142">
        <f>IF('RAW IMPORT'!AW95&lt;&gt;"",1,0)</f>
        <v>1</v>
      </c>
      <c r="AX105" s="142">
        <f>IF('RAW IMPORT'!AX95&lt;&gt;"",1,0)</f>
        <v>0</v>
      </c>
      <c r="AY105" s="142">
        <f>IF('RAW IMPORT'!AY95&lt;&gt;"",1,0)</f>
        <v>0</v>
      </c>
      <c r="AZ105" s="142">
        <f>IF('RAW IMPORT'!AZ95&lt;&gt;"",1,0)</f>
        <v>0</v>
      </c>
      <c r="BA105" s="142">
        <f>IF('RAW IMPORT'!BA95&lt;&gt;"",1,0)</f>
        <v>0</v>
      </c>
      <c r="BB105" s="142">
        <f>IF('RAW IMPORT'!BB95&lt;&gt;"",1,0)</f>
        <v>0</v>
      </c>
      <c r="BC105" s="142">
        <f>IF('RAW IMPORT'!BC95&lt;&gt;"",1,0)</f>
        <v>0</v>
      </c>
      <c r="BD105" s="142">
        <f>IF('RAW IMPORT'!BD95&lt;&gt;"",1,0)</f>
        <v>0</v>
      </c>
      <c r="BE105" s="142">
        <f>IF('RAW IMPORT'!BE95&lt;&gt;"",1,0)</f>
        <v>0</v>
      </c>
      <c r="BF105" s="142">
        <f>IF('RAW IMPORT'!BF95&lt;&gt;"",1,0)</f>
        <v>0</v>
      </c>
      <c r="BG105" s="142">
        <f>IF('RAW IMPORT'!BG95&lt;&gt;"",1,0)</f>
        <v>0</v>
      </c>
      <c r="BH105" s="142">
        <f>IF('RAW IMPORT'!BH95&lt;&gt;"",1,0)</f>
        <v>0</v>
      </c>
      <c r="BI105" s="142">
        <f>IF('RAW IMPORT'!BI95&lt;&gt;"",1,0)</f>
        <v>0</v>
      </c>
      <c r="BJ105" s="142">
        <f>IF('RAW IMPORT'!BJ95&lt;&gt;"",1,0)</f>
        <v>0</v>
      </c>
      <c r="BK105" s="142">
        <f>IF('RAW IMPORT'!BK95&lt;&gt;"",1,0)</f>
        <v>0</v>
      </c>
      <c r="BL105" s="142">
        <f>IF('RAW IMPORT'!BL95&lt;&gt;"",1,0)</f>
        <v>1</v>
      </c>
      <c r="BM105" s="142">
        <f>'RAW IMPORT'!BM95</f>
        <v>10</v>
      </c>
      <c r="BN105" s="165">
        <f>IF('RAW IMPORT'!BN95&lt;&gt;"",1,0)</f>
        <v>0</v>
      </c>
      <c r="BO105" s="197">
        <f>'RAW IMPORT'!BO95</f>
        <v>0</v>
      </c>
      <c r="BP105" s="142">
        <f>IF('RAW IMPORT'!BP96="A",1,0)</f>
        <v>0</v>
      </c>
      <c r="BQ105" s="141">
        <f>IF('RAW IMPORT'!BQ96="B",1,0)</f>
        <v>0</v>
      </c>
      <c r="BR105" s="141">
        <f>'RAW IMPORT'!BR95</f>
        <v>8.9999999999999993E-3</v>
      </c>
      <c r="BS105" s="141">
        <f>'RAW IMPORT'!BS95</f>
        <v>5.5E-2</v>
      </c>
      <c r="BT105" s="141">
        <f>'RAW IMPORT'!BT95</f>
        <v>5.5E-2</v>
      </c>
      <c r="BU105" s="141">
        <f>'RAW IMPORT'!BU95</f>
        <v>2.75E-2</v>
      </c>
      <c r="BV105" s="198">
        <f>IF('RAW IMPORT'!BV96="U",1,0)</f>
        <v>0</v>
      </c>
      <c r="BW105" s="141">
        <f>'RAW IMPORT'!BW95</f>
        <v>5</v>
      </c>
      <c r="BX105" s="165">
        <f>'RAW IMPORT'!BX95</f>
        <v>0</v>
      </c>
      <c r="BY105" s="240"/>
      <c r="BZ105" s="126"/>
      <c r="CD105" s="204" t="str">
        <f t="shared" si="11"/>
        <v>"Model-650x + 7123":
    RETURN</v>
      </c>
    </row>
    <row r="106" spans="1:83" ht="15.75" customHeight="1" x14ac:dyDescent="0.25">
      <c r="A106" s="138" t="str">
        <f>'RAW IMPORT'!A96</f>
        <v>OGRO</v>
      </c>
      <c r="B106" s="139" t="str">
        <f>'RAW IMPORT'!B96</f>
        <v>650x</v>
      </c>
      <c r="C106" s="142">
        <f>IF('RAW IMPORT'!C97&lt;&gt;"",1,0)</f>
        <v>0</v>
      </c>
      <c r="D106" s="142">
        <f>IF('RAW IMPORT'!D97&lt;&gt;"",1,0)</f>
        <v>0</v>
      </c>
      <c r="E106" s="142">
        <f>IF('RAW IMPORT'!E97&lt;&gt;"",1,0)</f>
        <v>0</v>
      </c>
      <c r="F106" s="142">
        <f>IF('RAW IMPORT'!F97&lt;&gt;"",1,0)</f>
        <v>0</v>
      </c>
      <c r="G106" s="142">
        <f>IF('RAW IMPORT'!G97&lt;&gt;"",1,0)</f>
        <v>0</v>
      </c>
      <c r="H106" s="142">
        <f>IF('RAW IMPORT'!H97&lt;&gt;"",1,0)</f>
        <v>0</v>
      </c>
      <c r="I106" s="142">
        <f>IF('RAW IMPORT'!I97&lt;&gt;"",1,0)</f>
        <v>0</v>
      </c>
      <c r="J106" s="142">
        <f>IF('RAW IMPORT'!J97&lt;&gt;"",1,0)</f>
        <v>0</v>
      </c>
      <c r="K106" s="142">
        <f>IF('RAW IMPORT'!K97&lt;&gt;"",1,0)</f>
        <v>0</v>
      </c>
      <c r="L106" s="142">
        <f>IF('RAW IMPORT'!L97&lt;&gt;"",1,0)</f>
        <v>0</v>
      </c>
      <c r="M106" s="142">
        <f>IF('RAW IMPORT'!M97&lt;&gt;"",1,0)</f>
        <v>0</v>
      </c>
      <c r="N106" s="165">
        <f>IF('RAW IMPORT'!N97&lt;&gt;"",1,0)</f>
        <v>0</v>
      </c>
      <c r="O106" s="167">
        <f>IF('RAW IMPORT'!O97&lt;&gt;"",1,0)</f>
        <v>0</v>
      </c>
      <c r="P106" s="142">
        <f>IF('RAW IMPORT'!P97&lt;&gt;"",1,0)</f>
        <v>0</v>
      </c>
      <c r="Q106" s="142">
        <f>IF('RAW IMPORT'!Q97&lt;&gt;"",1,0)</f>
        <v>0</v>
      </c>
      <c r="R106" s="138">
        <f>'RAW IMPORT'!R97</f>
        <v>0</v>
      </c>
      <c r="S106" s="138">
        <f>'RAW IMPORT'!S97</f>
        <v>0</v>
      </c>
      <c r="T106" s="138">
        <f>'RAW IMPORT'!T97</f>
        <v>0</v>
      </c>
      <c r="U106" s="138">
        <f>'RAW IMPORT'!U97</f>
        <v>0</v>
      </c>
      <c r="V106" s="138">
        <f>'RAW IMPORT'!V97</f>
        <v>0</v>
      </c>
      <c r="W106" s="138">
        <f>'RAW IMPORT'!W97</f>
        <v>0</v>
      </c>
      <c r="X106" s="138">
        <f>'RAW IMPORT'!X97</f>
        <v>0</v>
      </c>
      <c r="Y106" s="138">
        <f>'RAW IMPORT'!Y97</f>
        <v>0</v>
      </c>
      <c r="Z106" s="138">
        <f>'RAW IMPORT'!Z97</f>
        <v>0</v>
      </c>
      <c r="AA106" s="138">
        <f>'RAW IMPORT'!AA97</f>
        <v>0</v>
      </c>
      <c r="AB106" s="139">
        <f>'RAW IMPORT'!AB97</f>
        <v>0</v>
      </c>
      <c r="AC106" s="141">
        <f>'RAW IMPORT'!AC97</f>
        <v>0</v>
      </c>
      <c r="AD106" s="142">
        <f>'RAW IMPORT'!AD97</f>
        <v>0</v>
      </c>
      <c r="AE106" s="142">
        <f>'RAW IMPORT'!AE97</f>
        <v>0</v>
      </c>
      <c r="AF106" s="142">
        <f>IF('RAW IMPORT'!AF97="C1",3,IF('RAW IMPORT'!AF97="D1",4,0))</f>
        <v>0</v>
      </c>
      <c r="AG106" s="142">
        <f>'RAW IMPORT'!AG97</f>
        <v>0</v>
      </c>
      <c r="AH106" s="142">
        <f>'RAW IMPORT'!AH97</f>
        <v>0</v>
      </c>
      <c r="AI106" s="142">
        <f>IF('RAW IMPORT'!AI97="U",1,0)</f>
        <v>0</v>
      </c>
      <c r="AJ106" s="142">
        <f>IF('RAW IMPORT'!AJ97="A",1,0)</f>
        <v>0</v>
      </c>
      <c r="AK106" s="142">
        <f>IF('RAW IMPORT'!AK97="B",1,0)</f>
        <v>0</v>
      </c>
      <c r="AL106" s="142">
        <f>IF('RAW IMPORT'!AL97="U",1,0)</f>
        <v>0</v>
      </c>
      <c r="AM106" s="142">
        <f>IF('RAW IMPORT'!AM97&lt;&gt;"",1,0)</f>
        <v>0</v>
      </c>
      <c r="AN106" s="142">
        <f>IF('RAW IMPORT'!AN97&lt;&gt;"",1,0)</f>
        <v>0</v>
      </c>
      <c r="AO106" s="142">
        <f>IF('RAW IMPORT'!AO97&lt;&gt;"",1,0)</f>
        <v>0</v>
      </c>
      <c r="AP106" s="142">
        <f>IF('RAW IMPORT'!AP97&lt;&gt;"",1,0)</f>
        <v>0</v>
      </c>
      <c r="AQ106" s="142">
        <f>IF('RAW IMPORT'!AQ97&lt;&gt;"",1,0)</f>
        <v>0</v>
      </c>
      <c r="AR106" s="142">
        <f>IF('RAW IMPORT'!AR97&lt;&gt;"",1,0)</f>
        <v>0</v>
      </c>
      <c r="AS106" s="142">
        <f>IF('RAW IMPORT'!AS97&lt;&gt;"",1,0)</f>
        <v>0</v>
      </c>
      <c r="AT106" s="142">
        <f>IF('RAW IMPORT'!AT97&lt;&gt;"",1,0)</f>
        <v>0</v>
      </c>
      <c r="AU106" s="142">
        <f>IF('RAW IMPORT'!AU97&lt;&gt;"",1,0)</f>
        <v>0</v>
      </c>
      <c r="AV106" s="142">
        <f>IF('RAW IMPORT'!AV97&lt;&gt;"",1,0)</f>
        <v>0</v>
      </c>
      <c r="AW106" s="142">
        <f>IF('RAW IMPORT'!AW96&lt;&gt;"",1,0)</f>
        <v>1</v>
      </c>
      <c r="AX106" s="142">
        <f>IF('RAW IMPORT'!AX96&lt;&gt;"",1,0)</f>
        <v>0</v>
      </c>
      <c r="AY106" s="142">
        <f>IF('RAW IMPORT'!AY96&lt;&gt;"",1,0)</f>
        <v>0</v>
      </c>
      <c r="AZ106" s="142">
        <f>IF('RAW IMPORT'!AZ96&lt;&gt;"",1,0)</f>
        <v>0</v>
      </c>
      <c r="BA106" s="142">
        <f>IF('RAW IMPORT'!BA96&lt;&gt;"",1,0)</f>
        <v>0</v>
      </c>
      <c r="BB106" s="142">
        <f>IF('RAW IMPORT'!BB96&lt;&gt;"",1,0)</f>
        <v>0</v>
      </c>
      <c r="BC106" s="142">
        <f>IF('RAW IMPORT'!BC96&lt;&gt;"",1,0)</f>
        <v>0</v>
      </c>
      <c r="BD106" s="142">
        <f>IF('RAW IMPORT'!BD96&lt;&gt;"",1,0)</f>
        <v>0</v>
      </c>
      <c r="BE106" s="142">
        <f>IF('RAW IMPORT'!BE96&lt;&gt;"",1,0)</f>
        <v>0</v>
      </c>
      <c r="BF106" s="142">
        <f>IF('RAW IMPORT'!BF96&lt;&gt;"",1,0)</f>
        <v>0</v>
      </c>
      <c r="BG106" s="142">
        <f>IF('RAW IMPORT'!BG96&lt;&gt;"",1,0)</f>
        <v>0</v>
      </c>
      <c r="BH106" s="142">
        <f>IF('RAW IMPORT'!BH96&lt;&gt;"",1,0)</f>
        <v>0</v>
      </c>
      <c r="BI106" s="142">
        <f>IF('RAW IMPORT'!BI96&lt;&gt;"",1,0)</f>
        <v>0</v>
      </c>
      <c r="BJ106" s="142">
        <f>IF('RAW IMPORT'!BJ96&lt;&gt;"",1,0)</f>
        <v>0</v>
      </c>
      <c r="BK106" s="142">
        <f>IF('RAW IMPORT'!BK96&lt;&gt;"",1,0)</f>
        <v>0</v>
      </c>
      <c r="BL106" s="142">
        <f>IF('RAW IMPORT'!BL96&lt;&gt;"",1,0)</f>
        <v>0</v>
      </c>
      <c r="BM106" s="142">
        <f>'RAW IMPORT'!BM96</f>
        <v>10</v>
      </c>
      <c r="BN106" s="165">
        <f>IF('RAW IMPORT'!BN96&lt;&gt;"",1,0)</f>
        <v>0</v>
      </c>
      <c r="BO106" s="197">
        <f>'RAW IMPORT'!BO96</f>
        <v>0</v>
      </c>
      <c r="BP106" s="142">
        <f>IF('RAW IMPORT'!BP97="A",1,0)</f>
        <v>0</v>
      </c>
      <c r="BQ106" s="141">
        <f>IF('RAW IMPORT'!BQ97="B",1,0)</f>
        <v>0</v>
      </c>
      <c r="BR106" s="141">
        <f>'RAW IMPORT'!BR96</f>
        <v>8.9999999999999993E-3</v>
      </c>
      <c r="BS106" s="141">
        <f>'RAW IMPORT'!BS96</f>
        <v>5.5E-2</v>
      </c>
      <c r="BT106" s="141">
        <f>'RAW IMPORT'!BT96</f>
        <v>5.5E-2</v>
      </c>
      <c r="BU106" s="141">
        <f>'RAW IMPORT'!BU96</f>
        <v>2.75E-2</v>
      </c>
      <c r="BV106" s="198">
        <f>IF('RAW IMPORT'!BV97="U",1,0)</f>
        <v>0</v>
      </c>
      <c r="BW106" s="141">
        <f>'RAW IMPORT'!BW96</f>
        <v>9</v>
      </c>
      <c r="BX106" s="165">
        <f>'RAW IMPORT'!BX96</f>
        <v>0</v>
      </c>
      <c r="BY106" s="240"/>
      <c r="BZ106" s="126"/>
      <c r="CD106" s="204" t="str">
        <f t="shared" si="11"/>
        <v>"Model-650x":
    RETURN</v>
      </c>
    </row>
    <row r="107" spans="1:83" ht="15.75" customHeight="1" x14ac:dyDescent="0.25">
      <c r="A107" s="138" t="str">
        <f>'RAW IMPORT'!A97</f>
        <v>OGRO</v>
      </c>
      <c r="B107" s="139">
        <f>'RAW IMPORT'!B97</f>
        <v>6612</v>
      </c>
      <c r="C107" s="142">
        <f>IF('RAW IMPORT'!C98&lt;&gt;"",1,0)</f>
        <v>0</v>
      </c>
      <c r="D107" s="142">
        <f>IF('RAW IMPORT'!D98&lt;&gt;"",1,0)</f>
        <v>0</v>
      </c>
      <c r="E107" s="142">
        <f>IF('RAW IMPORT'!E98&lt;&gt;"",1,0)</f>
        <v>0</v>
      </c>
      <c r="F107" s="142">
        <f>IF('RAW IMPORT'!F98&lt;&gt;"",1,0)</f>
        <v>0</v>
      </c>
      <c r="G107" s="142">
        <f>IF('RAW IMPORT'!G98&lt;&gt;"",1,0)</f>
        <v>0</v>
      </c>
      <c r="H107" s="142">
        <f>IF('RAW IMPORT'!H98&lt;&gt;"",1,0)</f>
        <v>0</v>
      </c>
      <c r="I107" s="142">
        <f>IF('RAW IMPORT'!I98&lt;&gt;"",1,0)</f>
        <v>0</v>
      </c>
      <c r="J107" s="142">
        <f>IF('RAW IMPORT'!J98&lt;&gt;"",1,0)</f>
        <v>0</v>
      </c>
      <c r="K107" s="142">
        <f>IF('RAW IMPORT'!K98&lt;&gt;"",1,0)</f>
        <v>0</v>
      </c>
      <c r="L107" s="142">
        <f>IF('RAW IMPORT'!L98&lt;&gt;"",1,0)</f>
        <v>0</v>
      </c>
      <c r="M107" s="142">
        <f>IF('RAW IMPORT'!M98&lt;&gt;"",1,0)</f>
        <v>0</v>
      </c>
      <c r="N107" s="165">
        <f>IF('RAW IMPORT'!N98&lt;&gt;"",1,0)</f>
        <v>0</v>
      </c>
      <c r="O107" s="167">
        <f>IF('RAW IMPORT'!O98&lt;&gt;"",1,0)</f>
        <v>0</v>
      </c>
      <c r="P107" s="142">
        <f>IF('RAW IMPORT'!P98&lt;&gt;"",1,0)</f>
        <v>0</v>
      </c>
      <c r="Q107" s="142">
        <f>IF('RAW IMPORT'!Q98&lt;&gt;"",1,0)</f>
        <v>0</v>
      </c>
      <c r="R107" s="138">
        <f>'RAW IMPORT'!R98</f>
        <v>0</v>
      </c>
      <c r="S107" s="138">
        <f>'RAW IMPORT'!S98</f>
        <v>0</v>
      </c>
      <c r="T107" s="138">
        <f>'RAW IMPORT'!T98</f>
        <v>0</v>
      </c>
      <c r="U107" s="138">
        <f>'RAW IMPORT'!U98</f>
        <v>0</v>
      </c>
      <c r="V107" s="138">
        <f>'RAW IMPORT'!V98</f>
        <v>0</v>
      </c>
      <c r="W107" s="138">
        <f>'RAW IMPORT'!W98</f>
        <v>0</v>
      </c>
      <c r="X107" s="138">
        <f>'RAW IMPORT'!X98</f>
        <v>0</v>
      </c>
      <c r="Y107" s="138">
        <f>'RAW IMPORT'!Y98</f>
        <v>0</v>
      </c>
      <c r="Z107" s="138">
        <f>'RAW IMPORT'!Z98</f>
        <v>0</v>
      </c>
      <c r="AA107" s="138">
        <f>'RAW IMPORT'!AA98</f>
        <v>0</v>
      </c>
      <c r="AB107" s="139">
        <f>'RAW IMPORT'!AB98</f>
        <v>0</v>
      </c>
      <c r="AC107" s="141">
        <f>'RAW IMPORT'!AC98</f>
        <v>0</v>
      </c>
      <c r="AD107" s="142">
        <f>'RAW IMPORT'!AD98</f>
        <v>0</v>
      </c>
      <c r="AE107" s="142">
        <f>'RAW IMPORT'!AE98</f>
        <v>0</v>
      </c>
      <c r="AF107" s="142">
        <f>IF('RAW IMPORT'!AF98="C1",3,IF('RAW IMPORT'!AF98="D1",4,0))</f>
        <v>0</v>
      </c>
      <c r="AG107" s="142">
        <f>'RAW IMPORT'!AG98</f>
        <v>0</v>
      </c>
      <c r="AH107" s="142">
        <f>'RAW IMPORT'!AH98</f>
        <v>0</v>
      </c>
      <c r="AI107" s="142">
        <f>IF('RAW IMPORT'!AI98="U",1,0)</f>
        <v>0</v>
      </c>
      <c r="AJ107" s="142">
        <f>IF('RAW IMPORT'!AJ98="A",1,0)</f>
        <v>0</v>
      </c>
      <c r="AK107" s="142">
        <f>IF('RAW IMPORT'!AK98="B",1,0)</f>
        <v>0</v>
      </c>
      <c r="AL107" s="142">
        <f>IF('RAW IMPORT'!AL98="U",1,0)</f>
        <v>0</v>
      </c>
      <c r="AM107" s="142">
        <f>IF('RAW IMPORT'!AM98&lt;&gt;"",1,0)</f>
        <v>0</v>
      </c>
      <c r="AN107" s="142">
        <f>IF('RAW IMPORT'!AN98&lt;&gt;"",1,0)</f>
        <v>0</v>
      </c>
      <c r="AO107" s="142">
        <f>IF('RAW IMPORT'!AO98&lt;&gt;"",1,0)</f>
        <v>0</v>
      </c>
      <c r="AP107" s="142">
        <f>IF('RAW IMPORT'!AP98&lt;&gt;"",1,0)</f>
        <v>0</v>
      </c>
      <c r="AQ107" s="142">
        <f>IF('RAW IMPORT'!AQ98&lt;&gt;"",1,0)</f>
        <v>0</v>
      </c>
      <c r="AR107" s="142">
        <f>IF('RAW IMPORT'!AR98&lt;&gt;"",1,0)</f>
        <v>0</v>
      </c>
      <c r="AS107" s="142">
        <f>IF('RAW IMPORT'!AS98&lt;&gt;"",1,0)</f>
        <v>0</v>
      </c>
      <c r="AT107" s="142">
        <f>IF('RAW IMPORT'!AT98&lt;&gt;"",1,0)</f>
        <v>0</v>
      </c>
      <c r="AU107" s="142">
        <f>IF('RAW IMPORT'!AU98&lt;&gt;"",1,0)</f>
        <v>0</v>
      </c>
      <c r="AV107" s="142">
        <f>IF('RAW IMPORT'!AV98&lt;&gt;"",1,0)</f>
        <v>0</v>
      </c>
      <c r="AW107" s="142">
        <f>IF('RAW IMPORT'!AW97&lt;&gt;"",1,0)</f>
        <v>1</v>
      </c>
      <c r="AX107" s="142">
        <f>IF('RAW IMPORT'!AX97&lt;&gt;"",1,0)</f>
        <v>0</v>
      </c>
      <c r="AY107" s="142">
        <f>IF('RAW IMPORT'!AY97&lt;&gt;"",1,0)</f>
        <v>0</v>
      </c>
      <c r="AZ107" s="142">
        <f>IF('RAW IMPORT'!AZ97&lt;&gt;"",1,0)</f>
        <v>0</v>
      </c>
      <c r="BA107" s="142">
        <f>IF('RAW IMPORT'!BA97&lt;&gt;"",1,0)</f>
        <v>0</v>
      </c>
      <c r="BB107" s="142">
        <f>IF('RAW IMPORT'!BB97&lt;&gt;"",1,0)</f>
        <v>0</v>
      </c>
      <c r="BC107" s="142">
        <f>IF('RAW IMPORT'!BC97&lt;&gt;"",1,0)</f>
        <v>0</v>
      </c>
      <c r="BD107" s="142">
        <f>IF('RAW IMPORT'!BD97&lt;&gt;"",1,0)</f>
        <v>0</v>
      </c>
      <c r="BE107" s="142">
        <f>IF('RAW IMPORT'!BE97&lt;&gt;"",1,0)</f>
        <v>0</v>
      </c>
      <c r="BF107" s="142">
        <f>IF('RAW IMPORT'!BF97&lt;&gt;"",1,0)</f>
        <v>0</v>
      </c>
      <c r="BG107" s="142">
        <f>IF('RAW IMPORT'!BG97&lt;&gt;"",1,0)</f>
        <v>0</v>
      </c>
      <c r="BH107" s="142">
        <f>IF('RAW IMPORT'!BH97&lt;&gt;"",1,0)</f>
        <v>0</v>
      </c>
      <c r="BI107" s="142">
        <f>IF('RAW IMPORT'!BI97&lt;&gt;"",1,0)</f>
        <v>0</v>
      </c>
      <c r="BJ107" s="142">
        <f>IF('RAW IMPORT'!BJ97&lt;&gt;"",1,0)</f>
        <v>0</v>
      </c>
      <c r="BK107" s="142">
        <f>IF('RAW IMPORT'!BK97&lt;&gt;"",1,0)</f>
        <v>0</v>
      </c>
      <c r="BL107" s="142">
        <f>IF('RAW IMPORT'!BL97&lt;&gt;"",1,0)</f>
        <v>1</v>
      </c>
      <c r="BM107" s="142">
        <f>'RAW IMPORT'!BM97</f>
        <v>10</v>
      </c>
      <c r="BN107" s="165">
        <f>IF('RAW IMPORT'!BN97&lt;&gt;"",1,0)</f>
        <v>0</v>
      </c>
      <c r="BO107" s="197">
        <f>'RAW IMPORT'!BO97</f>
        <v>0</v>
      </c>
      <c r="BP107" s="142">
        <f>IF('RAW IMPORT'!BP98="A",1,0)</f>
        <v>0</v>
      </c>
      <c r="BQ107" s="141">
        <f>IF('RAW IMPORT'!BQ98="B",1,0)</f>
        <v>0</v>
      </c>
      <c r="BR107" s="141">
        <f>'RAW IMPORT'!BR97</f>
        <v>8.9999999999999993E-3</v>
      </c>
      <c r="BS107" s="141">
        <f>'RAW IMPORT'!BS97</f>
        <v>5.5E-2</v>
      </c>
      <c r="BT107" s="141">
        <f>'RAW IMPORT'!BT97</f>
        <v>5.5E-2</v>
      </c>
      <c r="BU107" s="141">
        <f>'RAW IMPORT'!BU97</f>
        <v>2.75E-2</v>
      </c>
      <c r="BV107" s="198">
        <f>IF('RAW IMPORT'!BV98="U",1,0)</f>
        <v>0</v>
      </c>
      <c r="BW107" s="141">
        <f>'RAW IMPORT'!BW97</f>
        <v>10</v>
      </c>
      <c r="BX107" s="165">
        <f>'RAW IMPORT'!BX97</f>
        <v>0</v>
      </c>
      <c r="BY107" s="240"/>
      <c r="BZ107" s="126"/>
      <c r="CD107" s="204" t="str">
        <f t="shared" si="11"/>
        <v>"Model-6612":
    RETURN</v>
      </c>
    </row>
    <row r="108" spans="1:83" ht="15.75" customHeight="1" x14ac:dyDescent="0.25">
      <c r="A108" s="138" t="str">
        <f>'RAW IMPORT'!A98</f>
        <v>OGRO</v>
      </c>
      <c r="B108" s="139">
        <f>'RAW IMPORT'!B98</f>
        <v>7122</v>
      </c>
      <c r="C108" s="142">
        <f>IF('RAW IMPORT'!C99&lt;&gt;"",1,0)</f>
        <v>0</v>
      </c>
      <c r="D108" s="142">
        <f>IF('RAW IMPORT'!D99&lt;&gt;"",1,0)</f>
        <v>0</v>
      </c>
      <c r="E108" s="142">
        <f>IF('RAW IMPORT'!E99&lt;&gt;"",1,0)</f>
        <v>0</v>
      </c>
      <c r="F108" s="142">
        <f>IF('RAW IMPORT'!F99&lt;&gt;"",1,0)</f>
        <v>0</v>
      </c>
      <c r="G108" s="142">
        <f>IF('RAW IMPORT'!G99&lt;&gt;"",1,0)</f>
        <v>0</v>
      </c>
      <c r="H108" s="142">
        <f>IF('RAW IMPORT'!H99&lt;&gt;"",1,0)</f>
        <v>0</v>
      </c>
      <c r="I108" s="142">
        <f>IF('RAW IMPORT'!I99&lt;&gt;"",1,0)</f>
        <v>0</v>
      </c>
      <c r="J108" s="142">
        <f>IF('RAW IMPORT'!J99&lt;&gt;"",1,0)</f>
        <v>0</v>
      </c>
      <c r="K108" s="142">
        <f>IF('RAW IMPORT'!K99&lt;&gt;"",1,0)</f>
        <v>0</v>
      </c>
      <c r="L108" s="142">
        <f>IF('RAW IMPORT'!L99&lt;&gt;"",1,0)</f>
        <v>0</v>
      </c>
      <c r="M108" s="142">
        <f>IF('RAW IMPORT'!M99&lt;&gt;"",1,0)</f>
        <v>0</v>
      </c>
      <c r="N108" s="165">
        <f>IF('RAW IMPORT'!N99&lt;&gt;"",1,0)</f>
        <v>0</v>
      </c>
      <c r="O108" s="167">
        <f>IF('RAW IMPORT'!O99&lt;&gt;"",1,0)</f>
        <v>0</v>
      </c>
      <c r="P108" s="142">
        <f>IF('RAW IMPORT'!P99&lt;&gt;"",1,0)</f>
        <v>0</v>
      </c>
      <c r="Q108" s="142">
        <f>IF('RAW IMPORT'!Q99&lt;&gt;"",1,0)</f>
        <v>0</v>
      </c>
      <c r="R108" s="138">
        <f>'RAW IMPORT'!R99</f>
        <v>0</v>
      </c>
      <c r="S108" s="138">
        <f>'RAW IMPORT'!S99</f>
        <v>0</v>
      </c>
      <c r="T108" s="138">
        <f>'RAW IMPORT'!T99</f>
        <v>0</v>
      </c>
      <c r="U108" s="138">
        <f>'RAW IMPORT'!U99</f>
        <v>0</v>
      </c>
      <c r="V108" s="138">
        <f>'RAW IMPORT'!V99</f>
        <v>0</v>
      </c>
      <c r="W108" s="138">
        <f>'RAW IMPORT'!W99</f>
        <v>0</v>
      </c>
      <c r="X108" s="138">
        <f>'RAW IMPORT'!X99</f>
        <v>0</v>
      </c>
      <c r="Y108" s="138">
        <f>'RAW IMPORT'!Y99</f>
        <v>0</v>
      </c>
      <c r="Z108" s="138">
        <f>'RAW IMPORT'!Z99</f>
        <v>0</v>
      </c>
      <c r="AA108" s="138">
        <f>'RAW IMPORT'!AA99</f>
        <v>0</v>
      </c>
      <c r="AB108" s="139">
        <f>'RAW IMPORT'!AB99</f>
        <v>0</v>
      </c>
      <c r="AC108" s="141">
        <f>'RAW IMPORT'!AC99</f>
        <v>0</v>
      </c>
      <c r="AD108" s="142">
        <f>'RAW IMPORT'!AD99</f>
        <v>0</v>
      </c>
      <c r="AE108" s="142">
        <f>'RAW IMPORT'!AE99</f>
        <v>0</v>
      </c>
      <c r="AF108" s="142">
        <f>IF('RAW IMPORT'!AF99="C1",3,IF('RAW IMPORT'!AF99="D1",4,0))</f>
        <v>0</v>
      </c>
      <c r="AG108" s="142">
        <f>'RAW IMPORT'!AG99</f>
        <v>0</v>
      </c>
      <c r="AH108" s="142">
        <f>'RAW IMPORT'!AH99</f>
        <v>0</v>
      </c>
      <c r="AI108" s="142">
        <f>IF('RAW IMPORT'!AI99="U",1,0)</f>
        <v>0</v>
      </c>
      <c r="AJ108" s="142">
        <f>IF('RAW IMPORT'!AJ99="A",1,0)</f>
        <v>0</v>
      </c>
      <c r="AK108" s="142">
        <f>IF('RAW IMPORT'!AK99="B",1,0)</f>
        <v>0</v>
      </c>
      <c r="AL108" s="142">
        <f>IF('RAW IMPORT'!AL99="U",1,0)</f>
        <v>0</v>
      </c>
      <c r="AM108" s="142">
        <f>IF('RAW IMPORT'!AM99&lt;&gt;"",1,0)</f>
        <v>0</v>
      </c>
      <c r="AN108" s="142">
        <f>IF('RAW IMPORT'!AN99&lt;&gt;"",1,0)</f>
        <v>0</v>
      </c>
      <c r="AO108" s="142">
        <f>IF('RAW IMPORT'!AO99&lt;&gt;"",1,0)</f>
        <v>0</v>
      </c>
      <c r="AP108" s="142">
        <f>IF('RAW IMPORT'!AP99&lt;&gt;"",1,0)</f>
        <v>0</v>
      </c>
      <c r="AQ108" s="142">
        <f>IF('RAW IMPORT'!AQ99&lt;&gt;"",1,0)</f>
        <v>0</v>
      </c>
      <c r="AR108" s="142">
        <f>IF('RAW IMPORT'!AR99&lt;&gt;"",1,0)</f>
        <v>0</v>
      </c>
      <c r="AS108" s="142">
        <f>IF('RAW IMPORT'!AS99&lt;&gt;"",1,0)</f>
        <v>0</v>
      </c>
      <c r="AT108" s="142">
        <f>IF('RAW IMPORT'!AT99&lt;&gt;"",1,0)</f>
        <v>0</v>
      </c>
      <c r="AU108" s="142">
        <f>IF('RAW IMPORT'!AU99&lt;&gt;"",1,0)</f>
        <v>0</v>
      </c>
      <c r="AV108" s="142">
        <f>IF('RAW IMPORT'!AV99&lt;&gt;"",1,0)</f>
        <v>0</v>
      </c>
      <c r="AW108" s="142">
        <f>IF('RAW IMPORT'!AW98&lt;&gt;"",1,0)</f>
        <v>1</v>
      </c>
      <c r="AX108" s="142">
        <f>IF('RAW IMPORT'!AX98&lt;&gt;"",1,0)</f>
        <v>0</v>
      </c>
      <c r="AY108" s="142">
        <f>IF('RAW IMPORT'!AY98&lt;&gt;"",1,0)</f>
        <v>0</v>
      </c>
      <c r="AZ108" s="142">
        <f>IF('RAW IMPORT'!AZ98&lt;&gt;"",1,0)</f>
        <v>0</v>
      </c>
      <c r="BA108" s="142">
        <f>IF('RAW IMPORT'!BA98&lt;&gt;"",1,0)</f>
        <v>0</v>
      </c>
      <c r="BB108" s="142">
        <f>IF('RAW IMPORT'!BB98&lt;&gt;"",1,0)</f>
        <v>0</v>
      </c>
      <c r="BC108" s="142">
        <f>IF('RAW IMPORT'!BC98&lt;&gt;"",1,0)</f>
        <v>0</v>
      </c>
      <c r="BD108" s="142">
        <f>IF('RAW IMPORT'!BD98&lt;&gt;"",1,0)</f>
        <v>0</v>
      </c>
      <c r="BE108" s="142">
        <f>IF('RAW IMPORT'!BE98&lt;&gt;"",1,0)</f>
        <v>0</v>
      </c>
      <c r="BF108" s="142">
        <f>IF('RAW IMPORT'!BF98&lt;&gt;"",1,0)</f>
        <v>0</v>
      </c>
      <c r="BG108" s="142">
        <f>IF('RAW IMPORT'!BG98&lt;&gt;"",1,0)</f>
        <v>0</v>
      </c>
      <c r="BH108" s="142">
        <f>IF('RAW IMPORT'!BH98&lt;&gt;"",1,0)</f>
        <v>0</v>
      </c>
      <c r="BI108" s="142">
        <f>IF('RAW IMPORT'!BI98&lt;&gt;"",1,0)</f>
        <v>0</v>
      </c>
      <c r="BJ108" s="142">
        <f>IF('RAW IMPORT'!BJ98&lt;&gt;"",1,0)</f>
        <v>0</v>
      </c>
      <c r="BK108" s="142">
        <f>IF('RAW IMPORT'!BK98&lt;&gt;"",1,0)</f>
        <v>0</v>
      </c>
      <c r="BL108" s="142">
        <f>IF('RAW IMPORT'!BL98&lt;&gt;"",1,0)</f>
        <v>1</v>
      </c>
      <c r="BM108" s="142">
        <f>'RAW IMPORT'!BM98</f>
        <v>10</v>
      </c>
      <c r="BN108" s="165">
        <f>IF('RAW IMPORT'!BN98&lt;&gt;"",1,0)</f>
        <v>0</v>
      </c>
      <c r="BO108" s="197">
        <f>'RAW IMPORT'!BO98</f>
        <v>0</v>
      </c>
      <c r="BP108" s="142">
        <f>IF('RAW IMPORT'!BP99="A",1,0)</f>
        <v>0</v>
      </c>
      <c r="BQ108" s="141">
        <f>IF('RAW IMPORT'!BQ99="B",1,0)</f>
        <v>0</v>
      </c>
      <c r="BR108" s="141">
        <f>'RAW IMPORT'!BR98</f>
        <v>8.9999999999999993E-3</v>
      </c>
      <c r="BS108" s="141">
        <f>'RAW IMPORT'!BS98</f>
        <v>5.5E-2</v>
      </c>
      <c r="BT108" s="141">
        <f>'RAW IMPORT'!BT98</f>
        <v>5.5E-2</v>
      </c>
      <c r="BU108" s="141">
        <f>'RAW IMPORT'!BU98</f>
        <v>2.75E-2</v>
      </c>
      <c r="BV108" s="198">
        <f>IF('RAW IMPORT'!BV99="U",1,0)</f>
        <v>0</v>
      </c>
      <c r="BW108" s="141">
        <f>'RAW IMPORT'!BW98</f>
        <v>10</v>
      </c>
      <c r="BX108" s="165">
        <f>'RAW IMPORT'!BX98</f>
        <v>0</v>
      </c>
      <c r="BY108" s="240"/>
      <c r="BZ108" s="126"/>
      <c r="CD108" s="204"/>
    </row>
    <row r="109" spans="1:83" ht="15.75" customHeight="1" x14ac:dyDescent="0.25">
      <c r="A109" s="138" t="str">
        <f>'RAW IMPORT'!A99</f>
        <v>OGRO</v>
      </c>
      <c r="B109" s="139">
        <f>'RAW IMPORT'!B99</f>
        <v>7123</v>
      </c>
      <c r="C109" s="142">
        <f>IF('RAW IMPORT'!C100&lt;&gt;"",1,0)</f>
        <v>0</v>
      </c>
      <c r="D109" s="142">
        <f>IF('RAW IMPORT'!D100&lt;&gt;"",1,0)</f>
        <v>0</v>
      </c>
      <c r="E109" s="142">
        <f>IF('RAW IMPORT'!E100&lt;&gt;"",1,0)</f>
        <v>0</v>
      </c>
      <c r="F109" s="142">
        <f>IF('RAW IMPORT'!F100&lt;&gt;"",1,0)</f>
        <v>0</v>
      </c>
      <c r="G109" s="142">
        <f>IF('RAW IMPORT'!G100&lt;&gt;"",1,0)</f>
        <v>0</v>
      </c>
      <c r="H109" s="142">
        <f>IF('RAW IMPORT'!H100&lt;&gt;"",1,0)</f>
        <v>0</v>
      </c>
      <c r="I109" s="142">
        <f>IF('RAW IMPORT'!I100&lt;&gt;"",1,0)</f>
        <v>0</v>
      </c>
      <c r="J109" s="142">
        <f>IF('RAW IMPORT'!J100&lt;&gt;"",1,0)</f>
        <v>0</v>
      </c>
      <c r="K109" s="142">
        <f>IF('RAW IMPORT'!K100&lt;&gt;"",1,0)</f>
        <v>0</v>
      </c>
      <c r="L109" s="142">
        <f>IF('RAW IMPORT'!L100&lt;&gt;"",1,0)</f>
        <v>0</v>
      </c>
      <c r="M109" s="142">
        <f>IF('RAW IMPORT'!M100&lt;&gt;"",1,0)</f>
        <v>0</v>
      </c>
      <c r="N109" s="165">
        <f>IF('RAW IMPORT'!N100&lt;&gt;"",1,0)</f>
        <v>0</v>
      </c>
      <c r="O109" s="167">
        <f>IF('RAW IMPORT'!O100&lt;&gt;"",1,0)</f>
        <v>0</v>
      </c>
      <c r="P109" s="142">
        <f>IF('RAW IMPORT'!P100&lt;&gt;"",1,0)</f>
        <v>0</v>
      </c>
      <c r="Q109" s="142">
        <f>IF('RAW IMPORT'!Q100&lt;&gt;"",1,0)</f>
        <v>0</v>
      </c>
      <c r="R109" s="138">
        <f>'RAW IMPORT'!R100</f>
        <v>0</v>
      </c>
      <c r="S109" s="138">
        <f>'RAW IMPORT'!S100</f>
        <v>0</v>
      </c>
      <c r="T109" s="138">
        <f>'RAW IMPORT'!T100</f>
        <v>0</v>
      </c>
      <c r="U109" s="138">
        <f>'RAW IMPORT'!U100</f>
        <v>0</v>
      </c>
      <c r="V109" s="138">
        <f>'RAW IMPORT'!V100</f>
        <v>0</v>
      </c>
      <c r="W109" s="138">
        <f>'RAW IMPORT'!W100</f>
        <v>0</v>
      </c>
      <c r="X109" s="138">
        <f>'RAW IMPORT'!X100</f>
        <v>0</v>
      </c>
      <c r="Y109" s="138">
        <f>'RAW IMPORT'!Y100</f>
        <v>0</v>
      </c>
      <c r="Z109" s="138">
        <f>'RAW IMPORT'!Z100</f>
        <v>0</v>
      </c>
      <c r="AA109" s="138">
        <f>'RAW IMPORT'!AA100</f>
        <v>0</v>
      </c>
      <c r="AB109" s="139">
        <f>'RAW IMPORT'!AB100</f>
        <v>0</v>
      </c>
      <c r="AC109" s="141">
        <f>'RAW IMPORT'!AC100</f>
        <v>0</v>
      </c>
      <c r="AD109" s="142">
        <f>'RAW IMPORT'!AD100</f>
        <v>0</v>
      </c>
      <c r="AE109" s="142">
        <f>'RAW IMPORT'!AE100</f>
        <v>0</v>
      </c>
      <c r="AF109" s="142">
        <f>IF('RAW IMPORT'!AF100="C1",3,IF('RAW IMPORT'!AF100="D1",4,0))</f>
        <v>0</v>
      </c>
      <c r="AG109" s="142">
        <f>'RAW IMPORT'!AG100</f>
        <v>0</v>
      </c>
      <c r="AH109" s="142">
        <f>'RAW IMPORT'!AH100</f>
        <v>0</v>
      </c>
      <c r="AI109" s="142">
        <f>IF('RAW IMPORT'!AI100="U",1,0)</f>
        <v>0</v>
      </c>
      <c r="AJ109" s="142">
        <f>IF('RAW IMPORT'!AJ100="A",1,0)</f>
        <v>0</v>
      </c>
      <c r="AK109" s="142">
        <f>IF('RAW IMPORT'!AK100="B",1,0)</f>
        <v>0</v>
      </c>
      <c r="AL109" s="142">
        <f>IF('RAW IMPORT'!AL100="U",1,0)</f>
        <v>0</v>
      </c>
      <c r="AM109" s="142">
        <f>IF('RAW IMPORT'!AM100&lt;&gt;"",1,0)</f>
        <v>0</v>
      </c>
      <c r="AN109" s="142">
        <f>IF('RAW IMPORT'!AN100&lt;&gt;"",1,0)</f>
        <v>0</v>
      </c>
      <c r="AO109" s="142">
        <f>IF('RAW IMPORT'!AO100&lt;&gt;"",1,0)</f>
        <v>0</v>
      </c>
      <c r="AP109" s="142">
        <f>IF('RAW IMPORT'!AP100&lt;&gt;"",1,0)</f>
        <v>0</v>
      </c>
      <c r="AQ109" s="142">
        <f>IF('RAW IMPORT'!AQ100&lt;&gt;"",1,0)</f>
        <v>0</v>
      </c>
      <c r="AR109" s="142">
        <f>IF('RAW IMPORT'!AR100&lt;&gt;"",1,0)</f>
        <v>0</v>
      </c>
      <c r="AS109" s="142">
        <f>IF('RAW IMPORT'!AS100&lt;&gt;"",1,0)</f>
        <v>0</v>
      </c>
      <c r="AT109" s="142">
        <f>IF('RAW IMPORT'!AT100&lt;&gt;"",1,0)</f>
        <v>0</v>
      </c>
      <c r="AU109" s="142">
        <f>IF('RAW IMPORT'!AU100&lt;&gt;"",1,0)</f>
        <v>0</v>
      </c>
      <c r="AV109" s="142">
        <f>IF('RAW IMPORT'!AV100&lt;&gt;"",1,0)</f>
        <v>0</v>
      </c>
      <c r="AW109" s="142">
        <f>IF('RAW IMPORT'!AW99&lt;&gt;"",1,0)</f>
        <v>1</v>
      </c>
      <c r="AX109" s="142">
        <f>IF('RAW IMPORT'!AX99&lt;&gt;"",1,0)</f>
        <v>0</v>
      </c>
      <c r="AY109" s="142">
        <f>IF('RAW IMPORT'!AY99&lt;&gt;"",1,0)</f>
        <v>0</v>
      </c>
      <c r="AZ109" s="142">
        <f>IF('RAW IMPORT'!AZ99&lt;&gt;"",1,0)</f>
        <v>0</v>
      </c>
      <c r="BA109" s="142">
        <f>IF('RAW IMPORT'!BA99&lt;&gt;"",1,0)</f>
        <v>0</v>
      </c>
      <c r="BB109" s="142">
        <f>IF('RAW IMPORT'!BB99&lt;&gt;"",1,0)</f>
        <v>0</v>
      </c>
      <c r="BC109" s="142">
        <f>IF('RAW IMPORT'!BC99&lt;&gt;"",1,0)</f>
        <v>0</v>
      </c>
      <c r="BD109" s="142">
        <f>IF('RAW IMPORT'!BD99&lt;&gt;"",1,0)</f>
        <v>0</v>
      </c>
      <c r="BE109" s="142">
        <f>IF('RAW IMPORT'!BE99&lt;&gt;"",1,0)</f>
        <v>0</v>
      </c>
      <c r="BF109" s="142">
        <f>IF('RAW IMPORT'!BF99&lt;&gt;"",1,0)</f>
        <v>0</v>
      </c>
      <c r="BG109" s="142">
        <f>IF('RAW IMPORT'!BG99&lt;&gt;"",1,0)</f>
        <v>0</v>
      </c>
      <c r="BH109" s="142">
        <f>IF('RAW IMPORT'!BH99&lt;&gt;"",1,0)</f>
        <v>0</v>
      </c>
      <c r="BI109" s="142">
        <f>IF('RAW IMPORT'!BI99&lt;&gt;"",1,0)</f>
        <v>0</v>
      </c>
      <c r="BJ109" s="142">
        <f>IF('RAW IMPORT'!BJ99&lt;&gt;"",1,0)</f>
        <v>0</v>
      </c>
      <c r="BK109" s="142">
        <f>IF('RAW IMPORT'!BK99&lt;&gt;"",1,0)</f>
        <v>0</v>
      </c>
      <c r="BL109" s="142">
        <f>IF('RAW IMPORT'!BL99&lt;&gt;"",1,0)</f>
        <v>1</v>
      </c>
      <c r="BM109" s="142">
        <f>'RAW IMPORT'!BM99</f>
        <v>10</v>
      </c>
      <c r="BN109" s="165">
        <f>IF('RAW IMPORT'!BN99&lt;&gt;"",1,0)</f>
        <v>0</v>
      </c>
      <c r="BO109" s="197">
        <f>'RAW IMPORT'!BO99</f>
        <v>0</v>
      </c>
      <c r="BP109" s="142">
        <f>IF('RAW IMPORT'!BP100="A",1,0)</f>
        <v>0</v>
      </c>
      <c r="BQ109" s="141">
        <f>IF('RAW IMPORT'!BQ100="B",1,0)</f>
        <v>0</v>
      </c>
      <c r="BR109" s="141">
        <f>'RAW IMPORT'!BR99</f>
        <v>8.9999999999999993E-3</v>
      </c>
      <c r="BS109" s="141">
        <f>'RAW IMPORT'!BS99</f>
        <v>5.5E-2</v>
      </c>
      <c r="BT109" s="141">
        <f>'RAW IMPORT'!BT99</f>
        <v>5.5E-2</v>
      </c>
      <c r="BU109" s="141">
        <f>'RAW IMPORT'!BU99</f>
        <v>2.75E-2</v>
      </c>
      <c r="BV109" s="198">
        <f>IF('RAW IMPORT'!BV100="U",1,0)</f>
        <v>0</v>
      </c>
      <c r="BW109" s="141">
        <f>'RAW IMPORT'!BW99</f>
        <v>10</v>
      </c>
      <c r="BX109" s="165">
        <f>'RAW IMPORT'!BX99</f>
        <v>0</v>
      </c>
      <c r="BY109" s="240"/>
      <c r="BZ109" s="126"/>
      <c r="CD109" s="204"/>
    </row>
    <row r="110" spans="1:83" ht="15.75" customHeight="1" x14ac:dyDescent="0.25">
      <c r="A110" s="138" t="str">
        <f>'RAW IMPORT'!A100</f>
        <v>OGRO</v>
      </c>
      <c r="B110" s="139" t="str">
        <f>'RAW IMPORT'!B100</f>
        <v>705x K</v>
      </c>
      <c r="C110" s="142">
        <f>IF('RAW IMPORT'!C101&lt;&gt;"",1,0)</f>
        <v>0</v>
      </c>
      <c r="D110" s="142">
        <f>IF('RAW IMPORT'!D101&lt;&gt;"",1,0)</f>
        <v>0</v>
      </c>
      <c r="E110" s="142">
        <f>IF('RAW IMPORT'!E101&lt;&gt;"",1,0)</f>
        <v>0</v>
      </c>
      <c r="F110" s="142">
        <f>IF('RAW IMPORT'!F101&lt;&gt;"",1,0)</f>
        <v>0</v>
      </c>
      <c r="G110" s="142">
        <f>IF('RAW IMPORT'!G101&lt;&gt;"",1,0)</f>
        <v>0</v>
      </c>
      <c r="H110" s="142">
        <f>IF('RAW IMPORT'!H101&lt;&gt;"",1,0)</f>
        <v>0</v>
      </c>
      <c r="I110" s="142">
        <f>IF('RAW IMPORT'!I101&lt;&gt;"",1,0)</f>
        <v>0</v>
      </c>
      <c r="J110" s="142">
        <f>IF('RAW IMPORT'!J101&lt;&gt;"",1,0)</f>
        <v>0</v>
      </c>
      <c r="K110" s="142">
        <f>IF('RAW IMPORT'!K101&lt;&gt;"",1,0)</f>
        <v>0</v>
      </c>
      <c r="L110" s="142">
        <f>IF('RAW IMPORT'!L101&lt;&gt;"",1,0)</f>
        <v>0</v>
      </c>
      <c r="M110" s="142">
        <f>IF('RAW IMPORT'!M101&lt;&gt;"",1,0)</f>
        <v>0</v>
      </c>
      <c r="N110" s="165">
        <f>IF('RAW IMPORT'!N101&lt;&gt;"",1,0)</f>
        <v>0</v>
      </c>
      <c r="O110" s="167">
        <f>IF('RAW IMPORT'!O101&lt;&gt;"",1,0)</f>
        <v>0</v>
      </c>
      <c r="P110" s="142">
        <f>IF('RAW IMPORT'!P101&lt;&gt;"",1,0)</f>
        <v>0</v>
      </c>
      <c r="Q110" s="142">
        <f>IF('RAW IMPORT'!Q101&lt;&gt;"",1,0)</f>
        <v>0</v>
      </c>
      <c r="R110" s="138">
        <f>'RAW IMPORT'!R101</f>
        <v>0</v>
      </c>
      <c r="S110" s="138">
        <f>'RAW IMPORT'!S101</f>
        <v>0</v>
      </c>
      <c r="T110" s="138">
        <f>'RAW IMPORT'!T101</f>
        <v>0</v>
      </c>
      <c r="U110" s="138">
        <f>'RAW IMPORT'!U101</f>
        <v>0</v>
      </c>
      <c r="V110" s="138">
        <f>'RAW IMPORT'!V101</f>
        <v>0</v>
      </c>
      <c r="W110" s="138">
        <f>'RAW IMPORT'!W101</f>
        <v>0</v>
      </c>
      <c r="X110" s="138">
        <f>'RAW IMPORT'!X101</f>
        <v>0</v>
      </c>
      <c r="Y110" s="138">
        <f>'RAW IMPORT'!Y101</f>
        <v>0</v>
      </c>
      <c r="Z110" s="138">
        <f>'RAW IMPORT'!Z101</f>
        <v>0</v>
      </c>
      <c r="AA110" s="138">
        <f>'RAW IMPORT'!AA101</f>
        <v>0</v>
      </c>
      <c r="AB110" s="139">
        <f>'RAW IMPORT'!AB101</f>
        <v>0</v>
      </c>
      <c r="AC110" s="141">
        <f>'RAW IMPORT'!AC101</f>
        <v>0</v>
      </c>
      <c r="AD110" s="142">
        <f>'RAW IMPORT'!AD101</f>
        <v>0</v>
      </c>
      <c r="AE110" s="142">
        <f>'RAW IMPORT'!AE101</f>
        <v>0</v>
      </c>
      <c r="AF110" s="142">
        <f>IF('RAW IMPORT'!AF101="C1",3,IF('RAW IMPORT'!AF101="D1",4,0))</f>
        <v>0</v>
      </c>
      <c r="AG110" s="142">
        <f>'RAW IMPORT'!AG101</f>
        <v>0</v>
      </c>
      <c r="AH110" s="142">
        <f>'RAW IMPORT'!AH101</f>
        <v>0</v>
      </c>
      <c r="AI110" s="142">
        <f>IF('RAW IMPORT'!AI101="U",1,0)</f>
        <v>0</v>
      </c>
      <c r="AJ110" s="142">
        <f>IF('RAW IMPORT'!AJ101="A",1,0)</f>
        <v>0</v>
      </c>
      <c r="AK110" s="142">
        <f>IF('RAW IMPORT'!AK101="B",1,0)</f>
        <v>0</v>
      </c>
      <c r="AL110" s="142">
        <f>IF('RAW IMPORT'!AL101="U",1,0)</f>
        <v>0</v>
      </c>
      <c r="AM110" s="142">
        <f>IF('RAW IMPORT'!AM101&lt;&gt;"",1,0)</f>
        <v>0</v>
      </c>
      <c r="AN110" s="142">
        <f>IF('RAW IMPORT'!AN101&lt;&gt;"",1,0)</f>
        <v>0</v>
      </c>
      <c r="AO110" s="142">
        <f>IF('RAW IMPORT'!AO101&lt;&gt;"",1,0)</f>
        <v>0</v>
      </c>
      <c r="AP110" s="142">
        <f>IF('RAW IMPORT'!AP101&lt;&gt;"",1,0)</f>
        <v>0</v>
      </c>
      <c r="AQ110" s="142">
        <f>IF('RAW IMPORT'!AQ101&lt;&gt;"",1,0)</f>
        <v>0</v>
      </c>
      <c r="AR110" s="142">
        <f>IF('RAW IMPORT'!AR101&lt;&gt;"",1,0)</f>
        <v>0</v>
      </c>
      <c r="AS110" s="142">
        <f>IF('RAW IMPORT'!AS101&lt;&gt;"",1,0)</f>
        <v>0</v>
      </c>
      <c r="AT110" s="142">
        <f>IF('RAW IMPORT'!AT101&lt;&gt;"",1,0)</f>
        <v>0</v>
      </c>
      <c r="AU110" s="142">
        <f>IF('RAW IMPORT'!AU101&lt;&gt;"",1,0)</f>
        <v>0</v>
      </c>
      <c r="AV110" s="142">
        <f>IF('RAW IMPORT'!AV101&lt;&gt;"",1,0)</f>
        <v>0</v>
      </c>
      <c r="AW110" s="142">
        <f>IF('RAW IMPORT'!AW100&lt;&gt;"",1,0)</f>
        <v>0</v>
      </c>
      <c r="AX110" s="142">
        <f>IF('RAW IMPORT'!AX100&lt;&gt;"",1,0)</f>
        <v>0</v>
      </c>
      <c r="AY110" s="142">
        <f>IF('RAW IMPORT'!AY100&lt;&gt;"",1,0)</f>
        <v>0</v>
      </c>
      <c r="AZ110" s="142">
        <f>IF('RAW IMPORT'!AZ100&lt;&gt;"",1,0)</f>
        <v>1</v>
      </c>
      <c r="BA110" s="142">
        <f>IF('RAW IMPORT'!BA100&lt;&gt;"",1,0)</f>
        <v>0</v>
      </c>
      <c r="BB110" s="142">
        <f>IF('RAW IMPORT'!BB100&lt;&gt;"",1,0)</f>
        <v>0</v>
      </c>
      <c r="BC110" s="142">
        <f>IF('RAW IMPORT'!BC100&lt;&gt;"",1,0)</f>
        <v>0</v>
      </c>
      <c r="BD110" s="142">
        <f>IF('RAW IMPORT'!BD100&lt;&gt;"",1,0)</f>
        <v>0</v>
      </c>
      <c r="BE110" s="142">
        <f>IF('RAW IMPORT'!BE100&lt;&gt;"",1,0)</f>
        <v>0</v>
      </c>
      <c r="BF110" s="142">
        <f>IF('RAW IMPORT'!BF100&lt;&gt;"",1,0)</f>
        <v>0</v>
      </c>
      <c r="BG110" s="142">
        <f>IF('RAW IMPORT'!BG100&lt;&gt;"",1,0)</f>
        <v>1</v>
      </c>
      <c r="BH110" s="142">
        <f>IF('RAW IMPORT'!BH100&lt;&gt;"",1,0)</f>
        <v>1</v>
      </c>
      <c r="BI110" s="142">
        <f>IF('RAW IMPORT'!BI100&lt;&gt;"",1,0)</f>
        <v>1</v>
      </c>
      <c r="BJ110" s="142">
        <f>IF('RAW IMPORT'!BJ100&lt;&gt;"",1,0)</f>
        <v>1</v>
      </c>
      <c r="BK110" s="142">
        <f>IF('RAW IMPORT'!BK100&lt;&gt;"",1,0)</f>
        <v>1</v>
      </c>
      <c r="BL110" s="142">
        <f>IF('RAW IMPORT'!BL100&lt;&gt;"",1,0)</f>
        <v>1</v>
      </c>
      <c r="BM110" s="142">
        <f>'RAW IMPORT'!BM100</f>
        <v>10</v>
      </c>
      <c r="BN110" s="165">
        <f>IF('RAW IMPORT'!BN100&lt;&gt;"",1,0)</f>
        <v>1</v>
      </c>
      <c r="BO110" s="197">
        <f>'RAW IMPORT'!BO100</f>
        <v>0</v>
      </c>
      <c r="BP110" s="142">
        <f>IF('RAW IMPORT'!BP101="A",1,0)</f>
        <v>0</v>
      </c>
      <c r="BQ110" s="141">
        <f>IF('RAW IMPORT'!BQ101="B",1,0)</f>
        <v>0</v>
      </c>
      <c r="BR110" s="141">
        <f>'RAW IMPORT'!BR100</f>
        <v>8.9999999999999993E-3</v>
      </c>
      <c r="BS110" s="141">
        <f>'RAW IMPORT'!BS100</f>
        <v>4.3999999999999997E-2</v>
      </c>
      <c r="BT110" s="141">
        <f>'RAW IMPORT'!BT100</f>
        <v>0.158</v>
      </c>
      <c r="BU110" s="141">
        <f>'RAW IMPORT'!BU100</f>
        <v>2.1999999999999999E-2</v>
      </c>
      <c r="BV110" s="198">
        <f>IF('RAW IMPORT'!BV101="U",1,0)</f>
        <v>0</v>
      </c>
      <c r="BW110" s="141">
        <f>'RAW IMPORT'!BW100</f>
        <v>3</v>
      </c>
      <c r="BX110" s="165">
        <f>'RAW IMPORT'!BX100</f>
        <v>0</v>
      </c>
      <c r="BY110" s="240"/>
      <c r="BZ110" s="126"/>
      <c r="CD110" s="204" t="str">
        <f t="shared" si="11"/>
        <v>"Model-705x K":
    RETURN</v>
      </c>
    </row>
    <row r="111" spans="1:83" ht="15.75" customHeight="1" x14ac:dyDescent="0.25">
      <c r="A111" s="138" t="str">
        <f>'RAW IMPORT'!A101</f>
        <v>OGRO</v>
      </c>
      <c r="B111" s="139" t="str">
        <f>'RAW IMPORT'!B101</f>
        <v>706x K</v>
      </c>
      <c r="C111" s="142">
        <f>IF('RAW IMPORT'!C102&lt;&gt;"",1,0)</f>
        <v>0</v>
      </c>
      <c r="D111" s="142">
        <f>IF('RAW IMPORT'!D102&lt;&gt;"",1,0)</f>
        <v>0</v>
      </c>
      <c r="E111" s="142">
        <f>IF('RAW IMPORT'!E102&lt;&gt;"",1,0)</f>
        <v>0</v>
      </c>
      <c r="F111" s="142">
        <f>IF('RAW IMPORT'!F102&lt;&gt;"",1,0)</f>
        <v>0</v>
      </c>
      <c r="G111" s="142">
        <f>IF('RAW IMPORT'!G102&lt;&gt;"",1,0)</f>
        <v>0</v>
      </c>
      <c r="H111" s="142">
        <f>IF('RAW IMPORT'!H102&lt;&gt;"",1,0)</f>
        <v>0</v>
      </c>
      <c r="I111" s="142">
        <f>IF('RAW IMPORT'!I102&lt;&gt;"",1,0)</f>
        <v>0</v>
      </c>
      <c r="J111" s="142">
        <f>IF('RAW IMPORT'!J102&lt;&gt;"",1,0)</f>
        <v>0</v>
      </c>
      <c r="K111" s="142">
        <f>IF('RAW IMPORT'!K102&lt;&gt;"",1,0)</f>
        <v>0</v>
      </c>
      <c r="L111" s="142">
        <f>IF('RAW IMPORT'!L102&lt;&gt;"",1,0)</f>
        <v>0</v>
      </c>
      <c r="M111" s="142">
        <f>IF('RAW IMPORT'!M102&lt;&gt;"",1,0)</f>
        <v>0</v>
      </c>
      <c r="N111" s="165">
        <f>IF('RAW IMPORT'!N102&lt;&gt;"",1,0)</f>
        <v>0</v>
      </c>
      <c r="O111" s="167">
        <f>IF('RAW IMPORT'!O102&lt;&gt;"",1,0)</f>
        <v>0</v>
      </c>
      <c r="P111" s="142">
        <f>IF('RAW IMPORT'!P102&lt;&gt;"",1,0)</f>
        <v>0</v>
      </c>
      <c r="Q111" s="142">
        <f>IF('RAW IMPORT'!Q102&lt;&gt;"",1,0)</f>
        <v>0</v>
      </c>
      <c r="R111" s="138">
        <f>'RAW IMPORT'!R102</f>
        <v>0</v>
      </c>
      <c r="S111" s="138">
        <f>'RAW IMPORT'!S102</f>
        <v>0</v>
      </c>
      <c r="T111" s="138">
        <f>'RAW IMPORT'!T102</f>
        <v>0</v>
      </c>
      <c r="U111" s="138">
        <f>'RAW IMPORT'!U102</f>
        <v>0</v>
      </c>
      <c r="V111" s="138">
        <f>'RAW IMPORT'!V102</f>
        <v>0</v>
      </c>
      <c r="W111" s="138">
        <f>'RAW IMPORT'!W102</f>
        <v>0</v>
      </c>
      <c r="X111" s="138">
        <f>'RAW IMPORT'!X102</f>
        <v>0</v>
      </c>
      <c r="Y111" s="138">
        <f>'RAW IMPORT'!Y102</f>
        <v>0</v>
      </c>
      <c r="Z111" s="138">
        <f>'RAW IMPORT'!Z102</f>
        <v>0</v>
      </c>
      <c r="AA111" s="138">
        <f>'RAW IMPORT'!AA102</f>
        <v>0</v>
      </c>
      <c r="AB111" s="139">
        <f>'RAW IMPORT'!AB102</f>
        <v>0</v>
      </c>
      <c r="AC111" s="141">
        <f>'RAW IMPORT'!AC102</f>
        <v>0</v>
      </c>
      <c r="AD111" s="142">
        <f>'RAW IMPORT'!AD102</f>
        <v>0</v>
      </c>
      <c r="AE111" s="142">
        <f>'RAW IMPORT'!AE102</f>
        <v>0</v>
      </c>
      <c r="AF111" s="142">
        <f>IF('RAW IMPORT'!AF102="C1",3,IF('RAW IMPORT'!AF102="D1",4,0))</f>
        <v>0</v>
      </c>
      <c r="AG111" s="142">
        <f>'RAW IMPORT'!AG102</f>
        <v>0</v>
      </c>
      <c r="AH111" s="142">
        <f>'RAW IMPORT'!AH102</f>
        <v>0</v>
      </c>
      <c r="AI111" s="142">
        <f>IF('RAW IMPORT'!AI102="U",1,0)</f>
        <v>0</v>
      </c>
      <c r="AJ111" s="142">
        <f>IF('RAW IMPORT'!AJ102="A",1,0)</f>
        <v>0</v>
      </c>
      <c r="AK111" s="142">
        <f>IF('RAW IMPORT'!AK102="B",1,0)</f>
        <v>0</v>
      </c>
      <c r="AL111" s="142">
        <f>IF('RAW IMPORT'!AL102="U",1,0)</f>
        <v>0</v>
      </c>
      <c r="AM111" s="142">
        <f>IF('RAW IMPORT'!AM102&lt;&gt;"",1,0)</f>
        <v>0</v>
      </c>
      <c r="AN111" s="142">
        <f>IF('RAW IMPORT'!AN102&lt;&gt;"",1,0)</f>
        <v>0</v>
      </c>
      <c r="AO111" s="142">
        <f>IF('RAW IMPORT'!AO102&lt;&gt;"",1,0)</f>
        <v>0</v>
      </c>
      <c r="AP111" s="142">
        <f>IF('RAW IMPORT'!AP102&lt;&gt;"",1,0)</f>
        <v>0</v>
      </c>
      <c r="AQ111" s="142">
        <f>IF('RAW IMPORT'!AQ102&lt;&gt;"",1,0)</f>
        <v>0</v>
      </c>
      <c r="AR111" s="142">
        <f>IF('RAW IMPORT'!AR102&lt;&gt;"",1,0)</f>
        <v>0</v>
      </c>
      <c r="AS111" s="142">
        <f>IF('RAW IMPORT'!AS102&lt;&gt;"",1,0)</f>
        <v>0</v>
      </c>
      <c r="AT111" s="142">
        <f>IF('RAW IMPORT'!AT102&lt;&gt;"",1,0)</f>
        <v>0</v>
      </c>
      <c r="AU111" s="142">
        <f>IF('RAW IMPORT'!AU102&lt;&gt;"",1,0)</f>
        <v>0</v>
      </c>
      <c r="AV111" s="142">
        <f>IF('RAW IMPORT'!AV102&lt;&gt;"",1,0)</f>
        <v>0</v>
      </c>
      <c r="AW111" s="142">
        <f>IF('RAW IMPORT'!AW101&lt;&gt;"",1,0)</f>
        <v>0</v>
      </c>
      <c r="AX111" s="142">
        <f>IF('RAW IMPORT'!AX101&lt;&gt;"",1,0)</f>
        <v>0</v>
      </c>
      <c r="AY111" s="142">
        <f>IF('RAW IMPORT'!AY101&lt;&gt;"",1,0)</f>
        <v>0</v>
      </c>
      <c r="AZ111" s="142">
        <f>IF('RAW IMPORT'!AZ101&lt;&gt;"",1,0)</f>
        <v>0</v>
      </c>
      <c r="BA111" s="142">
        <f>IF('RAW IMPORT'!BA101&lt;&gt;"",1,0)</f>
        <v>1</v>
      </c>
      <c r="BB111" s="142">
        <f>IF('RAW IMPORT'!BB101&lt;&gt;"",1,0)</f>
        <v>0</v>
      </c>
      <c r="BC111" s="142">
        <f>IF('RAW IMPORT'!BC101&lt;&gt;"",1,0)</f>
        <v>0</v>
      </c>
      <c r="BD111" s="142">
        <f>IF('RAW IMPORT'!BD101&lt;&gt;"",1,0)</f>
        <v>0</v>
      </c>
      <c r="BE111" s="142">
        <f>IF('RAW IMPORT'!BE101&lt;&gt;"",1,0)</f>
        <v>0</v>
      </c>
      <c r="BF111" s="142">
        <f>IF('RAW IMPORT'!BF101&lt;&gt;"",1,0)</f>
        <v>0</v>
      </c>
      <c r="BG111" s="142">
        <f>IF('RAW IMPORT'!BG101&lt;&gt;"",1,0)</f>
        <v>1</v>
      </c>
      <c r="BH111" s="142">
        <f>IF('RAW IMPORT'!BH101&lt;&gt;"",1,0)</f>
        <v>1</v>
      </c>
      <c r="BI111" s="142">
        <f>IF('RAW IMPORT'!BI101&lt;&gt;"",1,0)</f>
        <v>1</v>
      </c>
      <c r="BJ111" s="142">
        <f>IF('RAW IMPORT'!BJ101&lt;&gt;"",1,0)</f>
        <v>1</v>
      </c>
      <c r="BK111" s="142">
        <f>IF('RAW IMPORT'!BK101&lt;&gt;"",1,0)</f>
        <v>1</v>
      </c>
      <c r="BL111" s="142">
        <f>IF('RAW IMPORT'!BL101&lt;&gt;"",1,0)</f>
        <v>1</v>
      </c>
      <c r="BM111" s="142">
        <f>'RAW IMPORT'!BM101</f>
        <v>10</v>
      </c>
      <c r="BN111" s="165">
        <f>IF('RAW IMPORT'!BN101&lt;&gt;"",1,0)</f>
        <v>1</v>
      </c>
      <c r="BO111" s="197">
        <f>'RAW IMPORT'!BO101</f>
        <v>0</v>
      </c>
      <c r="BP111" s="142">
        <f>IF('RAW IMPORT'!BP102="A",1,0)</f>
        <v>0</v>
      </c>
      <c r="BQ111" s="141">
        <f>IF('RAW IMPORT'!BQ102="B",1,0)</f>
        <v>0</v>
      </c>
      <c r="BR111" s="141">
        <f>'RAW IMPORT'!BR101</f>
        <v>8.9999999999999993E-3</v>
      </c>
      <c r="BS111" s="141">
        <f>'RAW IMPORT'!BS101</f>
        <v>4.3999999999999997E-2</v>
      </c>
      <c r="BT111" s="141">
        <f>'RAW IMPORT'!BT101</f>
        <v>0.158</v>
      </c>
      <c r="BU111" s="141">
        <f>'RAW IMPORT'!BU101</f>
        <v>2.1999999999999999E-2</v>
      </c>
      <c r="BV111" s="198">
        <f>IF('RAW IMPORT'!BV102="U",1,0)</f>
        <v>0</v>
      </c>
      <c r="BW111" s="141">
        <f>'RAW IMPORT'!BW101</f>
        <v>4</v>
      </c>
      <c r="BX111" s="165">
        <f>'RAW IMPORT'!BX101</f>
        <v>0</v>
      </c>
      <c r="BY111" s="240"/>
      <c r="BZ111" s="126"/>
      <c r="CD111" s="204" t="str">
        <f t="shared" si="11"/>
        <v>"Model-706x K":
    RETURN</v>
      </c>
    </row>
    <row r="112" spans="1:83" ht="15.75" customHeight="1" x14ac:dyDescent="0.25">
      <c r="A112" s="138" t="str">
        <f>'RAW IMPORT'!A102</f>
        <v>OGRO</v>
      </c>
      <c r="B112" s="139" t="str">
        <f>'RAW IMPORT'!B102</f>
        <v>702x L</v>
      </c>
      <c r="C112" s="142">
        <f>IF('RAW IMPORT'!C103&lt;&gt;"",1,0)</f>
        <v>0</v>
      </c>
      <c r="D112" s="142">
        <f>IF('RAW IMPORT'!D103&lt;&gt;"",1,0)</f>
        <v>0</v>
      </c>
      <c r="E112" s="142">
        <f>IF('RAW IMPORT'!E103&lt;&gt;"",1,0)</f>
        <v>0</v>
      </c>
      <c r="F112" s="142">
        <f>IF('RAW IMPORT'!F103&lt;&gt;"",1,0)</f>
        <v>0</v>
      </c>
      <c r="G112" s="142">
        <f>IF('RAW IMPORT'!G103&lt;&gt;"",1,0)</f>
        <v>0</v>
      </c>
      <c r="H112" s="142">
        <f>IF('RAW IMPORT'!H103&lt;&gt;"",1,0)</f>
        <v>0</v>
      </c>
      <c r="I112" s="142">
        <f>IF('RAW IMPORT'!I103&lt;&gt;"",1,0)</f>
        <v>0</v>
      </c>
      <c r="J112" s="142">
        <f>IF('RAW IMPORT'!J103&lt;&gt;"",1,0)</f>
        <v>0</v>
      </c>
      <c r="K112" s="142">
        <f>IF('RAW IMPORT'!K103&lt;&gt;"",1,0)</f>
        <v>0</v>
      </c>
      <c r="L112" s="142">
        <f>IF('RAW IMPORT'!L103&lt;&gt;"",1,0)</f>
        <v>0</v>
      </c>
      <c r="M112" s="142">
        <f>IF('RAW IMPORT'!M103&lt;&gt;"",1,0)</f>
        <v>0</v>
      </c>
      <c r="N112" s="165">
        <f>IF('RAW IMPORT'!N103&lt;&gt;"",1,0)</f>
        <v>0</v>
      </c>
      <c r="O112" s="167">
        <f>IF('RAW IMPORT'!O103&lt;&gt;"",1,0)</f>
        <v>0</v>
      </c>
      <c r="P112" s="142">
        <f>IF('RAW IMPORT'!P103&lt;&gt;"",1,0)</f>
        <v>0</v>
      </c>
      <c r="Q112" s="142">
        <f>IF('RAW IMPORT'!Q103&lt;&gt;"",1,0)</f>
        <v>0</v>
      </c>
      <c r="R112" s="138">
        <f>'RAW IMPORT'!R103</f>
        <v>0</v>
      </c>
      <c r="S112" s="138">
        <f>'RAW IMPORT'!S103</f>
        <v>0</v>
      </c>
      <c r="T112" s="138">
        <f>'RAW IMPORT'!T103</f>
        <v>0</v>
      </c>
      <c r="U112" s="138">
        <f>'RAW IMPORT'!U103</f>
        <v>0</v>
      </c>
      <c r="V112" s="138">
        <f>'RAW IMPORT'!V103</f>
        <v>0</v>
      </c>
      <c r="W112" s="138">
        <f>'RAW IMPORT'!W103</f>
        <v>0</v>
      </c>
      <c r="X112" s="138">
        <f>'RAW IMPORT'!X103</f>
        <v>0</v>
      </c>
      <c r="Y112" s="138">
        <f>'RAW IMPORT'!Y103</f>
        <v>0</v>
      </c>
      <c r="Z112" s="138">
        <f>'RAW IMPORT'!Z103</f>
        <v>0</v>
      </c>
      <c r="AA112" s="138">
        <f>'RAW IMPORT'!AA103</f>
        <v>0</v>
      </c>
      <c r="AB112" s="139">
        <f>'RAW IMPORT'!AB103</f>
        <v>0</v>
      </c>
      <c r="AC112" s="141">
        <f>'RAW IMPORT'!AC103</f>
        <v>0</v>
      </c>
      <c r="AD112" s="142">
        <f>'RAW IMPORT'!AD103</f>
        <v>0</v>
      </c>
      <c r="AE112" s="142">
        <f>'RAW IMPORT'!AE103</f>
        <v>0</v>
      </c>
      <c r="AF112" s="142">
        <f>IF('RAW IMPORT'!AF103="C1",3,IF('RAW IMPORT'!AF103="D1",4,0))</f>
        <v>0</v>
      </c>
      <c r="AG112" s="142">
        <f>'RAW IMPORT'!AG103</f>
        <v>0</v>
      </c>
      <c r="AH112" s="142">
        <f>'RAW IMPORT'!AH103</f>
        <v>0</v>
      </c>
      <c r="AI112" s="142">
        <f>IF('RAW IMPORT'!AI103="U",1,0)</f>
        <v>0</v>
      </c>
      <c r="AJ112" s="142">
        <f>IF('RAW IMPORT'!AJ103="A",1,0)</f>
        <v>0</v>
      </c>
      <c r="AK112" s="142">
        <f>IF('RAW IMPORT'!AK103="B",1,0)</f>
        <v>0</v>
      </c>
      <c r="AL112" s="142">
        <f>IF('RAW IMPORT'!AL103="U",1,0)</f>
        <v>0</v>
      </c>
      <c r="AM112" s="142">
        <f>IF('RAW IMPORT'!AM103&lt;&gt;"",1,0)</f>
        <v>0</v>
      </c>
      <c r="AN112" s="142">
        <f>IF('RAW IMPORT'!AN103&lt;&gt;"",1,0)</f>
        <v>0</v>
      </c>
      <c r="AO112" s="142">
        <f>IF('RAW IMPORT'!AO103&lt;&gt;"",1,0)</f>
        <v>0</v>
      </c>
      <c r="AP112" s="142">
        <f>IF('RAW IMPORT'!AP103&lt;&gt;"",1,0)</f>
        <v>0</v>
      </c>
      <c r="AQ112" s="142">
        <f>IF('RAW IMPORT'!AQ103&lt;&gt;"",1,0)</f>
        <v>0</v>
      </c>
      <c r="AR112" s="142">
        <f>IF('RAW IMPORT'!AR103&lt;&gt;"",1,0)</f>
        <v>0</v>
      </c>
      <c r="AS112" s="142">
        <f>IF('RAW IMPORT'!AS103&lt;&gt;"",1,0)</f>
        <v>0</v>
      </c>
      <c r="AT112" s="142">
        <f>IF('RAW IMPORT'!AT103&lt;&gt;"",1,0)</f>
        <v>0</v>
      </c>
      <c r="AU112" s="142">
        <f>IF('RAW IMPORT'!AU103&lt;&gt;"",1,0)</f>
        <v>0</v>
      </c>
      <c r="AV112" s="142">
        <f>IF('RAW IMPORT'!AV103&lt;&gt;"",1,0)</f>
        <v>0</v>
      </c>
      <c r="AW112" s="142">
        <f>IF('RAW IMPORT'!AW102&lt;&gt;"",1,0)</f>
        <v>0</v>
      </c>
      <c r="AX112" s="142">
        <f>IF('RAW IMPORT'!AX102&lt;&gt;"",1,0)</f>
        <v>1</v>
      </c>
      <c r="AY112" s="142">
        <f>IF('RAW IMPORT'!AY102&lt;&gt;"",1,0)</f>
        <v>0</v>
      </c>
      <c r="AZ112" s="142">
        <f>IF('RAW IMPORT'!AZ102&lt;&gt;"",1,0)</f>
        <v>0</v>
      </c>
      <c r="BA112" s="142">
        <f>IF('RAW IMPORT'!BA102&lt;&gt;"",1,0)</f>
        <v>0</v>
      </c>
      <c r="BB112" s="142">
        <f>IF('RAW IMPORT'!BB102&lt;&gt;"",1,0)</f>
        <v>0</v>
      </c>
      <c r="BC112" s="142">
        <f>IF('RAW IMPORT'!BC102&lt;&gt;"",1,0)</f>
        <v>0</v>
      </c>
      <c r="BD112" s="142">
        <f>IF('RAW IMPORT'!BD102&lt;&gt;"",1,0)</f>
        <v>0</v>
      </c>
      <c r="BE112" s="142">
        <f>IF('RAW IMPORT'!BE102&lt;&gt;"",1,0)</f>
        <v>0</v>
      </c>
      <c r="BF112" s="142">
        <f>IF('RAW IMPORT'!BF102&lt;&gt;"",1,0)</f>
        <v>0</v>
      </c>
      <c r="BG112" s="142">
        <f>IF('RAW IMPORT'!BG102&lt;&gt;"",1,0)</f>
        <v>1</v>
      </c>
      <c r="BH112" s="142">
        <f>IF('RAW IMPORT'!BH102&lt;&gt;"",1,0)</f>
        <v>1</v>
      </c>
      <c r="BI112" s="142">
        <f>IF('RAW IMPORT'!BI102&lt;&gt;"",1,0)</f>
        <v>1</v>
      </c>
      <c r="BJ112" s="142">
        <f>IF('RAW IMPORT'!BJ102&lt;&gt;"",1,0)</f>
        <v>1</v>
      </c>
      <c r="BK112" s="142">
        <f>IF('RAW IMPORT'!BK102&lt;&gt;"",1,0)</f>
        <v>1</v>
      </c>
      <c r="BL112" s="142">
        <f>IF('RAW IMPORT'!BL102&lt;&gt;"",1,0)</f>
        <v>1</v>
      </c>
      <c r="BM112" s="142">
        <f>'RAW IMPORT'!BM102</f>
        <v>10</v>
      </c>
      <c r="BN112" s="165">
        <f>IF('RAW IMPORT'!BN102&lt;&gt;"",1,0)</f>
        <v>1</v>
      </c>
      <c r="BO112" s="197">
        <f>'RAW IMPORT'!BO102</f>
        <v>0</v>
      </c>
      <c r="BP112" s="142">
        <f>IF('RAW IMPORT'!BP103="A",1,0)</f>
        <v>0</v>
      </c>
      <c r="BQ112" s="141">
        <f>IF('RAW IMPORT'!BQ103="B",1,0)</f>
        <v>0</v>
      </c>
      <c r="BR112" s="141">
        <f>'RAW IMPORT'!BR102</f>
        <v>8.9999999999999993E-3</v>
      </c>
      <c r="BS112" s="141">
        <f>'RAW IMPORT'!BS102</f>
        <v>4.3999999999999997E-2</v>
      </c>
      <c r="BT112" s="141">
        <f>'RAW IMPORT'!BT102</f>
        <v>0.22</v>
      </c>
      <c r="BU112" s="141">
        <f>'RAW IMPORT'!BU102</f>
        <v>2.1999999999999999E-2</v>
      </c>
      <c r="BV112" s="198">
        <f>IF('RAW IMPORT'!BV103="U",1,0)</f>
        <v>0</v>
      </c>
      <c r="BW112" s="141">
        <f>'RAW IMPORT'!BW102</f>
        <v>2</v>
      </c>
      <c r="BX112" s="165">
        <f>'RAW IMPORT'!BX102</f>
        <v>0</v>
      </c>
      <c r="BY112" s="240"/>
      <c r="BZ112" s="126"/>
      <c r="CD112" s="204" t="str">
        <f t="shared" si="11"/>
        <v>"Model-702x L":
    RETURN</v>
      </c>
    </row>
    <row r="113" spans="1:83" ht="15.75" customHeight="1" x14ac:dyDescent="0.25">
      <c r="A113" s="138" t="str">
        <f>'RAW IMPORT'!A103</f>
        <v>OGRO</v>
      </c>
      <c r="B113" s="139" t="str">
        <f>'RAW IMPORT'!B103</f>
        <v>701x L</v>
      </c>
      <c r="C113" s="142">
        <f>IF('RAW IMPORT'!C104&lt;&gt;"",1,0)</f>
        <v>0</v>
      </c>
      <c r="D113" s="142">
        <f>IF('RAW IMPORT'!D104&lt;&gt;"",1,0)</f>
        <v>0</v>
      </c>
      <c r="E113" s="142">
        <f>IF('RAW IMPORT'!E104&lt;&gt;"",1,0)</f>
        <v>0</v>
      </c>
      <c r="F113" s="142">
        <f>IF('RAW IMPORT'!F104&lt;&gt;"",1,0)</f>
        <v>0</v>
      </c>
      <c r="G113" s="142">
        <f>IF('RAW IMPORT'!G104&lt;&gt;"",1,0)</f>
        <v>0</v>
      </c>
      <c r="H113" s="142">
        <f>IF('RAW IMPORT'!H104&lt;&gt;"",1,0)</f>
        <v>0</v>
      </c>
      <c r="I113" s="142">
        <f>IF('RAW IMPORT'!I104&lt;&gt;"",1,0)</f>
        <v>0</v>
      </c>
      <c r="J113" s="142">
        <f>IF('RAW IMPORT'!J104&lt;&gt;"",1,0)</f>
        <v>0</v>
      </c>
      <c r="K113" s="142">
        <f>IF('RAW IMPORT'!K104&lt;&gt;"",1,0)</f>
        <v>0</v>
      </c>
      <c r="L113" s="142">
        <f>IF('RAW IMPORT'!L104&lt;&gt;"",1,0)</f>
        <v>0</v>
      </c>
      <c r="M113" s="142">
        <f>IF('RAW IMPORT'!M104&lt;&gt;"",1,0)</f>
        <v>0</v>
      </c>
      <c r="N113" s="165">
        <f>IF('RAW IMPORT'!N104&lt;&gt;"",1,0)</f>
        <v>0</v>
      </c>
      <c r="O113" s="167">
        <f>IF('RAW IMPORT'!O104&lt;&gt;"",1,0)</f>
        <v>0</v>
      </c>
      <c r="P113" s="142">
        <f>IF('RAW IMPORT'!P104&lt;&gt;"",1,0)</f>
        <v>0</v>
      </c>
      <c r="Q113" s="142">
        <f>IF('RAW IMPORT'!Q104&lt;&gt;"",1,0)</f>
        <v>0</v>
      </c>
      <c r="R113" s="138">
        <f>'RAW IMPORT'!R104</f>
        <v>0</v>
      </c>
      <c r="S113" s="138">
        <f>'RAW IMPORT'!S104</f>
        <v>0</v>
      </c>
      <c r="T113" s="138">
        <f>'RAW IMPORT'!T104</f>
        <v>0</v>
      </c>
      <c r="U113" s="138">
        <f>'RAW IMPORT'!U104</f>
        <v>0</v>
      </c>
      <c r="V113" s="138">
        <f>'RAW IMPORT'!V104</f>
        <v>0</v>
      </c>
      <c r="W113" s="138">
        <f>'RAW IMPORT'!W104</f>
        <v>0</v>
      </c>
      <c r="X113" s="138">
        <f>'RAW IMPORT'!X104</f>
        <v>0</v>
      </c>
      <c r="Y113" s="138">
        <f>'RAW IMPORT'!Y104</f>
        <v>0</v>
      </c>
      <c r="Z113" s="138">
        <f>'RAW IMPORT'!Z104</f>
        <v>0</v>
      </c>
      <c r="AA113" s="138">
        <f>'RAW IMPORT'!AA104</f>
        <v>0</v>
      </c>
      <c r="AB113" s="139">
        <f>'RAW IMPORT'!AB104</f>
        <v>0</v>
      </c>
      <c r="AC113" s="141">
        <f>'RAW IMPORT'!AC104</f>
        <v>0</v>
      </c>
      <c r="AD113" s="142">
        <f>'RAW IMPORT'!AD104</f>
        <v>0</v>
      </c>
      <c r="AE113" s="142">
        <f>'RAW IMPORT'!AE104</f>
        <v>0</v>
      </c>
      <c r="AF113" s="142">
        <f>IF('RAW IMPORT'!AF104="C1",3,IF('RAW IMPORT'!AF104="D1",4,0))</f>
        <v>0</v>
      </c>
      <c r="AG113" s="142">
        <f>'RAW IMPORT'!AG104</f>
        <v>0</v>
      </c>
      <c r="AH113" s="142">
        <f>'RAW IMPORT'!AH104</f>
        <v>0</v>
      </c>
      <c r="AI113" s="142">
        <f>IF('RAW IMPORT'!AI104="U",1,0)</f>
        <v>0</v>
      </c>
      <c r="AJ113" s="142">
        <f>IF('RAW IMPORT'!AJ104="A",1,0)</f>
        <v>0</v>
      </c>
      <c r="AK113" s="142">
        <f>IF('RAW IMPORT'!AK104="B",1,0)</f>
        <v>0</v>
      </c>
      <c r="AL113" s="142">
        <f>IF('RAW IMPORT'!AL104="U",1,0)</f>
        <v>0</v>
      </c>
      <c r="AM113" s="142">
        <f>IF('RAW IMPORT'!AM104&lt;&gt;"",1,0)</f>
        <v>0</v>
      </c>
      <c r="AN113" s="142">
        <f>IF('RAW IMPORT'!AN104&lt;&gt;"",1,0)</f>
        <v>0</v>
      </c>
      <c r="AO113" s="142">
        <f>IF('RAW IMPORT'!AO104&lt;&gt;"",1,0)</f>
        <v>0</v>
      </c>
      <c r="AP113" s="142">
        <f>IF('RAW IMPORT'!AP104&lt;&gt;"",1,0)</f>
        <v>0</v>
      </c>
      <c r="AQ113" s="142">
        <f>IF('RAW IMPORT'!AQ104&lt;&gt;"",1,0)</f>
        <v>0</v>
      </c>
      <c r="AR113" s="142">
        <f>IF('RAW IMPORT'!AR104&lt;&gt;"",1,0)</f>
        <v>0</v>
      </c>
      <c r="AS113" s="142">
        <f>IF('RAW IMPORT'!AS104&lt;&gt;"",1,0)</f>
        <v>0</v>
      </c>
      <c r="AT113" s="142">
        <f>IF('RAW IMPORT'!AT104&lt;&gt;"",1,0)</f>
        <v>0</v>
      </c>
      <c r="AU113" s="142">
        <f>IF('RAW IMPORT'!AU104&lt;&gt;"",1,0)</f>
        <v>0</v>
      </c>
      <c r="AV113" s="142">
        <f>IF('RAW IMPORT'!AV104&lt;&gt;"",1,0)</f>
        <v>0</v>
      </c>
      <c r="AW113" s="142">
        <f>IF('RAW IMPORT'!AW103&lt;&gt;"",1,0)</f>
        <v>0</v>
      </c>
      <c r="AX113" s="142">
        <f>IF('RAW IMPORT'!AX103&lt;&gt;"",1,0)</f>
        <v>0</v>
      </c>
      <c r="AY113" s="142">
        <f>IF('RAW IMPORT'!AY103&lt;&gt;"",1,0)</f>
        <v>1</v>
      </c>
      <c r="AZ113" s="142">
        <f>IF('RAW IMPORT'!AZ103&lt;&gt;"",1,0)</f>
        <v>0</v>
      </c>
      <c r="BA113" s="142">
        <f>IF('RAW IMPORT'!BA103&lt;&gt;"",1,0)</f>
        <v>0</v>
      </c>
      <c r="BB113" s="142">
        <f>IF('RAW IMPORT'!BB103&lt;&gt;"",1,0)</f>
        <v>0</v>
      </c>
      <c r="BC113" s="142">
        <f>IF('RAW IMPORT'!BC103&lt;&gt;"",1,0)</f>
        <v>0</v>
      </c>
      <c r="BD113" s="142">
        <f>IF('RAW IMPORT'!BD103&lt;&gt;"",1,0)</f>
        <v>0</v>
      </c>
      <c r="BE113" s="142">
        <f>IF('RAW IMPORT'!BE103&lt;&gt;"",1,0)</f>
        <v>0</v>
      </c>
      <c r="BF113" s="142">
        <f>IF('RAW IMPORT'!BF103&lt;&gt;"",1,0)</f>
        <v>0</v>
      </c>
      <c r="BG113" s="142">
        <f>IF('RAW IMPORT'!BG103&lt;&gt;"",1,0)</f>
        <v>1</v>
      </c>
      <c r="BH113" s="142">
        <f>IF('RAW IMPORT'!BH103&lt;&gt;"",1,0)</f>
        <v>1</v>
      </c>
      <c r="BI113" s="142">
        <f>IF('RAW IMPORT'!BI103&lt;&gt;"",1,0)</f>
        <v>1</v>
      </c>
      <c r="BJ113" s="142">
        <f>IF('RAW IMPORT'!BJ103&lt;&gt;"",1,0)</f>
        <v>1</v>
      </c>
      <c r="BK113" s="142">
        <f>IF('RAW IMPORT'!BK103&lt;&gt;"",1,0)</f>
        <v>1</v>
      </c>
      <c r="BL113" s="142">
        <f>IF('RAW IMPORT'!BL103&lt;&gt;"",1,0)</f>
        <v>1</v>
      </c>
      <c r="BM113" s="142">
        <f>'RAW IMPORT'!BM103</f>
        <v>10</v>
      </c>
      <c r="BN113" s="165">
        <f>IF('RAW IMPORT'!BN103&lt;&gt;"",1,0)</f>
        <v>1</v>
      </c>
      <c r="BO113" s="197">
        <f>'RAW IMPORT'!BO103</f>
        <v>0</v>
      </c>
      <c r="BP113" s="142">
        <f>IF('RAW IMPORT'!BP104="A",1,0)</f>
        <v>0</v>
      </c>
      <c r="BQ113" s="141">
        <f>IF('RAW IMPORT'!BQ104="B",1,0)</f>
        <v>0</v>
      </c>
      <c r="BR113" s="141">
        <f>'RAW IMPORT'!BR103</f>
        <v>8.9999999999999993E-3</v>
      </c>
      <c r="BS113" s="141">
        <f>'RAW IMPORT'!BS103</f>
        <v>4.3999999999999997E-2</v>
      </c>
      <c r="BT113" s="141">
        <f>'RAW IMPORT'!BT103</f>
        <v>0.22</v>
      </c>
      <c r="BU113" s="141">
        <f>'RAW IMPORT'!BU103</f>
        <v>2.1999999999999999E-2</v>
      </c>
      <c r="BV113" s="198">
        <f>IF('RAW IMPORT'!BV104="U",1,0)</f>
        <v>0</v>
      </c>
      <c r="BW113" s="141">
        <f>'RAW IMPORT'!BW103</f>
        <v>1</v>
      </c>
      <c r="BX113" s="165">
        <f>'RAW IMPORT'!BX103</f>
        <v>0</v>
      </c>
      <c r="BY113" s="240"/>
      <c r="BZ113" s="126"/>
      <c r="CD113" s="204" t="str">
        <f t="shared" ref="CD113:CD122" si="12">HK&amp;"Model-"&amp;B113&amp;HK&amp;":"&amp;CRLF&amp;TB&amp;"RETURN"</f>
        <v>"Model-701x L":
    RETURN</v>
      </c>
    </row>
    <row r="114" spans="1:83" ht="15.75" customHeight="1" x14ac:dyDescent="0.25">
      <c r="A114" s="138" t="str">
        <f>'RAW IMPORT'!A104</f>
        <v>OGRO</v>
      </c>
      <c r="B114" s="139">
        <f>'RAW IMPORT'!B104</f>
        <v>7601</v>
      </c>
      <c r="C114" s="142">
        <f>IF('RAW IMPORT'!C105&lt;&gt;"",1,0)</f>
        <v>0</v>
      </c>
      <c r="D114" s="142">
        <f>IF('RAW IMPORT'!D105&lt;&gt;"",1,0)</f>
        <v>0</v>
      </c>
      <c r="E114" s="142">
        <f>IF('RAW IMPORT'!E105&lt;&gt;"",1,0)</f>
        <v>0</v>
      </c>
      <c r="F114" s="142">
        <f>IF('RAW IMPORT'!F105&lt;&gt;"",1,0)</f>
        <v>0</v>
      </c>
      <c r="G114" s="142">
        <f>IF('RAW IMPORT'!G105&lt;&gt;"",1,0)</f>
        <v>0</v>
      </c>
      <c r="H114" s="142">
        <f>IF('RAW IMPORT'!H105&lt;&gt;"",1,0)</f>
        <v>0</v>
      </c>
      <c r="I114" s="142">
        <f>IF('RAW IMPORT'!I105&lt;&gt;"",1,0)</f>
        <v>0</v>
      </c>
      <c r="J114" s="142">
        <f>IF('RAW IMPORT'!J105&lt;&gt;"",1,0)</f>
        <v>0</v>
      </c>
      <c r="K114" s="142">
        <f>IF('RAW IMPORT'!K105&lt;&gt;"",1,0)</f>
        <v>0</v>
      </c>
      <c r="L114" s="142">
        <f>IF('RAW IMPORT'!L105&lt;&gt;"",1,0)</f>
        <v>0</v>
      </c>
      <c r="M114" s="142">
        <f>IF('RAW IMPORT'!M105&lt;&gt;"",1,0)</f>
        <v>0</v>
      </c>
      <c r="N114" s="165">
        <f>IF('RAW IMPORT'!N105&lt;&gt;"",1,0)</f>
        <v>0</v>
      </c>
      <c r="O114" s="167">
        <f>IF('RAW IMPORT'!O105&lt;&gt;"",1,0)</f>
        <v>0</v>
      </c>
      <c r="P114" s="142">
        <f>IF('RAW IMPORT'!P105&lt;&gt;"",1,0)</f>
        <v>0</v>
      </c>
      <c r="Q114" s="142">
        <f>IF('RAW IMPORT'!Q105&lt;&gt;"",1,0)</f>
        <v>0</v>
      </c>
      <c r="R114" s="138">
        <f>'RAW IMPORT'!R105</f>
        <v>0</v>
      </c>
      <c r="S114" s="138">
        <f>'RAW IMPORT'!S105</f>
        <v>0</v>
      </c>
      <c r="T114" s="138">
        <f>'RAW IMPORT'!T105</f>
        <v>0</v>
      </c>
      <c r="U114" s="138">
        <f>'RAW IMPORT'!U105</f>
        <v>0</v>
      </c>
      <c r="V114" s="138">
        <f>'RAW IMPORT'!V105</f>
        <v>0</v>
      </c>
      <c r="W114" s="138">
        <f>'RAW IMPORT'!W105</f>
        <v>0</v>
      </c>
      <c r="X114" s="138">
        <f>'RAW IMPORT'!X105</f>
        <v>0</v>
      </c>
      <c r="Y114" s="138">
        <f>'RAW IMPORT'!Y105</f>
        <v>0</v>
      </c>
      <c r="Z114" s="138">
        <f>'RAW IMPORT'!Z105</f>
        <v>0</v>
      </c>
      <c r="AA114" s="138">
        <f>'RAW IMPORT'!AA105</f>
        <v>0</v>
      </c>
      <c r="AB114" s="139">
        <f>'RAW IMPORT'!AB105</f>
        <v>0</v>
      </c>
      <c r="AC114" s="141">
        <f>'RAW IMPORT'!AC105</f>
        <v>0</v>
      </c>
      <c r="AD114" s="142">
        <f>'RAW IMPORT'!AD105</f>
        <v>0</v>
      </c>
      <c r="AE114" s="142">
        <f>'RAW IMPORT'!AE105</f>
        <v>0</v>
      </c>
      <c r="AF114" s="142">
        <f>IF('RAW IMPORT'!AF105="C1",3,IF('RAW IMPORT'!AF105="D1",4,0))</f>
        <v>0</v>
      </c>
      <c r="AG114" s="142">
        <f>'RAW IMPORT'!AG105</f>
        <v>0</v>
      </c>
      <c r="AH114" s="142">
        <f>'RAW IMPORT'!AH105</f>
        <v>0</v>
      </c>
      <c r="AI114" s="142">
        <f>IF('RAW IMPORT'!AI105="U",1,0)</f>
        <v>0</v>
      </c>
      <c r="AJ114" s="142">
        <f>IF('RAW IMPORT'!AJ105="A",1,0)</f>
        <v>0</v>
      </c>
      <c r="AK114" s="142">
        <f>IF('RAW IMPORT'!AK105="B",1,0)</f>
        <v>0</v>
      </c>
      <c r="AL114" s="142">
        <f>IF('RAW IMPORT'!AL105="U",1,0)</f>
        <v>0</v>
      </c>
      <c r="AM114" s="142">
        <f>IF('RAW IMPORT'!AM105&lt;&gt;"",1,0)</f>
        <v>0</v>
      </c>
      <c r="AN114" s="142">
        <f>IF('RAW IMPORT'!AN105&lt;&gt;"",1,0)</f>
        <v>0</v>
      </c>
      <c r="AO114" s="142">
        <f>IF('RAW IMPORT'!AO105&lt;&gt;"",1,0)</f>
        <v>0</v>
      </c>
      <c r="AP114" s="142">
        <f>IF('RAW IMPORT'!AP105&lt;&gt;"",1,0)</f>
        <v>0</v>
      </c>
      <c r="AQ114" s="142">
        <f>IF('RAW IMPORT'!AQ105&lt;&gt;"",1,0)</f>
        <v>0</v>
      </c>
      <c r="AR114" s="142">
        <f>IF('RAW IMPORT'!AR105&lt;&gt;"",1,0)</f>
        <v>0</v>
      </c>
      <c r="AS114" s="142">
        <f>IF('RAW IMPORT'!AS105&lt;&gt;"",1,0)</f>
        <v>0</v>
      </c>
      <c r="AT114" s="142">
        <f>IF('RAW IMPORT'!AT105&lt;&gt;"",1,0)</f>
        <v>0</v>
      </c>
      <c r="AU114" s="142">
        <f>IF('RAW IMPORT'!AU105&lt;&gt;"",1,0)</f>
        <v>0</v>
      </c>
      <c r="AV114" s="142">
        <f>IF('RAW IMPORT'!AV105&lt;&gt;"",1,0)</f>
        <v>0</v>
      </c>
      <c r="AW114" s="142">
        <f>IF('RAW IMPORT'!AW104&lt;&gt;"",1,0)</f>
        <v>0</v>
      </c>
      <c r="AX114" s="142">
        <f>IF('RAW IMPORT'!AX104&lt;&gt;"",1,0)</f>
        <v>0</v>
      </c>
      <c r="AY114" s="142">
        <f>IF('RAW IMPORT'!AY104&lt;&gt;"",1,0)</f>
        <v>0</v>
      </c>
      <c r="AZ114" s="142">
        <f>IF('RAW IMPORT'!AZ104&lt;&gt;"",1,0)</f>
        <v>0</v>
      </c>
      <c r="BA114" s="142">
        <f>IF('RAW IMPORT'!BA104&lt;&gt;"",1,0)</f>
        <v>0</v>
      </c>
      <c r="BB114" s="142">
        <f>IF('RAW IMPORT'!BB104&lt;&gt;"",1,0)</f>
        <v>1</v>
      </c>
      <c r="BC114" s="142">
        <f>IF('RAW IMPORT'!BC104&lt;&gt;"",1,0)</f>
        <v>0</v>
      </c>
      <c r="BD114" s="142">
        <f>IF('RAW IMPORT'!BD104&lt;&gt;"",1,0)</f>
        <v>0</v>
      </c>
      <c r="BE114" s="142">
        <f>IF('RAW IMPORT'!BE104&lt;&gt;"",1,0)</f>
        <v>0</v>
      </c>
      <c r="BF114" s="142">
        <f>IF('RAW IMPORT'!BF104&lt;&gt;"",1,0)</f>
        <v>0</v>
      </c>
      <c r="BG114" s="142">
        <f>IF('RAW IMPORT'!BG104&lt;&gt;"",1,0)</f>
        <v>1</v>
      </c>
      <c r="BH114" s="142">
        <f>IF('RAW IMPORT'!BH104&lt;&gt;"",1,0)</f>
        <v>1</v>
      </c>
      <c r="BI114" s="142">
        <f>IF('RAW IMPORT'!BI104&lt;&gt;"",1,0)</f>
        <v>1</v>
      </c>
      <c r="BJ114" s="142">
        <f>IF('RAW IMPORT'!BJ104&lt;&gt;"",1,0)</f>
        <v>1</v>
      </c>
      <c r="BK114" s="142">
        <f>IF('RAW IMPORT'!BK104&lt;&gt;"",1,0)</f>
        <v>1</v>
      </c>
      <c r="BL114" s="142">
        <f>IF('RAW IMPORT'!BL104&lt;&gt;"",1,0)</f>
        <v>1</v>
      </c>
      <c r="BM114" s="142">
        <f>'RAW IMPORT'!BM104</f>
        <v>10</v>
      </c>
      <c r="BN114" s="165">
        <f>IF('RAW IMPORT'!BN104&lt;&gt;"",1,0)</f>
        <v>1</v>
      </c>
      <c r="BO114" s="197">
        <f>'RAW IMPORT'!BO104</f>
        <v>0</v>
      </c>
      <c r="BP114" s="142">
        <f>IF('RAW IMPORT'!BP105="A",1,0)</f>
        <v>0</v>
      </c>
      <c r="BQ114" s="141">
        <f>IF('RAW IMPORT'!BQ105="B",1,0)</f>
        <v>0</v>
      </c>
      <c r="BR114" s="141">
        <f>'RAW IMPORT'!BR104</f>
        <v>8.9999999999999993E-3</v>
      </c>
      <c r="BS114" s="141">
        <f>'RAW IMPORT'!BS104</f>
        <v>0.18</v>
      </c>
      <c r="BT114" s="141">
        <f>'RAW IMPORT'!BT104</f>
        <v>0.17</v>
      </c>
      <c r="BU114" s="141">
        <f>'RAW IMPORT'!BU104</f>
        <v>2.5000000000000001E-2</v>
      </c>
      <c r="BV114" s="198">
        <f>IF('RAW IMPORT'!BV105="U",1,0)</f>
        <v>0</v>
      </c>
      <c r="BW114" s="141">
        <f>'RAW IMPORT'!BW104</f>
        <v>8</v>
      </c>
      <c r="BX114" s="165">
        <f>'RAW IMPORT'!BX104</f>
        <v>0</v>
      </c>
      <c r="BY114" s="240"/>
      <c r="BZ114" s="126"/>
      <c r="CD114" s="204" t="str">
        <f t="shared" si="12"/>
        <v>"Model-7601":
    RETURN</v>
      </c>
    </row>
    <row r="115" spans="1:83" ht="15.75" customHeight="1" x14ac:dyDescent="0.25">
      <c r="A115" s="138" t="str">
        <f>'RAW IMPORT'!A105</f>
        <v>OGRO</v>
      </c>
      <c r="B115" s="139" t="str">
        <f>'RAW IMPORT'!B105</f>
        <v>662x + 6679</v>
      </c>
      <c r="C115" s="142">
        <f>IF('RAW IMPORT'!C106&lt;&gt;"",1,0)</f>
        <v>0</v>
      </c>
      <c r="D115" s="142">
        <f>IF('RAW IMPORT'!D106&lt;&gt;"",1,0)</f>
        <v>0</v>
      </c>
      <c r="E115" s="142">
        <f>IF('RAW IMPORT'!E106&lt;&gt;"",1,0)</f>
        <v>0</v>
      </c>
      <c r="F115" s="142">
        <f>IF('RAW IMPORT'!F106&lt;&gt;"",1,0)</f>
        <v>0</v>
      </c>
      <c r="G115" s="142">
        <f>IF('RAW IMPORT'!G106&lt;&gt;"",1,0)</f>
        <v>0</v>
      </c>
      <c r="H115" s="142">
        <f>IF('RAW IMPORT'!H106&lt;&gt;"",1,0)</f>
        <v>0</v>
      </c>
      <c r="I115" s="142">
        <f>IF('RAW IMPORT'!I106&lt;&gt;"",1,0)</f>
        <v>0</v>
      </c>
      <c r="J115" s="142">
        <f>IF('RAW IMPORT'!J106&lt;&gt;"",1,0)</f>
        <v>0</v>
      </c>
      <c r="K115" s="142">
        <f>IF('RAW IMPORT'!K106&lt;&gt;"",1,0)</f>
        <v>0</v>
      </c>
      <c r="L115" s="142">
        <f>IF('RAW IMPORT'!L106&lt;&gt;"",1,0)</f>
        <v>0</v>
      </c>
      <c r="M115" s="142">
        <f>IF('RAW IMPORT'!M106&lt;&gt;"",1,0)</f>
        <v>0</v>
      </c>
      <c r="N115" s="165">
        <f>IF('RAW IMPORT'!N106&lt;&gt;"",1,0)</f>
        <v>0</v>
      </c>
      <c r="O115" s="167">
        <f>IF('RAW IMPORT'!O106&lt;&gt;"",1,0)</f>
        <v>0</v>
      </c>
      <c r="P115" s="142">
        <f>IF('RAW IMPORT'!P106&lt;&gt;"",1,0)</f>
        <v>0</v>
      </c>
      <c r="Q115" s="142">
        <f>IF('RAW IMPORT'!Q106&lt;&gt;"",1,0)</f>
        <v>0</v>
      </c>
      <c r="R115" s="138">
        <f>'RAW IMPORT'!R106</f>
        <v>0</v>
      </c>
      <c r="S115" s="138">
        <f>'RAW IMPORT'!S106</f>
        <v>0</v>
      </c>
      <c r="T115" s="138">
        <f>'RAW IMPORT'!T106</f>
        <v>0</v>
      </c>
      <c r="U115" s="138">
        <f>'RAW IMPORT'!U106</f>
        <v>0</v>
      </c>
      <c r="V115" s="138">
        <f>'RAW IMPORT'!V106</f>
        <v>0</v>
      </c>
      <c r="W115" s="138">
        <f>'RAW IMPORT'!W106</f>
        <v>0</v>
      </c>
      <c r="X115" s="138">
        <f>'RAW IMPORT'!X106</f>
        <v>0</v>
      </c>
      <c r="Y115" s="138">
        <f>'RAW IMPORT'!Y106</f>
        <v>0</v>
      </c>
      <c r="Z115" s="138">
        <f>'RAW IMPORT'!Z106</f>
        <v>0</v>
      </c>
      <c r="AA115" s="138">
        <f>'RAW IMPORT'!AA106</f>
        <v>0</v>
      </c>
      <c r="AB115" s="139">
        <f>'RAW IMPORT'!AB106</f>
        <v>0</v>
      </c>
      <c r="AC115" s="141">
        <f>'RAW IMPORT'!AC106</f>
        <v>0</v>
      </c>
      <c r="AD115" s="142">
        <f>'RAW IMPORT'!AD106</f>
        <v>0</v>
      </c>
      <c r="AE115" s="142">
        <f>'RAW IMPORT'!AE106</f>
        <v>0</v>
      </c>
      <c r="AF115" s="142">
        <f>IF('RAW IMPORT'!AF106="C1",3,IF('RAW IMPORT'!AF106="D1",4,0))</f>
        <v>0</v>
      </c>
      <c r="AG115" s="142">
        <f>'RAW IMPORT'!AG106</f>
        <v>0</v>
      </c>
      <c r="AH115" s="142">
        <f>'RAW IMPORT'!AH106</f>
        <v>0</v>
      </c>
      <c r="AI115" s="142">
        <f>IF('RAW IMPORT'!AI106="U",1,0)</f>
        <v>0</v>
      </c>
      <c r="AJ115" s="142">
        <f>IF('RAW IMPORT'!AJ106="A",1,0)</f>
        <v>0</v>
      </c>
      <c r="AK115" s="142">
        <f>IF('RAW IMPORT'!AK106="B",1,0)</f>
        <v>0</v>
      </c>
      <c r="AL115" s="142">
        <f>IF('RAW IMPORT'!AL106="U",1,0)</f>
        <v>0</v>
      </c>
      <c r="AM115" s="142">
        <f>IF('RAW IMPORT'!AM106&lt;&gt;"",1,0)</f>
        <v>0</v>
      </c>
      <c r="AN115" s="142">
        <f>IF('RAW IMPORT'!AN106&lt;&gt;"",1,0)</f>
        <v>0</v>
      </c>
      <c r="AO115" s="142">
        <f>IF('RAW IMPORT'!AO106&lt;&gt;"",1,0)</f>
        <v>0</v>
      </c>
      <c r="AP115" s="142">
        <f>IF('RAW IMPORT'!AP106&lt;&gt;"",1,0)</f>
        <v>0</v>
      </c>
      <c r="AQ115" s="142">
        <f>IF('RAW IMPORT'!AQ106&lt;&gt;"",1,0)</f>
        <v>0</v>
      </c>
      <c r="AR115" s="142">
        <f>IF('RAW IMPORT'!AR106&lt;&gt;"",1,0)</f>
        <v>0</v>
      </c>
      <c r="AS115" s="142">
        <f>IF('RAW IMPORT'!AS106&lt;&gt;"",1,0)</f>
        <v>0</v>
      </c>
      <c r="AT115" s="142">
        <f>IF('RAW IMPORT'!AT106&lt;&gt;"",1,0)</f>
        <v>0</v>
      </c>
      <c r="AU115" s="142">
        <f>IF('RAW IMPORT'!AU106&lt;&gt;"",1,0)</f>
        <v>0</v>
      </c>
      <c r="AV115" s="142">
        <f>IF('RAW IMPORT'!AV106&lt;&gt;"",1,0)</f>
        <v>0</v>
      </c>
      <c r="AW115" s="142">
        <f>IF('RAW IMPORT'!AW105&lt;&gt;"",1,0)</f>
        <v>0</v>
      </c>
      <c r="AX115" s="142">
        <f>IF('RAW IMPORT'!AX105&lt;&gt;"",1,0)</f>
        <v>0</v>
      </c>
      <c r="AY115" s="142">
        <f>IF('RAW IMPORT'!AY105&lt;&gt;"",1,0)</f>
        <v>0</v>
      </c>
      <c r="AZ115" s="142">
        <f>IF('RAW IMPORT'!AZ105&lt;&gt;"",1,0)</f>
        <v>0</v>
      </c>
      <c r="BA115" s="142">
        <f>IF('RAW IMPORT'!BA105&lt;&gt;"",1,0)</f>
        <v>0</v>
      </c>
      <c r="BB115" s="142">
        <f>IF('RAW IMPORT'!BB105&lt;&gt;"",1,0)</f>
        <v>0</v>
      </c>
      <c r="BC115" s="142">
        <f>IF('RAW IMPORT'!BC105&lt;&gt;"",1,0)</f>
        <v>0</v>
      </c>
      <c r="BD115" s="142">
        <f>IF('RAW IMPORT'!BD105&lt;&gt;"",1,0)</f>
        <v>1</v>
      </c>
      <c r="BE115" s="142">
        <f>IF('RAW IMPORT'!BE105&lt;&gt;"",1,0)</f>
        <v>0</v>
      </c>
      <c r="BF115" s="142">
        <f>IF('RAW IMPORT'!BF105&lt;&gt;"",1,0)</f>
        <v>0</v>
      </c>
      <c r="BG115" s="142">
        <f>IF('RAW IMPORT'!BG105&lt;&gt;"",1,0)</f>
        <v>0</v>
      </c>
      <c r="BH115" s="142">
        <f>IF('RAW IMPORT'!BH105&lt;&gt;"",1,0)</f>
        <v>1</v>
      </c>
      <c r="BI115" s="142">
        <f>IF('RAW IMPORT'!BI105&lt;&gt;"",1,0)</f>
        <v>1</v>
      </c>
      <c r="BJ115" s="142">
        <f>IF('RAW IMPORT'!BJ105&lt;&gt;"",1,0)</f>
        <v>1</v>
      </c>
      <c r="BK115" s="142">
        <f>IF('RAW IMPORT'!BK105&lt;&gt;"",1,0)</f>
        <v>0</v>
      </c>
      <c r="BL115" s="142">
        <f>IF('RAW IMPORT'!BL105&lt;&gt;"",1,0)</f>
        <v>0</v>
      </c>
      <c r="BM115" s="142">
        <f>'RAW IMPORT'!BM105</f>
        <v>11</v>
      </c>
      <c r="BN115" s="165">
        <f>IF('RAW IMPORT'!BN105&lt;&gt;"",1,0)</f>
        <v>0</v>
      </c>
      <c r="BO115" s="197">
        <f>'RAW IMPORT'!BO105</f>
        <v>0</v>
      </c>
      <c r="BP115" s="142">
        <f>IF('RAW IMPORT'!BP106="A",1,0)</f>
        <v>0</v>
      </c>
      <c r="BQ115" s="141">
        <f>IF('RAW IMPORT'!BQ106="B",1,0)</f>
        <v>0</v>
      </c>
      <c r="BR115" s="141">
        <f>'RAW IMPORT'!BR105</f>
        <v>8.9999999999999993E-3</v>
      </c>
      <c r="BS115" s="141">
        <f>'RAW IMPORT'!BS105</f>
        <v>3.15E-2</v>
      </c>
      <c r="BT115" s="141">
        <f>'RAW IMPORT'!BT105</f>
        <v>6.8500000000000005E-2</v>
      </c>
      <c r="BU115" s="141">
        <f>'RAW IMPORT'!BU105</f>
        <v>1.575E-2</v>
      </c>
      <c r="BV115" s="198">
        <f>IF('RAW IMPORT'!BV106="U",1,0)</f>
        <v>0</v>
      </c>
      <c r="BW115" s="141">
        <f>'RAW IMPORT'!BW105</f>
        <v>0</v>
      </c>
      <c r="BX115" s="165">
        <f>'RAW IMPORT'!BX105</f>
        <v>6</v>
      </c>
      <c r="BY115" s="240"/>
      <c r="BZ115" s="126"/>
      <c r="CD115" s="204" t="str">
        <f t="shared" si="12"/>
        <v>"Model-662x + 6679":
    RETURN</v>
      </c>
    </row>
    <row r="116" spans="1:83" ht="15.75" customHeight="1" x14ac:dyDescent="0.25">
      <c r="A116" s="138" t="str">
        <f>'RAW IMPORT'!A106</f>
        <v>OGRO</v>
      </c>
      <c r="B116" s="139" t="str">
        <f>'RAW IMPORT'!B106</f>
        <v>661x + 6676</v>
      </c>
      <c r="C116" s="142">
        <f>IF('RAW IMPORT'!C107&lt;&gt;"",1,0)</f>
        <v>0</v>
      </c>
      <c r="D116" s="142">
        <f>IF('RAW IMPORT'!D107&lt;&gt;"",1,0)</f>
        <v>0</v>
      </c>
      <c r="E116" s="142">
        <f>IF('RAW IMPORT'!E107&lt;&gt;"",1,0)</f>
        <v>0</v>
      </c>
      <c r="F116" s="142">
        <f>IF('RAW IMPORT'!F107&lt;&gt;"",1,0)</f>
        <v>0</v>
      </c>
      <c r="G116" s="142">
        <f>IF('RAW IMPORT'!G107&lt;&gt;"",1,0)</f>
        <v>0</v>
      </c>
      <c r="H116" s="142">
        <f>IF('RAW IMPORT'!H107&lt;&gt;"",1,0)</f>
        <v>0</v>
      </c>
      <c r="I116" s="142">
        <f>IF('RAW IMPORT'!I107&lt;&gt;"",1,0)</f>
        <v>0</v>
      </c>
      <c r="J116" s="142">
        <f>IF('RAW IMPORT'!J107&lt;&gt;"",1,0)</f>
        <v>0</v>
      </c>
      <c r="K116" s="142">
        <f>IF('RAW IMPORT'!K107&lt;&gt;"",1,0)</f>
        <v>0</v>
      </c>
      <c r="L116" s="142">
        <f>IF('RAW IMPORT'!L107&lt;&gt;"",1,0)</f>
        <v>0</v>
      </c>
      <c r="M116" s="142">
        <f>IF('RAW IMPORT'!M107&lt;&gt;"",1,0)</f>
        <v>0</v>
      </c>
      <c r="N116" s="165">
        <f>IF('RAW IMPORT'!N107&lt;&gt;"",1,0)</f>
        <v>0</v>
      </c>
      <c r="O116" s="167">
        <f>IF('RAW IMPORT'!O107&lt;&gt;"",1,0)</f>
        <v>0</v>
      </c>
      <c r="P116" s="142">
        <f>IF('RAW IMPORT'!P107&lt;&gt;"",1,0)</f>
        <v>0</v>
      </c>
      <c r="Q116" s="142">
        <f>IF('RAW IMPORT'!Q107&lt;&gt;"",1,0)</f>
        <v>0</v>
      </c>
      <c r="R116" s="138">
        <f>'RAW IMPORT'!R107</f>
        <v>0</v>
      </c>
      <c r="S116" s="138">
        <f>'RAW IMPORT'!S107</f>
        <v>0</v>
      </c>
      <c r="T116" s="138">
        <f>'RAW IMPORT'!T107</f>
        <v>0</v>
      </c>
      <c r="U116" s="138">
        <f>'RAW IMPORT'!U107</f>
        <v>0</v>
      </c>
      <c r="V116" s="138">
        <f>'RAW IMPORT'!V107</f>
        <v>0</v>
      </c>
      <c r="W116" s="138">
        <f>'RAW IMPORT'!W107</f>
        <v>0</v>
      </c>
      <c r="X116" s="138">
        <f>'RAW IMPORT'!X107</f>
        <v>0</v>
      </c>
      <c r="Y116" s="138">
        <f>'RAW IMPORT'!Y107</f>
        <v>0</v>
      </c>
      <c r="Z116" s="138">
        <f>'RAW IMPORT'!Z107</f>
        <v>0</v>
      </c>
      <c r="AA116" s="138">
        <f>'RAW IMPORT'!AA107</f>
        <v>0</v>
      </c>
      <c r="AB116" s="139">
        <f>'RAW IMPORT'!AB107</f>
        <v>0</v>
      </c>
      <c r="AC116" s="141">
        <f>'RAW IMPORT'!AC107</f>
        <v>0</v>
      </c>
      <c r="AD116" s="142">
        <f>'RAW IMPORT'!AD107</f>
        <v>0</v>
      </c>
      <c r="AE116" s="142">
        <f>'RAW IMPORT'!AE107</f>
        <v>0</v>
      </c>
      <c r="AF116" s="142">
        <f>IF('RAW IMPORT'!AF107="C1",3,IF('RAW IMPORT'!AF107="D1",4,0))</f>
        <v>0</v>
      </c>
      <c r="AG116" s="142">
        <f>'RAW IMPORT'!AG107</f>
        <v>0</v>
      </c>
      <c r="AH116" s="142">
        <f>'RAW IMPORT'!AH107</f>
        <v>0</v>
      </c>
      <c r="AI116" s="142">
        <f>IF('RAW IMPORT'!AI107="U",1,0)</f>
        <v>0</v>
      </c>
      <c r="AJ116" s="142">
        <f>IF('RAW IMPORT'!AJ107="A",1,0)</f>
        <v>0</v>
      </c>
      <c r="AK116" s="142">
        <f>IF('RAW IMPORT'!AK107="B",1,0)</f>
        <v>0</v>
      </c>
      <c r="AL116" s="142">
        <f>IF('RAW IMPORT'!AL107="U",1,0)</f>
        <v>0</v>
      </c>
      <c r="AM116" s="142">
        <f>IF('RAW IMPORT'!AM107&lt;&gt;"",1,0)</f>
        <v>0</v>
      </c>
      <c r="AN116" s="142">
        <f>IF('RAW IMPORT'!AN107&lt;&gt;"",1,0)</f>
        <v>0</v>
      </c>
      <c r="AO116" s="142">
        <f>IF('RAW IMPORT'!AO107&lt;&gt;"",1,0)</f>
        <v>0</v>
      </c>
      <c r="AP116" s="142">
        <f>IF('RAW IMPORT'!AP107&lt;&gt;"",1,0)</f>
        <v>0</v>
      </c>
      <c r="AQ116" s="142">
        <f>IF('RAW IMPORT'!AQ107&lt;&gt;"",1,0)</f>
        <v>0</v>
      </c>
      <c r="AR116" s="142">
        <f>IF('RAW IMPORT'!AR107&lt;&gt;"",1,0)</f>
        <v>0</v>
      </c>
      <c r="AS116" s="142">
        <f>IF('RAW IMPORT'!AS107&lt;&gt;"",1,0)</f>
        <v>0</v>
      </c>
      <c r="AT116" s="142">
        <f>IF('RAW IMPORT'!AT107&lt;&gt;"",1,0)</f>
        <v>0</v>
      </c>
      <c r="AU116" s="142">
        <f>IF('RAW IMPORT'!AU107&lt;&gt;"",1,0)</f>
        <v>0</v>
      </c>
      <c r="AV116" s="142">
        <f>IF('RAW IMPORT'!AV107&lt;&gt;"",1,0)</f>
        <v>0</v>
      </c>
      <c r="AW116" s="142">
        <f>IF('RAW IMPORT'!AW106&lt;&gt;"",1,0)</f>
        <v>0</v>
      </c>
      <c r="AX116" s="142">
        <f>IF('RAW IMPORT'!AX106&lt;&gt;"",1,0)</f>
        <v>0</v>
      </c>
      <c r="AY116" s="142">
        <f>IF('RAW IMPORT'!AY106&lt;&gt;"",1,0)</f>
        <v>0</v>
      </c>
      <c r="AZ116" s="142">
        <f>IF('RAW IMPORT'!AZ106&lt;&gt;"",1,0)</f>
        <v>0</v>
      </c>
      <c r="BA116" s="142">
        <f>IF('RAW IMPORT'!BA106&lt;&gt;"",1,0)</f>
        <v>0</v>
      </c>
      <c r="BB116" s="142">
        <f>IF('RAW IMPORT'!BB106&lt;&gt;"",1,0)</f>
        <v>0</v>
      </c>
      <c r="BC116" s="142">
        <f>IF('RAW IMPORT'!BC106&lt;&gt;"",1,0)</f>
        <v>0</v>
      </c>
      <c r="BD116" s="142">
        <f>IF('RAW IMPORT'!BD106&lt;&gt;"",1,0)</f>
        <v>0</v>
      </c>
      <c r="BE116" s="142">
        <f>IF('RAW IMPORT'!BE106&lt;&gt;"",1,0)</f>
        <v>1</v>
      </c>
      <c r="BF116" s="142">
        <f>IF('RAW IMPORT'!BF106&lt;&gt;"",1,0)</f>
        <v>0</v>
      </c>
      <c r="BG116" s="142">
        <f>IF('RAW IMPORT'!BG106&lt;&gt;"",1,0)</f>
        <v>0</v>
      </c>
      <c r="BH116" s="142">
        <f>IF('RAW IMPORT'!BH106&lt;&gt;"",1,0)</f>
        <v>1</v>
      </c>
      <c r="BI116" s="142">
        <f>IF('RAW IMPORT'!BI106&lt;&gt;"",1,0)</f>
        <v>1</v>
      </c>
      <c r="BJ116" s="142">
        <f>IF('RAW IMPORT'!BJ106&lt;&gt;"",1,0)</f>
        <v>1</v>
      </c>
      <c r="BK116" s="142">
        <f>IF('RAW IMPORT'!BK106&lt;&gt;"",1,0)</f>
        <v>0</v>
      </c>
      <c r="BL116" s="142">
        <f>IF('RAW IMPORT'!BL106&lt;&gt;"",1,0)</f>
        <v>0</v>
      </c>
      <c r="BM116" s="142">
        <f>'RAW IMPORT'!BM106</f>
        <v>11</v>
      </c>
      <c r="BN116" s="165">
        <f>IF('RAW IMPORT'!BN106&lt;&gt;"",1,0)</f>
        <v>0</v>
      </c>
      <c r="BO116" s="197">
        <f>'RAW IMPORT'!BO106</f>
        <v>0</v>
      </c>
      <c r="BP116" s="142">
        <f>IF('RAW IMPORT'!BP107="A",1,0)</f>
        <v>0</v>
      </c>
      <c r="BQ116" s="141">
        <f>IF('RAW IMPORT'!BQ107="B",1,0)</f>
        <v>0</v>
      </c>
      <c r="BR116" s="141">
        <f>'RAW IMPORT'!BR106</f>
        <v>8.9999999999999993E-3</v>
      </c>
      <c r="BS116" s="141">
        <f>'RAW IMPORT'!BS106</f>
        <v>3.15E-2</v>
      </c>
      <c r="BT116" s="141">
        <f>'RAW IMPORT'!BT106</f>
        <v>6.8500000000000005E-2</v>
      </c>
      <c r="BU116" s="141">
        <f>'RAW IMPORT'!BU106</f>
        <v>1.575E-2</v>
      </c>
      <c r="BV116" s="198">
        <f>IF('RAW IMPORT'!BV107="U",1,0)</f>
        <v>0</v>
      </c>
      <c r="BW116" s="141">
        <f>'RAW IMPORT'!BW106</f>
        <v>0</v>
      </c>
      <c r="BX116" s="165">
        <f>'RAW IMPORT'!BX106</f>
        <v>7</v>
      </c>
      <c r="BY116" s="240"/>
      <c r="BZ116" s="126"/>
      <c r="CD116" s="204" t="str">
        <f t="shared" si="12"/>
        <v>"Model-661x + 6676":
    RETURN</v>
      </c>
    </row>
    <row r="117" spans="1:83" ht="15.75" customHeight="1" x14ac:dyDescent="0.25">
      <c r="A117" s="138" t="str">
        <f>'RAW IMPORT'!A107</f>
        <v>OGRO</v>
      </c>
      <c r="B117" s="139" t="str">
        <f>'RAW IMPORT'!B107</f>
        <v>662x</v>
      </c>
      <c r="C117" s="142">
        <f>IF('RAW IMPORT'!C108&lt;&gt;"",1,0)</f>
        <v>0</v>
      </c>
      <c r="D117" s="142">
        <f>IF('RAW IMPORT'!D108&lt;&gt;"",1,0)</f>
        <v>0</v>
      </c>
      <c r="E117" s="142">
        <f>IF('RAW IMPORT'!E108&lt;&gt;"",1,0)</f>
        <v>0</v>
      </c>
      <c r="F117" s="142">
        <f>IF('RAW IMPORT'!F108&lt;&gt;"",1,0)</f>
        <v>0</v>
      </c>
      <c r="G117" s="142">
        <f>IF('RAW IMPORT'!G108&lt;&gt;"",1,0)</f>
        <v>0</v>
      </c>
      <c r="H117" s="142">
        <f>IF('RAW IMPORT'!H108&lt;&gt;"",1,0)</f>
        <v>0</v>
      </c>
      <c r="I117" s="142">
        <f>IF('RAW IMPORT'!I108&lt;&gt;"",1,0)</f>
        <v>0</v>
      </c>
      <c r="J117" s="142">
        <f>IF('RAW IMPORT'!J108&lt;&gt;"",1,0)</f>
        <v>0</v>
      </c>
      <c r="K117" s="142">
        <f>IF('RAW IMPORT'!K108&lt;&gt;"",1,0)</f>
        <v>0</v>
      </c>
      <c r="L117" s="142">
        <f>IF('RAW IMPORT'!L108&lt;&gt;"",1,0)</f>
        <v>0</v>
      </c>
      <c r="M117" s="142">
        <f>IF('RAW IMPORT'!M108&lt;&gt;"",1,0)</f>
        <v>0</v>
      </c>
      <c r="N117" s="165">
        <f>IF('RAW IMPORT'!N108&lt;&gt;"",1,0)</f>
        <v>0</v>
      </c>
      <c r="O117" s="167">
        <f>IF('RAW IMPORT'!O108&lt;&gt;"",1,0)</f>
        <v>0</v>
      </c>
      <c r="P117" s="142">
        <f>IF('RAW IMPORT'!P108&lt;&gt;"",1,0)</f>
        <v>0</v>
      </c>
      <c r="Q117" s="142">
        <f>IF('RAW IMPORT'!Q108&lt;&gt;"",1,0)</f>
        <v>0</v>
      </c>
      <c r="R117" s="138">
        <f>'RAW IMPORT'!R108</f>
        <v>0</v>
      </c>
      <c r="S117" s="138">
        <f>'RAW IMPORT'!S108</f>
        <v>0</v>
      </c>
      <c r="T117" s="138">
        <f>'RAW IMPORT'!T108</f>
        <v>0</v>
      </c>
      <c r="U117" s="138">
        <f>'RAW IMPORT'!U108</f>
        <v>0</v>
      </c>
      <c r="V117" s="138">
        <f>'RAW IMPORT'!V108</f>
        <v>0</v>
      </c>
      <c r="W117" s="138">
        <f>'RAW IMPORT'!W108</f>
        <v>0</v>
      </c>
      <c r="X117" s="138">
        <f>'RAW IMPORT'!X108</f>
        <v>0</v>
      </c>
      <c r="Y117" s="138">
        <f>'RAW IMPORT'!Y108</f>
        <v>0</v>
      </c>
      <c r="Z117" s="138">
        <f>'RAW IMPORT'!Z108</f>
        <v>0</v>
      </c>
      <c r="AA117" s="138">
        <f>'RAW IMPORT'!AA108</f>
        <v>0</v>
      </c>
      <c r="AB117" s="139">
        <f>'RAW IMPORT'!AB108</f>
        <v>0</v>
      </c>
      <c r="AC117" s="141">
        <f>'RAW IMPORT'!AC108</f>
        <v>0</v>
      </c>
      <c r="AD117" s="142">
        <f>'RAW IMPORT'!AD108</f>
        <v>0</v>
      </c>
      <c r="AE117" s="142">
        <f>'RAW IMPORT'!AE108</f>
        <v>0</v>
      </c>
      <c r="AF117" s="142">
        <f>IF('RAW IMPORT'!AF108="C1",3,IF('RAW IMPORT'!AF108="D1",4,0))</f>
        <v>0</v>
      </c>
      <c r="AG117" s="142">
        <f>'RAW IMPORT'!AG108</f>
        <v>0</v>
      </c>
      <c r="AH117" s="142">
        <f>'RAW IMPORT'!AH108</f>
        <v>0</v>
      </c>
      <c r="AI117" s="142">
        <f>IF('RAW IMPORT'!AI108="U",1,0)</f>
        <v>0</v>
      </c>
      <c r="AJ117" s="142">
        <f>IF('RAW IMPORT'!AJ108="A",1,0)</f>
        <v>0</v>
      </c>
      <c r="AK117" s="142">
        <f>IF('RAW IMPORT'!AK108="B",1,0)</f>
        <v>0</v>
      </c>
      <c r="AL117" s="142">
        <f>IF('RAW IMPORT'!AL108="U",1,0)</f>
        <v>0</v>
      </c>
      <c r="AM117" s="142">
        <f>IF('RAW IMPORT'!AM108&lt;&gt;"",1,0)</f>
        <v>0</v>
      </c>
      <c r="AN117" s="142">
        <f>IF('RAW IMPORT'!AN108&lt;&gt;"",1,0)</f>
        <v>0</v>
      </c>
      <c r="AO117" s="142">
        <f>IF('RAW IMPORT'!AO108&lt;&gt;"",1,0)</f>
        <v>0</v>
      </c>
      <c r="AP117" s="142">
        <f>IF('RAW IMPORT'!AP108&lt;&gt;"",1,0)</f>
        <v>0</v>
      </c>
      <c r="AQ117" s="142">
        <f>IF('RAW IMPORT'!AQ108&lt;&gt;"",1,0)</f>
        <v>0</v>
      </c>
      <c r="AR117" s="142">
        <f>IF('RAW IMPORT'!AR108&lt;&gt;"",1,0)</f>
        <v>0</v>
      </c>
      <c r="AS117" s="142">
        <f>IF('RAW IMPORT'!AS108&lt;&gt;"",1,0)</f>
        <v>0</v>
      </c>
      <c r="AT117" s="142">
        <f>IF('RAW IMPORT'!AT108&lt;&gt;"",1,0)</f>
        <v>0</v>
      </c>
      <c r="AU117" s="142">
        <f>IF('RAW IMPORT'!AU108&lt;&gt;"",1,0)</f>
        <v>0</v>
      </c>
      <c r="AV117" s="142">
        <f>IF('RAW IMPORT'!AV108&lt;&gt;"",1,0)</f>
        <v>0</v>
      </c>
      <c r="AW117" s="142">
        <f>IF('RAW IMPORT'!AW107&lt;&gt;"",1,0)</f>
        <v>0</v>
      </c>
      <c r="AX117" s="142">
        <f>IF('RAW IMPORT'!AX107&lt;&gt;"",1,0)</f>
        <v>0</v>
      </c>
      <c r="AY117" s="142">
        <f>IF('RAW IMPORT'!AY107&lt;&gt;"",1,0)</f>
        <v>0</v>
      </c>
      <c r="AZ117" s="142">
        <f>IF('RAW IMPORT'!AZ107&lt;&gt;"",1,0)</f>
        <v>0</v>
      </c>
      <c r="BA117" s="142">
        <f>IF('RAW IMPORT'!BA107&lt;&gt;"",1,0)</f>
        <v>0</v>
      </c>
      <c r="BB117" s="142">
        <f>IF('RAW IMPORT'!BB107&lt;&gt;"",1,0)</f>
        <v>0</v>
      </c>
      <c r="BC117" s="142">
        <f>IF('RAW IMPORT'!BC107&lt;&gt;"",1,0)</f>
        <v>0</v>
      </c>
      <c r="BD117" s="142">
        <f>IF('RAW IMPORT'!BD107&lt;&gt;"",1,0)</f>
        <v>1</v>
      </c>
      <c r="BE117" s="142">
        <f>IF('RAW IMPORT'!BE107&lt;&gt;"",1,0)</f>
        <v>0</v>
      </c>
      <c r="BF117" s="142">
        <f>IF('RAW IMPORT'!BF107&lt;&gt;"",1,0)</f>
        <v>0</v>
      </c>
      <c r="BG117" s="142">
        <f>IF('RAW IMPORT'!BG107&lt;&gt;"",1,0)</f>
        <v>0</v>
      </c>
      <c r="BH117" s="142">
        <f>IF('RAW IMPORT'!BH107&lt;&gt;"",1,0)</f>
        <v>0</v>
      </c>
      <c r="BI117" s="142">
        <f>IF('RAW IMPORT'!BI107&lt;&gt;"",1,0)</f>
        <v>0</v>
      </c>
      <c r="BJ117" s="142">
        <f>IF('RAW IMPORT'!BJ107&lt;&gt;"",1,0)</f>
        <v>0</v>
      </c>
      <c r="BK117" s="142">
        <f>IF('RAW IMPORT'!BK107&lt;&gt;"",1,0)</f>
        <v>0</v>
      </c>
      <c r="BL117" s="142">
        <f>IF('RAW IMPORT'!BL107&lt;&gt;"",1,0)</f>
        <v>0</v>
      </c>
      <c r="BM117" s="142">
        <f>'RAW IMPORT'!BM107</f>
        <v>11</v>
      </c>
      <c r="BN117" s="165">
        <f>IF('RAW IMPORT'!BN107&lt;&gt;"",1,0)</f>
        <v>0</v>
      </c>
      <c r="BO117" s="197">
        <f>'RAW IMPORT'!BO107</f>
        <v>0</v>
      </c>
      <c r="BP117" s="142">
        <f>IF('RAW IMPORT'!BP108="A",1,0)</f>
        <v>0</v>
      </c>
      <c r="BQ117" s="141">
        <f>IF('RAW IMPORT'!BQ108="B",1,0)</f>
        <v>0</v>
      </c>
      <c r="BR117" s="141">
        <f>'RAW IMPORT'!BR107</f>
        <v>8.9999999999999993E-3</v>
      </c>
      <c r="BS117" s="141">
        <f>'RAW IMPORT'!BS107</f>
        <v>3.15E-2</v>
      </c>
      <c r="BT117" s="141">
        <f>'RAW IMPORT'!BT107</f>
        <v>6.8500000000000005E-2</v>
      </c>
      <c r="BU117" s="141">
        <f>'RAW IMPORT'!BU107</f>
        <v>1.575E-2</v>
      </c>
      <c r="BV117" s="198">
        <f>IF('RAW IMPORT'!BV108="U",1,0)</f>
        <v>0</v>
      </c>
      <c r="BW117" s="141">
        <f>'RAW IMPORT'!BW107</f>
        <v>0</v>
      </c>
      <c r="BX117" s="165">
        <f>'RAW IMPORT'!BX107</f>
        <v>11</v>
      </c>
      <c r="BY117" s="240"/>
      <c r="BZ117" s="126"/>
      <c r="CD117" s="204" t="str">
        <f t="shared" si="12"/>
        <v>"Model-662x":
    RETURN</v>
      </c>
    </row>
    <row r="118" spans="1:83" ht="15.75" customHeight="1" x14ac:dyDescent="0.25">
      <c r="A118" s="138" t="str">
        <f>'RAW IMPORT'!A108</f>
        <v>OGRO</v>
      </c>
      <c r="B118" s="139" t="str">
        <f>'RAW IMPORT'!B108</f>
        <v>661x</v>
      </c>
      <c r="C118" s="142">
        <f>IF('RAW IMPORT'!C109&lt;&gt;"",1,0)</f>
        <v>0</v>
      </c>
      <c r="D118" s="142">
        <f>IF('RAW IMPORT'!D109&lt;&gt;"",1,0)</f>
        <v>0</v>
      </c>
      <c r="E118" s="142">
        <f>IF('RAW IMPORT'!E109&lt;&gt;"",1,0)</f>
        <v>0</v>
      </c>
      <c r="F118" s="142">
        <f>IF('RAW IMPORT'!F109&lt;&gt;"",1,0)</f>
        <v>0</v>
      </c>
      <c r="G118" s="142">
        <f>IF('RAW IMPORT'!G109&lt;&gt;"",1,0)</f>
        <v>0</v>
      </c>
      <c r="H118" s="142">
        <f>IF('RAW IMPORT'!H109&lt;&gt;"",1,0)</f>
        <v>0</v>
      </c>
      <c r="I118" s="142">
        <f>IF('RAW IMPORT'!I109&lt;&gt;"",1,0)</f>
        <v>0</v>
      </c>
      <c r="J118" s="142">
        <f>IF('RAW IMPORT'!J109&lt;&gt;"",1,0)</f>
        <v>0</v>
      </c>
      <c r="K118" s="142">
        <f>IF('RAW IMPORT'!K109&lt;&gt;"",1,0)</f>
        <v>0</v>
      </c>
      <c r="L118" s="142">
        <f>IF('RAW IMPORT'!L109&lt;&gt;"",1,0)</f>
        <v>0</v>
      </c>
      <c r="M118" s="142">
        <f>IF('RAW IMPORT'!M109&lt;&gt;"",1,0)</f>
        <v>0</v>
      </c>
      <c r="N118" s="165">
        <f>IF('RAW IMPORT'!N109&lt;&gt;"",1,0)</f>
        <v>0</v>
      </c>
      <c r="O118" s="167">
        <f>IF('RAW IMPORT'!O109&lt;&gt;"",1,0)</f>
        <v>0</v>
      </c>
      <c r="P118" s="142">
        <f>IF('RAW IMPORT'!P109&lt;&gt;"",1,0)</f>
        <v>0</v>
      </c>
      <c r="Q118" s="142">
        <f>IF('RAW IMPORT'!Q109&lt;&gt;"",1,0)</f>
        <v>0</v>
      </c>
      <c r="R118" s="138">
        <f>'RAW IMPORT'!R109</f>
        <v>0</v>
      </c>
      <c r="S118" s="138">
        <f>'RAW IMPORT'!S109</f>
        <v>0</v>
      </c>
      <c r="T118" s="138">
        <f>'RAW IMPORT'!T109</f>
        <v>0</v>
      </c>
      <c r="U118" s="138">
        <f>'RAW IMPORT'!U109</f>
        <v>0</v>
      </c>
      <c r="V118" s="138">
        <f>'RAW IMPORT'!V109</f>
        <v>0</v>
      </c>
      <c r="W118" s="138">
        <f>'RAW IMPORT'!W109</f>
        <v>0</v>
      </c>
      <c r="X118" s="138">
        <f>'RAW IMPORT'!X109</f>
        <v>0</v>
      </c>
      <c r="Y118" s="138">
        <f>'RAW IMPORT'!Y109</f>
        <v>0</v>
      </c>
      <c r="Z118" s="138">
        <f>'RAW IMPORT'!Z109</f>
        <v>0</v>
      </c>
      <c r="AA118" s="138">
        <f>'RAW IMPORT'!AA109</f>
        <v>0</v>
      </c>
      <c r="AB118" s="139">
        <f>'RAW IMPORT'!AB109</f>
        <v>0</v>
      </c>
      <c r="AC118" s="141">
        <f>'RAW IMPORT'!AC109</f>
        <v>0</v>
      </c>
      <c r="AD118" s="142">
        <f>'RAW IMPORT'!AD109</f>
        <v>0</v>
      </c>
      <c r="AE118" s="142">
        <f>'RAW IMPORT'!AE109</f>
        <v>0</v>
      </c>
      <c r="AF118" s="142">
        <f>IF('RAW IMPORT'!AF109="C1",3,IF('RAW IMPORT'!AF109="D1",4,0))</f>
        <v>0</v>
      </c>
      <c r="AG118" s="142">
        <f>'RAW IMPORT'!AG109</f>
        <v>0</v>
      </c>
      <c r="AH118" s="142">
        <f>'RAW IMPORT'!AH109</f>
        <v>0</v>
      </c>
      <c r="AI118" s="142">
        <f>IF('RAW IMPORT'!AI109="U",1,0)</f>
        <v>0</v>
      </c>
      <c r="AJ118" s="142">
        <f>IF('RAW IMPORT'!AJ109="A",1,0)</f>
        <v>0</v>
      </c>
      <c r="AK118" s="142">
        <f>IF('RAW IMPORT'!AK109="B",1,0)</f>
        <v>0</v>
      </c>
      <c r="AL118" s="142">
        <f>IF('RAW IMPORT'!AL109="U",1,0)</f>
        <v>0</v>
      </c>
      <c r="AM118" s="142">
        <f>IF('RAW IMPORT'!AM109&lt;&gt;"",1,0)</f>
        <v>0</v>
      </c>
      <c r="AN118" s="142">
        <f>IF('RAW IMPORT'!AN109&lt;&gt;"",1,0)</f>
        <v>0</v>
      </c>
      <c r="AO118" s="142">
        <f>IF('RAW IMPORT'!AO109&lt;&gt;"",1,0)</f>
        <v>0</v>
      </c>
      <c r="AP118" s="142">
        <f>IF('RAW IMPORT'!AP109&lt;&gt;"",1,0)</f>
        <v>0</v>
      </c>
      <c r="AQ118" s="142">
        <f>IF('RAW IMPORT'!AQ109&lt;&gt;"",1,0)</f>
        <v>0</v>
      </c>
      <c r="AR118" s="142">
        <f>IF('RAW IMPORT'!AR109&lt;&gt;"",1,0)</f>
        <v>0</v>
      </c>
      <c r="AS118" s="142">
        <f>IF('RAW IMPORT'!AS109&lt;&gt;"",1,0)</f>
        <v>0</v>
      </c>
      <c r="AT118" s="142">
        <f>IF('RAW IMPORT'!AT109&lt;&gt;"",1,0)</f>
        <v>0</v>
      </c>
      <c r="AU118" s="142">
        <f>IF('RAW IMPORT'!AU109&lt;&gt;"",1,0)</f>
        <v>0</v>
      </c>
      <c r="AV118" s="142">
        <f>IF('RAW IMPORT'!AV109&lt;&gt;"",1,0)</f>
        <v>0</v>
      </c>
      <c r="AW118" s="142">
        <f>IF('RAW IMPORT'!AW108&lt;&gt;"",1,0)</f>
        <v>0</v>
      </c>
      <c r="AX118" s="142">
        <f>IF('RAW IMPORT'!AX108&lt;&gt;"",1,0)</f>
        <v>0</v>
      </c>
      <c r="AY118" s="142">
        <f>IF('RAW IMPORT'!AY108&lt;&gt;"",1,0)</f>
        <v>0</v>
      </c>
      <c r="AZ118" s="142">
        <f>IF('RAW IMPORT'!AZ108&lt;&gt;"",1,0)</f>
        <v>0</v>
      </c>
      <c r="BA118" s="142">
        <f>IF('RAW IMPORT'!BA108&lt;&gt;"",1,0)</f>
        <v>0</v>
      </c>
      <c r="BB118" s="142">
        <f>IF('RAW IMPORT'!BB108&lt;&gt;"",1,0)</f>
        <v>0</v>
      </c>
      <c r="BC118" s="142">
        <f>IF('RAW IMPORT'!BC108&lt;&gt;"",1,0)</f>
        <v>0</v>
      </c>
      <c r="BD118" s="142">
        <f>IF('RAW IMPORT'!BD108&lt;&gt;"",1,0)</f>
        <v>0</v>
      </c>
      <c r="BE118" s="142">
        <f>IF('RAW IMPORT'!BE108&lt;&gt;"",1,0)</f>
        <v>1</v>
      </c>
      <c r="BF118" s="142">
        <f>IF('RAW IMPORT'!BF108&lt;&gt;"",1,0)</f>
        <v>0</v>
      </c>
      <c r="BG118" s="142">
        <f>IF('RAW IMPORT'!BG108&lt;&gt;"",1,0)</f>
        <v>0</v>
      </c>
      <c r="BH118" s="142">
        <f>IF('RAW IMPORT'!BH108&lt;&gt;"",1,0)</f>
        <v>0</v>
      </c>
      <c r="BI118" s="142">
        <f>IF('RAW IMPORT'!BI108&lt;&gt;"",1,0)</f>
        <v>0</v>
      </c>
      <c r="BJ118" s="142">
        <f>IF('RAW IMPORT'!BJ108&lt;&gt;"",1,0)</f>
        <v>0</v>
      </c>
      <c r="BK118" s="142">
        <f>IF('RAW IMPORT'!BK108&lt;&gt;"",1,0)</f>
        <v>0</v>
      </c>
      <c r="BL118" s="142">
        <f>IF('RAW IMPORT'!BL108&lt;&gt;"",1,0)</f>
        <v>0</v>
      </c>
      <c r="BM118" s="142">
        <f>'RAW IMPORT'!BM108</f>
        <v>11</v>
      </c>
      <c r="BN118" s="165">
        <f>IF('RAW IMPORT'!BN108&lt;&gt;"",1,0)</f>
        <v>0</v>
      </c>
      <c r="BO118" s="197">
        <f>'RAW IMPORT'!BO108</f>
        <v>0</v>
      </c>
      <c r="BP118" s="142">
        <f>IF('RAW IMPORT'!BP109="A",1,0)</f>
        <v>0</v>
      </c>
      <c r="BQ118" s="141">
        <f>IF('RAW IMPORT'!BQ109="B",1,0)</f>
        <v>0</v>
      </c>
      <c r="BR118" s="141">
        <f>'RAW IMPORT'!BR108</f>
        <v>8.9999999999999993E-3</v>
      </c>
      <c r="BS118" s="141">
        <f>'RAW IMPORT'!BS108</f>
        <v>3.15E-2</v>
      </c>
      <c r="BT118" s="141">
        <f>'RAW IMPORT'!BT108</f>
        <v>6.8500000000000005E-2</v>
      </c>
      <c r="BU118" s="141">
        <f>'RAW IMPORT'!BU108</f>
        <v>1.575E-2</v>
      </c>
      <c r="BV118" s="198">
        <f>IF('RAW IMPORT'!BV109="U",1,0)</f>
        <v>0</v>
      </c>
      <c r="BW118" s="141">
        <f>'RAW IMPORT'!BW108</f>
        <v>0</v>
      </c>
      <c r="BX118" s="165">
        <f>'RAW IMPORT'!BX108</f>
        <v>12</v>
      </c>
      <c r="BY118" s="240"/>
      <c r="BZ118" s="126"/>
      <c r="CD118" s="204" t="str">
        <f t="shared" si="12"/>
        <v>"Model-661x":
    RETURN</v>
      </c>
    </row>
    <row r="119" spans="1:83" ht="15.75" customHeight="1" x14ac:dyDescent="0.25">
      <c r="A119" s="138" t="str">
        <f>'RAW IMPORT'!A109</f>
        <v>OGRO</v>
      </c>
      <c r="B119" s="139">
        <f>'RAW IMPORT'!B109</f>
        <v>6679</v>
      </c>
      <c r="C119" s="142">
        <f>IF('RAW IMPORT'!C110&lt;&gt;"",1,0)</f>
        <v>0</v>
      </c>
      <c r="D119" s="142">
        <f>IF('RAW IMPORT'!D110&lt;&gt;"",1,0)</f>
        <v>0</v>
      </c>
      <c r="E119" s="142">
        <f>IF('RAW IMPORT'!E110&lt;&gt;"",1,0)</f>
        <v>0</v>
      </c>
      <c r="F119" s="142">
        <f>IF('RAW IMPORT'!F110&lt;&gt;"",1,0)</f>
        <v>0</v>
      </c>
      <c r="G119" s="142">
        <f>IF('RAW IMPORT'!G110&lt;&gt;"",1,0)</f>
        <v>0</v>
      </c>
      <c r="H119" s="142">
        <f>IF('RAW IMPORT'!H110&lt;&gt;"",1,0)</f>
        <v>0</v>
      </c>
      <c r="I119" s="142">
        <f>IF('RAW IMPORT'!I110&lt;&gt;"",1,0)</f>
        <v>0</v>
      </c>
      <c r="J119" s="142">
        <f>IF('RAW IMPORT'!J110&lt;&gt;"",1,0)</f>
        <v>0</v>
      </c>
      <c r="K119" s="142">
        <f>IF('RAW IMPORT'!K110&lt;&gt;"",1,0)</f>
        <v>0</v>
      </c>
      <c r="L119" s="142">
        <f>IF('RAW IMPORT'!L110&lt;&gt;"",1,0)</f>
        <v>0</v>
      </c>
      <c r="M119" s="142">
        <f>IF('RAW IMPORT'!M110&lt;&gt;"",1,0)</f>
        <v>0</v>
      </c>
      <c r="N119" s="165">
        <f>IF('RAW IMPORT'!N110&lt;&gt;"",1,0)</f>
        <v>0</v>
      </c>
      <c r="O119" s="167">
        <f>IF('RAW IMPORT'!O110&lt;&gt;"",1,0)</f>
        <v>0</v>
      </c>
      <c r="P119" s="142">
        <f>IF('RAW IMPORT'!P110&lt;&gt;"",1,0)</f>
        <v>0</v>
      </c>
      <c r="Q119" s="142">
        <f>IF('RAW IMPORT'!Q110&lt;&gt;"",1,0)</f>
        <v>0</v>
      </c>
      <c r="R119" s="138">
        <f>'RAW IMPORT'!R110</f>
        <v>0</v>
      </c>
      <c r="S119" s="138">
        <f>'RAW IMPORT'!S110</f>
        <v>0</v>
      </c>
      <c r="T119" s="138">
        <f>'RAW IMPORT'!T110</f>
        <v>0</v>
      </c>
      <c r="U119" s="138">
        <f>'RAW IMPORT'!U110</f>
        <v>0</v>
      </c>
      <c r="V119" s="138">
        <f>'RAW IMPORT'!V110</f>
        <v>0</v>
      </c>
      <c r="W119" s="138">
        <f>'RAW IMPORT'!W110</f>
        <v>0</v>
      </c>
      <c r="X119" s="138">
        <f>'RAW IMPORT'!X110</f>
        <v>0</v>
      </c>
      <c r="Y119" s="138">
        <f>'RAW IMPORT'!Y110</f>
        <v>0</v>
      </c>
      <c r="Z119" s="138">
        <f>'RAW IMPORT'!Z110</f>
        <v>0</v>
      </c>
      <c r="AA119" s="138">
        <f>'RAW IMPORT'!AA110</f>
        <v>0</v>
      </c>
      <c r="AB119" s="139">
        <f>'RAW IMPORT'!AB110</f>
        <v>0</v>
      </c>
      <c r="AC119" s="141">
        <f>'RAW IMPORT'!AC110</f>
        <v>0</v>
      </c>
      <c r="AD119" s="142">
        <f>'RAW IMPORT'!AD110</f>
        <v>0</v>
      </c>
      <c r="AE119" s="142">
        <f>'RAW IMPORT'!AE110</f>
        <v>0</v>
      </c>
      <c r="AF119" s="142">
        <f>IF('RAW IMPORT'!AF110="C1",3,IF('RAW IMPORT'!AF110="D1",4,0))</f>
        <v>0</v>
      </c>
      <c r="AG119" s="142">
        <f>'RAW IMPORT'!AG110</f>
        <v>0</v>
      </c>
      <c r="AH119" s="142">
        <f>'RAW IMPORT'!AH110</f>
        <v>0</v>
      </c>
      <c r="AI119" s="142">
        <f>IF('RAW IMPORT'!AI110="U",1,0)</f>
        <v>0</v>
      </c>
      <c r="AJ119" s="142">
        <f>IF('RAW IMPORT'!AJ110="A",1,0)</f>
        <v>0</v>
      </c>
      <c r="AK119" s="142">
        <f>IF('RAW IMPORT'!AK110="B",1,0)</f>
        <v>0</v>
      </c>
      <c r="AL119" s="142">
        <f>IF('RAW IMPORT'!AL110="U",1,0)</f>
        <v>0</v>
      </c>
      <c r="AM119" s="142">
        <f>IF('RAW IMPORT'!AM110&lt;&gt;"",1,0)</f>
        <v>0</v>
      </c>
      <c r="AN119" s="142">
        <f>IF('RAW IMPORT'!AN110&lt;&gt;"",1,0)</f>
        <v>0</v>
      </c>
      <c r="AO119" s="142">
        <f>IF('RAW IMPORT'!AO110&lt;&gt;"",1,0)</f>
        <v>0</v>
      </c>
      <c r="AP119" s="142">
        <f>IF('RAW IMPORT'!AP110&lt;&gt;"",1,0)</f>
        <v>0</v>
      </c>
      <c r="AQ119" s="142">
        <f>IF('RAW IMPORT'!AQ110&lt;&gt;"",1,0)</f>
        <v>0</v>
      </c>
      <c r="AR119" s="142">
        <f>IF('RAW IMPORT'!AR110&lt;&gt;"",1,0)</f>
        <v>0</v>
      </c>
      <c r="AS119" s="142">
        <f>IF('RAW IMPORT'!AS110&lt;&gt;"",1,0)</f>
        <v>0</v>
      </c>
      <c r="AT119" s="142">
        <f>IF('RAW IMPORT'!AT110&lt;&gt;"",1,0)</f>
        <v>0</v>
      </c>
      <c r="AU119" s="142">
        <f>IF('RAW IMPORT'!AU110&lt;&gt;"",1,0)</f>
        <v>0</v>
      </c>
      <c r="AV119" s="142">
        <f>IF('RAW IMPORT'!AV110&lt;&gt;"",1,0)</f>
        <v>0</v>
      </c>
      <c r="AW119" s="142">
        <f>IF('RAW IMPORT'!AW109&lt;&gt;"",1,0)</f>
        <v>0</v>
      </c>
      <c r="AX119" s="142">
        <f>IF('RAW IMPORT'!AX109&lt;&gt;"",1,0)</f>
        <v>0</v>
      </c>
      <c r="AY119" s="142">
        <f>IF('RAW IMPORT'!AY109&lt;&gt;"",1,0)</f>
        <v>0</v>
      </c>
      <c r="AZ119" s="142">
        <f>IF('RAW IMPORT'!AZ109&lt;&gt;"",1,0)</f>
        <v>0</v>
      </c>
      <c r="BA119" s="142">
        <f>IF('RAW IMPORT'!BA109&lt;&gt;"",1,0)</f>
        <v>0</v>
      </c>
      <c r="BB119" s="142">
        <f>IF('RAW IMPORT'!BB109&lt;&gt;"",1,0)</f>
        <v>0</v>
      </c>
      <c r="BC119" s="142">
        <f>IF('RAW IMPORT'!BC109&lt;&gt;"",1,0)</f>
        <v>0</v>
      </c>
      <c r="BD119" s="142">
        <f>IF('RAW IMPORT'!BD109&lt;&gt;"",1,0)</f>
        <v>1</v>
      </c>
      <c r="BE119" s="142">
        <f>IF('RAW IMPORT'!BE109&lt;&gt;"",1,0)</f>
        <v>0</v>
      </c>
      <c r="BF119" s="142">
        <f>IF('RAW IMPORT'!BF109&lt;&gt;"",1,0)</f>
        <v>0</v>
      </c>
      <c r="BG119" s="142">
        <f>IF('RAW IMPORT'!BG109&lt;&gt;"",1,0)</f>
        <v>0</v>
      </c>
      <c r="BH119" s="142">
        <f>IF('RAW IMPORT'!BH109&lt;&gt;"",1,0)</f>
        <v>1</v>
      </c>
      <c r="BI119" s="142">
        <f>IF('RAW IMPORT'!BI109&lt;&gt;"",1,0)</f>
        <v>1</v>
      </c>
      <c r="BJ119" s="142">
        <f>IF('RAW IMPORT'!BJ109&lt;&gt;"",1,0)</f>
        <v>1</v>
      </c>
      <c r="BK119" s="142">
        <f>IF('RAW IMPORT'!BK109&lt;&gt;"",1,0)</f>
        <v>0</v>
      </c>
      <c r="BL119" s="142">
        <f>IF('RAW IMPORT'!BL109&lt;&gt;"",1,0)</f>
        <v>0</v>
      </c>
      <c r="BM119" s="142">
        <f>'RAW IMPORT'!BM109</f>
        <v>11</v>
      </c>
      <c r="BN119" s="165">
        <f>IF('RAW IMPORT'!BN109&lt;&gt;"",1,0)</f>
        <v>0</v>
      </c>
      <c r="BO119" s="197">
        <f>'RAW IMPORT'!BO109</f>
        <v>0</v>
      </c>
      <c r="BP119" s="142">
        <f>IF('RAW IMPORT'!BP110="A",1,0)</f>
        <v>0</v>
      </c>
      <c r="BQ119" s="141">
        <f>IF('RAW IMPORT'!BQ110="B",1,0)</f>
        <v>0</v>
      </c>
      <c r="BR119" s="141">
        <f>'RAW IMPORT'!BR109</f>
        <v>8.9999999999999993E-3</v>
      </c>
      <c r="BS119" s="141">
        <f>'RAW IMPORT'!BS109</f>
        <v>3.15E-2</v>
      </c>
      <c r="BT119" s="141">
        <f>'RAW IMPORT'!BT109</f>
        <v>6.8500000000000005E-2</v>
      </c>
      <c r="BU119" s="141">
        <f>'RAW IMPORT'!BU109</f>
        <v>1.575E-2</v>
      </c>
      <c r="BV119" s="198">
        <f>IF('RAW IMPORT'!BV110="U",1,0)</f>
        <v>0</v>
      </c>
      <c r="BW119" s="141">
        <f>'RAW IMPORT'!BW109</f>
        <v>0</v>
      </c>
      <c r="BX119" s="165">
        <f>'RAW IMPORT'!BX109</f>
        <v>13</v>
      </c>
      <c r="BY119" s="240"/>
      <c r="BZ119" s="126"/>
      <c r="CD119" s="204" t="str">
        <f t="shared" si="12"/>
        <v>"Model-6679":
    RETURN</v>
      </c>
    </row>
    <row r="120" spans="1:83" ht="15.75" customHeight="1" x14ac:dyDescent="0.25">
      <c r="A120" s="138" t="str">
        <f>'RAW IMPORT'!A110</f>
        <v>OGRO</v>
      </c>
      <c r="B120" s="139">
        <f>'RAW IMPORT'!B110</f>
        <v>6676</v>
      </c>
      <c r="C120" s="142">
        <f>IF('RAW IMPORT'!C113&lt;&gt;"",1,0)</f>
        <v>0</v>
      </c>
      <c r="D120" s="142">
        <f>IF('RAW IMPORT'!D113&lt;&gt;"",1,0)</f>
        <v>0</v>
      </c>
      <c r="E120" s="142">
        <f>IF('RAW IMPORT'!E113&lt;&gt;"",1,0)</f>
        <v>0</v>
      </c>
      <c r="F120" s="142">
        <f>IF('RAW IMPORT'!F113&lt;&gt;"",1,0)</f>
        <v>0</v>
      </c>
      <c r="G120" s="142">
        <f>IF('RAW IMPORT'!G113&lt;&gt;"",1,0)</f>
        <v>0</v>
      </c>
      <c r="H120" s="142">
        <f>IF('RAW IMPORT'!H113&lt;&gt;"",1,0)</f>
        <v>0</v>
      </c>
      <c r="I120" s="142">
        <f>IF('RAW IMPORT'!I113&lt;&gt;"",1,0)</f>
        <v>0</v>
      </c>
      <c r="J120" s="142">
        <f>IF('RAW IMPORT'!J113&lt;&gt;"",1,0)</f>
        <v>0</v>
      </c>
      <c r="K120" s="142">
        <f>IF('RAW IMPORT'!K113&lt;&gt;"",1,0)</f>
        <v>0</v>
      </c>
      <c r="L120" s="142">
        <f>IF('RAW IMPORT'!L113&lt;&gt;"",1,0)</f>
        <v>0</v>
      </c>
      <c r="M120" s="142">
        <f>IF('RAW IMPORT'!M113&lt;&gt;"",1,0)</f>
        <v>0</v>
      </c>
      <c r="N120" s="165">
        <f>IF('RAW IMPORT'!N113&lt;&gt;"",1,0)</f>
        <v>0</v>
      </c>
      <c r="O120" s="167">
        <f>IF('RAW IMPORT'!O113&lt;&gt;"",1,0)</f>
        <v>0</v>
      </c>
      <c r="P120" s="142">
        <f>IF('RAW IMPORT'!P113&lt;&gt;"",1,0)</f>
        <v>0</v>
      </c>
      <c r="Q120" s="142">
        <f>IF('RAW IMPORT'!Q113&lt;&gt;"",1,0)</f>
        <v>0</v>
      </c>
      <c r="R120" s="138">
        <f>'RAW IMPORT'!R113</f>
        <v>0</v>
      </c>
      <c r="S120" s="138">
        <f>'RAW IMPORT'!S113</f>
        <v>0</v>
      </c>
      <c r="T120" s="138">
        <f>'RAW IMPORT'!T113</f>
        <v>0</v>
      </c>
      <c r="U120" s="138">
        <f>'RAW IMPORT'!U113</f>
        <v>0</v>
      </c>
      <c r="V120" s="138">
        <f>'RAW IMPORT'!V113</f>
        <v>0</v>
      </c>
      <c r="W120" s="138">
        <f>'RAW IMPORT'!W113</f>
        <v>0</v>
      </c>
      <c r="X120" s="138">
        <f>'RAW IMPORT'!X113</f>
        <v>0</v>
      </c>
      <c r="Y120" s="138">
        <f>'RAW IMPORT'!Y113</f>
        <v>0</v>
      </c>
      <c r="Z120" s="138">
        <f>'RAW IMPORT'!Z113</f>
        <v>0</v>
      </c>
      <c r="AA120" s="138">
        <f>'RAW IMPORT'!AA113</f>
        <v>0</v>
      </c>
      <c r="AB120" s="139">
        <f>'RAW IMPORT'!AB113</f>
        <v>0</v>
      </c>
      <c r="AC120" s="141">
        <f>'RAW IMPORT'!AC113</f>
        <v>0</v>
      </c>
      <c r="AD120" s="142">
        <f>'RAW IMPORT'!AD113</f>
        <v>0</v>
      </c>
      <c r="AE120" s="142">
        <f>'RAW IMPORT'!AE113</f>
        <v>0</v>
      </c>
      <c r="AF120" s="142">
        <f>IF('RAW IMPORT'!AF113="C1",3,IF('RAW IMPORT'!AF113="D1",4,0))</f>
        <v>0</v>
      </c>
      <c r="AG120" s="142">
        <f>'RAW IMPORT'!AG113</f>
        <v>0</v>
      </c>
      <c r="AH120" s="142">
        <f>'RAW IMPORT'!AH113</f>
        <v>0</v>
      </c>
      <c r="AI120" s="142">
        <f>IF('RAW IMPORT'!AI113="U",1,0)</f>
        <v>0</v>
      </c>
      <c r="AJ120" s="142">
        <f>IF('RAW IMPORT'!AJ113="A",1,0)</f>
        <v>0</v>
      </c>
      <c r="AK120" s="142">
        <f>IF('RAW IMPORT'!AK113="B",1,0)</f>
        <v>0</v>
      </c>
      <c r="AL120" s="142">
        <f>IF('RAW IMPORT'!AL113="U",1,0)</f>
        <v>0</v>
      </c>
      <c r="AM120" s="142">
        <f>IF('RAW IMPORT'!AM113&lt;&gt;"",1,0)</f>
        <v>0</v>
      </c>
      <c r="AN120" s="142">
        <f>IF('RAW IMPORT'!AN113&lt;&gt;"",1,0)</f>
        <v>0</v>
      </c>
      <c r="AO120" s="142">
        <f>IF('RAW IMPORT'!AO113&lt;&gt;"",1,0)</f>
        <v>0</v>
      </c>
      <c r="AP120" s="142">
        <f>IF('RAW IMPORT'!AP113&lt;&gt;"",1,0)</f>
        <v>0</v>
      </c>
      <c r="AQ120" s="142">
        <f>IF('RAW IMPORT'!AQ113&lt;&gt;"",1,0)</f>
        <v>0</v>
      </c>
      <c r="AR120" s="142">
        <f>IF('RAW IMPORT'!AR113&lt;&gt;"",1,0)</f>
        <v>0</v>
      </c>
      <c r="AS120" s="142">
        <f>IF('RAW IMPORT'!AS113&lt;&gt;"",1,0)</f>
        <v>0</v>
      </c>
      <c r="AT120" s="142">
        <f>IF('RAW IMPORT'!AT113&lt;&gt;"",1,0)</f>
        <v>0</v>
      </c>
      <c r="AU120" s="142">
        <f>IF('RAW IMPORT'!AU113&lt;&gt;"",1,0)</f>
        <v>0</v>
      </c>
      <c r="AV120" s="142">
        <f>IF('RAW IMPORT'!AV113&lt;&gt;"",1,0)</f>
        <v>0</v>
      </c>
      <c r="AW120" s="142">
        <f>IF('RAW IMPORT'!AW110&lt;&gt;"",1,0)</f>
        <v>0</v>
      </c>
      <c r="AX120" s="142">
        <f>IF('RAW IMPORT'!AX110&lt;&gt;"",1,0)</f>
        <v>0</v>
      </c>
      <c r="AY120" s="142">
        <f>IF('RAW IMPORT'!AY110&lt;&gt;"",1,0)</f>
        <v>0</v>
      </c>
      <c r="AZ120" s="142">
        <f>IF('RAW IMPORT'!AZ110&lt;&gt;"",1,0)</f>
        <v>0</v>
      </c>
      <c r="BA120" s="142">
        <f>IF('RAW IMPORT'!BA110&lt;&gt;"",1,0)</f>
        <v>0</v>
      </c>
      <c r="BB120" s="142">
        <f>IF('RAW IMPORT'!BB110&lt;&gt;"",1,0)</f>
        <v>0</v>
      </c>
      <c r="BC120" s="142">
        <f>IF('RAW IMPORT'!BC110&lt;&gt;"",1,0)</f>
        <v>0</v>
      </c>
      <c r="BD120" s="142">
        <f>IF('RAW IMPORT'!BD110&lt;&gt;"",1,0)</f>
        <v>1</v>
      </c>
      <c r="BE120" s="142">
        <f>IF('RAW IMPORT'!BE110&lt;&gt;"",1,0)</f>
        <v>0</v>
      </c>
      <c r="BF120" s="142">
        <f>IF('RAW IMPORT'!BF110&lt;&gt;"",1,0)</f>
        <v>0</v>
      </c>
      <c r="BG120" s="142">
        <f>IF('RAW IMPORT'!BG110&lt;&gt;"",1,0)</f>
        <v>0</v>
      </c>
      <c r="BH120" s="142">
        <f>IF('RAW IMPORT'!BH110&lt;&gt;"",1,0)</f>
        <v>1</v>
      </c>
      <c r="BI120" s="142">
        <f>IF('RAW IMPORT'!BI110&lt;&gt;"",1,0)</f>
        <v>1</v>
      </c>
      <c r="BJ120" s="142">
        <f>IF('RAW IMPORT'!BJ110&lt;&gt;"",1,0)</f>
        <v>1</v>
      </c>
      <c r="BK120" s="142">
        <f>IF('RAW IMPORT'!BK110&lt;&gt;"",1,0)</f>
        <v>0</v>
      </c>
      <c r="BL120" s="142">
        <f>IF('RAW IMPORT'!BL110&lt;&gt;"",1,0)</f>
        <v>0</v>
      </c>
      <c r="BM120" s="142">
        <f>'RAW IMPORT'!BM110</f>
        <v>11</v>
      </c>
      <c r="BN120" s="165">
        <f>IF('RAW IMPORT'!BN110&lt;&gt;"",1,0)</f>
        <v>0</v>
      </c>
      <c r="BO120" s="197">
        <f>'RAW IMPORT'!BO110</f>
        <v>0</v>
      </c>
      <c r="BP120" s="142">
        <f>IF('RAW IMPORT'!BP113="A",1,0)</f>
        <v>0</v>
      </c>
      <c r="BQ120" s="141">
        <f>IF('RAW IMPORT'!BQ113="B",1,0)</f>
        <v>0</v>
      </c>
      <c r="BR120" s="141">
        <f>'RAW IMPORT'!BR110</f>
        <v>8.9999999999999993E-3</v>
      </c>
      <c r="BS120" s="141">
        <f>'RAW IMPORT'!BS110</f>
        <v>3.15E-2</v>
      </c>
      <c r="BT120" s="141">
        <f>'RAW IMPORT'!BT110</f>
        <v>6.8500000000000005E-2</v>
      </c>
      <c r="BU120" s="141">
        <f>'RAW IMPORT'!BU110</f>
        <v>1.575E-2</v>
      </c>
      <c r="BV120" s="198">
        <f>IF('RAW IMPORT'!BV113="U",1,0)</f>
        <v>0</v>
      </c>
      <c r="BW120" s="141">
        <f>'RAW IMPORT'!BW110</f>
        <v>0</v>
      </c>
      <c r="BX120" s="165">
        <f>'RAW IMPORT'!BX110</f>
        <v>14</v>
      </c>
      <c r="BY120" s="240"/>
      <c r="BZ120" s="126"/>
      <c r="CD120" s="204" t="str">
        <f t="shared" si="12"/>
        <v>"Model-6676":
    RETURN</v>
      </c>
    </row>
    <row r="121" spans="1:83" ht="15.75" customHeight="1" x14ac:dyDescent="0.25">
      <c r="A121" s="138" t="str">
        <f>'RAW IMPORT'!A111</f>
        <v>OGRO</v>
      </c>
      <c r="B121" s="139" t="str">
        <f>'RAW IMPORT'!B111</f>
        <v>ZL 65xx Tchoban</v>
      </c>
      <c r="C121" s="142">
        <f>IF('RAW IMPORT'!C114&lt;&gt;"",1,0)</f>
        <v>0</v>
      </c>
      <c r="D121" s="142">
        <f>IF('RAW IMPORT'!D114&lt;&gt;"",1,0)</f>
        <v>0</v>
      </c>
      <c r="E121" s="142">
        <f>IF('RAW IMPORT'!E114&lt;&gt;"",1,0)</f>
        <v>0</v>
      </c>
      <c r="F121" s="142">
        <f>IF('RAW IMPORT'!F114&lt;&gt;"",1,0)</f>
        <v>0</v>
      </c>
      <c r="G121" s="142">
        <f>IF('RAW IMPORT'!G114&lt;&gt;"",1,0)</f>
        <v>0</v>
      </c>
      <c r="H121" s="142">
        <f>IF('RAW IMPORT'!H114&lt;&gt;"",1,0)</f>
        <v>0</v>
      </c>
      <c r="I121" s="142">
        <f>IF('RAW IMPORT'!I114&lt;&gt;"",1,0)</f>
        <v>0</v>
      </c>
      <c r="J121" s="142">
        <f>IF('RAW IMPORT'!J114&lt;&gt;"",1,0)</f>
        <v>0</v>
      </c>
      <c r="K121" s="142">
        <f>IF('RAW IMPORT'!K114&lt;&gt;"",1,0)</f>
        <v>0</v>
      </c>
      <c r="L121" s="142">
        <f>IF('RAW IMPORT'!L114&lt;&gt;"",1,0)</f>
        <v>0</v>
      </c>
      <c r="M121" s="142">
        <f>IF('RAW IMPORT'!M114&lt;&gt;"",1,0)</f>
        <v>0</v>
      </c>
      <c r="N121" s="165">
        <f>IF('RAW IMPORT'!N114&lt;&gt;"",1,0)</f>
        <v>0</v>
      </c>
      <c r="O121" s="167">
        <f>IF('RAW IMPORT'!O114&lt;&gt;"",1,0)</f>
        <v>0</v>
      </c>
      <c r="P121" s="142">
        <f>IF('RAW IMPORT'!P114&lt;&gt;"",1,0)</f>
        <v>0</v>
      </c>
      <c r="Q121" s="142">
        <f>IF('RAW IMPORT'!Q114&lt;&gt;"",1,0)</f>
        <v>0</v>
      </c>
      <c r="R121" s="138">
        <f>'RAW IMPORT'!R114</f>
        <v>0</v>
      </c>
      <c r="S121" s="138">
        <f>'RAW IMPORT'!S114</f>
        <v>0</v>
      </c>
      <c r="T121" s="138">
        <f>'RAW IMPORT'!T114</f>
        <v>0</v>
      </c>
      <c r="U121" s="138">
        <f>'RAW IMPORT'!U114</f>
        <v>0</v>
      </c>
      <c r="V121" s="138">
        <f>'RAW IMPORT'!V114</f>
        <v>0</v>
      </c>
      <c r="W121" s="138">
        <f>'RAW IMPORT'!W114</f>
        <v>0</v>
      </c>
      <c r="X121" s="138">
        <f>'RAW IMPORT'!X114</f>
        <v>0</v>
      </c>
      <c r="Y121" s="138">
        <f>'RAW IMPORT'!Y114</f>
        <v>0</v>
      </c>
      <c r="Z121" s="138">
        <f>'RAW IMPORT'!Z114</f>
        <v>0</v>
      </c>
      <c r="AA121" s="138">
        <f>'RAW IMPORT'!AA114</f>
        <v>0</v>
      </c>
      <c r="AB121" s="139">
        <f>'RAW IMPORT'!AB114</f>
        <v>0</v>
      </c>
      <c r="AC121" s="141">
        <f>'RAW IMPORT'!AC114</f>
        <v>0</v>
      </c>
      <c r="AD121" s="142">
        <f>'RAW IMPORT'!AD114</f>
        <v>0</v>
      </c>
      <c r="AE121" s="142">
        <f>'RAW IMPORT'!AE114</f>
        <v>0</v>
      </c>
      <c r="AF121" s="142">
        <f>IF('RAW IMPORT'!AF114="C1",3,IF('RAW IMPORT'!AF114="D1",4,0))</f>
        <v>0</v>
      </c>
      <c r="AG121" s="142">
        <f>'RAW IMPORT'!AG114</f>
        <v>0</v>
      </c>
      <c r="AH121" s="142">
        <f>'RAW IMPORT'!AH114</f>
        <v>0</v>
      </c>
      <c r="AI121" s="142">
        <f>IF('RAW IMPORT'!AI114="U",1,0)</f>
        <v>0</v>
      </c>
      <c r="AJ121" s="142">
        <f>IF('RAW IMPORT'!AJ114="A",1,0)</f>
        <v>0</v>
      </c>
      <c r="AK121" s="142">
        <f>IF('RAW IMPORT'!AK114="B",1,0)</f>
        <v>0</v>
      </c>
      <c r="AL121" s="142">
        <f>IF('RAW IMPORT'!AL114="U",1,0)</f>
        <v>0</v>
      </c>
      <c r="AM121" s="142">
        <f>IF('RAW IMPORT'!AM114&lt;&gt;"",1,0)</f>
        <v>0</v>
      </c>
      <c r="AN121" s="142">
        <f>IF('RAW IMPORT'!AN114&lt;&gt;"",1,0)</f>
        <v>0</v>
      </c>
      <c r="AO121" s="142">
        <f>IF('RAW IMPORT'!AO114&lt;&gt;"",1,0)</f>
        <v>0</v>
      </c>
      <c r="AP121" s="142">
        <f>IF('RAW IMPORT'!AP114&lt;&gt;"",1,0)</f>
        <v>0</v>
      </c>
      <c r="AQ121" s="142">
        <f>IF('RAW IMPORT'!AQ114&lt;&gt;"",1,0)</f>
        <v>0</v>
      </c>
      <c r="AR121" s="142">
        <f>IF('RAW IMPORT'!AR114&lt;&gt;"",1,0)</f>
        <v>0</v>
      </c>
      <c r="AS121" s="142">
        <f>IF('RAW IMPORT'!AS114&lt;&gt;"",1,0)</f>
        <v>0</v>
      </c>
      <c r="AT121" s="142">
        <f>IF('RAW IMPORT'!AT114&lt;&gt;"",1,0)</f>
        <v>0</v>
      </c>
      <c r="AU121" s="142">
        <f>IF('RAW IMPORT'!AU114&lt;&gt;"",1,0)</f>
        <v>0</v>
      </c>
      <c r="AV121" s="142">
        <f>IF('RAW IMPORT'!AV114&lt;&gt;"",1,0)</f>
        <v>0</v>
      </c>
      <c r="AW121" s="142">
        <f>IF('RAW IMPORT'!AW111&lt;&gt;"",1,0)</f>
        <v>1</v>
      </c>
      <c r="AX121" s="142">
        <f>IF('RAW IMPORT'!AX111&lt;&gt;"",1,0)</f>
        <v>0</v>
      </c>
      <c r="AY121" s="142">
        <f>IF('RAW IMPORT'!AY111&lt;&gt;"",1,0)</f>
        <v>0</v>
      </c>
      <c r="AZ121" s="142">
        <f>IF('RAW IMPORT'!AZ111&lt;&gt;"",1,0)</f>
        <v>0</v>
      </c>
      <c r="BA121" s="142">
        <f>IF('RAW IMPORT'!BA111&lt;&gt;"",1,0)</f>
        <v>0</v>
      </c>
      <c r="BB121" s="142">
        <f>IF('RAW IMPORT'!BB111&lt;&gt;"",1,0)</f>
        <v>0</v>
      </c>
      <c r="BC121" s="142">
        <f>IF('RAW IMPORT'!BC111&lt;&gt;"",1,0)</f>
        <v>0</v>
      </c>
      <c r="BD121" s="142">
        <f>IF('RAW IMPORT'!BD111&lt;&gt;"",1,0)</f>
        <v>0</v>
      </c>
      <c r="BE121" s="142">
        <f>IF('RAW IMPORT'!BE111&lt;&gt;"",1,0)</f>
        <v>0</v>
      </c>
      <c r="BF121" s="142">
        <f>IF('RAW IMPORT'!BF111&lt;&gt;"",1,0)</f>
        <v>0</v>
      </c>
      <c r="BG121" s="142">
        <f>IF('RAW IMPORT'!BG111&lt;&gt;"",1,0)</f>
        <v>1</v>
      </c>
      <c r="BH121" s="142">
        <f>IF('RAW IMPORT'!BH111&lt;&gt;"",1,0)</f>
        <v>1</v>
      </c>
      <c r="BI121" s="142">
        <f>IF('RAW IMPORT'!BI111&lt;&gt;"",1,0)</f>
        <v>1</v>
      </c>
      <c r="BJ121" s="142">
        <f>IF('RAW IMPORT'!BJ111&lt;&gt;"",1,0)</f>
        <v>1</v>
      </c>
      <c r="BK121" s="142">
        <f>IF('RAW IMPORT'!BK111&lt;&gt;"",1,0)</f>
        <v>1</v>
      </c>
      <c r="BL121" s="142">
        <f>IF('RAW IMPORT'!BL111&lt;&gt;"",1,0)</f>
        <v>0</v>
      </c>
      <c r="BM121" s="142">
        <f>'RAW IMPORT'!BM111</f>
        <v>10</v>
      </c>
      <c r="BN121" s="165">
        <f>IF('RAW IMPORT'!BN111&lt;&gt;"",1,0)</f>
        <v>1</v>
      </c>
      <c r="BO121" s="197">
        <f>'RAW IMPORT'!BO111</f>
        <v>0</v>
      </c>
      <c r="BP121" s="142">
        <f>IF('RAW IMPORT'!BP114="A",1,0)</f>
        <v>0</v>
      </c>
      <c r="BQ121" s="141">
        <f>IF('RAW IMPORT'!BQ114="B",1,0)</f>
        <v>0</v>
      </c>
      <c r="BR121" s="141">
        <f>'RAW IMPORT'!BR111</f>
        <v>5.0000000000000001E-3</v>
      </c>
      <c r="BS121" s="141">
        <f>'RAW IMPORT'!BS111</f>
        <v>0.05</v>
      </c>
      <c r="BT121" s="141">
        <f>'RAW IMPORT'!BT111</f>
        <v>6.3E-2</v>
      </c>
      <c r="BU121" s="141">
        <f>'RAW IMPORT'!BU111</f>
        <v>2.5000000000000001E-2</v>
      </c>
      <c r="BV121" s="198">
        <f>IF('RAW IMPORT'!BV114="U",1,0)</f>
        <v>0</v>
      </c>
      <c r="BW121" s="141">
        <f>'RAW IMPORT'!BW111</f>
        <v>5</v>
      </c>
      <c r="BX121" s="165">
        <f>'RAW IMPORT'!BX111</f>
        <v>0</v>
      </c>
      <c r="BY121" s="240"/>
      <c r="BZ121" s="126"/>
      <c r="CD121" s="204" t="str">
        <f t="shared" si="12"/>
        <v>"Model-ZL 65xx Tchoban":
    RETURN</v>
      </c>
    </row>
    <row r="122" spans="1:83" ht="15.75" customHeight="1" x14ac:dyDescent="0.25">
      <c r="A122" s="138" t="str">
        <f>'RAW IMPORT'!A112</f>
        <v>OGRO</v>
      </c>
      <c r="B122" s="139" t="str">
        <f>'RAW IMPORT'!B112</f>
        <v>ZL 65xx Forstner</v>
      </c>
      <c r="C122" s="142">
        <f>IF('RAW IMPORT'!C115&lt;&gt;"",1,0)</f>
        <v>0</v>
      </c>
      <c r="D122" s="142">
        <f>IF('RAW IMPORT'!D115&lt;&gt;"",1,0)</f>
        <v>0</v>
      </c>
      <c r="E122" s="142">
        <f>IF('RAW IMPORT'!E115&lt;&gt;"",1,0)</f>
        <v>0</v>
      </c>
      <c r="F122" s="142">
        <f>IF('RAW IMPORT'!F115&lt;&gt;"",1,0)</f>
        <v>0</v>
      </c>
      <c r="G122" s="142">
        <f>IF('RAW IMPORT'!G115&lt;&gt;"",1,0)</f>
        <v>0</v>
      </c>
      <c r="H122" s="142">
        <f>IF('RAW IMPORT'!H115&lt;&gt;"",1,0)</f>
        <v>0</v>
      </c>
      <c r="I122" s="142">
        <f>IF('RAW IMPORT'!I115&lt;&gt;"",1,0)</f>
        <v>0</v>
      </c>
      <c r="J122" s="142">
        <f>IF('RAW IMPORT'!J115&lt;&gt;"",1,0)</f>
        <v>0</v>
      </c>
      <c r="K122" s="142">
        <f>IF('RAW IMPORT'!K115&lt;&gt;"",1,0)</f>
        <v>0</v>
      </c>
      <c r="L122" s="142">
        <f>IF('RAW IMPORT'!L115&lt;&gt;"",1,0)</f>
        <v>0</v>
      </c>
      <c r="M122" s="142">
        <f>IF('RAW IMPORT'!M115&lt;&gt;"",1,0)</f>
        <v>0</v>
      </c>
      <c r="N122" s="165">
        <f>IF('RAW IMPORT'!N115&lt;&gt;"",1,0)</f>
        <v>0</v>
      </c>
      <c r="O122" s="167">
        <f>IF('RAW IMPORT'!O115&lt;&gt;"",1,0)</f>
        <v>0</v>
      </c>
      <c r="P122" s="142">
        <f>IF('RAW IMPORT'!P115&lt;&gt;"",1,0)</f>
        <v>0</v>
      </c>
      <c r="Q122" s="142">
        <f>IF('RAW IMPORT'!Q115&lt;&gt;"",1,0)</f>
        <v>0</v>
      </c>
      <c r="R122" s="138">
        <f>'RAW IMPORT'!R115</f>
        <v>0</v>
      </c>
      <c r="S122" s="138">
        <f>'RAW IMPORT'!S115</f>
        <v>0</v>
      </c>
      <c r="T122" s="138">
        <f>'RAW IMPORT'!T115</f>
        <v>0</v>
      </c>
      <c r="U122" s="138">
        <f>'RAW IMPORT'!U115</f>
        <v>0</v>
      </c>
      <c r="V122" s="138">
        <f>'RAW IMPORT'!V115</f>
        <v>0</v>
      </c>
      <c r="W122" s="138">
        <f>'RAW IMPORT'!W115</f>
        <v>0</v>
      </c>
      <c r="X122" s="138">
        <f>'RAW IMPORT'!X115</f>
        <v>0</v>
      </c>
      <c r="Y122" s="138">
        <f>'RAW IMPORT'!Y115</f>
        <v>0</v>
      </c>
      <c r="Z122" s="138">
        <f>'RAW IMPORT'!Z115</f>
        <v>0</v>
      </c>
      <c r="AA122" s="138">
        <f>'RAW IMPORT'!AA115</f>
        <v>0</v>
      </c>
      <c r="AB122" s="139">
        <f>'RAW IMPORT'!AB115</f>
        <v>0</v>
      </c>
      <c r="AC122" s="141">
        <f>'RAW IMPORT'!AC115</f>
        <v>0</v>
      </c>
      <c r="AD122" s="142">
        <f>'RAW IMPORT'!AD115</f>
        <v>0</v>
      </c>
      <c r="AE122" s="142">
        <f>'RAW IMPORT'!AE115</f>
        <v>0</v>
      </c>
      <c r="AF122" s="142">
        <f>IF('RAW IMPORT'!AF115="C1",3,IF('RAW IMPORT'!AF115="D1",4,0))</f>
        <v>0</v>
      </c>
      <c r="AG122" s="142">
        <f>'RAW IMPORT'!AG115</f>
        <v>0</v>
      </c>
      <c r="AH122" s="142">
        <f>'RAW IMPORT'!AH115</f>
        <v>0</v>
      </c>
      <c r="AI122" s="142">
        <f>IF('RAW IMPORT'!AI115="U",1,0)</f>
        <v>0</v>
      </c>
      <c r="AJ122" s="142">
        <f>IF('RAW IMPORT'!AJ115="A",1,0)</f>
        <v>0</v>
      </c>
      <c r="AK122" s="142">
        <f>IF('RAW IMPORT'!AK115="B",1,0)</f>
        <v>0</v>
      </c>
      <c r="AL122" s="142">
        <f>IF('RAW IMPORT'!AL115="U",1,0)</f>
        <v>0</v>
      </c>
      <c r="AM122" s="142">
        <f>IF('RAW IMPORT'!AM115&lt;&gt;"",1,0)</f>
        <v>0</v>
      </c>
      <c r="AN122" s="142">
        <f>IF('RAW IMPORT'!AN115&lt;&gt;"",1,0)</f>
        <v>0</v>
      </c>
      <c r="AO122" s="142">
        <f>IF('RAW IMPORT'!AO115&lt;&gt;"",1,0)</f>
        <v>0</v>
      </c>
      <c r="AP122" s="142">
        <f>IF('RAW IMPORT'!AP115&lt;&gt;"",1,0)</f>
        <v>0</v>
      </c>
      <c r="AQ122" s="142">
        <f>IF('RAW IMPORT'!AQ115&lt;&gt;"",1,0)</f>
        <v>0</v>
      </c>
      <c r="AR122" s="142">
        <f>IF('RAW IMPORT'!AR115&lt;&gt;"",1,0)</f>
        <v>0</v>
      </c>
      <c r="AS122" s="142">
        <f>IF('RAW IMPORT'!AS115&lt;&gt;"",1,0)</f>
        <v>0</v>
      </c>
      <c r="AT122" s="142">
        <f>IF('RAW IMPORT'!AT115&lt;&gt;"",1,0)</f>
        <v>0</v>
      </c>
      <c r="AU122" s="142">
        <f>IF('RAW IMPORT'!AU115&lt;&gt;"",1,0)</f>
        <v>0</v>
      </c>
      <c r="AV122" s="142">
        <f>IF('RAW IMPORT'!AV115&lt;&gt;"",1,0)</f>
        <v>0</v>
      </c>
      <c r="AW122" s="142">
        <f>IF('RAW IMPORT'!AW112&lt;&gt;"",1,0)</f>
        <v>1</v>
      </c>
      <c r="AX122" s="142">
        <f>IF('RAW IMPORT'!AX112&lt;&gt;"",1,0)</f>
        <v>0</v>
      </c>
      <c r="AY122" s="142">
        <f>IF('RAW IMPORT'!AY112&lt;&gt;"",1,0)</f>
        <v>0</v>
      </c>
      <c r="AZ122" s="142">
        <f>IF('RAW IMPORT'!AZ112&lt;&gt;"",1,0)</f>
        <v>0</v>
      </c>
      <c r="BA122" s="142">
        <f>IF('RAW IMPORT'!BA112&lt;&gt;"",1,0)</f>
        <v>0</v>
      </c>
      <c r="BB122" s="142">
        <f>IF('RAW IMPORT'!BB112&lt;&gt;"",1,0)</f>
        <v>0</v>
      </c>
      <c r="BC122" s="142">
        <f>IF('RAW IMPORT'!BC112&lt;&gt;"",1,0)</f>
        <v>0</v>
      </c>
      <c r="BD122" s="142">
        <f>IF('RAW IMPORT'!BD112&lt;&gt;"",1,0)</f>
        <v>0</v>
      </c>
      <c r="BE122" s="142">
        <f>IF('RAW IMPORT'!BE112&lt;&gt;"",1,0)</f>
        <v>0</v>
      </c>
      <c r="BF122" s="142">
        <f>IF('RAW IMPORT'!BF112&lt;&gt;"",1,0)</f>
        <v>0</v>
      </c>
      <c r="BG122" s="142">
        <f>IF('RAW IMPORT'!BG112&lt;&gt;"",1,0)</f>
        <v>1</v>
      </c>
      <c r="BH122" s="142">
        <f>IF('RAW IMPORT'!BH112&lt;&gt;"",1,0)</f>
        <v>1</v>
      </c>
      <c r="BI122" s="142">
        <f>IF('RAW IMPORT'!BI112&lt;&gt;"",1,0)</f>
        <v>1</v>
      </c>
      <c r="BJ122" s="142">
        <f>IF('RAW IMPORT'!BJ112&lt;&gt;"",1,0)</f>
        <v>1</v>
      </c>
      <c r="BK122" s="142">
        <f>IF('RAW IMPORT'!BK112&lt;&gt;"",1,0)</f>
        <v>1</v>
      </c>
      <c r="BL122" s="142">
        <f>IF('RAW IMPORT'!BL112&lt;&gt;"",1,0)</f>
        <v>0</v>
      </c>
      <c r="BM122" s="142">
        <f>'RAW IMPORT'!BM112</f>
        <v>10</v>
      </c>
      <c r="BN122" s="165">
        <f>IF('RAW IMPORT'!BN112&lt;&gt;"",1,0)</f>
        <v>1</v>
      </c>
      <c r="BO122" s="197">
        <f>'RAW IMPORT'!BO112</f>
        <v>0</v>
      </c>
      <c r="BP122" s="142">
        <f>IF('RAW IMPORT'!BP115="A",1,0)</f>
        <v>0</v>
      </c>
      <c r="BQ122" s="141">
        <f>IF('RAW IMPORT'!BQ115="B",1,0)</f>
        <v>0</v>
      </c>
      <c r="BR122" s="141">
        <f>'RAW IMPORT'!BR112</f>
        <v>5.0000000000000001E-3</v>
      </c>
      <c r="BS122" s="141">
        <f>'RAW IMPORT'!BS112</f>
        <v>0.05</v>
      </c>
      <c r="BT122" s="141">
        <f>'RAW IMPORT'!BT112</f>
        <v>0.05</v>
      </c>
      <c r="BU122" s="141">
        <f>'RAW IMPORT'!BU112</f>
        <v>2.5000000000000001E-2</v>
      </c>
      <c r="BV122" s="198">
        <f>IF('RAW IMPORT'!BV115="U",1,0)</f>
        <v>0</v>
      </c>
      <c r="BW122" s="141">
        <f>'RAW IMPORT'!BW112</f>
        <v>5</v>
      </c>
      <c r="BX122" s="165">
        <f>'RAW IMPORT'!BX112</f>
        <v>0</v>
      </c>
      <c r="BY122" s="240"/>
      <c r="BZ122" s="126"/>
      <c r="CD122" s="204" t="str">
        <f t="shared" si="12"/>
        <v>"Model-ZL 65xx Forstner":
    RETURN</v>
      </c>
    </row>
    <row r="123" spans="1:83" x14ac:dyDescent="0.25">
      <c r="A123" s="138"/>
      <c r="B123" s="139"/>
      <c r="C123" s="142"/>
      <c r="D123" s="142"/>
      <c r="E123" s="142"/>
      <c r="F123" s="142"/>
      <c r="G123" s="142"/>
      <c r="H123" s="142"/>
      <c r="I123" s="142"/>
      <c r="J123" s="142"/>
      <c r="K123" s="142"/>
      <c r="L123" s="142"/>
      <c r="M123" s="142"/>
      <c r="N123" s="165"/>
      <c r="O123" s="167"/>
      <c r="P123" s="142"/>
      <c r="Q123" s="142"/>
      <c r="R123" s="138"/>
      <c r="S123" s="138"/>
      <c r="T123" s="138"/>
      <c r="U123" s="138"/>
      <c r="V123" s="138"/>
      <c r="W123" s="138"/>
      <c r="X123" s="138"/>
      <c r="Y123" s="138"/>
      <c r="Z123" s="138"/>
      <c r="AA123" s="138"/>
      <c r="AB123" s="139"/>
      <c r="AC123" s="141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65"/>
      <c r="BO123" s="197"/>
      <c r="BP123" s="142"/>
      <c r="BQ123" s="141"/>
      <c r="BR123" s="141"/>
      <c r="BS123" s="141"/>
      <c r="BT123" s="141"/>
      <c r="BU123" s="141"/>
      <c r="BV123" s="198"/>
      <c r="BW123" s="141"/>
      <c r="BX123" s="165"/>
      <c r="BY123" s="240"/>
      <c r="BZ123" s="126"/>
    </row>
    <row r="124" spans="1:83" x14ac:dyDescent="0.25">
      <c r="A124" s="138"/>
      <c r="B124" s="139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65"/>
      <c r="O124" s="167"/>
      <c r="P124" s="142"/>
      <c r="Q124" s="142"/>
      <c r="R124" s="138"/>
      <c r="S124" s="138"/>
      <c r="T124" s="138"/>
      <c r="U124" s="138"/>
      <c r="V124" s="138"/>
      <c r="W124" s="138"/>
      <c r="X124" s="138"/>
      <c r="Y124" s="138"/>
      <c r="Z124" s="138"/>
      <c r="AA124" s="138"/>
      <c r="AB124" s="139"/>
      <c r="AC124" s="141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65"/>
      <c r="BO124" s="197"/>
      <c r="BP124" s="142"/>
      <c r="BQ124" s="141"/>
      <c r="BR124" s="141"/>
      <c r="BS124" s="141"/>
      <c r="BT124" s="141"/>
      <c r="BU124" s="141"/>
      <c r="BV124" s="198"/>
      <c r="BW124" s="141"/>
      <c r="BX124" s="165"/>
      <c r="BY124" s="240"/>
      <c r="BZ124" s="126"/>
    </row>
    <row r="125" spans="1:83" x14ac:dyDescent="0.25">
      <c r="A125" s="138"/>
      <c r="B125" s="139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65"/>
      <c r="O125" s="167"/>
      <c r="P125" s="142"/>
      <c r="Q125" s="142"/>
      <c r="R125" s="138"/>
      <c r="S125" s="138"/>
      <c r="T125" s="138"/>
      <c r="U125" s="138"/>
      <c r="V125" s="138"/>
      <c r="W125" s="138"/>
      <c r="X125" s="138"/>
      <c r="Y125" s="138"/>
      <c r="Z125" s="138"/>
      <c r="AA125" s="138"/>
      <c r="AB125" s="139"/>
      <c r="AC125" s="141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65"/>
      <c r="BO125" s="197"/>
      <c r="BP125" s="142"/>
      <c r="BQ125" s="141"/>
      <c r="BR125" s="141"/>
      <c r="BS125" s="141"/>
      <c r="BT125" s="141"/>
      <c r="BU125" s="141"/>
      <c r="BV125" s="198"/>
      <c r="BW125" s="141"/>
      <c r="BX125" s="165"/>
      <c r="BY125" s="240"/>
      <c r="BZ125" s="126"/>
    </row>
    <row r="126" spans="1:83" ht="14.4" thickBot="1" x14ac:dyDescent="0.3">
      <c r="A126" s="224"/>
      <c r="B126" s="225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08"/>
      <c r="O126" s="227"/>
      <c r="P126" s="226"/>
      <c r="Q126" s="226"/>
      <c r="R126" s="224"/>
      <c r="S126" s="224"/>
      <c r="T126" s="224"/>
      <c r="U126" s="224"/>
      <c r="V126" s="224"/>
      <c r="W126" s="224"/>
      <c r="X126" s="224"/>
      <c r="Y126" s="224"/>
      <c r="Z126" s="224"/>
      <c r="AA126" s="224"/>
      <c r="AB126" s="225"/>
      <c r="AC126" s="210"/>
      <c r="AD126" s="226"/>
      <c r="AE126" s="226"/>
      <c r="AF126" s="226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  <c r="AX126" s="226"/>
      <c r="AY126" s="226"/>
      <c r="AZ126" s="226"/>
      <c r="BA126" s="226"/>
      <c r="BB126" s="226"/>
      <c r="BC126" s="226"/>
      <c r="BD126" s="226"/>
      <c r="BE126" s="226"/>
      <c r="BF126" s="226"/>
      <c r="BG126" s="226"/>
      <c r="BH126" s="226"/>
      <c r="BI126" s="226"/>
      <c r="BJ126" s="226"/>
      <c r="BK126" s="226"/>
      <c r="BL126" s="226"/>
      <c r="BM126" s="226"/>
      <c r="BN126" s="208"/>
      <c r="BO126" s="228"/>
      <c r="BP126" s="226"/>
      <c r="BQ126" s="210"/>
      <c r="BR126" s="210"/>
      <c r="BS126" s="210"/>
      <c r="BT126" s="210"/>
      <c r="BU126" s="210"/>
      <c r="BV126" s="229"/>
      <c r="BW126" s="210"/>
      <c r="BX126" s="208"/>
      <c r="BY126" s="240"/>
      <c r="BZ126" s="126"/>
    </row>
    <row r="127" spans="1:83" ht="14.4" thickTop="1" x14ac:dyDescent="0.25">
      <c r="A127" s="238"/>
      <c r="B127" s="238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  <c r="P127" s="239"/>
      <c r="Q127" s="239"/>
      <c r="R127" s="238"/>
      <c r="S127" s="238"/>
      <c r="T127" s="238"/>
      <c r="U127" s="238"/>
      <c r="V127" s="238"/>
      <c r="W127" s="238"/>
      <c r="X127" s="238"/>
      <c r="Y127" s="238"/>
      <c r="Z127" s="238"/>
      <c r="AA127" s="238"/>
      <c r="AB127" s="238"/>
      <c r="AC127" s="239"/>
      <c r="AD127" s="239"/>
      <c r="AE127" s="239"/>
      <c r="AF127" s="239"/>
      <c r="AG127" s="239"/>
      <c r="AH127" s="239"/>
      <c r="AI127" s="239"/>
      <c r="AJ127" s="239"/>
      <c r="AK127" s="239"/>
      <c r="AL127" s="239"/>
      <c r="AM127" s="239"/>
      <c r="AN127" s="239"/>
      <c r="AO127" s="239"/>
      <c r="AP127" s="239"/>
      <c r="AQ127" s="239"/>
      <c r="AR127" s="239"/>
      <c r="AS127" s="239"/>
      <c r="AT127" s="239"/>
      <c r="AU127" s="239"/>
      <c r="AV127" s="239"/>
      <c r="AW127" s="239"/>
      <c r="AX127" s="239"/>
      <c r="AY127" s="239"/>
      <c r="AZ127" s="239"/>
      <c r="BA127" s="239"/>
      <c r="BB127" s="239"/>
      <c r="BC127" s="239"/>
      <c r="BD127" s="239"/>
      <c r="BE127" s="239"/>
      <c r="BF127" s="239"/>
      <c r="BG127" s="239"/>
      <c r="BH127" s="239"/>
      <c r="BI127" s="239"/>
      <c r="BJ127" s="239"/>
      <c r="BK127" s="239"/>
      <c r="BL127" s="239"/>
      <c r="BM127" s="239"/>
      <c r="BN127" s="239"/>
      <c r="BO127" s="239"/>
      <c r="BP127" s="239"/>
      <c r="BQ127" s="239"/>
      <c r="BR127" s="239"/>
      <c r="BS127" s="239"/>
      <c r="BT127" s="239"/>
      <c r="BU127" s="239"/>
      <c r="BV127" s="239"/>
      <c r="BW127" s="239"/>
      <c r="BX127" s="239"/>
    </row>
    <row r="128" spans="1:83" x14ac:dyDescent="0.25">
      <c r="A128" s="126"/>
      <c r="B128" s="126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209"/>
      <c r="AD128" s="209"/>
      <c r="AE128" s="209"/>
      <c r="AF128" s="209"/>
      <c r="AG128" s="209"/>
      <c r="AH128" s="209"/>
      <c r="AI128" s="209"/>
      <c r="AJ128" s="209"/>
      <c r="AK128" s="209"/>
      <c r="AL128" s="209"/>
      <c r="AM128" s="209"/>
      <c r="AN128" s="209"/>
      <c r="AO128" s="209"/>
      <c r="AP128" s="209"/>
      <c r="AQ128" s="209"/>
      <c r="AR128" s="209"/>
      <c r="AS128" s="209"/>
      <c r="AT128" s="209"/>
      <c r="AU128" s="209"/>
      <c r="AV128" s="209"/>
      <c r="AW128" s="209"/>
      <c r="AX128" s="209"/>
      <c r="AY128" s="209"/>
      <c r="AZ128" s="209"/>
      <c r="BA128" s="209"/>
      <c r="BB128" s="209"/>
      <c r="BC128" s="209"/>
      <c r="BD128" s="209"/>
      <c r="BE128" s="209"/>
      <c r="BF128" s="209"/>
      <c r="BG128" s="209"/>
      <c r="BH128" s="209"/>
      <c r="BI128" s="209"/>
      <c r="BJ128" s="209"/>
      <c r="BK128" s="209"/>
      <c r="BL128" s="209"/>
      <c r="BM128" s="209"/>
      <c r="BN128" s="209"/>
      <c r="BO128" s="209"/>
      <c r="BP128" s="209"/>
      <c r="BQ128" s="209"/>
      <c r="BR128" s="209"/>
      <c r="BS128" s="209"/>
      <c r="BT128" s="209"/>
      <c r="BU128" s="209"/>
      <c r="BV128" s="209"/>
      <c r="BW128" s="209"/>
      <c r="BX128" s="209"/>
      <c r="BY128" s="126"/>
      <c r="BZ128" s="126"/>
      <c r="CA128" s="125"/>
      <c r="CB128" s="125"/>
      <c r="CC128" s="125"/>
      <c r="CD128" s="125"/>
      <c r="CE128" s="125"/>
    </row>
    <row r="129" spans="1:83" x14ac:dyDescent="0.25">
      <c r="A129" s="126"/>
      <c r="B129" s="126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209"/>
      <c r="AD129" s="209"/>
      <c r="AE129" s="209"/>
      <c r="AF129" s="209"/>
      <c r="AG129" s="209"/>
      <c r="AH129" s="209"/>
      <c r="AI129" s="209"/>
      <c r="AJ129" s="209"/>
      <c r="AK129" s="209"/>
      <c r="AL129" s="209"/>
      <c r="AM129" s="209"/>
      <c r="AN129" s="209"/>
      <c r="AO129" s="209"/>
      <c r="AP129" s="209"/>
      <c r="AQ129" s="209"/>
      <c r="AR129" s="209"/>
      <c r="AS129" s="209"/>
      <c r="AT129" s="209"/>
      <c r="AU129" s="209"/>
      <c r="AV129" s="209"/>
      <c r="AW129" s="209"/>
      <c r="AX129" s="209"/>
      <c r="AY129" s="209"/>
      <c r="AZ129" s="209"/>
      <c r="BA129" s="209"/>
      <c r="BB129" s="209"/>
      <c r="BC129" s="209"/>
      <c r="BD129" s="209"/>
      <c r="BE129" s="209"/>
      <c r="BF129" s="209"/>
      <c r="BG129" s="209"/>
      <c r="BH129" s="209"/>
      <c r="BI129" s="209"/>
      <c r="BJ129" s="209"/>
      <c r="BK129" s="209"/>
      <c r="BL129" s="209"/>
      <c r="BM129" s="209"/>
      <c r="BN129" s="209"/>
      <c r="BO129" s="209"/>
      <c r="BP129" s="209"/>
      <c r="BQ129" s="209"/>
      <c r="BR129" s="209"/>
      <c r="BS129" s="209"/>
      <c r="BT129" s="209"/>
      <c r="BU129" s="209"/>
      <c r="BV129" s="209"/>
      <c r="BW129" s="209"/>
      <c r="BX129" s="209"/>
      <c r="BY129" s="126"/>
      <c r="BZ129" s="126"/>
      <c r="CA129" s="125"/>
      <c r="CB129" s="125"/>
      <c r="CC129" s="125"/>
      <c r="CD129" s="125"/>
      <c r="CE129" s="125"/>
    </row>
    <row r="130" spans="1:83" x14ac:dyDescent="0.25">
      <c r="A130" s="126"/>
      <c r="B130" s="126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09"/>
      <c r="AP130" s="209"/>
      <c r="AQ130" s="209"/>
      <c r="AR130" s="209"/>
      <c r="AS130" s="209"/>
      <c r="AT130" s="209"/>
      <c r="AU130" s="209"/>
      <c r="AV130" s="209"/>
      <c r="AW130" s="209"/>
      <c r="AX130" s="209"/>
      <c r="AY130" s="209"/>
      <c r="AZ130" s="209"/>
      <c r="BA130" s="209"/>
      <c r="BB130" s="209"/>
      <c r="BC130" s="209"/>
      <c r="BD130" s="209"/>
      <c r="BE130" s="209"/>
      <c r="BF130" s="209"/>
      <c r="BG130" s="209"/>
      <c r="BH130" s="209"/>
      <c r="BI130" s="209"/>
      <c r="BJ130" s="209"/>
      <c r="BK130" s="209"/>
      <c r="BL130" s="209"/>
      <c r="BM130" s="209"/>
      <c r="BN130" s="209"/>
      <c r="BO130" s="209"/>
      <c r="BP130" s="209"/>
      <c r="BQ130" s="209"/>
      <c r="BR130" s="209"/>
      <c r="BS130" s="209"/>
      <c r="BT130" s="209"/>
      <c r="BU130" s="209"/>
      <c r="BV130" s="209"/>
      <c r="BW130" s="209"/>
      <c r="BX130" s="209"/>
      <c r="BY130" s="126"/>
      <c r="BZ130" s="126"/>
      <c r="CA130" s="125"/>
      <c r="CB130" s="125"/>
      <c r="CC130" s="125"/>
      <c r="CD130" s="125"/>
      <c r="CE130" s="125"/>
    </row>
    <row r="131" spans="1:83" x14ac:dyDescent="0.25">
      <c r="A131" s="126"/>
      <c r="B131" s="126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209"/>
      <c r="AD131" s="209"/>
      <c r="AE131" s="209"/>
      <c r="AF131" s="209"/>
      <c r="AG131" s="209"/>
      <c r="AH131" s="209"/>
      <c r="AI131" s="209"/>
      <c r="AJ131" s="209"/>
      <c r="AK131" s="209"/>
      <c r="AL131" s="209"/>
      <c r="AM131" s="209"/>
      <c r="AN131" s="209"/>
      <c r="AO131" s="209"/>
      <c r="AP131" s="209"/>
      <c r="AQ131" s="209"/>
      <c r="AR131" s="209"/>
      <c r="AS131" s="209"/>
      <c r="AT131" s="209"/>
      <c r="AU131" s="209"/>
      <c r="AV131" s="209"/>
      <c r="AW131" s="209"/>
      <c r="AX131" s="209"/>
      <c r="AY131" s="209"/>
      <c r="AZ131" s="209"/>
      <c r="BA131" s="209"/>
      <c r="BB131" s="209"/>
      <c r="BC131" s="209"/>
      <c r="BD131" s="209"/>
      <c r="BE131" s="209"/>
      <c r="BF131" s="209"/>
      <c r="BG131" s="209"/>
      <c r="BH131" s="209"/>
      <c r="BI131" s="209"/>
      <c r="BJ131" s="209"/>
      <c r="BK131" s="209"/>
      <c r="BL131" s="209"/>
      <c r="BM131" s="209"/>
      <c r="BN131" s="209"/>
      <c r="BO131" s="209"/>
      <c r="BP131" s="209"/>
      <c r="BQ131" s="209"/>
      <c r="BR131" s="209"/>
      <c r="BS131" s="209"/>
      <c r="BT131" s="209"/>
      <c r="BU131" s="209"/>
      <c r="BV131" s="209"/>
      <c r="BW131" s="209"/>
      <c r="BX131" s="209"/>
      <c r="BY131" s="126"/>
      <c r="BZ131" s="126"/>
      <c r="CA131" s="125"/>
      <c r="CB131" s="125"/>
      <c r="CC131" s="125"/>
      <c r="CD131" s="125"/>
      <c r="CE131" s="125"/>
    </row>
    <row r="132" spans="1:83" x14ac:dyDescent="0.25">
      <c r="A132" s="126"/>
      <c r="B132" s="126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209"/>
      <c r="AD132" s="209"/>
      <c r="AE132" s="209"/>
      <c r="AF132" s="209"/>
      <c r="AG132" s="209"/>
      <c r="AH132" s="209"/>
      <c r="AI132" s="209"/>
      <c r="AJ132" s="209"/>
      <c r="AK132" s="209"/>
      <c r="AL132" s="209"/>
      <c r="AM132" s="209"/>
      <c r="AN132" s="209"/>
      <c r="AO132" s="209"/>
      <c r="AP132" s="209"/>
      <c r="AQ132" s="209"/>
      <c r="AR132" s="209"/>
      <c r="AS132" s="209"/>
      <c r="AT132" s="209"/>
      <c r="AU132" s="209"/>
      <c r="AV132" s="209"/>
      <c r="AW132" s="209"/>
      <c r="AX132" s="209"/>
      <c r="AY132" s="209"/>
      <c r="AZ132" s="209"/>
      <c r="BA132" s="209"/>
      <c r="BB132" s="209"/>
      <c r="BC132" s="209"/>
      <c r="BD132" s="209"/>
      <c r="BE132" s="209"/>
      <c r="BF132" s="209"/>
      <c r="BG132" s="209"/>
      <c r="BH132" s="209"/>
      <c r="BI132" s="209"/>
      <c r="BJ132" s="209"/>
      <c r="BK132" s="209"/>
      <c r="BL132" s="209"/>
      <c r="BM132" s="209"/>
      <c r="BN132" s="209"/>
      <c r="BO132" s="209"/>
      <c r="BP132" s="209"/>
      <c r="BQ132" s="209"/>
      <c r="BR132" s="209"/>
      <c r="BS132" s="209"/>
      <c r="BT132" s="209"/>
      <c r="BU132" s="209"/>
      <c r="BV132" s="209"/>
      <c r="BW132" s="209"/>
      <c r="BX132" s="209"/>
      <c r="BY132" s="126"/>
      <c r="BZ132" s="126"/>
      <c r="CA132" s="125"/>
      <c r="CB132" s="125"/>
      <c r="CC132" s="125"/>
      <c r="CD132" s="125"/>
      <c r="CE132" s="125"/>
    </row>
    <row r="133" spans="1:83" x14ac:dyDescent="0.25">
      <c r="A133" s="125"/>
      <c r="B133" s="126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209"/>
      <c r="AD133" s="209"/>
      <c r="AE133" s="209"/>
      <c r="AF133" s="209"/>
      <c r="AG133" s="209"/>
      <c r="AH133" s="209"/>
      <c r="AI133" s="209"/>
      <c r="AJ133" s="209"/>
      <c r="AK133" s="209"/>
      <c r="AL133" s="209"/>
      <c r="AM133" s="209"/>
      <c r="AN133" s="209"/>
      <c r="AO133" s="209"/>
      <c r="AP133" s="209"/>
      <c r="AQ133" s="209"/>
      <c r="AR133" s="209"/>
      <c r="AS133" s="209"/>
      <c r="AT133" s="209"/>
      <c r="AU133" s="209"/>
      <c r="AV133" s="209"/>
      <c r="AW133" s="209"/>
      <c r="AX133" s="209"/>
      <c r="AY133" s="209"/>
      <c r="AZ133" s="209"/>
      <c r="BA133" s="209"/>
      <c r="BB133" s="209"/>
      <c r="BC133" s="209"/>
      <c r="BD133" s="209"/>
      <c r="BE133" s="209"/>
      <c r="BF133" s="209"/>
      <c r="BG133" s="209"/>
      <c r="BH133" s="209"/>
      <c r="BI133" s="209"/>
      <c r="BJ133" s="209"/>
      <c r="BK133" s="209"/>
      <c r="BL133" s="209"/>
      <c r="BM133" s="209"/>
      <c r="BN133" s="209"/>
      <c r="BO133" s="209"/>
      <c r="BP133" s="209"/>
      <c r="BQ133" s="209"/>
      <c r="BR133" s="209"/>
      <c r="BS133" s="209"/>
      <c r="BT133" s="209"/>
      <c r="BU133" s="209"/>
      <c r="BV133" s="209"/>
      <c r="BW133" s="209"/>
      <c r="BX133" s="209"/>
      <c r="BY133" s="126"/>
      <c r="BZ133" s="126"/>
      <c r="CA133" s="125"/>
      <c r="CB133" s="125"/>
      <c r="CC133" s="125"/>
      <c r="CD133" s="125"/>
      <c r="CE133" s="125"/>
    </row>
    <row r="134" spans="1:83" x14ac:dyDescent="0.25">
      <c r="A134" s="125"/>
      <c r="B134" s="126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209"/>
      <c r="AD134" s="209"/>
      <c r="AE134" s="209"/>
      <c r="AF134" s="209"/>
      <c r="AG134" s="209"/>
      <c r="AH134" s="209"/>
      <c r="AI134" s="209"/>
      <c r="AJ134" s="209"/>
      <c r="AK134" s="209"/>
      <c r="AL134" s="209"/>
      <c r="AM134" s="209"/>
      <c r="AN134" s="209"/>
      <c r="AO134" s="209"/>
      <c r="AP134" s="209"/>
      <c r="AQ134" s="209"/>
      <c r="AR134" s="209"/>
      <c r="AS134" s="209"/>
      <c r="AT134" s="209"/>
      <c r="AU134" s="209"/>
      <c r="AV134" s="209"/>
      <c r="AW134" s="209"/>
      <c r="AX134" s="209"/>
      <c r="AY134" s="209"/>
      <c r="AZ134" s="209"/>
      <c r="BA134" s="209"/>
      <c r="BB134" s="209"/>
      <c r="BC134" s="209"/>
      <c r="BD134" s="209"/>
      <c r="BE134" s="209"/>
      <c r="BF134" s="209"/>
      <c r="BG134" s="209"/>
      <c r="BH134" s="209"/>
      <c r="BI134" s="209"/>
      <c r="BJ134" s="209"/>
      <c r="BK134" s="209"/>
      <c r="BL134" s="209"/>
      <c r="BM134" s="209"/>
      <c r="BN134" s="209"/>
      <c r="BO134" s="209"/>
      <c r="BP134" s="209"/>
      <c r="BQ134" s="209"/>
      <c r="BR134" s="209"/>
      <c r="BS134" s="209"/>
      <c r="BT134" s="209"/>
      <c r="BU134" s="209"/>
      <c r="BV134" s="209"/>
      <c r="BW134" s="209"/>
      <c r="BX134" s="209"/>
      <c r="BY134" s="126"/>
      <c r="BZ134" s="126"/>
      <c r="CA134" s="125"/>
      <c r="CB134" s="125"/>
      <c r="CC134" s="125"/>
      <c r="CD134" s="125"/>
      <c r="CE134" s="125"/>
    </row>
    <row r="135" spans="1:83" x14ac:dyDescent="0.25">
      <c r="A135" s="125"/>
      <c r="B135" s="126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209"/>
      <c r="AD135" s="209"/>
      <c r="AE135" s="209"/>
      <c r="AF135" s="209"/>
      <c r="AG135" s="209"/>
      <c r="AH135" s="209"/>
      <c r="AI135" s="209"/>
      <c r="AJ135" s="209"/>
      <c r="AK135" s="209"/>
      <c r="AL135" s="209"/>
      <c r="AM135" s="209"/>
      <c r="AN135" s="209"/>
      <c r="AO135" s="209"/>
      <c r="AP135" s="209"/>
      <c r="AQ135" s="209"/>
      <c r="AR135" s="209"/>
      <c r="AS135" s="209"/>
      <c r="AT135" s="209"/>
      <c r="AU135" s="209"/>
      <c r="AV135" s="209"/>
      <c r="AW135" s="209"/>
      <c r="AX135" s="209"/>
      <c r="AY135" s="209"/>
      <c r="AZ135" s="209"/>
      <c r="BA135" s="209"/>
      <c r="BB135" s="209"/>
      <c r="BC135" s="209"/>
      <c r="BD135" s="209"/>
      <c r="BE135" s="209"/>
      <c r="BF135" s="209"/>
      <c r="BG135" s="209"/>
      <c r="BH135" s="209"/>
      <c r="BI135" s="209"/>
      <c r="BJ135" s="209"/>
      <c r="BK135" s="209"/>
      <c r="BL135" s="209"/>
      <c r="BM135" s="209"/>
      <c r="BN135" s="209"/>
      <c r="BO135" s="209"/>
      <c r="BP135" s="209"/>
      <c r="BQ135" s="209"/>
      <c r="BR135" s="209"/>
      <c r="BS135" s="209"/>
      <c r="BT135" s="209"/>
      <c r="BU135" s="209"/>
      <c r="BV135" s="209"/>
      <c r="BW135" s="209"/>
      <c r="BX135" s="209"/>
      <c r="BY135" s="126"/>
      <c r="BZ135" s="126"/>
      <c r="CA135" s="125"/>
      <c r="CB135" s="125"/>
      <c r="CC135" s="125"/>
      <c r="CD135" s="125"/>
      <c r="CE135" s="125"/>
    </row>
    <row r="136" spans="1:83" x14ac:dyDescent="0.25">
      <c r="A136" s="125"/>
      <c r="B136" s="126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209"/>
      <c r="AD136" s="209"/>
      <c r="AE136" s="209"/>
      <c r="AF136" s="209"/>
      <c r="AG136" s="209"/>
      <c r="AH136" s="209"/>
      <c r="AI136" s="209"/>
      <c r="AJ136" s="209"/>
      <c r="AK136" s="209"/>
      <c r="AL136" s="209"/>
      <c r="AM136" s="209"/>
      <c r="AN136" s="209"/>
      <c r="AO136" s="209"/>
      <c r="AP136" s="209"/>
      <c r="AQ136" s="209"/>
      <c r="AR136" s="209"/>
      <c r="AS136" s="209"/>
      <c r="AT136" s="209"/>
      <c r="AU136" s="209"/>
      <c r="AV136" s="209"/>
      <c r="AW136" s="209"/>
      <c r="AX136" s="209"/>
      <c r="AY136" s="209"/>
      <c r="AZ136" s="209"/>
      <c r="BA136" s="209"/>
      <c r="BB136" s="209"/>
      <c r="BC136" s="209"/>
      <c r="BD136" s="209"/>
      <c r="BE136" s="209"/>
      <c r="BF136" s="209"/>
      <c r="BG136" s="209"/>
      <c r="BH136" s="209"/>
      <c r="BI136" s="209"/>
      <c r="BJ136" s="209"/>
      <c r="BK136" s="209"/>
      <c r="BL136" s="209"/>
      <c r="BM136" s="209"/>
      <c r="BN136" s="209"/>
      <c r="BO136" s="209"/>
      <c r="BP136" s="209"/>
      <c r="BQ136" s="209"/>
      <c r="BR136" s="209"/>
      <c r="BS136" s="209"/>
      <c r="BT136" s="209"/>
      <c r="BU136" s="209"/>
      <c r="BV136" s="209"/>
      <c r="BW136" s="209"/>
      <c r="BX136" s="209"/>
      <c r="BY136" s="126"/>
      <c r="BZ136" s="126"/>
      <c r="CA136" s="125"/>
      <c r="CB136" s="125"/>
      <c r="CC136" s="125"/>
      <c r="CD136" s="125"/>
      <c r="CE136" s="125"/>
    </row>
    <row r="137" spans="1:83" x14ac:dyDescent="0.25">
      <c r="A137" s="125"/>
      <c r="B137" s="126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209"/>
      <c r="AD137" s="209"/>
      <c r="AE137" s="209"/>
      <c r="AF137" s="209"/>
      <c r="AG137" s="209"/>
      <c r="AH137" s="209"/>
      <c r="AI137" s="209"/>
      <c r="AJ137" s="209"/>
      <c r="AK137" s="209"/>
      <c r="AL137" s="209"/>
      <c r="AM137" s="209"/>
      <c r="AN137" s="209"/>
      <c r="AO137" s="209"/>
      <c r="AP137" s="209"/>
      <c r="AQ137" s="209"/>
      <c r="AR137" s="209"/>
      <c r="AS137" s="209"/>
      <c r="AT137" s="209"/>
      <c r="AU137" s="209"/>
      <c r="AV137" s="209"/>
      <c r="AW137" s="209"/>
      <c r="AX137" s="209"/>
      <c r="AY137" s="209"/>
      <c r="AZ137" s="209"/>
      <c r="BA137" s="209"/>
      <c r="BB137" s="209"/>
      <c r="BC137" s="209"/>
      <c r="BD137" s="209"/>
      <c r="BE137" s="209"/>
      <c r="BF137" s="209"/>
      <c r="BG137" s="209"/>
      <c r="BH137" s="209"/>
      <c r="BI137" s="209"/>
      <c r="BJ137" s="209"/>
      <c r="BK137" s="209"/>
      <c r="BL137" s="209"/>
      <c r="BM137" s="209"/>
      <c r="BN137" s="209"/>
      <c r="BO137" s="209"/>
      <c r="BP137" s="209"/>
      <c r="BQ137" s="209"/>
      <c r="BR137" s="209"/>
      <c r="BS137" s="209"/>
      <c r="BT137" s="209"/>
      <c r="BU137" s="209"/>
      <c r="BV137" s="209"/>
      <c r="BW137" s="209"/>
      <c r="BX137" s="209"/>
      <c r="BY137" s="126"/>
      <c r="BZ137" s="126"/>
      <c r="CA137" s="125"/>
      <c r="CB137" s="125"/>
      <c r="CC137" s="125"/>
      <c r="CD137" s="125"/>
      <c r="CE137" s="125"/>
    </row>
    <row r="138" spans="1:83" x14ac:dyDescent="0.25">
      <c r="A138" s="125"/>
      <c r="B138" s="126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209"/>
      <c r="AD138" s="209"/>
      <c r="AE138" s="209"/>
      <c r="AF138" s="209"/>
      <c r="AG138" s="209"/>
      <c r="AH138" s="209"/>
      <c r="AI138" s="209"/>
      <c r="AJ138" s="209"/>
      <c r="AK138" s="209"/>
      <c r="AL138" s="209"/>
      <c r="AM138" s="209"/>
      <c r="AN138" s="209"/>
      <c r="AO138" s="209"/>
      <c r="AP138" s="209"/>
      <c r="AQ138" s="209"/>
      <c r="AR138" s="209"/>
      <c r="AS138" s="209"/>
      <c r="AT138" s="209"/>
      <c r="AU138" s="209"/>
      <c r="AV138" s="209"/>
      <c r="AW138" s="209"/>
      <c r="AX138" s="209"/>
      <c r="AY138" s="209"/>
      <c r="AZ138" s="209"/>
      <c r="BA138" s="209"/>
      <c r="BB138" s="209"/>
      <c r="BC138" s="209"/>
      <c r="BD138" s="209"/>
      <c r="BE138" s="209"/>
      <c r="BF138" s="209"/>
      <c r="BG138" s="209"/>
      <c r="BH138" s="209"/>
      <c r="BI138" s="209"/>
      <c r="BJ138" s="209"/>
      <c r="BK138" s="209"/>
      <c r="BL138" s="209"/>
      <c r="BM138" s="209"/>
      <c r="BN138" s="209"/>
      <c r="BO138" s="209"/>
      <c r="BP138" s="209"/>
      <c r="BQ138" s="209"/>
      <c r="BR138" s="209"/>
      <c r="BS138" s="209"/>
      <c r="BT138" s="209"/>
      <c r="BU138" s="209"/>
      <c r="BV138" s="209"/>
      <c r="BW138" s="209"/>
      <c r="BX138" s="209"/>
      <c r="BY138" s="126"/>
      <c r="BZ138" s="126"/>
      <c r="CA138" s="125"/>
      <c r="CB138" s="125"/>
      <c r="CC138" s="125"/>
      <c r="CD138" s="125"/>
      <c r="CE138" s="125"/>
    </row>
    <row r="139" spans="1:83" x14ac:dyDescent="0.25">
      <c r="A139" s="125"/>
      <c r="B139" s="126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209"/>
      <c r="AD139" s="209"/>
      <c r="AE139" s="209"/>
      <c r="AF139" s="209"/>
      <c r="AG139" s="209"/>
      <c r="AH139" s="209"/>
      <c r="AI139" s="209"/>
      <c r="AJ139" s="209"/>
      <c r="AK139" s="209"/>
      <c r="AL139" s="209"/>
      <c r="AM139" s="209"/>
      <c r="AN139" s="209"/>
      <c r="AO139" s="209"/>
      <c r="AP139" s="209"/>
      <c r="AQ139" s="209"/>
      <c r="AR139" s="209"/>
      <c r="AS139" s="209"/>
      <c r="AT139" s="209"/>
      <c r="AU139" s="209"/>
      <c r="AV139" s="209"/>
      <c r="AW139" s="209"/>
      <c r="AX139" s="209"/>
      <c r="AY139" s="209"/>
      <c r="AZ139" s="209"/>
      <c r="BA139" s="209"/>
      <c r="BB139" s="209"/>
      <c r="BC139" s="209"/>
      <c r="BD139" s="209"/>
      <c r="BE139" s="209"/>
      <c r="BF139" s="209"/>
      <c r="BG139" s="209"/>
      <c r="BH139" s="209"/>
      <c r="BI139" s="209"/>
      <c r="BJ139" s="209"/>
      <c r="BK139" s="209"/>
      <c r="BL139" s="209"/>
      <c r="BM139" s="209"/>
      <c r="BN139" s="209"/>
      <c r="BO139" s="209"/>
      <c r="BP139" s="209"/>
      <c r="BQ139" s="209"/>
      <c r="BR139" s="209"/>
      <c r="BS139" s="209"/>
      <c r="BT139" s="209"/>
      <c r="BU139" s="209"/>
      <c r="BV139" s="209"/>
      <c r="BW139" s="209"/>
      <c r="BX139" s="209"/>
      <c r="BY139" s="126"/>
      <c r="BZ139" s="126"/>
      <c r="CA139" s="125"/>
      <c r="CB139" s="125"/>
      <c r="CC139" s="125"/>
      <c r="CD139" s="125"/>
      <c r="CE139" s="125"/>
    </row>
    <row r="140" spans="1:83" x14ac:dyDescent="0.25">
      <c r="A140" s="125"/>
      <c r="B140" s="126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209"/>
      <c r="AD140" s="209"/>
      <c r="AE140" s="209"/>
      <c r="AF140" s="209"/>
      <c r="AG140" s="209"/>
      <c r="AH140" s="209"/>
      <c r="AI140" s="209"/>
      <c r="AJ140" s="209"/>
      <c r="AK140" s="209"/>
      <c r="AL140" s="209"/>
      <c r="AM140" s="209"/>
      <c r="AN140" s="209"/>
      <c r="AO140" s="209"/>
      <c r="AP140" s="209"/>
      <c r="AQ140" s="209"/>
      <c r="AR140" s="209"/>
      <c r="AS140" s="209"/>
      <c r="AT140" s="209"/>
      <c r="AU140" s="209"/>
      <c r="AV140" s="209"/>
      <c r="AW140" s="209"/>
      <c r="AX140" s="209"/>
      <c r="AY140" s="209"/>
      <c r="AZ140" s="209"/>
      <c r="BA140" s="209"/>
      <c r="BB140" s="209"/>
      <c r="BC140" s="209"/>
      <c r="BD140" s="209"/>
      <c r="BE140" s="209"/>
      <c r="BF140" s="209"/>
      <c r="BG140" s="209"/>
      <c r="BH140" s="209"/>
      <c r="BI140" s="209"/>
      <c r="BJ140" s="209"/>
      <c r="BK140" s="209"/>
      <c r="BL140" s="209"/>
      <c r="BM140" s="209"/>
      <c r="BN140" s="209"/>
      <c r="BO140" s="209"/>
      <c r="BP140" s="209"/>
      <c r="BQ140" s="209"/>
      <c r="BR140" s="209"/>
      <c r="BS140" s="209"/>
      <c r="BT140" s="209"/>
      <c r="BU140" s="209"/>
      <c r="BV140" s="209"/>
      <c r="BW140" s="209"/>
      <c r="BX140" s="209"/>
      <c r="BY140" s="126"/>
      <c r="BZ140" s="126"/>
      <c r="CA140" s="125"/>
      <c r="CB140" s="125"/>
      <c r="CC140" s="125"/>
      <c r="CD140" s="125"/>
      <c r="CE140" s="125"/>
    </row>
    <row r="141" spans="1:83" x14ac:dyDescent="0.25">
      <c r="A141" s="125"/>
      <c r="B141" s="126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209"/>
      <c r="AD141" s="209"/>
      <c r="AE141" s="209"/>
      <c r="AF141" s="209"/>
      <c r="AG141" s="209"/>
      <c r="AH141" s="209"/>
      <c r="AI141" s="209"/>
      <c r="AJ141" s="209"/>
      <c r="AK141" s="209"/>
      <c r="AL141" s="209"/>
      <c r="AM141" s="209"/>
      <c r="AN141" s="209"/>
      <c r="AO141" s="209"/>
      <c r="AP141" s="209"/>
      <c r="AQ141" s="209"/>
      <c r="AR141" s="209"/>
      <c r="AS141" s="209"/>
      <c r="AT141" s="209"/>
      <c r="AU141" s="209"/>
      <c r="AV141" s="209"/>
      <c r="AW141" s="209"/>
      <c r="AX141" s="209"/>
      <c r="AY141" s="209"/>
      <c r="AZ141" s="209"/>
      <c r="BA141" s="209"/>
      <c r="BB141" s="209"/>
      <c r="BC141" s="209"/>
      <c r="BD141" s="209"/>
      <c r="BE141" s="209"/>
      <c r="BF141" s="209"/>
      <c r="BG141" s="209"/>
      <c r="BH141" s="209"/>
      <c r="BI141" s="209"/>
      <c r="BJ141" s="209"/>
      <c r="BK141" s="209"/>
      <c r="BL141" s="209"/>
      <c r="BM141" s="209"/>
      <c r="BN141" s="209"/>
      <c r="BO141" s="209"/>
      <c r="BP141" s="209"/>
      <c r="BQ141" s="209"/>
      <c r="BR141" s="209"/>
      <c r="BS141" s="209"/>
      <c r="BT141" s="209"/>
      <c r="BU141" s="209"/>
      <c r="BV141" s="209"/>
      <c r="BW141" s="209"/>
      <c r="BX141" s="209"/>
      <c r="BY141" s="126"/>
      <c r="BZ141" s="126"/>
      <c r="CA141" s="125"/>
      <c r="CB141" s="125"/>
      <c r="CC141" s="125"/>
      <c r="CD141" s="125"/>
      <c r="CE141" s="125"/>
    </row>
    <row r="142" spans="1:83" x14ac:dyDescent="0.25">
      <c r="A142" s="125"/>
      <c r="B142" s="126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209"/>
      <c r="AD142" s="209"/>
      <c r="AE142" s="209"/>
      <c r="AF142" s="209"/>
      <c r="AG142" s="209"/>
      <c r="AH142" s="209"/>
      <c r="AI142" s="209"/>
      <c r="AJ142" s="209"/>
      <c r="AK142" s="209"/>
      <c r="AL142" s="209"/>
      <c r="AM142" s="209"/>
      <c r="AN142" s="209"/>
      <c r="AO142" s="209"/>
      <c r="AP142" s="209"/>
      <c r="AQ142" s="209"/>
      <c r="AR142" s="209"/>
      <c r="AS142" s="209"/>
      <c r="AT142" s="209"/>
      <c r="AU142" s="209"/>
      <c r="AV142" s="209"/>
      <c r="AW142" s="209"/>
      <c r="AX142" s="209"/>
      <c r="AY142" s="209"/>
      <c r="AZ142" s="209"/>
      <c r="BA142" s="209"/>
      <c r="BB142" s="209"/>
      <c r="BC142" s="209"/>
      <c r="BD142" s="209"/>
      <c r="BE142" s="209"/>
      <c r="BF142" s="209"/>
      <c r="BG142" s="209"/>
      <c r="BH142" s="209"/>
      <c r="BI142" s="209"/>
      <c r="BJ142" s="209"/>
      <c r="BK142" s="209"/>
      <c r="BL142" s="209"/>
      <c r="BM142" s="209"/>
      <c r="BN142" s="209"/>
      <c r="BO142" s="209"/>
      <c r="BP142" s="209"/>
      <c r="BQ142" s="209"/>
      <c r="BR142" s="209"/>
      <c r="BS142" s="209"/>
      <c r="BT142" s="209"/>
      <c r="BU142" s="209"/>
      <c r="BV142" s="209"/>
      <c r="BW142" s="209"/>
      <c r="BX142" s="209"/>
      <c r="BY142" s="126"/>
      <c r="BZ142" s="126"/>
      <c r="CA142" s="125"/>
      <c r="CB142" s="125"/>
      <c r="CC142" s="125"/>
      <c r="CD142" s="125"/>
      <c r="CE142" s="125"/>
    </row>
    <row r="143" spans="1:83" x14ac:dyDescent="0.25">
      <c r="A143" s="125"/>
      <c r="B143" s="126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209"/>
      <c r="AD143" s="209"/>
      <c r="AE143" s="209"/>
      <c r="AF143" s="209"/>
      <c r="AG143" s="209"/>
      <c r="AH143" s="209"/>
      <c r="AI143" s="209"/>
      <c r="AJ143" s="209"/>
      <c r="AK143" s="209"/>
      <c r="AL143" s="209"/>
      <c r="AM143" s="209"/>
      <c r="AN143" s="209"/>
      <c r="AO143" s="209"/>
      <c r="AP143" s="209"/>
      <c r="AQ143" s="209"/>
      <c r="AR143" s="209"/>
      <c r="AS143" s="209"/>
      <c r="AT143" s="209"/>
      <c r="AU143" s="209"/>
      <c r="AV143" s="209"/>
      <c r="AW143" s="209"/>
      <c r="AX143" s="209"/>
      <c r="AY143" s="209"/>
      <c r="AZ143" s="209"/>
      <c r="BA143" s="209"/>
      <c r="BB143" s="209"/>
      <c r="BC143" s="209"/>
      <c r="BD143" s="209"/>
      <c r="BE143" s="209"/>
      <c r="BF143" s="209"/>
      <c r="BG143" s="209"/>
      <c r="BH143" s="209"/>
      <c r="BI143" s="209"/>
      <c r="BJ143" s="209"/>
      <c r="BK143" s="209"/>
      <c r="BL143" s="209"/>
      <c r="BM143" s="209"/>
      <c r="BN143" s="209"/>
      <c r="BO143" s="209"/>
      <c r="BP143" s="209"/>
      <c r="BQ143" s="209"/>
      <c r="BR143" s="209"/>
      <c r="BS143" s="209"/>
      <c r="BT143" s="209"/>
      <c r="BU143" s="209"/>
      <c r="BV143" s="209"/>
      <c r="BW143" s="209"/>
      <c r="BX143" s="209"/>
      <c r="BY143" s="126"/>
      <c r="BZ143" s="126"/>
      <c r="CA143" s="125"/>
      <c r="CB143" s="125"/>
      <c r="CC143" s="125"/>
      <c r="CD143" s="125"/>
      <c r="CE143" s="125"/>
    </row>
    <row r="144" spans="1:83" x14ac:dyDescent="0.25">
      <c r="A144" s="125"/>
      <c r="B144" s="126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209"/>
      <c r="AD144" s="209"/>
      <c r="AE144" s="209"/>
      <c r="AF144" s="209"/>
      <c r="AG144" s="209"/>
      <c r="AH144" s="209"/>
      <c r="AI144" s="209"/>
      <c r="AJ144" s="209"/>
      <c r="AK144" s="209"/>
      <c r="AL144" s="209"/>
      <c r="AM144" s="209"/>
      <c r="AN144" s="209"/>
      <c r="AO144" s="209"/>
      <c r="AP144" s="209"/>
      <c r="AQ144" s="209"/>
      <c r="AR144" s="209"/>
      <c r="AS144" s="209"/>
      <c r="AT144" s="209"/>
      <c r="AU144" s="209"/>
      <c r="AV144" s="209"/>
      <c r="AW144" s="209"/>
      <c r="AX144" s="209"/>
      <c r="AY144" s="209"/>
      <c r="AZ144" s="209"/>
      <c r="BA144" s="209"/>
      <c r="BB144" s="209"/>
      <c r="BC144" s="209"/>
      <c r="BD144" s="209"/>
      <c r="BE144" s="209"/>
      <c r="BF144" s="209"/>
      <c r="BG144" s="209"/>
      <c r="BH144" s="209"/>
      <c r="BI144" s="209"/>
      <c r="BJ144" s="209"/>
      <c r="BK144" s="209"/>
      <c r="BL144" s="209"/>
      <c r="BM144" s="209"/>
      <c r="BN144" s="209"/>
      <c r="BO144" s="209"/>
      <c r="BP144" s="209"/>
      <c r="BQ144" s="209"/>
      <c r="BR144" s="209"/>
      <c r="BS144" s="209"/>
      <c r="BT144" s="209"/>
      <c r="BU144" s="209"/>
      <c r="BV144" s="209"/>
      <c r="BW144" s="209"/>
      <c r="BX144" s="209"/>
      <c r="BY144" s="126"/>
      <c r="BZ144" s="126"/>
      <c r="CA144" s="125"/>
      <c r="CB144" s="125"/>
      <c r="CC144" s="125"/>
      <c r="CD144" s="125"/>
      <c r="CE144" s="125"/>
    </row>
    <row r="145" spans="1:83" x14ac:dyDescent="0.25">
      <c r="A145" s="125"/>
      <c r="B145" s="126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209"/>
      <c r="AD145" s="209"/>
      <c r="AE145" s="209"/>
      <c r="AF145" s="209"/>
      <c r="AG145" s="209"/>
      <c r="AH145" s="209"/>
      <c r="AI145" s="209"/>
      <c r="AJ145" s="209"/>
      <c r="AK145" s="209"/>
      <c r="AL145" s="209"/>
      <c r="AM145" s="209"/>
      <c r="AN145" s="209"/>
      <c r="AO145" s="209"/>
      <c r="AP145" s="209"/>
      <c r="AQ145" s="209"/>
      <c r="AR145" s="209"/>
      <c r="AS145" s="209"/>
      <c r="AT145" s="209"/>
      <c r="AU145" s="209"/>
      <c r="AV145" s="209"/>
      <c r="AW145" s="209"/>
      <c r="AX145" s="209"/>
      <c r="AY145" s="209"/>
      <c r="AZ145" s="209"/>
      <c r="BA145" s="209"/>
      <c r="BB145" s="209"/>
      <c r="BC145" s="209"/>
      <c r="BD145" s="209"/>
      <c r="BE145" s="209"/>
      <c r="BF145" s="209"/>
      <c r="BG145" s="209"/>
      <c r="BH145" s="209"/>
      <c r="BI145" s="209"/>
      <c r="BJ145" s="209"/>
      <c r="BK145" s="209"/>
      <c r="BL145" s="209"/>
      <c r="BM145" s="209"/>
      <c r="BN145" s="209"/>
      <c r="BO145" s="209"/>
      <c r="BP145" s="209"/>
      <c r="BQ145" s="209"/>
      <c r="BR145" s="209"/>
      <c r="BS145" s="209"/>
      <c r="BT145" s="209"/>
      <c r="BU145" s="209"/>
      <c r="BV145" s="209"/>
      <c r="BW145" s="209"/>
      <c r="BX145" s="209"/>
      <c r="BY145" s="126"/>
      <c r="BZ145" s="126"/>
      <c r="CA145" s="125"/>
      <c r="CB145" s="125"/>
      <c r="CC145" s="125"/>
      <c r="CD145" s="125"/>
      <c r="CE145" s="125"/>
    </row>
    <row r="146" spans="1:83" x14ac:dyDescent="0.25">
      <c r="A146" s="125"/>
      <c r="B146" s="126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209"/>
      <c r="AD146" s="209"/>
      <c r="AE146" s="209"/>
      <c r="AF146" s="209"/>
      <c r="AG146" s="209"/>
      <c r="AH146" s="209"/>
      <c r="AI146" s="209"/>
      <c r="AJ146" s="209"/>
      <c r="AK146" s="209"/>
      <c r="AL146" s="209"/>
      <c r="AM146" s="209"/>
      <c r="AN146" s="209"/>
      <c r="AO146" s="209"/>
      <c r="AP146" s="209"/>
      <c r="AQ146" s="209"/>
      <c r="AR146" s="209"/>
      <c r="AS146" s="209"/>
      <c r="AT146" s="209"/>
      <c r="AU146" s="209"/>
      <c r="AV146" s="209"/>
      <c r="AW146" s="209"/>
      <c r="AX146" s="209"/>
      <c r="AY146" s="209"/>
      <c r="AZ146" s="209"/>
      <c r="BA146" s="209"/>
      <c r="BB146" s="209"/>
      <c r="BC146" s="209"/>
      <c r="BD146" s="209"/>
      <c r="BE146" s="209"/>
      <c r="BF146" s="209"/>
      <c r="BG146" s="209"/>
      <c r="BH146" s="209"/>
      <c r="BI146" s="209"/>
      <c r="BJ146" s="209"/>
      <c r="BK146" s="209"/>
      <c r="BL146" s="209"/>
      <c r="BM146" s="209"/>
      <c r="BN146" s="209"/>
      <c r="BO146" s="209"/>
      <c r="BP146" s="209"/>
      <c r="BQ146" s="209"/>
      <c r="BR146" s="209"/>
      <c r="BS146" s="209"/>
      <c r="BT146" s="209"/>
      <c r="BU146" s="209"/>
      <c r="BV146" s="209"/>
      <c r="BW146" s="209"/>
      <c r="BX146" s="209"/>
      <c r="BY146" s="126"/>
      <c r="BZ146" s="126"/>
      <c r="CA146" s="125"/>
      <c r="CB146" s="125"/>
      <c r="CC146" s="125"/>
      <c r="CD146" s="125"/>
      <c r="CE146" s="125"/>
    </row>
    <row r="147" spans="1:83" x14ac:dyDescent="0.25">
      <c r="A147" s="125"/>
      <c r="B147" s="126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209"/>
      <c r="AD147" s="209"/>
      <c r="AE147" s="209"/>
      <c r="AF147" s="209"/>
      <c r="AG147" s="209"/>
      <c r="AH147" s="209"/>
      <c r="AI147" s="209"/>
      <c r="AJ147" s="209"/>
      <c r="AK147" s="209"/>
      <c r="AL147" s="209"/>
      <c r="AM147" s="209"/>
      <c r="AN147" s="209"/>
      <c r="AO147" s="209"/>
      <c r="AP147" s="209"/>
      <c r="AQ147" s="209"/>
      <c r="AR147" s="209"/>
      <c r="AS147" s="209"/>
      <c r="AT147" s="209"/>
      <c r="AU147" s="209"/>
      <c r="AV147" s="209"/>
      <c r="AW147" s="209"/>
      <c r="AX147" s="209"/>
      <c r="AY147" s="209"/>
      <c r="AZ147" s="209"/>
      <c r="BA147" s="209"/>
      <c r="BB147" s="209"/>
      <c r="BC147" s="209"/>
      <c r="BD147" s="209"/>
      <c r="BE147" s="209"/>
      <c r="BF147" s="209"/>
      <c r="BG147" s="209"/>
      <c r="BH147" s="209"/>
      <c r="BI147" s="209"/>
      <c r="BJ147" s="209"/>
      <c r="BK147" s="209"/>
      <c r="BL147" s="209"/>
      <c r="BM147" s="209"/>
      <c r="BN147" s="209"/>
      <c r="BO147" s="209"/>
      <c r="BP147" s="209"/>
      <c r="BQ147" s="209"/>
      <c r="BR147" s="209"/>
      <c r="BS147" s="209"/>
      <c r="BT147" s="209"/>
      <c r="BU147" s="209"/>
      <c r="BV147" s="209"/>
      <c r="BW147" s="209"/>
      <c r="BX147" s="209"/>
      <c r="BY147" s="126"/>
      <c r="BZ147" s="126"/>
      <c r="CA147" s="125"/>
      <c r="CB147" s="125"/>
      <c r="CC147" s="125"/>
      <c r="CD147" s="125"/>
      <c r="CE147" s="125"/>
    </row>
    <row r="148" spans="1:83" x14ac:dyDescent="0.25">
      <c r="A148" s="125"/>
      <c r="B148" s="126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09"/>
      <c r="AP148" s="209"/>
      <c r="AQ148" s="209"/>
      <c r="AR148" s="209"/>
      <c r="AS148" s="209"/>
      <c r="AT148" s="209"/>
      <c r="AU148" s="209"/>
      <c r="AV148" s="209"/>
      <c r="AW148" s="209"/>
      <c r="AX148" s="209"/>
      <c r="AY148" s="209"/>
      <c r="AZ148" s="209"/>
      <c r="BA148" s="209"/>
      <c r="BB148" s="209"/>
      <c r="BC148" s="209"/>
      <c r="BD148" s="209"/>
      <c r="BE148" s="209"/>
      <c r="BF148" s="209"/>
      <c r="BG148" s="209"/>
      <c r="BH148" s="209"/>
      <c r="BI148" s="209"/>
      <c r="BJ148" s="209"/>
      <c r="BK148" s="209"/>
      <c r="BL148" s="209"/>
      <c r="BM148" s="209"/>
      <c r="BN148" s="209"/>
      <c r="BO148" s="209"/>
      <c r="BP148" s="209"/>
      <c r="BQ148" s="209"/>
      <c r="BR148" s="209"/>
      <c r="BS148" s="209"/>
      <c r="BT148" s="209"/>
      <c r="BU148" s="209"/>
      <c r="BV148" s="209"/>
      <c r="BW148" s="209"/>
      <c r="BX148" s="209"/>
      <c r="BY148" s="126"/>
      <c r="BZ148" s="126"/>
      <c r="CA148" s="125"/>
      <c r="CB148" s="125"/>
      <c r="CC148" s="125"/>
      <c r="CD148" s="125"/>
      <c r="CE148" s="125"/>
    </row>
    <row r="149" spans="1:83" x14ac:dyDescent="0.25">
      <c r="A149" s="125"/>
      <c r="B149" s="126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209"/>
      <c r="AD149" s="209"/>
      <c r="AE149" s="209"/>
      <c r="AF149" s="209"/>
      <c r="AG149" s="209"/>
      <c r="AH149" s="209"/>
      <c r="AI149" s="209"/>
      <c r="AJ149" s="209"/>
      <c r="AK149" s="209"/>
      <c r="AL149" s="209"/>
      <c r="AM149" s="209"/>
      <c r="AN149" s="209"/>
      <c r="AO149" s="209"/>
      <c r="AP149" s="209"/>
      <c r="AQ149" s="209"/>
      <c r="AR149" s="209"/>
      <c r="AS149" s="209"/>
      <c r="AT149" s="209"/>
      <c r="AU149" s="209"/>
      <c r="AV149" s="209"/>
      <c r="AW149" s="209"/>
      <c r="AX149" s="209"/>
      <c r="AY149" s="209"/>
      <c r="AZ149" s="209"/>
      <c r="BA149" s="209"/>
      <c r="BB149" s="209"/>
      <c r="BC149" s="209"/>
      <c r="BD149" s="209"/>
      <c r="BE149" s="209"/>
      <c r="BF149" s="209"/>
      <c r="BG149" s="209"/>
      <c r="BH149" s="209"/>
      <c r="BI149" s="209"/>
      <c r="BJ149" s="209"/>
      <c r="BK149" s="209"/>
      <c r="BL149" s="209"/>
      <c r="BM149" s="209"/>
      <c r="BN149" s="209"/>
      <c r="BO149" s="209"/>
      <c r="BP149" s="209"/>
      <c r="BQ149" s="209"/>
      <c r="BR149" s="209"/>
      <c r="BS149" s="209"/>
      <c r="BT149" s="209"/>
      <c r="BU149" s="209"/>
      <c r="BV149" s="209"/>
      <c r="BW149" s="209"/>
      <c r="BX149" s="209"/>
      <c r="BY149" s="126"/>
      <c r="BZ149" s="126"/>
      <c r="CA149" s="125"/>
      <c r="CB149" s="125"/>
      <c r="CC149" s="125"/>
      <c r="CD149" s="125"/>
      <c r="CE149" s="125"/>
    </row>
    <row r="150" spans="1:83" x14ac:dyDescent="0.25">
      <c r="A150" s="125"/>
      <c r="B150" s="126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209"/>
      <c r="AD150" s="209"/>
      <c r="AE150" s="209"/>
      <c r="AF150" s="209"/>
      <c r="AG150" s="209"/>
      <c r="AH150" s="209"/>
      <c r="AI150" s="209"/>
      <c r="AJ150" s="209"/>
      <c r="AK150" s="209"/>
      <c r="AL150" s="209"/>
      <c r="AM150" s="209"/>
      <c r="AN150" s="209"/>
      <c r="AO150" s="209"/>
      <c r="AP150" s="209"/>
      <c r="AQ150" s="209"/>
      <c r="AR150" s="209"/>
      <c r="AS150" s="209"/>
      <c r="AT150" s="209"/>
      <c r="AU150" s="209"/>
      <c r="AV150" s="209"/>
      <c r="AW150" s="209"/>
      <c r="AX150" s="209"/>
      <c r="AY150" s="209"/>
      <c r="AZ150" s="209"/>
      <c r="BA150" s="209"/>
      <c r="BB150" s="209"/>
      <c r="BC150" s="209"/>
      <c r="BD150" s="209"/>
      <c r="BE150" s="209"/>
      <c r="BF150" s="209"/>
      <c r="BG150" s="209"/>
      <c r="BH150" s="209"/>
      <c r="BI150" s="209"/>
      <c r="BJ150" s="209"/>
      <c r="BK150" s="209"/>
      <c r="BL150" s="209"/>
      <c r="BM150" s="209"/>
      <c r="BN150" s="209"/>
      <c r="BO150" s="209"/>
      <c r="BP150" s="209"/>
      <c r="BQ150" s="209"/>
      <c r="BR150" s="209"/>
      <c r="BS150" s="209"/>
      <c r="BT150" s="209"/>
      <c r="BU150" s="209"/>
      <c r="BV150" s="209"/>
      <c r="BW150" s="209"/>
      <c r="BX150" s="209"/>
      <c r="BY150" s="126"/>
      <c r="BZ150" s="126"/>
      <c r="CA150" s="125"/>
      <c r="CB150" s="125"/>
      <c r="CC150" s="125"/>
      <c r="CD150" s="125"/>
      <c r="CE150" s="125"/>
    </row>
    <row r="151" spans="1:83" x14ac:dyDescent="0.25">
      <c r="A151" s="125"/>
      <c r="B151" s="126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209"/>
      <c r="AD151" s="209"/>
      <c r="AE151" s="209"/>
      <c r="AF151" s="209"/>
      <c r="AG151" s="209"/>
      <c r="AH151" s="209"/>
      <c r="AI151" s="209"/>
      <c r="AJ151" s="209"/>
      <c r="AK151" s="209"/>
      <c r="AL151" s="209"/>
      <c r="AM151" s="209"/>
      <c r="AN151" s="209"/>
      <c r="AO151" s="209"/>
      <c r="AP151" s="209"/>
      <c r="AQ151" s="209"/>
      <c r="AR151" s="209"/>
      <c r="AS151" s="209"/>
      <c r="AT151" s="209"/>
      <c r="AU151" s="209"/>
      <c r="AV151" s="209"/>
      <c r="AW151" s="209"/>
      <c r="AX151" s="209"/>
      <c r="AY151" s="209"/>
      <c r="AZ151" s="209"/>
      <c r="BA151" s="209"/>
      <c r="BB151" s="209"/>
      <c r="BC151" s="209"/>
      <c r="BD151" s="209"/>
      <c r="BE151" s="209"/>
      <c r="BF151" s="209"/>
      <c r="BG151" s="209"/>
      <c r="BH151" s="209"/>
      <c r="BI151" s="209"/>
      <c r="BJ151" s="209"/>
      <c r="BK151" s="209"/>
      <c r="BL151" s="209"/>
      <c r="BM151" s="209"/>
      <c r="BN151" s="209"/>
      <c r="BO151" s="209"/>
      <c r="BP151" s="209"/>
      <c r="BQ151" s="209"/>
      <c r="BR151" s="209"/>
      <c r="BS151" s="209"/>
      <c r="BT151" s="209"/>
      <c r="BU151" s="209"/>
      <c r="BV151" s="209"/>
      <c r="BW151" s="209"/>
      <c r="BX151" s="209"/>
      <c r="BY151" s="126"/>
      <c r="BZ151" s="126"/>
      <c r="CA151" s="125"/>
      <c r="CB151" s="125"/>
      <c r="CC151" s="125"/>
      <c r="CD151" s="125"/>
      <c r="CE151" s="125"/>
    </row>
    <row r="152" spans="1:83" x14ac:dyDescent="0.25">
      <c r="A152" s="125"/>
      <c r="B152" s="126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209"/>
      <c r="AD152" s="209"/>
      <c r="AE152" s="209"/>
      <c r="AF152" s="209"/>
      <c r="AG152" s="209"/>
      <c r="AH152" s="209"/>
      <c r="AI152" s="209"/>
      <c r="AJ152" s="209"/>
      <c r="AK152" s="209"/>
      <c r="AL152" s="209"/>
      <c r="AM152" s="209"/>
      <c r="AN152" s="209"/>
      <c r="AO152" s="209"/>
      <c r="AP152" s="209"/>
      <c r="AQ152" s="209"/>
      <c r="AR152" s="209"/>
      <c r="AS152" s="209"/>
      <c r="AT152" s="209"/>
      <c r="AU152" s="209"/>
      <c r="AV152" s="209"/>
      <c r="AW152" s="209"/>
      <c r="AX152" s="209"/>
      <c r="AY152" s="209"/>
      <c r="AZ152" s="209"/>
      <c r="BA152" s="209"/>
      <c r="BB152" s="209"/>
      <c r="BC152" s="209"/>
      <c r="BD152" s="209"/>
      <c r="BE152" s="209"/>
      <c r="BF152" s="209"/>
      <c r="BG152" s="209"/>
      <c r="BH152" s="209"/>
      <c r="BI152" s="209"/>
      <c r="BJ152" s="209"/>
      <c r="BK152" s="209"/>
      <c r="BL152" s="209"/>
      <c r="BM152" s="209"/>
      <c r="BN152" s="209"/>
      <c r="BO152" s="209"/>
      <c r="BP152" s="209"/>
      <c r="BQ152" s="209"/>
      <c r="BR152" s="209"/>
      <c r="BS152" s="209"/>
      <c r="BT152" s="209"/>
      <c r="BU152" s="209"/>
      <c r="BV152" s="209"/>
      <c r="BW152" s="209"/>
      <c r="BX152" s="209"/>
      <c r="BY152" s="126"/>
      <c r="BZ152" s="126"/>
      <c r="CA152" s="125"/>
      <c r="CB152" s="125"/>
      <c r="CC152" s="125"/>
      <c r="CD152" s="125"/>
      <c r="CE152" s="125"/>
    </row>
    <row r="153" spans="1:83" x14ac:dyDescent="0.25">
      <c r="A153" s="125"/>
      <c r="B153" s="126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209"/>
      <c r="AD153" s="209"/>
      <c r="AE153" s="209"/>
      <c r="AF153" s="209"/>
      <c r="AG153" s="209"/>
      <c r="AH153" s="209"/>
      <c r="AI153" s="209"/>
      <c r="AJ153" s="209"/>
      <c r="AK153" s="209"/>
      <c r="AL153" s="209"/>
      <c r="AM153" s="209"/>
      <c r="AN153" s="209"/>
      <c r="AO153" s="209"/>
      <c r="AP153" s="209"/>
      <c r="AQ153" s="209"/>
      <c r="AR153" s="209"/>
      <c r="AS153" s="209"/>
      <c r="AT153" s="209"/>
      <c r="AU153" s="209"/>
      <c r="AV153" s="209"/>
      <c r="AW153" s="209"/>
      <c r="AX153" s="209"/>
      <c r="AY153" s="209"/>
      <c r="AZ153" s="209"/>
      <c r="BA153" s="209"/>
      <c r="BB153" s="209"/>
      <c r="BC153" s="209"/>
      <c r="BD153" s="209"/>
      <c r="BE153" s="209"/>
      <c r="BF153" s="209"/>
      <c r="BG153" s="209"/>
      <c r="BH153" s="209"/>
      <c r="BI153" s="209"/>
      <c r="BJ153" s="209"/>
      <c r="BK153" s="209"/>
      <c r="BL153" s="209"/>
      <c r="BM153" s="209"/>
      <c r="BN153" s="209"/>
      <c r="BO153" s="209"/>
      <c r="BP153" s="209"/>
      <c r="BQ153" s="209"/>
      <c r="BR153" s="209"/>
      <c r="BS153" s="209"/>
      <c r="BT153" s="209"/>
      <c r="BU153" s="209"/>
      <c r="BV153" s="209"/>
      <c r="BW153" s="209"/>
      <c r="BX153" s="209"/>
      <c r="BY153" s="126"/>
      <c r="BZ153" s="126"/>
      <c r="CA153" s="125"/>
      <c r="CB153" s="125"/>
      <c r="CC153" s="125"/>
      <c r="CD153" s="125"/>
      <c r="CE153" s="125"/>
    </row>
    <row r="154" spans="1:83" x14ac:dyDescent="0.25">
      <c r="A154" s="125"/>
      <c r="B154" s="126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209"/>
      <c r="AD154" s="209"/>
      <c r="AE154" s="209"/>
      <c r="AF154" s="209"/>
      <c r="AG154" s="209"/>
      <c r="AH154" s="209"/>
      <c r="AI154" s="209"/>
      <c r="AJ154" s="209"/>
      <c r="AK154" s="209"/>
      <c r="AL154" s="209"/>
      <c r="AM154" s="209"/>
      <c r="AN154" s="209"/>
      <c r="AO154" s="209"/>
      <c r="AP154" s="209"/>
      <c r="AQ154" s="209"/>
      <c r="AR154" s="209"/>
      <c r="AS154" s="209"/>
      <c r="AT154" s="209"/>
      <c r="AU154" s="209"/>
      <c r="AV154" s="209"/>
      <c r="AW154" s="209"/>
      <c r="AX154" s="209"/>
      <c r="AY154" s="209"/>
      <c r="AZ154" s="209"/>
      <c r="BA154" s="209"/>
      <c r="BB154" s="209"/>
      <c r="BC154" s="209"/>
      <c r="BD154" s="209"/>
      <c r="BE154" s="209"/>
      <c r="BF154" s="209"/>
      <c r="BG154" s="209"/>
      <c r="BH154" s="209"/>
      <c r="BI154" s="209"/>
      <c r="BJ154" s="209"/>
      <c r="BK154" s="209"/>
      <c r="BL154" s="209"/>
      <c r="BM154" s="209"/>
      <c r="BN154" s="209"/>
      <c r="BO154" s="209"/>
      <c r="BP154" s="209"/>
      <c r="BQ154" s="209"/>
      <c r="BR154" s="209"/>
      <c r="BS154" s="209"/>
      <c r="BT154" s="209"/>
      <c r="BU154" s="209"/>
      <c r="BV154" s="209"/>
      <c r="BW154" s="209"/>
      <c r="BX154" s="209"/>
      <c r="BY154" s="126"/>
      <c r="BZ154" s="126"/>
      <c r="CA154" s="125"/>
      <c r="CB154" s="125"/>
      <c r="CC154" s="125"/>
      <c r="CD154" s="125"/>
      <c r="CE154" s="125"/>
    </row>
    <row r="155" spans="1:83" x14ac:dyDescent="0.25">
      <c r="A155" s="125"/>
      <c r="B155" s="126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209"/>
      <c r="AD155" s="209"/>
      <c r="AE155" s="209"/>
      <c r="AF155" s="209"/>
      <c r="AG155" s="209"/>
      <c r="AH155" s="209"/>
      <c r="AI155" s="209"/>
      <c r="AJ155" s="209"/>
      <c r="AK155" s="209"/>
      <c r="AL155" s="209"/>
      <c r="AM155" s="209"/>
      <c r="AN155" s="209"/>
      <c r="AO155" s="209"/>
      <c r="AP155" s="209"/>
      <c r="AQ155" s="209"/>
      <c r="AR155" s="209"/>
      <c r="AS155" s="209"/>
      <c r="AT155" s="209"/>
      <c r="AU155" s="209"/>
      <c r="AV155" s="209"/>
      <c r="AW155" s="209"/>
      <c r="AX155" s="209"/>
      <c r="AY155" s="209"/>
      <c r="AZ155" s="209"/>
      <c r="BA155" s="209"/>
      <c r="BB155" s="209"/>
      <c r="BC155" s="209"/>
      <c r="BD155" s="209"/>
      <c r="BE155" s="209"/>
      <c r="BF155" s="209"/>
      <c r="BG155" s="209"/>
      <c r="BH155" s="209"/>
      <c r="BI155" s="209"/>
      <c r="BJ155" s="209"/>
      <c r="BK155" s="209"/>
      <c r="BL155" s="209"/>
      <c r="BM155" s="209"/>
      <c r="BN155" s="209"/>
      <c r="BO155" s="209"/>
      <c r="BP155" s="209"/>
      <c r="BQ155" s="209"/>
      <c r="BR155" s="209"/>
      <c r="BS155" s="209"/>
      <c r="BT155" s="209"/>
      <c r="BU155" s="209"/>
      <c r="BV155" s="209"/>
      <c r="BW155" s="209"/>
      <c r="BX155" s="209"/>
      <c r="BY155" s="126"/>
      <c r="BZ155" s="126"/>
      <c r="CA155" s="125"/>
      <c r="CB155" s="125"/>
      <c r="CC155" s="125"/>
      <c r="CD155" s="125"/>
      <c r="CE155" s="125"/>
    </row>
    <row r="156" spans="1:83" x14ac:dyDescent="0.25">
      <c r="A156" s="125"/>
      <c r="B156" s="126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209"/>
      <c r="AD156" s="209"/>
      <c r="AE156" s="209"/>
      <c r="AF156" s="209"/>
      <c r="AG156" s="209"/>
      <c r="AH156" s="209"/>
      <c r="AI156" s="209"/>
      <c r="AJ156" s="209"/>
      <c r="AK156" s="209"/>
      <c r="AL156" s="209"/>
      <c r="AM156" s="209"/>
      <c r="AN156" s="209"/>
      <c r="AO156" s="209"/>
      <c r="AP156" s="209"/>
      <c r="AQ156" s="209"/>
      <c r="AR156" s="209"/>
      <c r="AS156" s="209"/>
      <c r="AT156" s="209"/>
      <c r="AU156" s="209"/>
      <c r="AV156" s="209"/>
      <c r="AW156" s="209"/>
      <c r="AX156" s="209"/>
      <c r="AY156" s="209"/>
      <c r="AZ156" s="209"/>
      <c r="BA156" s="209"/>
      <c r="BB156" s="209"/>
      <c r="BC156" s="209"/>
      <c r="BD156" s="209"/>
      <c r="BE156" s="209"/>
      <c r="BF156" s="209"/>
      <c r="BG156" s="209"/>
      <c r="BH156" s="209"/>
      <c r="BI156" s="209"/>
      <c r="BJ156" s="209"/>
      <c r="BK156" s="209"/>
      <c r="BL156" s="209"/>
      <c r="BM156" s="209"/>
      <c r="BN156" s="209"/>
      <c r="BO156" s="209"/>
      <c r="BP156" s="209"/>
      <c r="BQ156" s="209"/>
      <c r="BR156" s="209"/>
      <c r="BS156" s="209"/>
      <c r="BT156" s="209"/>
      <c r="BU156" s="209"/>
      <c r="BV156" s="209"/>
      <c r="BW156" s="209"/>
      <c r="BX156" s="209"/>
      <c r="BY156" s="126"/>
      <c r="BZ156" s="126"/>
      <c r="CA156" s="125"/>
      <c r="CB156" s="125"/>
      <c r="CC156" s="125"/>
      <c r="CD156" s="125"/>
      <c r="CE156" s="125"/>
    </row>
    <row r="157" spans="1:83" x14ac:dyDescent="0.25">
      <c r="A157" s="125"/>
      <c r="B157" s="126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209"/>
      <c r="AD157" s="209"/>
      <c r="AE157" s="209"/>
      <c r="AF157" s="209"/>
      <c r="AG157" s="209"/>
      <c r="AH157" s="209"/>
      <c r="AI157" s="209"/>
      <c r="AJ157" s="209"/>
      <c r="AK157" s="209"/>
      <c r="AL157" s="209"/>
      <c r="AM157" s="209"/>
      <c r="AN157" s="209"/>
      <c r="AO157" s="209"/>
      <c r="AP157" s="209"/>
      <c r="AQ157" s="209"/>
      <c r="AR157" s="209"/>
      <c r="AS157" s="209"/>
      <c r="AT157" s="209"/>
      <c r="AU157" s="209"/>
      <c r="AV157" s="209"/>
      <c r="AW157" s="209"/>
      <c r="AX157" s="209"/>
      <c r="AY157" s="209"/>
      <c r="AZ157" s="209"/>
      <c r="BA157" s="209"/>
      <c r="BB157" s="209"/>
      <c r="BC157" s="209"/>
      <c r="BD157" s="209"/>
      <c r="BE157" s="209"/>
      <c r="BF157" s="209"/>
      <c r="BG157" s="209"/>
      <c r="BH157" s="209"/>
      <c r="BI157" s="209"/>
      <c r="BJ157" s="209"/>
      <c r="BK157" s="209"/>
      <c r="BL157" s="209"/>
      <c r="BM157" s="209"/>
      <c r="BN157" s="209"/>
      <c r="BO157" s="209"/>
      <c r="BP157" s="209"/>
      <c r="BQ157" s="209"/>
      <c r="BR157" s="209"/>
      <c r="BS157" s="209"/>
      <c r="BT157" s="209"/>
      <c r="BU157" s="209"/>
      <c r="BV157" s="209"/>
      <c r="BW157" s="209"/>
      <c r="BX157" s="209"/>
      <c r="BY157" s="126"/>
      <c r="BZ157" s="126"/>
      <c r="CA157" s="125"/>
      <c r="CB157" s="125"/>
      <c r="CC157" s="125"/>
      <c r="CD157" s="125"/>
      <c r="CE157" s="125"/>
    </row>
    <row r="158" spans="1:83" x14ac:dyDescent="0.25">
      <c r="A158" s="125"/>
      <c r="B158" s="126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209"/>
      <c r="AD158" s="209"/>
      <c r="AE158" s="209"/>
      <c r="AF158" s="209"/>
      <c r="AG158" s="209"/>
      <c r="AH158" s="209"/>
      <c r="AI158" s="209"/>
      <c r="AJ158" s="209"/>
      <c r="AK158" s="209"/>
      <c r="AL158" s="209"/>
      <c r="AM158" s="209"/>
      <c r="AN158" s="209"/>
      <c r="AO158" s="209"/>
      <c r="AP158" s="209"/>
      <c r="AQ158" s="209"/>
      <c r="AR158" s="209"/>
      <c r="AS158" s="209"/>
      <c r="AT158" s="209"/>
      <c r="AU158" s="209"/>
      <c r="AV158" s="209"/>
      <c r="AW158" s="209"/>
      <c r="AX158" s="209"/>
      <c r="AY158" s="209"/>
      <c r="AZ158" s="209"/>
      <c r="BA158" s="209"/>
      <c r="BB158" s="209"/>
      <c r="BC158" s="209"/>
      <c r="BD158" s="209"/>
      <c r="BE158" s="209"/>
      <c r="BF158" s="209"/>
      <c r="BG158" s="209"/>
      <c r="BH158" s="209"/>
      <c r="BI158" s="209"/>
      <c r="BJ158" s="209"/>
      <c r="BK158" s="209"/>
      <c r="BL158" s="209"/>
      <c r="BM158" s="209"/>
      <c r="BN158" s="209"/>
      <c r="BO158" s="209"/>
      <c r="BP158" s="209"/>
      <c r="BQ158" s="209"/>
      <c r="BR158" s="209"/>
      <c r="BS158" s="209"/>
      <c r="BT158" s="209"/>
      <c r="BU158" s="209"/>
      <c r="BV158" s="209"/>
      <c r="BW158" s="209"/>
      <c r="BX158" s="209"/>
      <c r="BY158" s="126"/>
      <c r="BZ158" s="126"/>
      <c r="CA158" s="125"/>
      <c r="CB158" s="125"/>
      <c r="CC158" s="125"/>
      <c r="CD158" s="125"/>
      <c r="CE158" s="125"/>
    </row>
    <row r="159" spans="1:83" x14ac:dyDescent="0.25">
      <c r="A159" s="125"/>
      <c r="B159" s="126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209"/>
      <c r="AD159" s="209"/>
      <c r="AE159" s="209"/>
      <c r="AF159" s="209"/>
      <c r="AG159" s="209"/>
      <c r="AH159" s="209"/>
      <c r="AI159" s="209"/>
      <c r="AJ159" s="209"/>
      <c r="AK159" s="209"/>
      <c r="AL159" s="209"/>
      <c r="AM159" s="209"/>
      <c r="AN159" s="209"/>
      <c r="AO159" s="209"/>
      <c r="AP159" s="209"/>
      <c r="AQ159" s="209"/>
      <c r="AR159" s="209"/>
      <c r="AS159" s="209"/>
      <c r="AT159" s="209"/>
      <c r="AU159" s="209"/>
      <c r="AV159" s="209"/>
      <c r="AW159" s="209"/>
      <c r="AX159" s="209"/>
      <c r="AY159" s="209"/>
      <c r="AZ159" s="209"/>
      <c r="BA159" s="209"/>
      <c r="BB159" s="209"/>
      <c r="BC159" s="209"/>
      <c r="BD159" s="209"/>
      <c r="BE159" s="209"/>
      <c r="BF159" s="209"/>
      <c r="BG159" s="209"/>
      <c r="BH159" s="209"/>
      <c r="BI159" s="209"/>
      <c r="BJ159" s="209"/>
      <c r="BK159" s="209"/>
      <c r="BL159" s="209"/>
      <c r="BM159" s="209"/>
      <c r="BN159" s="209"/>
      <c r="BO159" s="209"/>
      <c r="BP159" s="209"/>
      <c r="BQ159" s="209"/>
      <c r="BR159" s="209"/>
      <c r="BS159" s="209"/>
      <c r="BT159" s="209"/>
      <c r="BU159" s="209"/>
      <c r="BV159" s="209"/>
      <c r="BW159" s="209"/>
      <c r="BX159" s="209"/>
      <c r="BY159" s="126"/>
      <c r="BZ159" s="126"/>
      <c r="CA159" s="125"/>
      <c r="CB159" s="125"/>
      <c r="CC159" s="125"/>
      <c r="CD159" s="125"/>
      <c r="CE159" s="125"/>
    </row>
    <row r="160" spans="1:83" x14ac:dyDescent="0.25">
      <c r="A160" s="125"/>
      <c r="B160" s="126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209"/>
      <c r="AD160" s="209"/>
      <c r="AE160" s="209"/>
      <c r="AF160" s="209"/>
      <c r="AG160" s="209"/>
      <c r="AH160" s="209"/>
      <c r="AI160" s="209"/>
      <c r="AJ160" s="209"/>
      <c r="AK160" s="209"/>
      <c r="AL160" s="209"/>
      <c r="AM160" s="209"/>
      <c r="AN160" s="209"/>
      <c r="AO160" s="209"/>
      <c r="AP160" s="209"/>
      <c r="AQ160" s="209"/>
      <c r="AR160" s="209"/>
      <c r="AS160" s="209"/>
      <c r="AT160" s="209"/>
      <c r="AU160" s="209"/>
      <c r="AV160" s="209"/>
      <c r="AW160" s="209"/>
      <c r="AX160" s="209"/>
      <c r="AY160" s="209"/>
      <c r="AZ160" s="209"/>
      <c r="BA160" s="209"/>
      <c r="BB160" s="209"/>
      <c r="BC160" s="209"/>
      <c r="BD160" s="209"/>
      <c r="BE160" s="209"/>
      <c r="BF160" s="209"/>
      <c r="BG160" s="209"/>
      <c r="BH160" s="209"/>
      <c r="BI160" s="209"/>
      <c r="BJ160" s="209"/>
      <c r="BK160" s="209"/>
      <c r="BL160" s="209"/>
      <c r="BM160" s="209"/>
      <c r="BN160" s="209"/>
      <c r="BO160" s="209"/>
      <c r="BP160" s="209"/>
      <c r="BQ160" s="209"/>
      <c r="BR160" s="209"/>
      <c r="BS160" s="209"/>
      <c r="BT160" s="209"/>
      <c r="BU160" s="209"/>
      <c r="BV160" s="209"/>
      <c r="BW160" s="209"/>
      <c r="BX160" s="209"/>
      <c r="BY160" s="126"/>
      <c r="BZ160" s="126"/>
      <c r="CA160" s="125"/>
      <c r="CB160" s="125"/>
      <c r="CC160" s="125"/>
      <c r="CD160" s="125"/>
      <c r="CE160" s="125"/>
    </row>
    <row r="161" spans="1:83" x14ac:dyDescent="0.25">
      <c r="A161" s="125"/>
      <c r="B161" s="126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209"/>
      <c r="AD161" s="209"/>
      <c r="AE161" s="209"/>
      <c r="AF161" s="209"/>
      <c r="AG161" s="209"/>
      <c r="AH161" s="209"/>
      <c r="AI161" s="209"/>
      <c r="AJ161" s="209"/>
      <c r="AK161" s="209"/>
      <c r="AL161" s="209"/>
      <c r="AM161" s="209"/>
      <c r="AN161" s="209"/>
      <c r="AO161" s="209"/>
      <c r="AP161" s="209"/>
      <c r="AQ161" s="209"/>
      <c r="AR161" s="209"/>
      <c r="AS161" s="209"/>
      <c r="AT161" s="209"/>
      <c r="AU161" s="209"/>
      <c r="AV161" s="209"/>
      <c r="AW161" s="209"/>
      <c r="AX161" s="209"/>
      <c r="AY161" s="209"/>
      <c r="AZ161" s="209"/>
      <c r="BA161" s="209"/>
      <c r="BB161" s="209"/>
      <c r="BC161" s="209"/>
      <c r="BD161" s="209"/>
      <c r="BE161" s="209"/>
      <c r="BF161" s="209"/>
      <c r="BG161" s="209"/>
      <c r="BH161" s="209"/>
      <c r="BI161" s="209"/>
      <c r="BJ161" s="209"/>
      <c r="BK161" s="209"/>
      <c r="BL161" s="209"/>
      <c r="BM161" s="209"/>
      <c r="BN161" s="209"/>
      <c r="BO161" s="209"/>
      <c r="BP161" s="209"/>
      <c r="BQ161" s="209"/>
      <c r="BR161" s="209"/>
      <c r="BS161" s="209"/>
      <c r="BT161" s="209"/>
      <c r="BU161" s="209"/>
      <c r="BV161" s="209"/>
      <c r="BW161" s="209"/>
      <c r="BX161" s="209"/>
      <c r="BY161" s="126"/>
      <c r="BZ161" s="126"/>
      <c r="CA161" s="125"/>
      <c r="CB161" s="125"/>
      <c r="CC161" s="125"/>
      <c r="CD161" s="125"/>
      <c r="CE161" s="125"/>
    </row>
    <row r="162" spans="1:83" x14ac:dyDescent="0.25">
      <c r="A162" s="125"/>
      <c r="B162" s="126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209"/>
      <c r="AD162" s="209"/>
      <c r="AE162" s="209"/>
      <c r="AF162" s="209"/>
      <c r="AG162" s="209"/>
      <c r="AH162" s="209"/>
      <c r="AI162" s="209"/>
      <c r="AJ162" s="209"/>
      <c r="AK162" s="209"/>
      <c r="AL162" s="209"/>
      <c r="AM162" s="209"/>
      <c r="AN162" s="209"/>
      <c r="AO162" s="209"/>
      <c r="AP162" s="209"/>
      <c r="AQ162" s="209"/>
      <c r="AR162" s="209"/>
      <c r="AS162" s="209"/>
      <c r="AT162" s="209"/>
      <c r="AU162" s="209"/>
      <c r="AV162" s="209"/>
      <c r="AW162" s="209"/>
      <c r="AX162" s="209"/>
      <c r="AY162" s="209"/>
      <c r="AZ162" s="209"/>
      <c r="BA162" s="209"/>
      <c r="BB162" s="209"/>
      <c r="BC162" s="209"/>
      <c r="BD162" s="209"/>
      <c r="BE162" s="209"/>
      <c r="BF162" s="209"/>
      <c r="BG162" s="209"/>
      <c r="BH162" s="209"/>
      <c r="BI162" s="209"/>
      <c r="BJ162" s="209"/>
      <c r="BK162" s="209"/>
      <c r="BL162" s="209"/>
      <c r="BM162" s="209"/>
      <c r="BN162" s="209"/>
      <c r="BO162" s="209"/>
      <c r="BP162" s="209"/>
      <c r="BQ162" s="209"/>
      <c r="BR162" s="209"/>
      <c r="BS162" s="209"/>
      <c r="BT162" s="209"/>
      <c r="BU162" s="209"/>
      <c r="BV162" s="209"/>
      <c r="BW162" s="209"/>
      <c r="BX162" s="209"/>
      <c r="BY162" s="126"/>
      <c r="BZ162" s="126"/>
      <c r="CA162" s="125"/>
      <c r="CB162" s="125"/>
      <c r="CC162" s="125"/>
      <c r="CD162" s="125"/>
      <c r="CE162" s="125"/>
    </row>
    <row r="163" spans="1:83" x14ac:dyDescent="0.25">
      <c r="A163" s="125"/>
      <c r="B163" s="126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209"/>
      <c r="AD163" s="209"/>
      <c r="AE163" s="209"/>
      <c r="AF163" s="209"/>
      <c r="AG163" s="209"/>
      <c r="AH163" s="209"/>
      <c r="AI163" s="209"/>
      <c r="AJ163" s="209"/>
      <c r="AK163" s="209"/>
      <c r="AL163" s="209"/>
      <c r="AM163" s="209"/>
      <c r="AN163" s="209"/>
      <c r="AO163" s="209"/>
      <c r="AP163" s="209"/>
      <c r="AQ163" s="209"/>
      <c r="AR163" s="209"/>
      <c r="AS163" s="209"/>
      <c r="AT163" s="209"/>
      <c r="AU163" s="209"/>
      <c r="AV163" s="209"/>
      <c r="AW163" s="209"/>
      <c r="AX163" s="209"/>
      <c r="AY163" s="209"/>
      <c r="AZ163" s="209"/>
      <c r="BA163" s="209"/>
      <c r="BB163" s="209"/>
      <c r="BC163" s="209"/>
      <c r="BD163" s="209"/>
      <c r="BE163" s="209"/>
      <c r="BF163" s="209"/>
      <c r="BG163" s="209"/>
      <c r="BH163" s="209"/>
      <c r="BI163" s="209"/>
      <c r="BJ163" s="209"/>
      <c r="BK163" s="209"/>
      <c r="BL163" s="209"/>
      <c r="BM163" s="209"/>
      <c r="BN163" s="209"/>
      <c r="BO163" s="209"/>
      <c r="BP163" s="209"/>
      <c r="BQ163" s="209"/>
      <c r="BR163" s="209"/>
      <c r="BS163" s="209"/>
      <c r="BT163" s="209"/>
      <c r="BU163" s="209"/>
      <c r="BV163" s="209"/>
      <c r="BW163" s="209"/>
      <c r="BX163" s="209"/>
      <c r="BY163" s="126"/>
      <c r="BZ163" s="126"/>
      <c r="CA163" s="125"/>
      <c r="CB163" s="125"/>
      <c r="CC163" s="125"/>
      <c r="CD163" s="125"/>
      <c r="CE163" s="125"/>
    </row>
    <row r="164" spans="1:83" x14ac:dyDescent="0.25">
      <c r="A164" s="125"/>
      <c r="B164" s="126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209"/>
      <c r="AD164" s="209"/>
      <c r="AE164" s="209"/>
      <c r="AF164" s="209"/>
      <c r="AG164" s="209"/>
      <c r="AH164" s="209"/>
      <c r="AI164" s="209"/>
      <c r="AJ164" s="209"/>
      <c r="AK164" s="209"/>
      <c r="AL164" s="209"/>
      <c r="AM164" s="209"/>
      <c r="AN164" s="209"/>
      <c r="AO164" s="209"/>
      <c r="AP164" s="209"/>
      <c r="AQ164" s="209"/>
      <c r="AR164" s="209"/>
      <c r="AS164" s="209"/>
      <c r="AT164" s="209"/>
      <c r="AU164" s="209"/>
      <c r="AV164" s="209"/>
      <c r="AW164" s="209"/>
      <c r="AX164" s="209"/>
      <c r="AY164" s="209"/>
      <c r="AZ164" s="209"/>
      <c r="BA164" s="209"/>
      <c r="BB164" s="209"/>
      <c r="BC164" s="209"/>
      <c r="BD164" s="209"/>
      <c r="BE164" s="209"/>
      <c r="BF164" s="209"/>
      <c r="BG164" s="209"/>
      <c r="BH164" s="209"/>
      <c r="BI164" s="209"/>
      <c r="BJ164" s="209"/>
      <c r="BK164" s="209"/>
      <c r="BL164" s="209"/>
      <c r="BM164" s="209"/>
      <c r="BN164" s="209"/>
      <c r="BO164" s="209"/>
      <c r="BP164" s="209"/>
      <c r="BQ164" s="209"/>
      <c r="BR164" s="209"/>
      <c r="BS164" s="209"/>
      <c r="BT164" s="209"/>
      <c r="BU164" s="209"/>
      <c r="BV164" s="209"/>
      <c r="BW164" s="209"/>
      <c r="BX164" s="209"/>
      <c r="BY164" s="126"/>
      <c r="BZ164" s="126"/>
      <c r="CA164" s="125"/>
      <c r="CB164" s="125"/>
      <c r="CC164" s="125"/>
      <c r="CD164" s="125"/>
      <c r="CE164" s="125"/>
    </row>
    <row r="165" spans="1:83" x14ac:dyDescent="0.25">
      <c r="A165" s="125"/>
      <c r="B165" s="126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209"/>
      <c r="AD165" s="209"/>
      <c r="AE165" s="209"/>
      <c r="AF165" s="209"/>
      <c r="AG165" s="209"/>
      <c r="AH165" s="209"/>
      <c r="AI165" s="209"/>
      <c r="AJ165" s="209"/>
      <c r="AK165" s="209"/>
      <c r="AL165" s="209"/>
      <c r="AM165" s="209"/>
      <c r="AN165" s="209"/>
      <c r="AO165" s="209"/>
      <c r="AP165" s="209"/>
      <c r="AQ165" s="209"/>
      <c r="AR165" s="209"/>
      <c r="AS165" s="209"/>
      <c r="AT165" s="209"/>
      <c r="AU165" s="209"/>
      <c r="AV165" s="209"/>
      <c r="AW165" s="209"/>
      <c r="AX165" s="209"/>
      <c r="AY165" s="209"/>
      <c r="AZ165" s="209"/>
      <c r="BA165" s="209"/>
      <c r="BB165" s="209"/>
      <c r="BC165" s="209"/>
      <c r="BD165" s="209"/>
      <c r="BE165" s="209"/>
      <c r="BF165" s="209"/>
      <c r="BG165" s="209"/>
      <c r="BH165" s="209"/>
      <c r="BI165" s="209"/>
      <c r="BJ165" s="209"/>
      <c r="BK165" s="209"/>
      <c r="BL165" s="209"/>
      <c r="BM165" s="209"/>
      <c r="BN165" s="209"/>
      <c r="BO165" s="209"/>
      <c r="BP165" s="209"/>
      <c r="BQ165" s="209"/>
      <c r="BR165" s="209"/>
      <c r="BS165" s="209"/>
      <c r="BT165" s="209"/>
      <c r="BU165" s="209"/>
      <c r="BV165" s="209"/>
      <c r="BW165" s="209"/>
      <c r="BX165" s="209"/>
      <c r="BY165" s="126"/>
      <c r="BZ165" s="126"/>
      <c r="CA165" s="125"/>
      <c r="CB165" s="125"/>
      <c r="CC165" s="125"/>
      <c r="CD165" s="125"/>
      <c r="CE165" s="125"/>
    </row>
    <row r="166" spans="1:83" x14ac:dyDescent="0.25">
      <c r="A166" s="125"/>
      <c r="B166" s="126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209"/>
      <c r="AD166" s="209"/>
      <c r="AE166" s="209"/>
      <c r="AF166" s="209"/>
      <c r="AG166" s="209"/>
      <c r="AH166" s="209"/>
      <c r="AI166" s="209"/>
      <c r="AJ166" s="209"/>
      <c r="AK166" s="209"/>
      <c r="AL166" s="209"/>
      <c r="AM166" s="209"/>
      <c r="AN166" s="209"/>
      <c r="AO166" s="209"/>
      <c r="AP166" s="209"/>
      <c r="AQ166" s="209"/>
      <c r="AR166" s="209"/>
      <c r="AS166" s="209"/>
      <c r="AT166" s="209"/>
      <c r="AU166" s="209"/>
      <c r="AV166" s="209"/>
      <c r="AW166" s="209"/>
      <c r="AX166" s="209"/>
      <c r="AY166" s="209"/>
      <c r="AZ166" s="209"/>
      <c r="BA166" s="209"/>
      <c r="BB166" s="209"/>
      <c r="BC166" s="209"/>
      <c r="BD166" s="209"/>
      <c r="BE166" s="209"/>
      <c r="BF166" s="209"/>
      <c r="BG166" s="209"/>
      <c r="BH166" s="209"/>
      <c r="BI166" s="209"/>
      <c r="BJ166" s="209"/>
      <c r="BK166" s="209"/>
      <c r="BL166" s="209"/>
      <c r="BM166" s="209"/>
      <c r="BN166" s="209"/>
      <c r="BO166" s="209"/>
      <c r="BP166" s="209"/>
      <c r="BQ166" s="209"/>
      <c r="BR166" s="209"/>
      <c r="BS166" s="209"/>
      <c r="BT166" s="209"/>
      <c r="BU166" s="209"/>
      <c r="BV166" s="209"/>
      <c r="BW166" s="209"/>
      <c r="BX166" s="209"/>
      <c r="BY166" s="126"/>
      <c r="BZ166" s="126"/>
      <c r="CA166" s="125"/>
      <c r="CB166" s="125"/>
      <c r="CC166" s="125"/>
      <c r="CD166" s="125"/>
      <c r="CE166" s="125"/>
    </row>
    <row r="167" spans="1:83" x14ac:dyDescent="0.25">
      <c r="A167" s="125"/>
      <c r="B167" s="126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209"/>
      <c r="AD167" s="209"/>
      <c r="AE167" s="209"/>
      <c r="AF167" s="209"/>
      <c r="AG167" s="209"/>
      <c r="AH167" s="209"/>
      <c r="AI167" s="209"/>
      <c r="AJ167" s="209"/>
      <c r="AK167" s="209"/>
      <c r="AL167" s="209"/>
      <c r="AM167" s="209"/>
      <c r="AN167" s="209"/>
      <c r="AO167" s="209"/>
      <c r="AP167" s="209"/>
      <c r="AQ167" s="209"/>
      <c r="AR167" s="209"/>
      <c r="AS167" s="209"/>
      <c r="AT167" s="209"/>
      <c r="AU167" s="209"/>
      <c r="AV167" s="209"/>
      <c r="AW167" s="209"/>
      <c r="AX167" s="209"/>
      <c r="AY167" s="209"/>
      <c r="AZ167" s="209"/>
      <c r="BA167" s="209"/>
      <c r="BB167" s="209"/>
      <c r="BC167" s="209"/>
      <c r="BD167" s="209"/>
      <c r="BE167" s="209"/>
      <c r="BF167" s="209"/>
      <c r="BG167" s="209"/>
      <c r="BH167" s="209"/>
      <c r="BI167" s="209"/>
      <c r="BJ167" s="209"/>
      <c r="BK167" s="209"/>
      <c r="BL167" s="209"/>
      <c r="BM167" s="209"/>
      <c r="BN167" s="209"/>
      <c r="BO167" s="209"/>
      <c r="BP167" s="209"/>
      <c r="BQ167" s="209"/>
      <c r="BR167" s="209"/>
      <c r="BS167" s="209"/>
      <c r="BT167" s="209"/>
      <c r="BU167" s="209"/>
      <c r="BV167" s="209"/>
      <c r="BW167" s="209"/>
      <c r="BX167" s="209"/>
      <c r="BY167" s="126"/>
      <c r="BZ167" s="126"/>
      <c r="CA167" s="125"/>
      <c r="CB167" s="125"/>
      <c r="CC167" s="125"/>
      <c r="CD167" s="125"/>
      <c r="CE167" s="125"/>
    </row>
    <row r="168" spans="1:83" x14ac:dyDescent="0.25">
      <c r="A168" s="125"/>
      <c r="B168" s="126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209"/>
      <c r="AD168" s="209"/>
      <c r="AE168" s="209"/>
      <c r="AF168" s="209"/>
      <c r="AG168" s="209"/>
      <c r="AH168" s="209"/>
      <c r="AI168" s="209"/>
      <c r="AJ168" s="209"/>
      <c r="AK168" s="209"/>
      <c r="AL168" s="209"/>
      <c r="AM168" s="209"/>
      <c r="AN168" s="209"/>
      <c r="AO168" s="209"/>
      <c r="AP168" s="209"/>
      <c r="AQ168" s="209"/>
      <c r="AR168" s="209"/>
      <c r="AS168" s="209"/>
      <c r="AT168" s="209"/>
      <c r="AU168" s="209"/>
      <c r="AV168" s="209"/>
      <c r="AW168" s="209"/>
      <c r="AX168" s="209"/>
      <c r="AY168" s="209"/>
      <c r="AZ168" s="209"/>
      <c r="BA168" s="209"/>
      <c r="BB168" s="209"/>
      <c r="BC168" s="209"/>
      <c r="BD168" s="209"/>
      <c r="BE168" s="209"/>
      <c r="BF168" s="209"/>
      <c r="BG168" s="209"/>
      <c r="BH168" s="209"/>
      <c r="BI168" s="209"/>
      <c r="BJ168" s="209"/>
      <c r="BK168" s="209"/>
      <c r="BL168" s="209"/>
      <c r="BM168" s="209"/>
      <c r="BN168" s="209"/>
      <c r="BO168" s="209"/>
      <c r="BP168" s="209"/>
      <c r="BQ168" s="209"/>
      <c r="BR168" s="209"/>
      <c r="BS168" s="209"/>
      <c r="BT168" s="209"/>
      <c r="BU168" s="209"/>
      <c r="BV168" s="209"/>
      <c r="BW168" s="209"/>
      <c r="BX168" s="209"/>
      <c r="BY168" s="126"/>
      <c r="BZ168" s="126"/>
      <c r="CA168" s="125"/>
      <c r="CB168" s="125"/>
      <c r="CC168" s="125"/>
      <c r="CD168" s="125"/>
      <c r="CE168" s="125"/>
    </row>
    <row r="169" spans="1:83" x14ac:dyDescent="0.25">
      <c r="A169" s="125"/>
      <c r="B169" s="126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209"/>
      <c r="AD169" s="209"/>
      <c r="AE169" s="209"/>
      <c r="AF169" s="209"/>
      <c r="AG169" s="209"/>
      <c r="AH169" s="209"/>
      <c r="AI169" s="209"/>
      <c r="AJ169" s="209"/>
      <c r="AK169" s="209"/>
      <c r="AL169" s="209"/>
      <c r="AM169" s="209"/>
      <c r="AN169" s="209"/>
      <c r="AO169" s="209"/>
      <c r="AP169" s="209"/>
      <c r="AQ169" s="209"/>
      <c r="AR169" s="209"/>
      <c r="AS169" s="209"/>
      <c r="AT169" s="209"/>
      <c r="AU169" s="209"/>
      <c r="AV169" s="209"/>
      <c r="AW169" s="209"/>
      <c r="AX169" s="209"/>
      <c r="AY169" s="209"/>
      <c r="AZ169" s="209"/>
      <c r="BA169" s="209"/>
      <c r="BB169" s="209"/>
      <c r="BC169" s="209"/>
      <c r="BD169" s="209"/>
      <c r="BE169" s="209"/>
      <c r="BF169" s="209"/>
      <c r="BG169" s="209"/>
      <c r="BH169" s="209"/>
      <c r="BI169" s="209"/>
      <c r="BJ169" s="209"/>
      <c r="BK169" s="209"/>
      <c r="BL169" s="209"/>
      <c r="BM169" s="209"/>
      <c r="BN169" s="209"/>
      <c r="BO169" s="209"/>
      <c r="BP169" s="209"/>
      <c r="BQ169" s="209"/>
      <c r="BR169" s="209"/>
      <c r="BS169" s="209"/>
      <c r="BT169" s="209"/>
      <c r="BU169" s="209"/>
      <c r="BV169" s="209"/>
      <c r="BW169" s="209"/>
      <c r="BX169" s="209"/>
      <c r="BY169" s="126"/>
      <c r="BZ169" s="126"/>
      <c r="CA169" s="125"/>
      <c r="CB169" s="125"/>
      <c r="CC169" s="125"/>
      <c r="CD169" s="125"/>
      <c r="CE169" s="125"/>
    </row>
    <row r="170" spans="1:83" x14ac:dyDescent="0.25">
      <c r="A170" s="125"/>
      <c r="B170" s="126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209"/>
      <c r="AD170" s="209"/>
      <c r="AE170" s="209"/>
      <c r="AF170" s="209"/>
      <c r="AG170" s="209"/>
      <c r="AH170" s="209"/>
      <c r="AI170" s="209"/>
      <c r="AJ170" s="209"/>
      <c r="AK170" s="209"/>
      <c r="AL170" s="209"/>
      <c r="AM170" s="209"/>
      <c r="AN170" s="209"/>
      <c r="AO170" s="209"/>
      <c r="AP170" s="209"/>
      <c r="AQ170" s="209"/>
      <c r="AR170" s="209"/>
      <c r="AS170" s="209"/>
      <c r="AT170" s="209"/>
      <c r="AU170" s="209"/>
      <c r="AV170" s="209"/>
      <c r="AW170" s="209"/>
      <c r="AX170" s="209"/>
      <c r="AY170" s="209"/>
      <c r="AZ170" s="209"/>
      <c r="BA170" s="209"/>
      <c r="BB170" s="209"/>
      <c r="BC170" s="209"/>
      <c r="BD170" s="209"/>
      <c r="BE170" s="209"/>
      <c r="BF170" s="209"/>
      <c r="BG170" s="209"/>
      <c r="BH170" s="209"/>
      <c r="BI170" s="209"/>
      <c r="BJ170" s="209"/>
      <c r="BK170" s="209"/>
      <c r="BL170" s="209"/>
      <c r="BM170" s="209"/>
      <c r="BN170" s="209"/>
      <c r="BO170" s="209"/>
      <c r="BP170" s="209"/>
      <c r="BQ170" s="209"/>
      <c r="BR170" s="209"/>
      <c r="BS170" s="209"/>
      <c r="BT170" s="209"/>
      <c r="BU170" s="209"/>
      <c r="BV170" s="209"/>
      <c r="BW170" s="209"/>
      <c r="BX170" s="209"/>
      <c r="BY170" s="126"/>
      <c r="BZ170" s="126"/>
      <c r="CA170" s="125"/>
      <c r="CB170" s="125"/>
      <c r="CC170" s="125"/>
      <c r="CD170" s="125"/>
      <c r="CE170" s="125"/>
    </row>
    <row r="171" spans="1:83" x14ac:dyDescent="0.25">
      <c r="A171" s="125"/>
      <c r="B171" s="126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209"/>
      <c r="AD171" s="209"/>
      <c r="AE171" s="209"/>
      <c r="AF171" s="209"/>
      <c r="AG171" s="209"/>
      <c r="AH171" s="209"/>
      <c r="AI171" s="209"/>
      <c r="AJ171" s="209"/>
      <c r="AK171" s="209"/>
      <c r="AL171" s="209"/>
      <c r="AM171" s="209"/>
      <c r="AN171" s="209"/>
      <c r="AO171" s="209"/>
      <c r="AP171" s="209"/>
      <c r="AQ171" s="209"/>
      <c r="AR171" s="209"/>
      <c r="AS171" s="209"/>
      <c r="AT171" s="209"/>
      <c r="AU171" s="209"/>
      <c r="AV171" s="209"/>
      <c r="AW171" s="209"/>
      <c r="AX171" s="209"/>
      <c r="AY171" s="209"/>
      <c r="AZ171" s="209"/>
      <c r="BA171" s="209"/>
      <c r="BB171" s="209"/>
      <c r="BC171" s="209"/>
      <c r="BD171" s="209"/>
      <c r="BE171" s="209"/>
      <c r="BF171" s="209"/>
      <c r="BG171" s="209"/>
      <c r="BH171" s="209"/>
      <c r="BI171" s="209"/>
      <c r="BJ171" s="209"/>
      <c r="BK171" s="209"/>
      <c r="BL171" s="209"/>
      <c r="BM171" s="209"/>
      <c r="BN171" s="209"/>
      <c r="BO171" s="209"/>
      <c r="BP171" s="209"/>
      <c r="BQ171" s="209"/>
      <c r="BR171" s="209"/>
      <c r="BS171" s="209"/>
      <c r="BT171" s="209"/>
      <c r="BU171" s="209"/>
      <c r="BV171" s="209"/>
      <c r="BW171" s="209"/>
      <c r="BX171" s="209"/>
      <c r="BY171" s="126"/>
      <c r="BZ171" s="126"/>
      <c r="CA171" s="125"/>
      <c r="CB171" s="125"/>
      <c r="CC171" s="125"/>
      <c r="CD171" s="125"/>
      <c r="CE171" s="125"/>
    </row>
    <row r="172" spans="1:83" x14ac:dyDescent="0.25">
      <c r="A172" s="125"/>
      <c r="B172" s="126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209"/>
      <c r="AD172" s="209"/>
      <c r="AE172" s="209"/>
      <c r="AF172" s="209"/>
      <c r="AG172" s="209"/>
      <c r="AH172" s="209"/>
      <c r="AI172" s="209"/>
      <c r="AJ172" s="209"/>
      <c r="AK172" s="209"/>
      <c r="AL172" s="209"/>
      <c r="AM172" s="209"/>
      <c r="AN172" s="209"/>
      <c r="AO172" s="209"/>
      <c r="AP172" s="209"/>
      <c r="AQ172" s="209"/>
      <c r="AR172" s="209"/>
      <c r="AS172" s="209"/>
      <c r="AT172" s="209"/>
      <c r="AU172" s="209"/>
      <c r="AV172" s="209"/>
      <c r="AW172" s="209"/>
      <c r="AX172" s="209"/>
      <c r="AY172" s="209"/>
      <c r="AZ172" s="209"/>
      <c r="BA172" s="209"/>
      <c r="BB172" s="209"/>
      <c r="BC172" s="209"/>
      <c r="BD172" s="209"/>
      <c r="BE172" s="209"/>
      <c r="BF172" s="209"/>
      <c r="BG172" s="209"/>
      <c r="BH172" s="209"/>
      <c r="BI172" s="209"/>
      <c r="BJ172" s="209"/>
      <c r="BK172" s="209"/>
      <c r="BL172" s="209"/>
      <c r="BM172" s="209"/>
      <c r="BN172" s="209"/>
      <c r="BO172" s="209"/>
      <c r="BP172" s="209"/>
      <c r="BQ172" s="209"/>
      <c r="BR172" s="209"/>
      <c r="BS172" s="209"/>
      <c r="BT172" s="209"/>
      <c r="BU172" s="209"/>
      <c r="BV172" s="209"/>
      <c r="BW172" s="209"/>
      <c r="BX172" s="209"/>
      <c r="BY172" s="126"/>
      <c r="BZ172" s="126"/>
      <c r="CA172" s="125"/>
      <c r="CB172" s="125"/>
      <c r="CC172" s="125"/>
      <c r="CD172" s="125"/>
      <c r="CE172" s="125"/>
    </row>
    <row r="173" spans="1:83" x14ac:dyDescent="0.25">
      <c r="A173" s="125"/>
      <c r="B173" s="126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209"/>
      <c r="AD173" s="209"/>
      <c r="AE173" s="209"/>
      <c r="AF173" s="209"/>
      <c r="AG173" s="209"/>
      <c r="AH173" s="209"/>
      <c r="AI173" s="209"/>
      <c r="AJ173" s="209"/>
      <c r="AK173" s="209"/>
      <c r="AL173" s="209"/>
      <c r="AM173" s="209"/>
      <c r="AN173" s="209"/>
      <c r="AO173" s="209"/>
      <c r="AP173" s="209"/>
      <c r="AQ173" s="209"/>
      <c r="AR173" s="209"/>
      <c r="AS173" s="209"/>
      <c r="AT173" s="209"/>
      <c r="AU173" s="209"/>
      <c r="AV173" s="209"/>
      <c r="AW173" s="209"/>
      <c r="AX173" s="209"/>
      <c r="AY173" s="209"/>
      <c r="AZ173" s="209"/>
      <c r="BA173" s="209"/>
      <c r="BB173" s="209"/>
      <c r="BC173" s="209"/>
      <c r="BD173" s="209"/>
      <c r="BE173" s="209"/>
      <c r="BF173" s="209"/>
      <c r="BG173" s="209"/>
      <c r="BH173" s="209"/>
      <c r="BI173" s="209"/>
      <c r="BJ173" s="209"/>
      <c r="BK173" s="209"/>
      <c r="BL173" s="209"/>
      <c r="BM173" s="209"/>
      <c r="BN173" s="209"/>
      <c r="BO173" s="209"/>
      <c r="BP173" s="209"/>
      <c r="BQ173" s="209"/>
      <c r="BR173" s="209"/>
      <c r="BS173" s="209"/>
      <c r="BT173" s="209"/>
      <c r="BU173" s="209"/>
      <c r="BV173" s="209"/>
      <c r="BW173" s="209"/>
      <c r="BX173" s="209"/>
      <c r="BY173" s="126"/>
      <c r="BZ173" s="126"/>
      <c r="CA173" s="125"/>
      <c r="CB173" s="125"/>
      <c r="CC173" s="125"/>
      <c r="CD173" s="125"/>
      <c r="CE173" s="125"/>
    </row>
    <row r="174" spans="1:83" x14ac:dyDescent="0.25">
      <c r="A174" s="125"/>
      <c r="B174" s="126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209"/>
      <c r="AD174" s="209"/>
      <c r="AE174" s="209"/>
      <c r="AF174" s="209"/>
      <c r="AG174" s="209"/>
      <c r="AH174" s="209"/>
      <c r="AI174" s="209"/>
      <c r="AJ174" s="209"/>
      <c r="AK174" s="209"/>
      <c r="AL174" s="209"/>
      <c r="AM174" s="209"/>
      <c r="AN174" s="209"/>
      <c r="AO174" s="209"/>
      <c r="AP174" s="209"/>
      <c r="AQ174" s="209"/>
      <c r="AR174" s="209"/>
      <c r="AS174" s="209"/>
      <c r="AT174" s="209"/>
      <c r="AU174" s="209"/>
      <c r="AV174" s="209"/>
      <c r="AW174" s="209"/>
      <c r="AX174" s="209"/>
      <c r="AY174" s="209"/>
      <c r="AZ174" s="209"/>
      <c r="BA174" s="209"/>
      <c r="BB174" s="209"/>
      <c r="BC174" s="209"/>
      <c r="BD174" s="209"/>
      <c r="BE174" s="209"/>
      <c r="BF174" s="209"/>
      <c r="BG174" s="209"/>
      <c r="BH174" s="209"/>
      <c r="BI174" s="209"/>
      <c r="BJ174" s="209"/>
      <c r="BK174" s="209"/>
      <c r="BL174" s="209"/>
      <c r="BM174" s="209"/>
      <c r="BN174" s="209"/>
      <c r="BO174" s="209"/>
      <c r="BP174" s="209"/>
      <c r="BQ174" s="209"/>
      <c r="BR174" s="209"/>
      <c r="BS174" s="209"/>
      <c r="BT174" s="209"/>
      <c r="BU174" s="209"/>
      <c r="BV174" s="209"/>
      <c r="BW174" s="209"/>
      <c r="BX174" s="209"/>
      <c r="BY174" s="126"/>
      <c r="BZ174" s="126"/>
      <c r="CA174" s="125"/>
      <c r="CB174" s="125"/>
      <c r="CC174" s="125"/>
      <c r="CD174" s="125"/>
      <c r="CE174" s="125"/>
    </row>
    <row r="175" spans="1:83" x14ac:dyDescent="0.25">
      <c r="A175" s="125"/>
      <c r="B175" s="126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209"/>
      <c r="AD175" s="209"/>
      <c r="AE175" s="209"/>
      <c r="AF175" s="209"/>
      <c r="AG175" s="209"/>
      <c r="AH175" s="209"/>
      <c r="AI175" s="209"/>
      <c r="AJ175" s="209"/>
      <c r="AK175" s="209"/>
      <c r="AL175" s="209"/>
      <c r="AM175" s="209"/>
      <c r="AN175" s="209"/>
      <c r="AO175" s="209"/>
      <c r="AP175" s="209"/>
      <c r="AQ175" s="209"/>
      <c r="AR175" s="209"/>
      <c r="AS175" s="209"/>
      <c r="AT175" s="209"/>
      <c r="AU175" s="209"/>
      <c r="AV175" s="209"/>
      <c r="AW175" s="209"/>
      <c r="AX175" s="209"/>
      <c r="AY175" s="209"/>
      <c r="AZ175" s="209"/>
      <c r="BA175" s="209"/>
      <c r="BB175" s="209"/>
      <c r="BC175" s="209"/>
      <c r="BD175" s="209"/>
      <c r="BE175" s="209"/>
      <c r="BF175" s="209"/>
      <c r="BG175" s="209"/>
      <c r="BH175" s="209"/>
      <c r="BI175" s="209"/>
      <c r="BJ175" s="209"/>
      <c r="BK175" s="209"/>
      <c r="BL175" s="209"/>
      <c r="BM175" s="209"/>
      <c r="BN175" s="209"/>
      <c r="BO175" s="209"/>
      <c r="BP175" s="209"/>
      <c r="BQ175" s="209"/>
      <c r="BR175" s="209"/>
      <c r="BS175" s="209"/>
      <c r="BT175" s="209"/>
      <c r="BU175" s="209"/>
      <c r="BV175" s="209"/>
      <c r="BW175" s="209"/>
      <c r="BX175" s="209"/>
      <c r="BY175" s="126"/>
      <c r="BZ175" s="126"/>
      <c r="CA175" s="125"/>
      <c r="CB175" s="125"/>
      <c r="CC175" s="125"/>
      <c r="CD175" s="125"/>
      <c r="CE175" s="125"/>
    </row>
    <row r="176" spans="1:83" x14ac:dyDescent="0.25">
      <c r="A176" s="125"/>
      <c r="B176" s="126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209"/>
      <c r="AD176" s="209"/>
      <c r="AE176" s="209"/>
      <c r="AF176" s="209"/>
      <c r="AG176" s="209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  <c r="AR176" s="209"/>
      <c r="AS176" s="209"/>
      <c r="AT176" s="209"/>
      <c r="AU176" s="209"/>
      <c r="AV176" s="209"/>
      <c r="AW176" s="209"/>
      <c r="AX176" s="209"/>
      <c r="AY176" s="209"/>
      <c r="AZ176" s="209"/>
      <c r="BA176" s="209"/>
      <c r="BB176" s="209"/>
      <c r="BC176" s="209"/>
      <c r="BD176" s="209"/>
      <c r="BE176" s="209"/>
      <c r="BF176" s="209"/>
      <c r="BG176" s="209"/>
      <c r="BH176" s="209"/>
      <c r="BI176" s="209"/>
      <c r="BJ176" s="209"/>
      <c r="BK176" s="209"/>
      <c r="BL176" s="209"/>
      <c r="BM176" s="209"/>
      <c r="BN176" s="209"/>
      <c r="BO176" s="209"/>
      <c r="BP176" s="209"/>
      <c r="BQ176" s="209"/>
      <c r="BR176" s="209"/>
      <c r="BS176" s="209"/>
      <c r="BT176" s="209"/>
      <c r="BU176" s="209"/>
      <c r="BV176" s="209"/>
      <c r="BW176" s="209"/>
      <c r="BX176" s="209"/>
      <c r="BY176" s="126"/>
      <c r="BZ176" s="126"/>
      <c r="CA176" s="125"/>
      <c r="CB176" s="125"/>
      <c r="CC176" s="125"/>
      <c r="CD176" s="125"/>
      <c r="CE176" s="125"/>
    </row>
    <row r="177" spans="1:83" x14ac:dyDescent="0.25">
      <c r="A177" s="125"/>
      <c r="B177" s="126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209"/>
      <c r="AD177" s="209"/>
      <c r="AE177" s="209"/>
      <c r="AF177" s="209"/>
      <c r="AG177" s="209"/>
      <c r="AH177" s="209"/>
      <c r="AI177" s="209"/>
      <c r="AJ177" s="209"/>
      <c r="AK177" s="209"/>
      <c r="AL177" s="209"/>
      <c r="AM177" s="209"/>
      <c r="AN177" s="209"/>
      <c r="AO177" s="209"/>
      <c r="AP177" s="209"/>
      <c r="AQ177" s="209"/>
      <c r="AR177" s="209"/>
      <c r="AS177" s="209"/>
      <c r="AT177" s="209"/>
      <c r="AU177" s="209"/>
      <c r="AV177" s="209"/>
      <c r="AW177" s="209"/>
      <c r="AX177" s="209"/>
      <c r="AY177" s="209"/>
      <c r="AZ177" s="209"/>
      <c r="BA177" s="209"/>
      <c r="BB177" s="209"/>
      <c r="BC177" s="209"/>
      <c r="BD177" s="209"/>
      <c r="BE177" s="209"/>
      <c r="BF177" s="209"/>
      <c r="BG177" s="209"/>
      <c r="BH177" s="209"/>
      <c r="BI177" s="209"/>
      <c r="BJ177" s="209"/>
      <c r="BK177" s="209"/>
      <c r="BL177" s="209"/>
      <c r="BM177" s="209"/>
      <c r="BN177" s="209"/>
      <c r="BO177" s="209"/>
      <c r="BP177" s="209"/>
      <c r="BQ177" s="209"/>
      <c r="BR177" s="209"/>
      <c r="BS177" s="209"/>
      <c r="BT177" s="209"/>
      <c r="BU177" s="209"/>
      <c r="BV177" s="209"/>
      <c r="BW177" s="209"/>
      <c r="BX177" s="209"/>
      <c r="BY177" s="126"/>
      <c r="BZ177" s="126"/>
      <c r="CA177" s="125"/>
      <c r="CB177" s="125"/>
      <c r="CC177" s="125"/>
      <c r="CD177" s="125"/>
      <c r="CE177" s="125"/>
    </row>
    <row r="178" spans="1:83" x14ac:dyDescent="0.25">
      <c r="A178" s="125"/>
      <c r="B178" s="126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209"/>
      <c r="AD178" s="209"/>
      <c r="AE178" s="209"/>
      <c r="AF178" s="209"/>
      <c r="AG178" s="209"/>
      <c r="AH178" s="209"/>
      <c r="AI178" s="209"/>
      <c r="AJ178" s="209"/>
      <c r="AK178" s="209"/>
      <c r="AL178" s="209"/>
      <c r="AM178" s="209"/>
      <c r="AN178" s="209"/>
      <c r="AO178" s="209"/>
      <c r="AP178" s="209"/>
      <c r="AQ178" s="209"/>
      <c r="AR178" s="209"/>
      <c r="AS178" s="209"/>
      <c r="AT178" s="209"/>
      <c r="AU178" s="209"/>
      <c r="AV178" s="209"/>
      <c r="AW178" s="209"/>
      <c r="AX178" s="209"/>
      <c r="AY178" s="209"/>
      <c r="AZ178" s="209"/>
      <c r="BA178" s="209"/>
      <c r="BB178" s="209"/>
      <c r="BC178" s="209"/>
      <c r="BD178" s="209"/>
      <c r="BE178" s="209"/>
      <c r="BF178" s="209"/>
      <c r="BG178" s="209"/>
      <c r="BH178" s="209"/>
      <c r="BI178" s="209"/>
      <c r="BJ178" s="209"/>
      <c r="BK178" s="209"/>
      <c r="BL178" s="209"/>
      <c r="BM178" s="209"/>
      <c r="BN178" s="209"/>
      <c r="BO178" s="209"/>
      <c r="BP178" s="209"/>
      <c r="BQ178" s="209"/>
      <c r="BR178" s="209"/>
      <c r="BS178" s="209"/>
      <c r="BT178" s="209"/>
      <c r="BU178" s="209"/>
      <c r="BV178" s="209"/>
      <c r="BW178" s="209"/>
      <c r="BX178" s="209"/>
      <c r="BY178" s="126"/>
      <c r="BZ178" s="126"/>
      <c r="CA178" s="125"/>
      <c r="CB178" s="125"/>
      <c r="CC178" s="125"/>
      <c r="CD178" s="125"/>
      <c r="CE178" s="125"/>
    </row>
    <row r="179" spans="1:83" x14ac:dyDescent="0.25">
      <c r="A179" s="125"/>
      <c r="B179" s="126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209"/>
      <c r="AD179" s="209"/>
      <c r="AE179" s="209"/>
      <c r="AF179" s="209"/>
      <c r="AG179" s="209"/>
      <c r="AH179" s="209"/>
      <c r="AI179" s="209"/>
      <c r="AJ179" s="209"/>
      <c r="AK179" s="209"/>
      <c r="AL179" s="209"/>
      <c r="AM179" s="209"/>
      <c r="AN179" s="209"/>
      <c r="AO179" s="209"/>
      <c r="AP179" s="209"/>
      <c r="AQ179" s="209"/>
      <c r="AR179" s="209"/>
      <c r="AS179" s="209"/>
      <c r="AT179" s="209"/>
      <c r="AU179" s="209"/>
      <c r="AV179" s="209"/>
      <c r="AW179" s="209"/>
      <c r="AX179" s="209"/>
      <c r="AY179" s="209"/>
      <c r="AZ179" s="209"/>
      <c r="BA179" s="209"/>
      <c r="BB179" s="209"/>
      <c r="BC179" s="209"/>
      <c r="BD179" s="209"/>
      <c r="BE179" s="209"/>
      <c r="BF179" s="209"/>
      <c r="BG179" s="209"/>
      <c r="BH179" s="209"/>
      <c r="BI179" s="209"/>
      <c r="BJ179" s="209"/>
      <c r="BK179" s="209"/>
      <c r="BL179" s="209"/>
      <c r="BM179" s="209"/>
      <c r="BN179" s="209"/>
      <c r="BO179" s="209"/>
      <c r="BP179" s="209"/>
      <c r="BQ179" s="209"/>
      <c r="BR179" s="209"/>
      <c r="BS179" s="209"/>
      <c r="BT179" s="209"/>
      <c r="BU179" s="209"/>
      <c r="BV179" s="209"/>
      <c r="BW179" s="209"/>
      <c r="BX179" s="209"/>
      <c r="BY179" s="126"/>
      <c r="BZ179" s="126"/>
      <c r="CA179" s="125"/>
      <c r="CB179" s="125"/>
      <c r="CC179" s="125"/>
      <c r="CD179" s="125"/>
      <c r="CE179" s="125"/>
    </row>
    <row r="180" spans="1:83" x14ac:dyDescent="0.25">
      <c r="A180" s="125"/>
      <c r="B180" s="126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209"/>
      <c r="AD180" s="209"/>
      <c r="AE180" s="209"/>
      <c r="AF180" s="209"/>
      <c r="AG180" s="209"/>
      <c r="AH180" s="209"/>
      <c r="AI180" s="209"/>
      <c r="AJ180" s="209"/>
      <c r="AK180" s="209"/>
      <c r="AL180" s="209"/>
      <c r="AM180" s="209"/>
      <c r="AN180" s="209"/>
      <c r="AO180" s="209"/>
      <c r="AP180" s="209"/>
      <c r="AQ180" s="209"/>
      <c r="AR180" s="209"/>
      <c r="AS180" s="209"/>
      <c r="AT180" s="209"/>
      <c r="AU180" s="209"/>
      <c r="AV180" s="209"/>
      <c r="AW180" s="209"/>
      <c r="AX180" s="209"/>
      <c r="AY180" s="209"/>
      <c r="AZ180" s="209"/>
      <c r="BA180" s="209"/>
      <c r="BB180" s="209"/>
      <c r="BC180" s="209"/>
      <c r="BD180" s="209"/>
      <c r="BE180" s="209"/>
      <c r="BF180" s="209"/>
      <c r="BG180" s="209"/>
      <c r="BH180" s="209"/>
      <c r="BI180" s="209"/>
      <c r="BJ180" s="209"/>
      <c r="BK180" s="209"/>
      <c r="BL180" s="209"/>
      <c r="BM180" s="209"/>
      <c r="BN180" s="209"/>
      <c r="BO180" s="209"/>
      <c r="BP180" s="209"/>
      <c r="BQ180" s="209"/>
      <c r="BR180" s="209"/>
      <c r="BS180" s="209"/>
      <c r="BT180" s="209"/>
      <c r="BU180" s="209"/>
      <c r="BV180" s="209"/>
      <c r="BW180" s="209"/>
      <c r="BX180" s="209"/>
      <c r="BY180" s="126"/>
      <c r="BZ180" s="126"/>
      <c r="CA180" s="125"/>
      <c r="CB180" s="125"/>
      <c r="CC180" s="125"/>
      <c r="CD180" s="125"/>
      <c r="CE180" s="125"/>
    </row>
    <row r="181" spans="1:83" x14ac:dyDescent="0.25">
      <c r="A181" s="125"/>
      <c r="B181" s="126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209"/>
      <c r="AD181" s="209"/>
      <c r="AE181" s="209"/>
      <c r="AF181" s="209"/>
      <c r="AG181" s="209"/>
      <c r="AH181" s="209"/>
      <c r="AI181" s="209"/>
      <c r="AJ181" s="209"/>
      <c r="AK181" s="209"/>
      <c r="AL181" s="209"/>
      <c r="AM181" s="209"/>
      <c r="AN181" s="209"/>
      <c r="AO181" s="209"/>
      <c r="AP181" s="209"/>
      <c r="AQ181" s="209"/>
      <c r="AR181" s="209"/>
      <c r="AS181" s="209"/>
      <c r="AT181" s="209"/>
      <c r="AU181" s="209"/>
      <c r="AV181" s="209"/>
      <c r="AW181" s="209"/>
      <c r="AX181" s="209"/>
      <c r="AY181" s="209"/>
      <c r="AZ181" s="209"/>
      <c r="BA181" s="209"/>
      <c r="BB181" s="209"/>
      <c r="BC181" s="209"/>
      <c r="BD181" s="209"/>
      <c r="BE181" s="209"/>
      <c r="BF181" s="209"/>
      <c r="BG181" s="209"/>
      <c r="BH181" s="209"/>
      <c r="BI181" s="209"/>
      <c r="BJ181" s="209"/>
      <c r="BK181" s="209"/>
      <c r="BL181" s="209"/>
      <c r="BM181" s="209"/>
      <c r="BN181" s="209"/>
      <c r="BO181" s="209"/>
      <c r="BP181" s="209"/>
      <c r="BQ181" s="209"/>
      <c r="BR181" s="209"/>
      <c r="BS181" s="209"/>
      <c r="BT181" s="209"/>
      <c r="BU181" s="209"/>
      <c r="BV181" s="209"/>
      <c r="BW181" s="209"/>
      <c r="BX181" s="209"/>
      <c r="BY181" s="126"/>
      <c r="BZ181" s="126"/>
      <c r="CA181" s="125"/>
      <c r="CB181" s="125"/>
      <c r="CC181" s="125"/>
      <c r="CD181" s="125"/>
      <c r="CE181" s="125"/>
    </row>
    <row r="182" spans="1:83" x14ac:dyDescent="0.25">
      <c r="A182" s="125"/>
      <c r="B182" s="126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209"/>
      <c r="AD182" s="209"/>
      <c r="AE182" s="209"/>
      <c r="AF182" s="209"/>
      <c r="AG182" s="209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  <c r="AR182" s="209"/>
      <c r="AS182" s="209"/>
      <c r="AT182" s="209"/>
      <c r="AU182" s="209"/>
      <c r="AV182" s="209"/>
      <c r="AW182" s="209"/>
      <c r="AX182" s="209"/>
      <c r="AY182" s="209"/>
      <c r="AZ182" s="209"/>
      <c r="BA182" s="209"/>
      <c r="BB182" s="209"/>
      <c r="BC182" s="209"/>
      <c r="BD182" s="209"/>
      <c r="BE182" s="209"/>
      <c r="BF182" s="209"/>
      <c r="BG182" s="209"/>
      <c r="BH182" s="209"/>
      <c r="BI182" s="209"/>
      <c r="BJ182" s="209"/>
      <c r="BK182" s="209"/>
      <c r="BL182" s="209"/>
      <c r="BM182" s="209"/>
      <c r="BN182" s="209"/>
      <c r="BO182" s="209"/>
      <c r="BP182" s="209"/>
      <c r="BQ182" s="209"/>
      <c r="BR182" s="209"/>
      <c r="BS182" s="209"/>
      <c r="BT182" s="209"/>
      <c r="BU182" s="209"/>
      <c r="BV182" s="209"/>
      <c r="BW182" s="209"/>
      <c r="BX182" s="209"/>
      <c r="BY182" s="126"/>
      <c r="BZ182" s="126"/>
      <c r="CA182" s="125"/>
      <c r="CB182" s="125"/>
      <c r="CC182" s="125"/>
      <c r="CD182" s="125"/>
      <c r="CE182" s="125"/>
    </row>
    <row r="183" spans="1:83" x14ac:dyDescent="0.25">
      <c r="A183" s="125"/>
      <c r="B183" s="126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209"/>
      <c r="BK183" s="209"/>
      <c r="BL183" s="209"/>
      <c r="BM183" s="209"/>
      <c r="BN183" s="209"/>
      <c r="BO183" s="209"/>
      <c r="BP183" s="209"/>
      <c r="BQ183" s="209"/>
      <c r="BR183" s="209"/>
      <c r="BS183" s="209"/>
      <c r="BT183" s="209"/>
      <c r="BU183" s="209"/>
      <c r="BV183" s="209"/>
      <c r="BW183" s="209"/>
      <c r="BX183" s="209"/>
      <c r="BY183" s="126"/>
      <c r="BZ183" s="126"/>
      <c r="CA183" s="125"/>
      <c r="CB183" s="125"/>
      <c r="CC183" s="125"/>
      <c r="CD183" s="125"/>
      <c r="CE183" s="125"/>
    </row>
    <row r="184" spans="1:83" x14ac:dyDescent="0.25">
      <c r="A184" s="125"/>
      <c r="B184" s="126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  <c r="AX184" s="209"/>
      <c r="AY184" s="209"/>
      <c r="AZ184" s="209"/>
      <c r="BA184" s="209"/>
      <c r="BB184" s="209"/>
      <c r="BC184" s="209"/>
      <c r="BD184" s="209"/>
      <c r="BE184" s="209"/>
      <c r="BF184" s="209"/>
      <c r="BG184" s="209"/>
      <c r="BH184" s="209"/>
      <c r="BI184" s="209"/>
      <c r="BJ184" s="209"/>
      <c r="BK184" s="209"/>
      <c r="BL184" s="209"/>
      <c r="BM184" s="209"/>
      <c r="BN184" s="209"/>
      <c r="BO184" s="209"/>
      <c r="BP184" s="209"/>
      <c r="BQ184" s="209"/>
      <c r="BR184" s="209"/>
      <c r="BS184" s="209"/>
      <c r="BT184" s="209"/>
      <c r="BU184" s="209"/>
      <c r="BV184" s="209"/>
      <c r="BW184" s="209"/>
      <c r="BX184" s="209"/>
      <c r="BY184" s="126"/>
      <c r="BZ184" s="126"/>
      <c r="CA184" s="125"/>
      <c r="CB184" s="125"/>
      <c r="CC184" s="125"/>
      <c r="CD184" s="125"/>
      <c r="CE184" s="125"/>
    </row>
    <row r="185" spans="1:83" x14ac:dyDescent="0.25">
      <c r="A185" s="125"/>
      <c r="B185" s="126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  <c r="AX185" s="209"/>
      <c r="AY185" s="209"/>
      <c r="AZ185" s="209"/>
      <c r="BA185" s="209"/>
      <c r="BB185" s="209"/>
      <c r="BC185" s="209"/>
      <c r="BD185" s="209"/>
      <c r="BE185" s="209"/>
      <c r="BF185" s="209"/>
      <c r="BG185" s="209"/>
      <c r="BH185" s="209"/>
      <c r="BI185" s="209"/>
      <c r="BJ185" s="209"/>
      <c r="BK185" s="209"/>
      <c r="BL185" s="209"/>
      <c r="BM185" s="209"/>
      <c r="BN185" s="209"/>
      <c r="BO185" s="209"/>
      <c r="BP185" s="209"/>
      <c r="BQ185" s="209"/>
      <c r="BR185" s="209"/>
      <c r="BS185" s="209"/>
      <c r="BT185" s="209"/>
      <c r="BU185" s="209"/>
      <c r="BV185" s="209"/>
      <c r="BW185" s="209"/>
      <c r="BX185" s="209"/>
      <c r="BY185" s="126"/>
      <c r="BZ185" s="126"/>
      <c r="CA185" s="125"/>
      <c r="CB185" s="125"/>
      <c r="CC185" s="125"/>
      <c r="CD185" s="125"/>
      <c r="CE185" s="125"/>
    </row>
    <row r="186" spans="1:83" x14ac:dyDescent="0.25">
      <c r="A186" s="125"/>
      <c r="B186" s="126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209"/>
      <c r="AD186" s="209"/>
      <c r="AE186" s="209"/>
      <c r="AF186" s="209"/>
      <c r="AG186" s="209"/>
      <c r="AH186" s="209"/>
      <c r="AI186" s="209"/>
      <c r="AJ186" s="209"/>
      <c r="AK186" s="209"/>
      <c r="AL186" s="209"/>
      <c r="AM186" s="209"/>
      <c r="AN186" s="209"/>
      <c r="AO186" s="209"/>
      <c r="AP186" s="209"/>
      <c r="AQ186" s="209"/>
      <c r="AR186" s="209"/>
      <c r="AS186" s="209"/>
      <c r="AT186" s="209"/>
      <c r="AU186" s="209"/>
      <c r="AV186" s="209"/>
      <c r="AW186" s="209"/>
      <c r="AX186" s="209"/>
      <c r="AY186" s="209"/>
      <c r="AZ186" s="209"/>
      <c r="BA186" s="209"/>
      <c r="BB186" s="209"/>
      <c r="BC186" s="209"/>
      <c r="BD186" s="209"/>
      <c r="BE186" s="209"/>
      <c r="BF186" s="209"/>
      <c r="BG186" s="209"/>
      <c r="BH186" s="209"/>
      <c r="BI186" s="209"/>
      <c r="BJ186" s="209"/>
      <c r="BK186" s="209"/>
      <c r="BL186" s="209"/>
      <c r="BM186" s="209"/>
      <c r="BN186" s="209"/>
      <c r="BO186" s="209"/>
      <c r="BP186" s="209"/>
      <c r="BQ186" s="209"/>
      <c r="BR186" s="209"/>
      <c r="BS186" s="209"/>
      <c r="BT186" s="209"/>
      <c r="BU186" s="209"/>
      <c r="BV186" s="209"/>
      <c r="BW186" s="209"/>
      <c r="BX186" s="209"/>
      <c r="BY186" s="126"/>
      <c r="BZ186" s="126"/>
      <c r="CA186" s="125"/>
      <c r="CB186" s="125"/>
      <c r="CC186" s="125"/>
      <c r="CD186" s="125"/>
      <c r="CE186" s="125"/>
    </row>
    <row r="187" spans="1:83" x14ac:dyDescent="0.25">
      <c r="A187" s="125"/>
      <c r="B187" s="126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09"/>
      <c r="AM187" s="209"/>
      <c r="AN187" s="209"/>
      <c r="AO187" s="209"/>
      <c r="AP187" s="209"/>
      <c r="AQ187" s="209"/>
      <c r="AR187" s="209"/>
      <c r="AS187" s="209"/>
      <c r="AT187" s="209"/>
      <c r="AU187" s="209"/>
      <c r="AV187" s="209"/>
      <c r="AW187" s="209"/>
      <c r="AX187" s="209"/>
      <c r="AY187" s="209"/>
      <c r="AZ187" s="209"/>
      <c r="BA187" s="209"/>
      <c r="BB187" s="209"/>
      <c r="BC187" s="209"/>
      <c r="BD187" s="209"/>
      <c r="BE187" s="209"/>
      <c r="BF187" s="209"/>
      <c r="BG187" s="209"/>
      <c r="BH187" s="209"/>
      <c r="BI187" s="209"/>
      <c r="BJ187" s="209"/>
      <c r="BK187" s="209"/>
      <c r="BL187" s="209"/>
      <c r="BM187" s="209"/>
      <c r="BN187" s="209"/>
      <c r="BO187" s="209"/>
      <c r="BP187" s="209"/>
      <c r="BQ187" s="209"/>
      <c r="BR187" s="209"/>
      <c r="BS187" s="209"/>
      <c r="BT187" s="209"/>
      <c r="BU187" s="209"/>
      <c r="BV187" s="209"/>
      <c r="BW187" s="209"/>
      <c r="BX187" s="209"/>
      <c r="BY187" s="126"/>
      <c r="BZ187" s="126"/>
      <c r="CA187" s="125"/>
      <c r="CB187" s="125"/>
      <c r="CC187" s="125"/>
      <c r="CD187" s="125"/>
      <c r="CE187" s="125"/>
    </row>
    <row r="188" spans="1:83" x14ac:dyDescent="0.25">
      <c r="A188" s="125"/>
      <c r="B188" s="126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209"/>
      <c r="AD188" s="209"/>
      <c r="AE188" s="209"/>
      <c r="AF188" s="209"/>
      <c r="AG188" s="209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  <c r="AR188" s="209"/>
      <c r="AS188" s="209"/>
      <c r="AT188" s="209"/>
      <c r="AU188" s="209"/>
      <c r="AV188" s="209"/>
      <c r="AW188" s="209"/>
      <c r="AX188" s="209"/>
      <c r="AY188" s="209"/>
      <c r="AZ188" s="209"/>
      <c r="BA188" s="209"/>
      <c r="BB188" s="209"/>
      <c r="BC188" s="209"/>
      <c r="BD188" s="209"/>
      <c r="BE188" s="209"/>
      <c r="BF188" s="209"/>
      <c r="BG188" s="209"/>
      <c r="BH188" s="209"/>
      <c r="BI188" s="209"/>
      <c r="BJ188" s="209"/>
      <c r="BK188" s="209"/>
      <c r="BL188" s="209"/>
      <c r="BM188" s="209"/>
      <c r="BN188" s="209"/>
      <c r="BO188" s="209"/>
      <c r="BP188" s="209"/>
      <c r="BQ188" s="209"/>
      <c r="BR188" s="209"/>
      <c r="BS188" s="209"/>
      <c r="BT188" s="209"/>
      <c r="BU188" s="209"/>
      <c r="BV188" s="209"/>
      <c r="BW188" s="209"/>
      <c r="BX188" s="209"/>
      <c r="BY188" s="126"/>
      <c r="BZ188" s="126"/>
      <c r="CA188" s="125"/>
      <c r="CB188" s="125"/>
      <c r="CC188" s="125"/>
      <c r="CD188" s="125"/>
      <c r="CE188" s="125"/>
    </row>
    <row r="189" spans="1:83" x14ac:dyDescent="0.25">
      <c r="A189" s="125"/>
      <c r="B189" s="126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09"/>
      <c r="AM189" s="209"/>
      <c r="AN189" s="209"/>
      <c r="AO189" s="209"/>
      <c r="AP189" s="209"/>
      <c r="AQ189" s="209"/>
      <c r="AR189" s="209"/>
      <c r="AS189" s="209"/>
      <c r="AT189" s="209"/>
      <c r="AU189" s="209"/>
      <c r="AV189" s="209"/>
      <c r="AW189" s="209"/>
      <c r="AX189" s="209"/>
      <c r="AY189" s="209"/>
      <c r="AZ189" s="209"/>
      <c r="BA189" s="209"/>
      <c r="BB189" s="209"/>
      <c r="BC189" s="209"/>
      <c r="BD189" s="209"/>
      <c r="BE189" s="209"/>
      <c r="BF189" s="209"/>
      <c r="BG189" s="209"/>
      <c r="BH189" s="209"/>
      <c r="BI189" s="209"/>
      <c r="BJ189" s="209"/>
      <c r="BK189" s="209"/>
      <c r="BL189" s="209"/>
      <c r="BM189" s="209"/>
      <c r="BN189" s="209"/>
      <c r="BO189" s="209"/>
      <c r="BP189" s="209"/>
      <c r="BQ189" s="209"/>
      <c r="BR189" s="209"/>
      <c r="BS189" s="209"/>
      <c r="BT189" s="209"/>
      <c r="BU189" s="209"/>
      <c r="BV189" s="209"/>
      <c r="BW189" s="209"/>
      <c r="BX189" s="209"/>
      <c r="BY189" s="126"/>
      <c r="BZ189" s="126"/>
      <c r="CA189" s="125"/>
      <c r="CB189" s="125"/>
      <c r="CC189" s="125"/>
      <c r="CD189" s="125"/>
      <c r="CE189" s="125"/>
    </row>
    <row r="190" spans="1:83" x14ac:dyDescent="0.25">
      <c r="A190" s="125"/>
      <c r="B190" s="126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09"/>
      <c r="AO190" s="209"/>
      <c r="AP190" s="209"/>
      <c r="AQ190" s="209"/>
      <c r="AR190" s="209"/>
      <c r="AS190" s="209"/>
      <c r="AT190" s="209"/>
      <c r="AU190" s="209"/>
      <c r="AV190" s="209"/>
      <c r="AW190" s="209"/>
      <c r="AX190" s="209"/>
      <c r="AY190" s="209"/>
      <c r="AZ190" s="209"/>
      <c r="BA190" s="209"/>
      <c r="BB190" s="209"/>
      <c r="BC190" s="209"/>
      <c r="BD190" s="209"/>
      <c r="BE190" s="209"/>
      <c r="BF190" s="209"/>
      <c r="BG190" s="209"/>
      <c r="BH190" s="209"/>
      <c r="BI190" s="209"/>
      <c r="BJ190" s="209"/>
      <c r="BK190" s="209"/>
      <c r="BL190" s="209"/>
      <c r="BM190" s="209"/>
      <c r="BN190" s="209"/>
      <c r="BO190" s="209"/>
      <c r="BP190" s="209"/>
      <c r="BQ190" s="209"/>
      <c r="BR190" s="209"/>
      <c r="BS190" s="209"/>
      <c r="BT190" s="209"/>
      <c r="BU190" s="209"/>
      <c r="BV190" s="209"/>
      <c r="BW190" s="209"/>
      <c r="BX190" s="209"/>
      <c r="BY190" s="126"/>
      <c r="BZ190" s="126"/>
      <c r="CA190" s="125"/>
      <c r="CB190" s="125"/>
      <c r="CC190" s="125"/>
      <c r="CD190" s="125"/>
      <c r="CE190" s="125"/>
    </row>
    <row r="191" spans="1:83" x14ac:dyDescent="0.25">
      <c r="A191" s="125"/>
      <c r="B191" s="126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126"/>
      <c r="S191" s="126"/>
      <c r="T191" s="126"/>
      <c r="U191" s="126"/>
      <c r="V191" s="126"/>
      <c r="W191" s="126"/>
      <c r="X191" s="126"/>
      <c r="Y191" s="126"/>
      <c r="Z191" s="126"/>
      <c r="AA191" s="126"/>
      <c r="AB191" s="126"/>
      <c r="AC191" s="209"/>
      <c r="AD191" s="209"/>
      <c r="AE191" s="209"/>
      <c r="AF191" s="209"/>
      <c r="AG191" s="209"/>
      <c r="AH191" s="209"/>
      <c r="AI191" s="209"/>
      <c r="AJ191" s="209"/>
      <c r="AK191" s="209"/>
      <c r="AL191" s="209"/>
      <c r="AM191" s="209"/>
      <c r="AN191" s="209"/>
      <c r="AO191" s="209"/>
      <c r="AP191" s="209"/>
      <c r="AQ191" s="209"/>
      <c r="AR191" s="209"/>
      <c r="AS191" s="209"/>
      <c r="AT191" s="209"/>
      <c r="AU191" s="209"/>
      <c r="AV191" s="209"/>
      <c r="AW191" s="209"/>
      <c r="AX191" s="209"/>
      <c r="AY191" s="209"/>
      <c r="AZ191" s="209"/>
      <c r="BA191" s="209"/>
      <c r="BB191" s="209"/>
      <c r="BC191" s="209"/>
      <c r="BD191" s="209"/>
      <c r="BE191" s="209"/>
      <c r="BF191" s="209"/>
      <c r="BG191" s="209"/>
      <c r="BH191" s="209"/>
      <c r="BI191" s="209"/>
      <c r="BJ191" s="209"/>
      <c r="BK191" s="209"/>
      <c r="BL191" s="209"/>
      <c r="BM191" s="209"/>
      <c r="BN191" s="209"/>
      <c r="BO191" s="209"/>
      <c r="BP191" s="209"/>
      <c r="BQ191" s="209"/>
      <c r="BR191" s="209"/>
      <c r="BS191" s="209"/>
      <c r="BT191" s="209"/>
      <c r="BU191" s="209"/>
      <c r="BV191" s="209"/>
      <c r="BW191" s="209"/>
      <c r="BX191" s="209"/>
      <c r="BY191" s="126"/>
      <c r="BZ191" s="126"/>
      <c r="CA191" s="125"/>
      <c r="CB191" s="125"/>
      <c r="CC191" s="125"/>
      <c r="CD191" s="125"/>
      <c r="CE191" s="125"/>
    </row>
    <row r="192" spans="1:83" x14ac:dyDescent="0.25">
      <c r="A192" s="125"/>
      <c r="B192" s="126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6"/>
      <c r="AB192" s="126"/>
      <c r="AC192" s="209"/>
      <c r="AD192" s="209"/>
      <c r="AE192" s="209"/>
      <c r="AF192" s="209"/>
      <c r="AG192" s="209"/>
      <c r="AH192" s="209"/>
      <c r="AI192" s="209"/>
      <c r="AJ192" s="209"/>
      <c r="AK192" s="209"/>
      <c r="AL192" s="209"/>
      <c r="AM192" s="209"/>
      <c r="AN192" s="209"/>
      <c r="AO192" s="209"/>
      <c r="AP192" s="209"/>
      <c r="AQ192" s="209"/>
      <c r="AR192" s="209"/>
      <c r="AS192" s="209"/>
      <c r="AT192" s="209"/>
      <c r="AU192" s="209"/>
      <c r="AV192" s="209"/>
      <c r="AW192" s="209"/>
      <c r="AX192" s="20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126"/>
      <c r="BZ192" s="126"/>
      <c r="CA192" s="125"/>
      <c r="CB192" s="125"/>
      <c r="CC192" s="125"/>
      <c r="CD192" s="125"/>
      <c r="CE192" s="125"/>
    </row>
    <row r="193" spans="1:83" x14ac:dyDescent="0.25">
      <c r="A193" s="125"/>
      <c r="B193" s="126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209"/>
      <c r="AD193" s="209"/>
      <c r="AE193" s="209"/>
      <c r="AF193" s="209"/>
      <c r="AG193" s="209"/>
      <c r="AH193" s="209"/>
      <c r="AI193" s="209"/>
      <c r="AJ193" s="209"/>
      <c r="AK193" s="209"/>
      <c r="AL193" s="209"/>
      <c r="AM193" s="209"/>
      <c r="AN193" s="209"/>
      <c r="AO193" s="209"/>
      <c r="AP193" s="209"/>
      <c r="AQ193" s="209"/>
      <c r="AR193" s="209"/>
      <c r="AS193" s="209"/>
      <c r="AT193" s="209"/>
      <c r="AU193" s="209"/>
      <c r="AV193" s="209"/>
      <c r="AW193" s="209"/>
      <c r="AX193" s="20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126"/>
      <c r="BZ193" s="126"/>
      <c r="CA193" s="125"/>
      <c r="CB193" s="125"/>
      <c r="CC193" s="125"/>
      <c r="CD193" s="125"/>
      <c r="CE193" s="125"/>
    </row>
    <row r="194" spans="1:83" x14ac:dyDescent="0.25">
      <c r="A194" s="125"/>
      <c r="B194" s="126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126"/>
      <c r="BZ194" s="126"/>
      <c r="CA194" s="125"/>
      <c r="CB194" s="125"/>
      <c r="CC194" s="125"/>
      <c r="CD194" s="125"/>
      <c r="CE194" s="125"/>
    </row>
    <row r="195" spans="1:83" x14ac:dyDescent="0.25">
      <c r="A195" s="125"/>
      <c r="B195" s="126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209"/>
      <c r="AD195" s="209"/>
      <c r="AE195" s="209"/>
      <c r="AF195" s="209"/>
      <c r="AG195" s="209"/>
      <c r="AH195" s="209"/>
      <c r="AI195" s="209"/>
      <c r="AJ195" s="209"/>
      <c r="AK195" s="209"/>
      <c r="AL195" s="209"/>
      <c r="AM195" s="209"/>
      <c r="AN195" s="209"/>
      <c r="AO195" s="209"/>
      <c r="AP195" s="209"/>
      <c r="AQ195" s="209"/>
      <c r="AR195" s="209"/>
      <c r="AS195" s="209"/>
      <c r="AT195" s="209"/>
      <c r="AU195" s="209"/>
      <c r="AV195" s="209"/>
      <c r="AW195" s="209"/>
      <c r="AX195" s="209"/>
      <c r="AY195" s="209"/>
      <c r="AZ195" s="209"/>
      <c r="BA195" s="209"/>
      <c r="BB195" s="209"/>
      <c r="BC195" s="209"/>
      <c r="BD195" s="209"/>
      <c r="BE195" s="209"/>
      <c r="BF195" s="209"/>
      <c r="BG195" s="209"/>
      <c r="BH195" s="209"/>
      <c r="BI195" s="209"/>
      <c r="BJ195" s="209"/>
      <c r="BK195" s="209"/>
      <c r="BL195" s="209"/>
      <c r="BM195" s="209"/>
      <c r="BN195" s="209"/>
      <c r="BO195" s="209"/>
      <c r="BP195" s="209"/>
      <c r="BQ195" s="209"/>
      <c r="BR195" s="209"/>
      <c r="BS195" s="209"/>
      <c r="BT195" s="209"/>
      <c r="BU195" s="209"/>
      <c r="BV195" s="209"/>
      <c r="BW195" s="209"/>
      <c r="BX195" s="209"/>
      <c r="BY195" s="126"/>
      <c r="BZ195" s="126"/>
      <c r="CA195" s="125"/>
      <c r="CB195" s="125"/>
      <c r="CC195" s="125"/>
      <c r="CD195" s="125"/>
      <c r="CE195" s="125"/>
    </row>
    <row r="196" spans="1:83" x14ac:dyDescent="0.25">
      <c r="A196" s="125"/>
      <c r="B196" s="126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209"/>
      <c r="AD196" s="209"/>
      <c r="AE196" s="209"/>
      <c r="AF196" s="209"/>
      <c r="AG196" s="209"/>
      <c r="AH196" s="209"/>
      <c r="AI196" s="209"/>
      <c r="AJ196" s="209"/>
      <c r="AK196" s="209"/>
      <c r="AL196" s="209"/>
      <c r="AM196" s="209"/>
      <c r="AN196" s="209"/>
      <c r="AO196" s="209"/>
      <c r="AP196" s="209"/>
      <c r="AQ196" s="209"/>
      <c r="AR196" s="209"/>
      <c r="AS196" s="209"/>
      <c r="AT196" s="209"/>
      <c r="AU196" s="209"/>
      <c r="AV196" s="209"/>
      <c r="AW196" s="209"/>
      <c r="AX196" s="209"/>
      <c r="AY196" s="209"/>
      <c r="AZ196" s="209"/>
      <c r="BA196" s="209"/>
      <c r="BB196" s="209"/>
      <c r="BC196" s="209"/>
      <c r="BD196" s="209"/>
      <c r="BE196" s="209"/>
      <c r="BF196" s="209"/>
      <c r="BG196" s="209"/>
      <c r="BH196" s="209"/>
      <c r="BI196" s="209"/>
      <c r="BJ196" s="209"/>
      <c r="BK196" s="209"/>
      <c r="BL196" s="209"/>
      <c r="BM196" s="209"/>
      <c r="BN196" s="209"/>
      <c r="BO196" s="209"/>
      <c r="BP196" s="209"/>
      <c r="BQ196" s="209"/>
      <c r="BR196" s="209"/>
      <c r="BS196" s="209"/>
      <c r="BT196" s="209"/>
      <c r="BU196" s="209"/>
      <c r="BV196" s="209"/>
      <c r="BW196" s="209"/>
      <c r="BX196" s="209"/>
      <c r="BY196" s="126"/>
      <c r="BZ196" s="126"/>
      <c r="CA196" s="125"/>
      <c r="CB196" s="125"/>
      <c r="CC196" s="125"/>
      <c r="CD196" s="125"/>
      <c r="CE196" s="125"/>
    </row>
    <row r="197" spans="1:83" x14ac:dyDescent="0.25">
      <c r="A197" s="125"/>
      <c r="B197" s="126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209"/>
      <c r="AD197" s="209"/>
      <c r="AE197" s="209"/>
      <c r="AF197" s="209"/>
      <c r="AG197" s="209"/>
      <c r="AH197" s="209"/>
      <c r="AI197" s="209"/>
      <c r="AJ197" s="209"/>
      <c r="AK197" s="209"/>
      <c r="AL197" s="209"/>
      <c r="AM197" s="209"/>
      <c r="AN197" s="209"/>
      <c r="AO197" s="209"/>
      <c r="AP197" s="209"/>
      <c r="AQ197" s="209"/>
      <c r="AR197" s="209"/>
      <c r="AS197" s="209"/>
      <c r="AT197" s="209"/>
      <c r="AU197" s="209"/>
      <c r="AV197" s="209"/>
      <c r="AW197" s="209"/>
      <c r="AX197" s="209"/>
      <c r="AY197" s="209"/>
      <c r="AZ197" s="209"/>
      <c r="BA197" s="209"/>
      <c r="BB197" s="209"/>
      <c r="BC197" s="209"/>
      <c r="BD197" s="209"/>
      <c r="BE197" s="209"/>
      <c r="BF197" s="209"/>
      <c r="BG197" s="209"/>
      <c r="BH197" s="209"/>
      <c r="BI197" s="209"/>
      <c r="BJ197" s="209"/>
      <c r="BK197" s="209"/>
      <c r="BL197" s="209"/>
      <c r="BM197" s="209"/>
      <c r="BN197" s="209"/>
      <c r="BO197" s="209"/>
      <c r="BP197" s="209"/>
      <c r="BQ197" s="209"/>
      <c r="BR197" s="209"/>
      <c r="BS197" s="209"/>
      <c r="BT197" s="209"/>
      <c r="BU197" s="209"/>
      <c r="BV197" s="209"/>
      <c r="BW197" s="209"/>
      <c r="BX197" s="209"/>
      <c r="BY197" s="126"/>
      <c r="BZ197" s="126"/>
      <c r="CA197" s="125"/>
      <c r="CB197" s="125"/>
      <c r="CC197" s="125"/>
      <c r="CD197" s="125"/>
      <c r="CE197" s="125"/>
    </row>
    <row r="198" spans="1:83" x14ac:dyDescent="0.25">
      <c r="A198" s="125"/>
      <c r="B198" s="126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209"/>
      <c r="AD198" s="209"/>
      <c r="AE198" s="209"/>
      <c r="AF198" s="209"/>
      <c r="AG198" s="209"/>
      <c r="AH198" s="209"/>
      <c r="AI198" s="209"/>
      <c r="AJ198" s="209"/>
      <c r="AK198" s="209"/>
      <c r="AL198" s="209"/>
      <c r="AM198" s="209"/>
      <c r="AN198" s="209"/>
      <c r="AO198" s="209"/>
      <c r="AP198" s="209"/>
      <c r="AQ198" s="209"/>
      <c r="AR198" s="209"/>
      <c r="AS198" s="209"/>
      <c r="AT198" s="209"/>
      <c r="AU198" s="209"/>
      <c r="AV198" s="209"/>
      <c r="AW198" s="209"/>
      <c r="AX198" s="209"/>
      <c r="AY198" s="209"/>
      <c r="AZ198" s="209"/>
      <c r="BA198" s="209"/>
      <c r="BB198" s="209"/>
      <c r="BC198" s="209"/>
      <c r="BD198" s="209"/>
      <c r="BE198" s="209"/>
      <c r="BF198" s="209"/>
      <c r="BG198" s="209"/>
      <c r="BH198" s="209"/>
      <c r="BI198" s="209"/>
      <c r="BJ198" s="209"/>
      <c r="BK198" s="209"/>
      <c r="BL198" s="209"/>
      <c r="BM198" s="209"/>
      <c r="BN198" s="209"/>
      <c r="BO198" s="209"/>
      <c r="BP198" s="209"/>
      <c r="BQ198" s="209"/>
      <c r="BR198" s="209"/>
      <c r="BS198" s="209"/>
      <c r="BT198" s="209"/>
      <c r="BU198" s="209"/>
      <c r="BV198" s="209"/>
      <c r="BW198" s="209"/>
      <c r="BX198" s="209"/>
      <c r="BY198" s="126"/>
      <c r="BZ198" s="126"/>
      <c r="CA198" s="125"/>
      <c r="CB198" s="125"/>
      <c r="CC198" s="125"/>
      <c r="CD198" s="125"/>
      <c r="CE198" s="125"/>
    </row>
    <row r="199" spans="1:83" x14ac:dyDescent="0.25">
      <c r="A199" s="125"/>
      <c r="B199" s="126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09"/>
      <c r="AM199" s="209"/>
      <c r="AN199" s="209"/>
      <c r="AO199" s="209"/>
      <c r="AP199" s="209"/>
      <c r="AQ199" s="209"/>
      <c r="AR199" s="209"/>
      <c r="AS199" s="209"/>
      <c r="AT199" s="209"/>
      <c r="AU199" s="209"/>
      <c r="AV199" s="209"/>
      <c r="AW199" s="209"/>
      <c r="AX199" s="209"/>
      <c r="AY199" s="209"/>
      <c r="AZ199" s="209"/>
      <c r="BA199" s="209"/>
      <c r="BB199" s="209"/>
      <c r="BC199" s="209"/>
      <c r="BD199" s="209"/>
      <c r="BE199" s="209"/>
      <c r="BF199" s="209"/>
      <c r="BG199" s="209"/>
      <c r="BH199" s="209"/>
      <c r="BI199" s="209"/>
      <c r="BJ199" s="209"/>
      <c r="BK199" s="209"/>
      <c r="BL199" s="209"/>
      <c r="BM199" s="209"/>
      <c r="BN199" s="209"/>
      <c r="BO199" s="209"/>
      <c r="BP199" s="209"/>
      <c r="BQ199" s="209"/>
      <c r="BR199" s="209"/>
      <c r="BS199" s="209"/>
      <c r="BT199" s="209"/>
      <c r="BU199" s="209"/>
      <c r="BV199" s="209"/>
      <c r="BW199" s="209"/>
      <c r="BX199" s="209"/>
      <c r="BY199" s="126"/>
      <c r="BZ199" s="126"/>
      <c r="CA199" s="125"/>
      <c r="CB199" s="125"/>
      <c r="CC199" s="125"/>
      <c r="CD199" s="125"/>
      <c r="CE199" s="125"/>
    </row>
    <row r="200" spans="1:83" x14ac:dyDescent="0.25">
      <c r="A200" s="125"/>
      <c r="B200" s="126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209"/>
      <c r="AD200" s="209"/>
      <c r="AE200" s="209"/>
      <c r="AF200" s="209"/>
      <c r="AG200" s="209"/>
      <c r="AH200" s="209"/>
      <c r="AI200" s="209"/>
      <c r="AJ200" s="209"/>
      <c r="AK200" s="209"/>
      <c r="AL200" s="209"/>
      <c r="AM200" s="209"/>
      <c r="AN200" s="209"/>
      <c r="AO200" s="209"/>
      <c r="AP200" s="209"/>
      <c r="AQ200" s="209"/>
      <c r="AR200" s="209"/>
      <c r="AS200" s="209"/>
      <c r="AT200" s="209"/>
      <c r="AU200" s="209"/>
      <c r="AV200" s="209"/>
      <c r="AW200" s="209"/>
      <c r="AX200" s="209"/>
      <c r="AY200" s="209"/>
      <c r="AZ200" s="209"/>
      <c r="BA200" s="209"/>
      <c r="BB200" s="209"/>
      <c r="BC200" s="209"/>
      <c r="BD200" s="209"/>
      <c r="BE200" s="209"/>
      <c r="BF200" s="209"/>
      <c r="BG200" s="209"/>
      <c r="BH200" s="209"/>
      <c r="BI200" s="209"/>
      <c r="BJ200" s="209"/>
      <c r="BK200" s="209"/>
      <c r="BL200" s="209"/>
      <c r="BM200" s="209"/>
      <c r="BN200" s="209"/>
      <c r="BO200" s="209"/>
      <c r="BP200" s="209"/>
      <c r="BQ200" s="209"/>
      <c r="BR200" s="209"/>
      <c r="BS200" s="209"/>
      <c r="BT200" s="209"/>
      <c r="BU200" s="209"/>
      <c r="BV200" s="209"/>
      <c r="BW200" s="209"/>
      <c r="BX200" s="209"/>
      <c r="BY200" s="126"/>
      <c r="BZ200" s="126"/>
      <c r="CA200" s="125"/>
      <c r="CB200" s="125"/>
      <c r="CC200" s="125"/>
      <c r="CD200" s="125"/>
      <c r="CE200" s="125"/>
    </row>
    <row r="201" spans="1:83" x14ac:dyDescent="0.25">
      <c r="A201" s="125"/>
      <c r="B201" s="126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209"/>
      <c r="AD201" s="209"/>
      <c r="AE201" s="209"/>
      <c r="AF201" s="209"/>
      <c r="AG201" s="209"/>
      <c r="AH201" s="209"/>
      <c r="AI201" s="209"/>
      <c r="AJ201" s="209"/>
      <c r="AK201" s="209"/>
      <c r="AL201" s="209"/>
      <c r="AM201" s="209"/>
      <c r="AN201" s="209"/>
      <c r="AO201" s="209"/>
      <c r="AP201" s="209"/>
      <c r="AQ201" s="209"/>
      <c r="AR201" s="209"/>
      <c r="AS201" s="209"/>
      <c r="AT201" s="209"/>
      <c r="AU201" s="209"/>
      <c r="AV201" s="209"/>
      <c r="AW201" s="209"/>
      <c r="AX201" s="209"/>
      <c r="AY201" s="209"/>
      <c r="AZ201" s="209"/>
      <c r="BA201" s="209"/>
      <c r="BB201" s="209"/>
      <c r="BC201" s="209"/>
      <c r="BD201" s="209"/>
      <c r="BE201" s="209"/>
      <c r="BF201" s="209"/>
      <c r="BG201" s="209"/>
      <c r="BH201" s="209"/>
      <c r="BI201" s="209"/>
      <c r="BJ201" s="209"/>
      <c r="BK201" s="209"/>
      <c r="BL201" s="209"/>
      <c r="BM201" s="209"/>
      <c r="BN201" s="209"/>
      <c r="BO201" s="209"/>
      <c r="BP201" s="209"/>
      <c r="BQ201" s="209"/>
      <c r="BR201" s="209"/>
      <c r="BS201" s="209"/>
      <c r="BT201" s="209"/>
      <c r="BU201" s="209"/>
      <c r="BV201" s="209"/>
      <c r="BW201" s="209"/>
      <c r="BX201" s="209"/>
      <c r="BY201" s="126"/>
      <c r="BZ201" s="126"/>
      <c r="CA201" s="125"/>
      <c r="CB201" s="125"/>
      <c r="CC201" s="125"/>
      <c r="CD201" s="125"/>
      <c r="CE201" s="125"/>
    </row>
    <row r="202" spans="1:83" x14ac:dyDescent="0.25">
      <c r="A202" s="125"/>
      <c r="B202" s="126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209"/>
      <c r="AD202" s="209"/>
      <c r="AE202" s="209"/>
      <c r="AF202" s="209"/>
      <c r="AG202" s="209"/>
      <c r="AH202" s="209"/>
      <c r="AI202" s="209"/>
      <c r="AJ202" s="209"/>
      <c r="AK202" s="209"/>
      <c r="AL202" s="209"/>
      <c r="AM202" s="209"/>
      <c r="AN202" s="209"/>
      <c r="AO202" s="209"/>
      <c r="AP202" s="209"/>
      <c r="AQ202" s="209"/>
      <c r="AR202" s="209"/>
      <c r="AS202" s="209"/>
      <c r="AT202" s="209"/>
      <c r="AU202" s="209"/>
      <c r="AV202" s="209"/>
      <c r="AW202" s="209"/>
      <c r="AX202" s="209"/>
      <c r="AY202" s="209"/>
      <c r="AZ202" s="209"/>
      <c r="BA202" s="209"/>
      <c r="BB202" s="209"/>
      <c r="BC202" s="209"/>
      <c r="BD202" s="209"/>
      <c r="BE202" s="209"/>
      <c r="BF202" s="209"/>
      <c r="BG202" s="209"/>
      <c r="BH202" s="209"/>
      <c r="BI202" s="209"/>
      <c r="BJ202" s="209"/>
      <c r="BK202" s="209"/>
      <c r="BL202" s="209"/>
      <c r="BM202" s="209"/>
      <c r="BN202" s="209"/>
      <c r="BO202" s="209"/>
      <c r="BP202" s="209"/>
      <c r="BQ202" s="209"/>
      <c r="BR202" s="209"/>
      <c r="BS202" s="209"/>
      <c r="BT202" s="209"/>
      <c r="BU202" s="209"/>
      <c r="BV202" s="209"/>
      <c r="BW202" s="209"/>
      <c r="BX202" s="209"/>
      <c r="BY202" s="126"/>
      <c r="BZ202" s="126"/>
      <c r="CA202" s="125"/>
      <c r="CB202" s="125"/>
      <c r="CC202" s="125"/>
      <c r="CD202" s="125"/>
      <c r="CE202" s="125"/>
    </row>
    <row r="203" spans="1:83" x14ac:dyDescent="0.25">
      <c r="A203" s="125"/>
      <c r="B203" s="126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209"/>
      <c r="AD203" s="209"/>
      <c r="AE203" s="209"/>
      <c r="AF203" s="209"/>
      <c r="AG203" s="209"/>
      <c r="AH203" s="209"/>
      <c r="AI203" s="209"/>
      <c r="AJ203" s="209"/>
      <c r="AK203" s="209"/>
      <c r="AL203" s="209"/>
      <c r="AM203" s="209"/>
      <c r="AN203" s="209"/>
      <c r="AO203" s="209"/>
      <c r="AP203" s="209"/>
      <c r="AQ203" s="209"/>
      <c r="AR203" s="209"/>
      <c r="AS203" s="209"/>
      <c r="AT203" s="209"/>
      <c r="AU203" s="209"/>
      <c r="AV203" s="209"/>
      <c r="AW203" s="209"/>
      <c r="AX203" s="209"/>
      <c r="AY203" s="209"/>
      <c r="AZ203" s="209"/>
      <c r="BA203" s="209"/>
      <c r="BB203" s="209"/>
      <c r="BC203" s="209"/>
      <c r="BD203" s="209"/>
      <c r="BE203" s="209"/>
      <c r="BF203" s="209"/>
      <c r="BG203" s="209"/>
      <c r="BH203" s="209"/>
      <c r="BI203" s="209"/>
      <c r="BJ203" s="209"/>
      <c r="BK203" s="209"/>
      <c r="BL203" s="209"/>
      <c r="BM203" s="209"/>
      <c r="BN203" s="209"/>
      <c r="BO203" s="209"/>
      <c r="BP203" s="209"/>
      <c r="BQ203" s="209"/>
      <c r="BR203" s="209"/>
      <c r="BS203" s="209"/>
      <c r="BT203" s="209"/>
      <c r="BU203" s="209"/>
      <c r="BV203" s="209"/>
      <c r="BW203" s="209"/>
      <c r="BX203" s="209"/>
      <c r="BY203" s="126"/>
      <c r="BZ203" s="126"/>
      <c r="CA203" s="125"/>
      <c r="CB203" s="125"/>
      <c r="CC203" s="125"/>
      <c r="CD203" s="125"/>
      <c r="CE203" s="125"/>
    </row>
    <row r="204" spans="1:83" x14ac:dyDescent="0.25">
      <c r="A204" s="125"/>
      <c r="B204" s="126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209"/>
      <c r="AD204" s="209"/>
      <c r="AE204" s="209"/>
      <c r="AF204" s="209"/>
      <c r="AG204" s="209"/>
      <c r="AH204" s="209"/>
      <c r="AI204" s="209"/>
      <c r="AJ204" s="209"/>
      <c r="AK204" s="209"/>
      <c r="AL204" s="209"/>
      <c r="AM204" s="209"/>
      <c r="AN204" s="209"/>
      <c r="AO204" s="209"/>
      <c r="AP204" s="209"/>
      <c r="AQ204" s="209"/>
      <c r="AR204" s="209"/>
      <c r="AS204" s="209"/>
      <c r="AT204" s="209"/>
      <c r="AU204" s="209"/>
      <c r="AV204" s="209"/>
      <c r="AW204" s="209"/>
      <c r="AX204" s="209"/>
      <c r="AY204" s="209"/>
      <c r="AZ204" s="209"/>
      <c r="BA204" s="209"/>
      <c r="BB204" s="209"/>
      <c r="BC204" s="209"/>
      <c r="BD204" s="209"/>
      <c r="BE204" s="209"/>
      <c r="BF204" s="209"/>
      <c r="BG204" s="209"/>
      <c r="BH204" s="209"/>
      <c r="BI204" s="209"/>
      <c r="BJ204" s="209"/>
      <c r="BK204" s="209"/>
      <c r="BL204" s="209"/>
      <c r="BM204" s="209"/>
      <c r="BN204" s="209"/>
      <c r="BO204" s="209"/>
      <c r="BP204" s="209"/>
      <c r="BQ204" s="209"/>
      <c r="BR204" s="209"/>
      <c r="BS204" s="209"/>
      <c r="BT204" s="209"/>
      <c r="BU204" s="209"/>
      <c r="BV204" s="209"/>
      <c r="BW204" s="209"/>
      <c r="BX204" s="209"/>
      <c r="BY204" s="126"/>
      <c r="BZ204" s="126"/>
      <c r="CA204" s="125"/>
      <c r="CB204" s="125"/>
      <c r="CC204" s="125"/>
      <c r="CD204" s="125"/>
      <c r="CE204" s="125"/>
    </row>
    <row r="205" spans="1:83" x14ac:dyDescent="0.25">
      <c r="A205" s="125"/>
      <c r="B205" s="126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209"/>
      <c r="AD205" s="209"/>
      <c r="AE205" s="209"/>
      <c r="AF205" s="209"/>
      <c r="AG205" s="209"/>
      <c r="AH205" s="209"/>
      <c r="AI205" s="209"/>
      <c r="AJ205" s="209"/>
      <c r="AK205" s="209"/>
      <c r="AL205" s="209"/>
      <c r="AM205" s="209"/>
      <c r="AN205" s="209"/>
      <c r="AO205" s="209"/>
      <c r="AP205" s="209"/>
      <c r="AQ205" s="209"/>
      <c r="AR205" s="209"/>
      <c r="AS205" s="209"/>
      <c r="AT205" s="209"/>
      <c r="AU205" s="209"/>
      <c r="AV205" s="209"/>
      <c r="AW205" s="209"/>
      <c r="AX205" s="209"/>
      <c r="AY205" s="209"/>
      <c r="AZ205" s="209"/>
      <c r="BA205" s="209"/>
      <c r="BB205" s="209"/>
      <c r="BC205" s="209"/>
      <c r="BD205" s="209"/>
      <c r="BE205" s="209"/>
      <c r="BF205" s="209"/>
      <c r="BG205" s="209"/>
      <c r="BH205" s="209"/>
      <c r="BI205" s="209"/>
      <c r="BJ205" s="209"/>
      <c r="BK205" s="209"/>
      <c r="BL205" s="209"/>
      <c r="BM205" s="209"/>
      <c r="BN205" s="209"/>
      <c r="BO205" s="209"/>
      <c r="BP205" s="209"/>
      <c r="BQ205" s="209"/>
      <c r="BR205" s="209"/>
      <c r="BS205" s="209"/>
      <c r="BT205" s="209"/>
      <c r="BU205" s="209"/>
      <c r="BV205" s="209"/>
      <c r="BW205" s="209"/>
      <c r="BX205" s="209"/>
      <c r="BY205" s="126"/>
      <c r="BZ205" s="126"/>
      <c r="CA205" s="125"/>
      <c r="CB205" s="125"/>
      <c r="CC205" s="125"/>
      <c r="CD205" s="125"/>
      <c r="CE205" s="125"/>
    </row>
    <row r="206" spans="1:83" x14ac:dyDescent="0.25">
      <c r="A206" s="125"/>
      <c r="B206" s="126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209"/>
      <c r="AD206" s="209"/>
      <c r="AE206" s="209"/>
      <c r="AF206" s="209"/>
      <c r="AG206" s="209"/>
      <c r="AH206" s="209"/>
      <c r="AI206" s="209"/>
      <c r="AJ206" s="209"/>
      <c r="AK206" s="209"/>
      <c r="AL206" s="209"/>
      <c r="AM206" s="209"/>
      <c r="AN206" s="209"/>
      <c r="AO206" s="209"/>
      <c r="AP206" s="209"/>
      <c r="AQ206" s="209"/>
      <c r="AR206" s="209"/>
      <c r="AS206" s="209"/>
      <c r="AT206" s="209"/>
      <c r="AU206" s="209"/>
      <c r="AV206" s="209"/>
      <c r="AW206" s="209"/>
      <c r="AX206" s="209"/>
      <c r="AY206" s="209"/>
      <c r="AZ206" s="209"/>
      <c r="BA206" s="209"/>
      <c r="BB206" s="209"/>
      <c r="BC206" s="209"/>
      <c r="BD206" s="209"/>
      <c r="BE206" s="209"/>
      <c r="BF206" s="209"/>
      <c r="BG206" s="209"/>
      <c r="BH206" s="209"/>
      <c r="BI206" s="209"/>
      <c r="BJ206" s="209"/>
      <c r="BK206" s="209"/>
      <c r="BL206" s="209"/>
      <c r="BM206" s="209"/>
      <c r="BN206" s="209"/>
      <c r="BO206" s="209"/>
      <c r="BP206" s="209"/>
      <c r="BQ206" s="209"/>
      <c r="BR206" s="209"/>
      <c r="BS206" s="209"/>
      <c r="BT206" s="209"/>
      <c r="BU206" s="209"/>
      <c r="BV206" s="209"/>
      <c r="BW206" s="209"/>
      <c r="BX206" s="209"/>
      <c r="BY206" s="126"/>
      <c r="BZ206" s="126"/>
      <c r="CA206" s="125"/>
      <c r="CB206" s="125"/>
      <c r="CC206" s="125"/>
      <c r="CD206" s="125"/>
      <c r="CE206" s="125"/>
    </row>
    <row r="207" spans="1:83" x14ac:dyDescent="0.25">
      <c r="A207" s="125"/>
      <c r="B207" s="126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209"/>
      <c r="AD207" s="209"/>
      <c r="AE207" s="209"/>
      <c r="AF207" s="209"/>
      <c r="AG207" s="209"/>
      <c r="AH207" s="209"/>
      <c r="AI207" s="209"/>
      <c r="AJ207" s="209"/>
      <c r="AK207" s="209"/>
      <c r="AL207" s="209"/>
      <c r="AM207" s="209"/>
      <c r="AN207" s="209"/>
      <c r="AO207" s="209"/>
      <c r="AP207" s="209"/>
      <c r="AQ207" s="209"/>
      <c r="AR207" s="209"/>
      <c r="AS207" s="209"/>
      <c r="AT207" s="209"/>
      <c r="AU207" s="209"/>
      <c r="AV207" s="209"/>
      <c r="AW207" s="209"/>
      <c r="AX207" s="209"/>
      <c r="AY207" s="209"/>
      <c r="AZ207" s="209"/>
      <c r="BA207" s="209"/>
      <c r="BB207" s="209"/>
      <c r="BC207" s="209"/>
      <c r="BD207" s="209"/>
      <c r="BE207" s="209"/>
      <c r="BF207" s="209"/>
      <c r="BG207" s="209"/>
      <c r="BH207" s="209"/>
      <c r="BI207" s="209"/>
      <c r="BJ207" s="209"/>
      <c r="BK207" s="209"/>
      <c r="BL207" s="209"/>
      <c r="BM207" s="209"/>
      <c r="BN207" s="209"/>
      <c r="BO207" s="209"/>
      <c r="BP207" s="209"/>
      <c r="BQ207" s="209"/>
      <c r="BR207" s="209"/>
      <c r="BS207" s="209"/>
      <c r="BT207" s="209"/>
      <c r="BU207" s="209"/>
      <c r="BV207" s="209"/>
      <c r="BW207" s="209"/>
      <c r="BX207" s="209"/>
      <c r="BY207" s="126"/>
      <c r="BZ207" s="126"/>
      <c r="CA207" s="125"/>
      <c r="CB207" s="125"/>
      <c r="CC207" s="125"/>
      <c r="CD207" s="125"/>
      <c r="CE207" s="125"/>
    </row>
    <row r="208" spans="1:83" x14ac:dyDescent="0.25">
      <c r="A208" s="230"/>
      <c r="B208" s="139"/>
      <c r="C208" s="140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9"/>
      <c r="O208" s="140"/>
      <c r="P208" s="138"/>
      <c r="Q208" s="138"/>
      <c r="R208" s="138"/>
      <c r="S208" s="138"/>
      <c r="T208" s="138"/>
      <c r="U208" s="138"/>
      <c r="V208" s="230"/>
      <c r="W208" s="230"/>
      <c r="X208" s="230"/>
      <c r="Y208" s="230"/>
      <c r="Z208" s="230"/>
      <c r="AA208" s="230"/>
      <c r="AB208" s="231"/>
      <c r="AC208" s="232"/>
      <c r="AD208" s="233"/>
      <c r="AE208" s="233"/>
      <c r="AF208" s="233"/>
      <c r="AG208" s="233"/>
      <c r="AH208" s="233"/>
      <c r="AI208" s="233"/>
      <c r="AJ208" s="233"/>
      <c r="AK208" s="233"/>
      <c r="AL208" s="233"/>
      <c r="AM208" s="233"/>
      <c r="AN208" s="233"/>
      <c r="AO208" s="233"/>
      <c r="AP208" s="233"/>
      <c r="AQ208" s="233"/>
      <c r="AR208" s="233"/>
      <c r="AS208" s="233"/>
      <c r="AT208" s="233"/>
      <c r="AU208" s="233"/>
      <c r="AV208" s="233"/>
      <c r="AW208" s="233"/>
      <c r="AX208" s="233"/>
      <c r="AY208" s="233"/>
      <c r="AZ208" s="233"/>
      <c r="BA208" s="233"/>
      <c r="BB208" s="233"/>
      <c r="BC208" s="233"/>
      <c r="BD208" s="233"/>
      <c r="BE208" s="233"/>
      <c r="BF208" s="233"/>
      <c r="BG208" s="233"/>
      <c r="BH208" s="233"/>
      <c r="BI208" s="233"/>
      <c r="BJ208" s="233"/>
      <c r="BK208" s="233"/>
      <c r="BL208" s="233"/>
      <c r="BM208" s="233"/>
      <c r="BN208" s="234"/>
      <c r="BO208" s="235"/>
      <c r="BP208" s="233"/>
      <c r="BQ208" s="232"/>
      <c r="BR208" s="232"/>
      <c r="BS208" s="232"/>
      <c r="BT208" s="232"/>
      <c r="BU208" s="232"/>
      <c r="BV208" s="236"/>
      <c r="BW208" s="237"/>
      <c r="BX208" s="230"/>
    </row>
  </sheetData>
  <mergeCells count="3">
    <mergeCell ref="AC1:AL1"/>
    <mergeCell ref="A3:B3"/>
    <mergeCell ref="CB3:CC3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CB131"/>
  <sheetViews>
    <sheetView zoomScale="115" zoomScaleNormal="115" workbookViewId="0">
      <pane ySplit="5736" topLeftCell="A97" activePane="bottomLeft"/>
      <selection activeCell="BD1" sqref="BD1:BD1048576"/>
      <selection pane="bottomLeft" activeCell="BT111" sqref="BT111"/>
    </sheetView>
  </sheetViews>
  <sheetFormatPr baseColWidth="10" defaultColWidth="11.44140625" defaultRowHeight="13.8" outlineLevelCol="1" x14ac:dyDescent="0.25"/>
  <cols>
    <col min="1" max="1" width="24.44140625" style="148" bestFit="1" customWidth="1"/>
    <col min="2" max="2" width="27.109375" style="144" bestFit="1" customWidth="1"/>
    <col min="3" max="3" width="3" style="145" customWidth="1"/>
    <col min="4" max="4" width="3" style="146" customWidth="1"/>
    <col min="5" max="5" width="3.6640625" style="146" hidden="1" customWidth="1" outlineLevel="1"/>
    <col min="6" max="6" width="3.5546875" style="146" hidden="1" customWidth="1" outlineLevel="1"/>
    <col min="7" max="7" width="3.6640625" style="146" hidden="1" customWidth="1" outlineLevel="1"/>
    <col min="8" max="13" width="3.5546875" style="146" hidden="1" customWidth="1" outlineLevel="1"/>
    <col min="14" max="14" width="3.5546875" style="144" hidden="1" customWidth="1" outlineLevel="1"/>
    <col min="15" max="15" width="3.5546875" style="145" bestFit="1" customWidth="1" collapsed="1"/>
    <col min="16" max="16" width="3.5546875" style="146" bestFit="1" customWidth="1"/>
    <col min="17" max="18" width="3.5546875" style="146" hidden="1" customWidth="1" outlineLevel="1"/>
    <col min="19" max="19" width="3.5546875" style="146" bestFit="1" customWidth="1" collapsed="1"/>
    <col min="20" max="20" width="3.5546875" style="146" bestFit="1" customWidth="1"/>
    <col min="21" max="21" width="3.5546875" style="146" hidden="1" customWidth="1" outlineLevel="1"/>
    <col min="22" max="27" width="3.5546875" style="148" hidden="1" customWidth="1" outlineLevel="1"/>
    <col min="28" max="28" width="3.5546875" style="149" hidden="1" customWidth="1" outlineLevel="1"/>
    <col min="29" max="29" width="3.5546875" style="150" bestFit="1" customWidth="1" collapsed="1"/>
    <col min="30" max="30" width="3" style="147" customWidth="1"/>
    <col min="31" max="31" width="3" style="147" hidden="1" customWidth="1" outlineLevel="1"/>
    <col min="32" max="32" width="3" style="147" customWidth="1" collapsed="1"/>
    <col min="33" max="37" width="3" style="147" customWidth="1"/>
    <col min="38" max="38" width="3.5546875" style="147" customWidth="1"/>
    <col min="39" max="64" width="3" style="147" customWidth="1"/>
    <col min="65" max="65" width="3.5546875" style="147" customWidth="1"/>
    <col min="66" max="67" width="3" style="176" customWidth="1"/>
    <col min="68" max="73" width="7.6640625" style="176" customWidth="1"/>
    <col min="74" max="74" width="3.5546875" style="176" customWidth="1"/>
    <col min="75" max="76" width="3.88671875" style="148" bestFit="1" customWidth="1"/>
    <col min="77" max="77" width="6.6640625" style="51" customWidth="1"/>
    <col min="78" max="78" width="7.44140625" style="51" customWidth="1"/>
    <col min="79" max="79" width="11.44140625" style="51"/>
    <col min="80" max="80" width="11" style="51" customWidth="1"/>
    <col min="81" max="16384" width="11.44140625" style="51"/>
  </cols>
  <sheetData>
    <row r="1" spans="1:80" s="125" customFormat="1" x14ac:dyDescent="0.25"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AC1" s="307" t="s">
        <v>664</v>
      </c>
      <c r="AD1" s="304"/>
      <c r="AE1" s="304"/>
      <c r="AF1" s="304"/>
      <c r="AG1" s="304"/>
      <c r="AH1" s="304"/>
      <c r="AI1" s="304"/>
      <c r="AJ1" s="304"/>
      <c r="AK1" s="304"/>
      <c r="AL1" s="308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30"/>
      <c r="BN1" s="172"/>
      <c r="BO1" s="201"/>
      <c r="BP1" s="201"/>
      <c r="BQ1" s="172"/>
      <c r="BR1" s="172"/>
      <c r="BS1" s="172"/>
      <c r="BT1" s="172"/>
      <c r="BU1" s="172"/>
      <c r="BV1" s="182"/>
      <c r="BW1" s="133"/>
      <c r="BX1" s="133"/>
    </row>
    <row r="2" spans="1:80" s="125" customFormat="1" ht="21" customHeight="1" x14ac:dyDescent="0.25"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AC2" s="128"/>
      <c r="AD2" s="127"/>
      <c r="AE2" s="127"/>
      <c r="AJ2" s="129" t="s">
        <v>665</v>
      </c>
      <c r="AK2" s="127"/>
      <c r="AL2" s="130"/>
      <c r="AM2" s="127" t="s">
        <v>50</v>
      </c>
      <c r="AN2" s="127"/>
      <c r="AO2" s="127"/>
      <c r="AP2" s="127"/>
      <c r="AQ2" s="129" t="s">
        <v>205</v>
      </c>
      <c r="AR2" s="127"/>
      <c r="AS2" s="127"/>
      <c r="AT2" s="127"/>
      <c r="AV2" s="127"/>
      <c r="AW2" s="129" t="s">
        <v>666</v>
      </c>
      <c r="AX2" s="127"/>
      <c r="AY2" s="127"/>
      <c r="AZ2" s="127"/>
      <c r="BA2" s="127"/>
      <c r="BC2" s="129" t="s">
        <v>667</v>
      </c>
      <c r="BE2" s="127"/>
      <c r="BF2" s="127"/>
      <c r="BG2" s="129" t="s">
        <v>172</v>
      </c>
      <c r="BH2" s="127"/>
      <c r="BI2" s="127"/>
      <c r="BJ2" s="127"/>
      <c r="BK2" s="127"/>
      <c r="BL2" s="127"/>
      <c r="BM2" s="130"/>
      <c r="BN2" s="172"/>
      <c r="BO2" s="201"/>
      <c r="BP2" s="201" t="s">
        <v>892</v>
      </c>
      <c r="BQ2" s="172"/>
      <c r="BR2" s="172"/>
      <c r="BS2" s="172"/>
      <c r="BT2" s="172"/>
      <c r="BU2" s="172"/>
      <c r="BV2" s="202"/>
      <c r="BW2" s="133"/>
      <c r="BX2" s="133"/>
    </row>
    <row r="3" spans="1:80" ht="159" customHeight="1" x14ac:dyDescent="0.25">
      <c r="A3" s="309" t="s">
        <v>160</v>
      </c>
      <c r="B3" s="310"/>
      <c r="C3" s="131" t="s">
        <v>148</v>
      </c>
      <c r="D3" s="132" t="s">
        <v>229</v>
      </c>
      <c r="E3" s="132" t="s">
        <v>150</v>
      </c>
      <c r="F3" s="133" t="s">
        <v>668</v>
      </c>
      <c r="G3" s="132" t="s">
        <v>236</v>
      </c>
      <c r="H3" s="133" t="s">
        <v>238</v>
      </c>
      <c r="I3" s="133" t="s">
        <v>240</v>
      </c>
      <c r="J3" s="133" t="s">
        <v>234</v>
      </c>
      <c r="K3" s="133" t="s">
        <v>242</v>
      </c>
      <c r="L3" s="133" t="s">
        <v>244</v>
      </c>
      <c r="M3" s="133" t="s">
        <v>253</v>
      </c>
      <c r="N3" s="134" t="s">
        <v>519</v>
      </c>
      <c r="O3" s="135" t="s">
        <v>354</v>
      </c>
      <c r="P3" s="133" t="s">
        <v>278</v>
      </c>
      <c r="Q3" s="133" t="s">
        <v>280</v>
      </c>
      <c r="R3" s="133" t="s">
        <v>251</v>
      </c>
      <c r="S3" s="133" t="s">
        <v>248</v>
      </c>
      <c r="T3" s="133" t="s">
        <v>283</v>
      </c>
      <c r="U3" s="133" t="s">
        <v>521</v>
      </c>
      <c r="V3" s="133" t="s">
        <v>523</v>
      </c>
      <c r="W3" s="133" t="s">
        <v>669</v>
      </c>
      <c r="X3" s="133" t="s">
        <v>287</v>
      </c>
      <c r="Y3" s="133" t="s">
        <v>405</v>
      </c>
      <c r="Z3" s="133" t="s">
        <v>255</v>
      </c>
      <c r="AA3" s="133" t="s">
        <v>265</v>
      </c>
      <c r="AB3" s="134" t="s">
        <v>289</v>
      </c>
      <c r="AC3" s="136" t="s">
        <v>670</v>
      </c>
      <c r="AD3" s="137" t="s">
        <v>671</v>
      </c>
      <c r="AE3" s="137" t="s">
        <v>672</v>
      </c>
      <c r="AF3" s="137" t="s">
        <v>673</v>
      </c>
      <c r="AG3" s="137" t="s">
        <v>674</v>
      </c>
      <c r="AH3" s="137" t="s">
        <v>675</v>
      </c>
      <c r="AI3" s="137" t="s">
        <v>236</v>
      </c>
      <c r="AJ3" s="137" t="s">
        <v>676</v>
      </c>
      <c r="AK3" s="137" t="s">
        <v>677</v>
      </c>
      <c r="AL3" s="137" t="s">
        <v>678</v>
      </c>
      <c r="AM3" s="137" t="s">
        <v>679</v>
      </c>
      <c r="AN3" s="137" t="s">
        <v>680</v>
      </c>
      <c r="AO3" s="137" t="s">
        <v>681</v>
      </c>
      <c r="AP3" s="137" t="s">
        <v>682</v>
      </c>
      <c r="AQ3" s="137" t="s">
        <v>683</v>
      </c>
      <c r="AR3" s="137" t="s">
        <v>684</v>
      </c>
      <c r="AS3" s="137" t="s">
        <v>685</v>
      </c>
      <c r="AT3" s="137" t="s">
        <v>686</v>
      </c>
      <c r="AU3" s="137" t="s">
        <v>687</v>
      </c>
      <c r="AV3" s="137" t="s">
        <v>688</v>
      </c>
      <c r="AW3" s="137" t="s">
        <v>689</v>
      </c>
      <c r="AX3" s="137" t="s">
        <v>690</v>
      </c>
      <c r="AY3" s="137" t="s">
        <v>691</v>
      </c>
      <c r="AZ3" s="137" t="s">
        <v>692</v>
      </c>
      <c r="BA3" s="137" t="s">
        <v>693</v>
      </c>
      <c r="BB3" s="137" t="s">
        <v>645</v>
      </c>
      <c r="BC3" s="137" t="s">
        <v>694</v>
      </c>
      <c r="BD3" s="137" t="s">
        <v>695</v>
      </c>
      <c r="BE3" s="137" t="s">
        <v>696</v>
      </c>
      <c r="BF3" s="137" t="s">
        <v>697</v>
      </c>
      <c r="BG3" s="137" t="s">
        <v>698</v>
      </c>
      <c r="BH3" s="137" t="s">
        <v>699</v>
      </c>
      <c r="BI3" s="137" t="s">
        <v>700</v>
      </c>
      <c r="BJ3" s="137" t="s">
        <v>701</v>
      </c>
      <c r="BK3" s="137" t="s">
        <v>702</v>
      </c>
      <c r="BL3" s="137" t="s">
        <v>703</v>
      </c>
      <c r="BM3" s="137" t="s">
        <v>839</v>
      </c>
      <c r="BN3" s="173" t="s">
        <v>824</v>
      </c>
      <c r="BO3" s="173" t="s">
        <v>874</v>
      </c>
      <c r="BP3" s="173" t="s">
        <v>870</v>
      </c>
      <c r="BQ3" s="173" t="s">
        <v>871</v>
      </c>
      <c r="BR3" s="173" t="s">
        <v>895</v>
      </c>
      <c r="BS3" s="173" t="s">
        <v>888</v>
      </c>
      <c r="BT3" s="173" t="s">
        <v>889</v>
      </c>
      <c r="BU3" s="173" t="s">
        <v>894</v>
      </c>
      <c r="BV3" s="173"/>
      <c r="BW3" s="133"/>
      <c r="BX3" s="133"/>
    </row>
    <row r="4" spans="1:80" ht="15.75" customHeight="1" thickBot="1" x14ac:dyDescent="0.3">
      <c r="A4" s="154" t="s">
        <v>779</v>
      </c>
      <c r="B4" s="155" t="s">
        <v>704</v>
      </c>
      <c r="C4" s="156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8"/>
      <c r="O4" s="156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8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74"/>
      <c r="BO4" s="174"/>
      <c r="BP4" s="174"/>
      <c r="BQ4" s="174"/>
      <c r="BR4" s="174"/>
      <c r="BS4" s="174"/>
      <c r="BT4" s="174"/>
      <c r="BU4" s="174"/>
      <c r="BV4" s="174"/>
      <c r="BW4" s="157"/>
      <c r="BX4" s="157"/>
    </row>
    <row r="5" spans="1:80" s="143" customFormat="1" ht="14.4" thickTop="1" x14ac:dyDescent="0.25">
      <c r="A5" s="138" t="s">
        <v>617</v>
      </c>
      <c r="B5" s="139">
        <v>8016</v>
      </c>
      <c r="C5" s="140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9"/>
      <c r="O5" s="140"/>
      <c r="P5" s="138"/>
      <c r="Q5" s="138"/>
      <c r="R5" s="138"/>
      <c r="S5" s="138">
        <f t="shared" ref="S5:S71" si="0">AD5</f>
        <v>7</v>
      </c>
      <c r="T5" s="138">
        <f t="shared" ref="T5:T71" si="1">AH5</f>
        <v>5</v>
      </c>
      <c r="U5" s="138"/>
      <c r="V5" s="138"/>
      <c r="W5" s="138"/>
      <c r="X5" s="138"/>
      <c r="Y5" s="138"/>
      <c r="Z5" s="138"/>
      <c r="AA5" s="138"/>
      <c r="AB5" s="139"/>
      <c r="AC5" s="141">
        <v>4</v>
      </c>
      <c r="AD5" s="142">
        <v>7</v>
      </c>
      <c r="AE5" s="142"/>
      <c r="AF5" s="142">
        <v>0</v>
      </c>
      <c r="AG5" s="142">
        <v>1</v>
      </c>
      <c r="AH5" s="142">
        <v>5</v>
      </c>
      <c r="AI5" s="142">
        <v>0</v>
      </c>
      <c r="AJ5" s="142" t="s">
        <v>86</v>
      </c>
      <c r="AK5" s="142" t="s">
        <v>48</v>
      </c>
      <c r="AL5" s="142" t="s">
        <v>705</v>
      </c>
      <c r="AM5" s="142"/>
      <c r="AN5" s="142"/>
      <c r="AO5" s="142"/>
      <c r="AP5" s="142" t="s">
        <v>9</v>
      </c>
      <c r="AQ5" s="142" t="s">
        <v>9</v>
      </c>
      <c r="AR5" s="142" t="s">
        <v>9</v>
      </c>
      <c r="AS5" s="142" t="s">
        <v>9</v>
      </c>
      <c r="AT5" s="142" t="s">
        <v>9</v>
      </c>
      <c r="AU5" s="142"/>
      <c r="AV5" s="142" t="s">
        <v>9</v>
      </c>
      <c r="AW5" s="142" t="s">
        <v>9</v>
      </c>
      <c r="AX5" s="142" t="s">
        <v>9</v>
      </c>
      <c r="AY5" s="142" t="s">
        <v>9</v>
      </c>
      <c r="AZ5" s="142" t="s">
        <v>9</v>
      </c>
      <c r="BA5" s="142" t="s">
        <v>9</v>
      </c>
      <c r="BB5" s="142" t="s">
        <v>9</v>
      </c>
      <c r="BC5" s="142"/>
      <c r="BD5" s="142" t="s">
        <v>9</v>
      </c>
      <c r="BE5" s="142" t="s">
        <v>9</v>
      </c>
      <c r="BF5" s="142"/>
      <c r="BG5" s="142" t="s">
        <v>9</v>
      </c>
      <c r="BH5" s="142" t="s">
        <v>9</v>
      </c>
      <c r="BI5" s="142" t="s">
        <v>9</v>
      </c>
      <c r="BJ5" s="142" t="s">
        <v>9</v>
      </c>
      <c r="BK5" s="142" t="s">
        <v>9</v>
      </c>
      <c r="BL5" s="142" t="s">
        <v>9</v>
      </c>
      <c r="BM5" s="142">
        <v>1</v>
      </c>
      <c r="BN5" s="175"/>
      <c r="BO5" s="184">
        <v>3</v>
      </c>
      <c r="BP5" s="184" t="s">
        <v>873</v>
      </c>
      <c r="BQ5" s="206" t="s">
        <v>872</v>
      </c>
      <c r="BR5" s="175">
        <v>0.02</v>
      </c>
      <c r="BS5" s="175">
        <v>0.13</v>
      </c>
      <c r="BT5" s="175">
        <v>0.06</v>
      </c>
      <c r="BU5" s="175">
        <f t="shared" ref="BU5:BU39" si="2">BR5/2</f>
        <v>0.01</v>
      </c>
      <c r="BV5" s="175"/>
      <c r="BW5" s="138">
        <v>1</v>
      </c>
      <c r="BX5" s="138"/>
    </row>
    <row r="6" spans="1:80" x14ac:dyDescent="0.25">
      <c r="A6" s="138" t="s">
        <v>617</v>
      </c>
      <c r="B6" s="144">
        <v>8056</v>
      </c>
      <c r="C6" s="145" t="s">
        <v>9</v>
      </c>
      <c r="D6" s="146" t="s">
        <v>9</v>
      </c>
      <c r="S6" s="138">
        <f t="shared" si="0"/>
        <v>7</v>
      </c>
      <c r="T6" s="138">
        <f t="shared" si="1"/>
        <v>5</v>
      </c>
      <c r="U6" s="138"/>
      <c r="V6" s="138"/>
      <c r="W6" s="138"/>
      <c r="X6" s="138"/>
      <c r="Y6" s="138"/>
      <c r="Z6" s="138"/>
      <c r="AA6" s="138"/>
      <c r="AB6" s="139"/>
      <c r="AC6" s="141">
        <v>4</v>
      </c>
      <c r="AD6" s="142">
        <v>7</v>
      </c>
      <c r="AE6" s="142"/>
      <c r="AF6" s="142" t="s">
        <v>706</v>
      </c>
      <c r="AG6" s="142">
        <v>1</v>
      </c>
      <c r="AH6" s="142">
        <v>5</v>
      </c>
      <c r="AI6" s="142">
        <v>0</v>
      </c>
      <c r="AJ6" s="142" t="s">
        <v>86</v>
      </c>
      <c r="AK6" s="142" t="s">
        <v>48</v>
      </c>
      <c r="AL6" s="142" t="s">
        <v>705</v>
      </c>
      <c r="AM6" s="142"/>
      <c r="AN6" s="142"/>
      <c r="AO6" s="142"/>
      <c r="AP6" s="142" t="s">
        <v>9</v>
      </c>
      <c r="AQ6" s="142" t="s">
        <v>9</v>
      </c>
      <c r="AR6" s="142" t="s">
        <v>9</v>
      </c>
      <c r="AS6" s="142" t="s">
        <v>9</v>
      </c>
      <c r="AT6" s="142" t="s">
        <v>9</v>
      </c>
      <c r="AU6" s="142" t="s">
        <v>9</v>
      </c>
      <c r="AV6" s="142" t="s">
        <v>9</v>
      </c>
      <c r="AW6" s="142" t="s">
        <v>9</v>
      </c>
      <c r="AX6" s="142" t="s">
        <v>9</v>
      </c>
      <c r="AY6" s="142" t="s">
        <v>9</v>
      </c>
      <c r="AZ6" s="142" t="s">
        <v>9</v>
      </c>
      <c r="BA6" s="142" t="s">
        <v>9</v>
      </c>
      <c r="BB6" s="142" t="s">
        <v>9</v>
      </c>
      <c r="BC6" s="142"/>
      <c r="BD6" s="142" t="s">
        <v>9</v>
      </c>
      <c r="BE6" s="142" t="s">
        <v>9</v>
      </c>
      <c r="BF6" s="142"/>
      <c r="BG6" s="142" t="s">
        <v>9</v>
      </c>
      <c r="BH6" s="142" t="s">
        <v>9</v>
      </c>
      <c r="BI6" s="142" t="s">
        <v>9</v>
      </c>
      <c r="BJ6" s="142" t="s">
        <v>9</v>
      </c>
      <c r="BK6" s="142" t="s">
        <v>9</v>
      </c>
      <c r="BL6" s="142" t="s">
        <v>9</v>
      </c>
      <c r="BM6" s="147">
        <v>1</v>
      </c>
      <c r="BN6" s="175"/>
      <c r="BO6" s="184">
        <v>3</v>
      </c>
      <c r="BP6" s="184" t="s">
        <v>873</v>
      </c>
      <c r="BQ6" s="206" t="s">
        <v>872</v>
      </c>
      <c r="BR6" s="175">
        <v>0.02</v>
      </c>
      <c r="BS6" s="175">
        <v>0.12</v>
      </c>
      <c r="BT6" s="175">
        <v>5.8999999999999997E-2</v>
      </c>
      <c r="BU6" s="175">
        <f t="shared" si="2"/>
        <v>0.01</v>
      </c>
      <c r="BV6" s="175"/>
      <c r="BW6" s="138">
        <v>2</v>
      </c>
      <c r="BX6" s="138"/>
      <c r="CB6" s="170"/>
    </row>
    <row r="7" spans="1:80" x14ac:dyDescent="0.25">
      <c r="A7" s="138" t="s">
        <v>617</v>
      </c>
      <c r="B7" s="144">
        <v>8100</v>
      </c>
      <c r="C7" s="145" t="s">
        <v>9</v>
      </c>
      <c r="D7" s="146" t="s">
        <v>9</v>
      </c>
      <c r="O7" s="145" t="s">
        <v>9</v>
      </c>
      <c r="S7" s="138">
        <f t="shared" si="0"/>
        <v>7</v>
      </c>
      <c r="T7" s="138">
        <f t="shared" si="1"/>
        <v>5</v>
      </c>
      <c r="U7" s="138"/>
      <c r="V7" s="138"/>
      <c r="W7" s="138"/>
      <c r="X7" s="138"/>
      <c r="Y7" s="138"/>
      <c r="Z7" s="138"/>
      <c r="AA7" s="138"/>
      <c r="AB7" s="139"/>
      <c r="AC7" s="141">
        <v>4</v>
      </c>
      <c r="AD7" s="142">
        <v>7</v>
      </c>
      <c r="AE7" s="142"/>
      <c r="AF7" s="142" t="s">
        <v>706</v>
      </c>
      <c r="AG7" s="142">
        <v>1</v>
      </c>
      <c r="AH7" s="142">
        <v>5</v>
      </c>
      <c r="AI7" s="142">
        <v>0</v>
      </c>
      <c r="AJ7" s="142" t="s">
        <v>86</v>
      </c>
      <c r="AK7" s="142" t="s">
        <v>48</v>
      </c>
      <c r="AL7" s="142" t="s">
        <v>705</v>
      </c>
      <c r="AM7" s="142" t="s">
        <v>9</v>
      </c>
      <c r="AN7" s="142" t="s">
        <v>9</v>
      </c>
      <c r="AO7" s="142" t="s">
        <v>9</v>
      </c>
      <c r="AP7" s="142" t="s">
        <v>9</v>
      </c>
      <c r="AQ7" s="142" t="s">
        <v>9</v>
      </c>
      <c r="AR7" s="142" t="s">
        <v>9</v>
      </c>
      <c r="AS7" s="142" t="s">
        <v>9</v>
      </c>
      <c r="AT7" s="142" t="s">
        <v>9</v>
      </c>
      <c r="AU7" s="142" t="s">
        <v>9</v>
      </c>
      <c r="AV7" s="142" t="s">
        <v>9</v>
      </c>
      <c r="AW7" s="142" t="s">
        <v>9</v>
      </c>
      <c r="AX7" s="142" t="s">
        <v>9</v>
      </c>
      <c r="AY7" s="142" t="s">
        <v>9</v>
      </c>
      <c r="AZ7" s="142" t="s">
        <v>9</v>
      </c>
      <c r="BA7" s="142" t="s">
        <v>9</v>
      </c>
      <c r="BB7" s="142" t="s">
        <v>9</v>
      </c>
      <c r="BC7" s="142"/>
      <c r="BD7" s="142" t="s">
        <v>9</v>
      </c>
      <c r="BE7" s="142" t="s">
        <v>9</v>
      </c>
      <c r="BF7" s="142"/>
      <c r="BG7" s="142" t="s">
        <v>9</v>
      </c>
      <c r="BH7" s="142" t="s">
        <v>9</v>
      </c>
      <c r="BI7" s="142" t="s">
        <v>9</v>
      </c>
      <c r="BJ7" s="142" t="s">
        <v>9</v>
      </c>
      <c r="BK7" s="142" t="s">
        <v>9</v>
      </c>
      <c r="BL7" s="142" t="s">
        <v>9</v>
      </c>
      <c r="BM7" s="147">
        <v>1</v>
      </c>
      <c r="BN7" s="175"/>
      <c r="BO7" s="175" t="s">
        <v>9</v>
      </c>
      <c r="BP7" s="175" t="s">
        <v>893</v>
      </c>
      <c r="BQ7" s="205" t="s">
        <v>875</v>
      </c>
      <c r="BR7" s="175">
        <v>0.02</v>
      </c>
      <c r="BS7" s="175">
        <v>0.14299999999999999</v>
      </c>
      <c r="BT7" s="175">
        <v>6.4000000000000001E-2</v>
      </c>
      <c r="BU7" s="175">
        <f t="shared" si="2"/>
        <v>0.01</v>
      </c>
      <c r="BV7" s="175"/>
      <c r="BW7" s="138">
        <v>3</v>
      </c>
      <c r="BX7" s="138">
        <v>57</v>
      </c>
      <c r="CB7" s="170"/>
    </row>
    <row r="8" spans="1:80" x14ac:dyDescent="0.25">
      <c r="A8" s="138" t="s">
        <v>617</v>
      </c>
      <c r="B8" s="144" t="s">
        <v>707</v>
      </c>
      <c r="C8" s="145" t="s">
        <v>9</v>
      </c>
      <c r="D8" s="146" t="s">
        <v>9</v>
      </c>
      <c r="O8" s="145" t="s">
        <v>9</v>
      </c>
      <c r="S8" s="138">
        <f t="shared" si="0"/>
        <v>7</v>
      </c>
      <c r="T8" s="138">
        <f t="shared" si="1"/>
        <v>5</v>
      </c>
      <c r="U8" s="138"/>
      <c r="V8" s="138"/>
      <c r="W8" s="138"/>
      <c r="X8" s="138"/>
      <c r="Y8" s="138"/>
      <c r="Z8" s="138"/>
      <c r="AA8" s="138"/>
      <c r="AB8" s="139"/>
      <c r="AC8" s="141">
        <v>4</v>
      </c>
      <c r="AD8" s="142">
        <v>7</v>
      </c>
      <c r="AE8" s="142"/>
      <c r="AF8" s="142" t="s">
        <v>706</v>
      </c>
      <c r="AG8" s="142">
        <v>1</v>
      </c>
      <c r="AH8" s="142">
        <v>5</v>
      </c>
      <c r="AI8" s="142">
        <v>0</v>
      </c>
      <c r="AJ8" s="142" t="s">
        <v>86</v>
      </c>
      <c r="AK8" s="142" t="s">
        <v>48</v>
      </c>
      <c r="AL8" s="142" t="s">
        <v>705</v>
      </c>
      <c r="AM8" s="142" t="s">
        <v>9</v>
      </c>
      <c r="AN8" s="142" t="s">
        <v>9</v>
      </c>
      <c r="AO8" s="142" t="s">
        <v>9</v>
      </c>
      <c r="AP8" s="142" t="s">
        <v>9</v>
      </c>
      <c r="AQ8" s="142" t="s">
        <v>9</v>
      </c>
      <c r="AR8" s="142" t="s">
        <v>9</v>
      </c>
      <c r="AS8" s="142" t="s">
        <v>9</v>
      </c>
      <c r="AT8" s="142" t="s">
        <v>9</v>
      </c>
      <c r="AU8" s="142" t="s">
        <v>9</v>
      </c>
      <c r="AV8" s="142" t="s">
        <v>9</v>
      </c>
      <c r="AW8" s="142"/>
      <c r="AX8" s="142"/>
      <c r="AY8" s="142"/>
      <c r="AZ8" s="142"/>
      <c r="BA8" s="142"/>
      <c r="BB8" s="142"/>
      <c r="BC8" s="142" t="s">
        <v>9</v>
      </c>
      <c r="BD8" s="142" t="s">
        <v>9</v>
      </c>
      <c r="BE8" s="142" t="s">
        <v>9</v>
      </c>
      <c r="BF8" s="142"/>
      <c r="BG8" s="142" t="s">
        <v>9</v>
      </c>
      <c r="BH8" s="142" t="s">
        <v>9</v>
      </c>
      <c r="BI8" s="142" t="s">
        <v>9</v>
      </c>
      <c r="BJ8" s="142" t="s">
        <v>9</v>
      </c>
      <c r="BK8" s="142" t="s">
        <v>9</v>
      </c>
      <c r="BL8" s="142"/>
      <c r="BM8" s="147">
        <v>1</v>
      </c>
      <c r="BN8" s="175"/>
      <c r="BO8" s="175"/>
      <c r="BP8" s="175" t="s">
        <v>893</v>
      </c>
      <c r="BQ8" s="207"/>
      <c r="BR8" s="175">
        <v>0.02</v>
      </c>
      <c r="BS8" s="175">
        <v>0.16300000000000001</v>
      </c>
      <c r="BT8" s="175">
        <v>8.1000000000000003E-2</v>
      </c>
      <c r="BU8" s="175">
        <f t="shared" si="2"/>
        <v>0.01</v>
      </c>
      <c r="BV8" s="175"/>
      <c r="BW8" s="166"/>
      <c r="BX8" s="138">
        <v>58</v>
      </c>
      <c r="CB8" s="170"/>
    </row>
    <row r="9" spans="1:80" x14ac:dyDescent="0.25">
      <c r="A9" s="138" t="s">
        <v>617</v>
      </c>
      <c r="B9" s="144" t="s">
        <v>708</v>
      </c>
      <c r="C9" s="145" t="s">
        <v>9</v>
      </c>
      <c r="D9" s="146" t="s">
        <v>9</v>
      </c>
      <c r="O9" s="145" t="s">
        <v>9</v>
      </c>
      <c r="S9" s="138">
        <f t="shared" si="0"/>
        <v>7</v>
      </c>
      <c r="T9" s="138">
        <f t="shared" si="1"/>
        <v>5</v>
      </c>
      <c r="U9" s="138"/>
      <c r="V9" s="138"/>
      <c r="W9" s="138"/>
      <c r="X9" s="138"/>
      <c r="Y9" s="138"/>
      <c r="Z9" s="138"/>
      <c r="AA9" s="138"/>
      <c r="AB9" s="139"/>
      <c r="AC9" s="141">
        <v>4</v>
      </c>
      <c r="AD9" s="142">
        <v>7</v>
      </c>
      <c r="AE9" s="142"/>
      <c r="AF9" s="142" t="s">
        <v>706</v>
      </c>
      <c r="AG9" s="142">
        <v>1</v>
      </c>
      <c r="AH9" s="142">
        <v>5</v>
      </c>
      <c r="AI9" s="142">
        <v>0</v>
      </c>
      <c r="AJ9" s="142" t="s">
        <v>86</v>
      </c>
      <c r="AK9" s="142" t="s">
        <v>48</v>
      </c>
      <c r="AL9" s="142" t="s">
        <v>705</v>
      </c>
      <c r="AM9" s="142" t="s">
        <v>9</v>
      </c>
      <c r="AN9" s="142" t="s">
        <v>9</v>
      </c>
      <c r="AO9" s="142" t="s">
        <v>9</v>
      </c>
      <c r="AP9" s="142" t="s">
        <v>9</v>
      </c>
      <c r="AQ9" s="142" t="s">
        <v>9</v>
      </c>
      <c r="AR9" s="142" t="s">
        <v>9</v>
      </c>
      <c r="AS9" s="142" t="s">
        <v>9</v>
      </c>
      <c r="AT9" s="142" t="s">
        <v>9</v>
      </c>
      <c r="AU9" s="142" t="s">
        <v>9</v>
      </c>
      <c r="AV9" s="142" t="s">
        <v>9</v>
      </c>
      <c r="AW9" s="142"/>
      <c r="AX9" s="142"/>
      <c r="AY9" s="142"/>
      <c r="AZ9" s="142"/>
      <c r="BA9" s="142"/>
      <c r="BB9" s="142"/>
      <c r="BC9" s="142" t="s">
        <v>9</v>
      </c>
      <c r="BD9" s="142" t="s">
        <v>9</v>
      </c>
      <c r="BE9" s="142" t="s">
        <v>9</v>
      </c>
      <c r="BF9" s="142"/>
      <c r="BG9" s="142" t="s">
        <v>9</v>
      </c>
      <c r="BH9" s="142" t="s">
        <v>9</v>
      </c>
      <c r="BI9" s="142" t="s">
        <v>9</v>
      </c>
      <c r="BJ9" s="142" t="s">
        <v>9</v>
      </c>
      <c r="BK9" s="142" t="s">
        <v>9</v>
      </c>
      <c r="BL9" s="142"/>
      <c r="BM9" s="147">
        <v>1</v>
      </c>
      <c r="BN9" s="175"/>
      <c r="BO9" s="175"/>
      <c r="BP9" s="175" t="s">
        <v>893</v>
      </c>
      <c r="BQ9" s="207"/>
      <c r="BR9" s="175">
        <v>0.02</v>
      </c>
      <c r="BS9" s="175">
        <v>0.152</v>
      </c>
      <c r="BT9" s="175">
        <v>5.8999999999999997E-2</v>
      </c>
      <c r="BU9" s="175">
        <f t="shared" si="2"/>
        <v>0.01</v>
      </c>
      <c r="BV9" s="175"/>
      <c r="BW9" s="166"/>
      <c r="BX9" s="138">
        <v>59</v>
      </c>
      <c r="CB9" s="170"/>
    </row>
    <row r="10" spans="1:80" x14ac:dyDescent="0.25">
      <c r="A10" s="138" t="s">
        <v>617</v>
      </c>
      <c r="B10" s="144">
        <v>8101</v>
      </c>
      <c r="C10" s="145" t="s">
        <v>9</v>
      </c>
      <c r="D10" s="146" t="s">
        <v>9</v>
      </c>
      <c r="O10" s="145" t="s">
        <v>9</v>
      </c>
      <c r="S10" s="138">
        <f t="shared" si="0"/>
        <v>7</v>
      </c>
      <c r="T10" s="138">
        <f t="shared" si="1"/>
        <v>5</v>
      </c>
      <c r="U10" s="138"/>
      <c r="V10" s="138"/>
      <c r="W10" s="138"/>
      <c r="X10" s="138"/>
      <c r="Y10" s="138"/>
      <c r="Z10" s="138"/>
      <c r="AA10" s="138"/>
      <c r="AB10" s="139"/>
      <c r="AC10" s="141">
        <v>4</v>
      </c>
      <c r="AD10" s="142">
        <v>7</v>
      </c>
      <c r="AE10" s="142"/>
      <c r="AF10" s="142" t="s">
        <v>706</v>
      </c>
      <c r="AG10" s="142">
        <v>1</v>
      </c>
      <c r="AH10" s="142">
        <v>5</v>
      </c>
      <c r="AI10" s="142">
        <v>0</v>
      </c>
      <c r="AJ10" s="142" t="s">
        <v>86</v>
      </c>
      <c r="AK10" s="142" t="s">
        <v>48</v>
      </c>
      <c r="AL10" s="142" t="s">
        <v>705</v>
      </c>
      <c r="AM10" s="142" t="s">
        <v>9</v>
      </c>
      <c r="AN10" s="142" t="s">
        <v>9</v>
      </c>
      <c r="AO10" s="142" t="s">
        <v>9</v>
      </c>
      <c r="AP10" s="142" t="s">
        <v>9</v>
      </c>
      <c r="AQ10" s="142" t="s">
        <v>9</v>
      </c>
      <c r="AR10" s="142" t="s">
        <v>9</v>
      </c>
      <c r="AS10" s="142" t="s">
        <v>9</v>
      </c>
      <c r="AT10" s="142" t="s">
        <v>9</v>
      </c>
      <c r="AU10" s="142" t="s">
        <v>9</v>
      </c>
      <c r="AV10" s="142" t="s">
        <v>9</v>
      </c>
      <c r="AW10" s="142" t="s">
        <v>9</v>
      </c>
      <c r="AX10" s="142" t="s">
        <v>9</v>
      </c>
      <c r="AY10" s="142" t="s">
        <v>9</v>
      </c>
      <c r="AZ10" s="142" t="s">
        <v>9</v>
      </c>
      <c r="BA10" s="142" t="s">
        <v>9</v>
      </c>
      <c r="BB10" s="142" t="s">
        <v>9</v>
      </c>
      <c r="BC10" s="142"/>
      <c r="BD10" s="142" t="s">
        <v>9</v>
      </c>
      <c r="BE10" s="142" t="s">
        <v>9</v>
      </c>
      <c r="BF10" s="142"/>
      <c r="BG10" s="142" t="s">
        <v>9</v>
      </c>
      <c r="BH10" s="142" t="s">
        <v>9</v>
      </c>
      <c r="BI10" s="142" t="s">
        <v>9</v>
      </c>
      <c r="BJ10" s="142" t="s">
        <v>9</v>
      </c>
      <c r="BK10" s="142" t="s">
        <v>9</v>
      </c>
      <c r="BL10" s="142" t="s">
        <v>9</v>
      </c>
      <c r="BM10" s="147">
        <v>1</v>
      </c>
      <c r="BN10" s="175"/>
      <c r="BO10" s="175"/>
      <c r="BP10" s="175" t="s">
        <v>893</v>
      </c>
      <c r="BQ10" s="207"/>
      <c r="BR10" s="175">
        <v>0.02</v>
      </c>
      <c r="BS10" s="175">
        <v>0.14299999999999999</v>
      </c>
      <c r="BT10" s="175">
        <v>6.4000000000000001E-2</v>
      </c>
      <c r="BU10" s="175">
        <f t="shared" si="2"/>
        <v>0.01</v>
      </c>
      <c r="BV10" s="175"/>
      <c r="BW10" s="138">
        <v>4</v>
      </c>
      <c r="BX10" s="138">
        <v>60</v>
      </c>
      <c r="CB10" s="170"/>
    </row>
    <row r="11" spans="1:80" x14ac:dyDescent="0.25">
      <c r="A11" s="138" t="s">
        <v>617</v>
      </c>
      <c r="B11" s="144" t="s">
        <v>709</v>
      </c>
      <c r="C11" s="145" t="s">
        <v>9</v>
      </c>
      <c r="D11" s="146" t="s">
        <v>9</v>
      </c>
      <c r="O11" s="145" t="s">
        <v>9</v>
      </c>
      <c r="S11" s="138">
        <f t="shared" si="0"/>
        <v>7</v>
      </c>
      <c r="T11" s="138">
        <f t="shared" si="1"/>
        <v>5</v>
      </c>
      <c r="U11" s="138"/>
      <c r="V11" s="138"/>
      <c r="W11" s="138"/>
      <c r="X11" s="138"/>
      <c r="Y11" s="138"/>
      <c r="Z11" s="138"/>
      <c r="AA11" s="138"/>
      <c r="AB11" s="139"/>
      <c r="AC11" s="141">
        <v>4</v>
      </c>
      <c r="AD11" s="142">
        <v>7</v>
      </c>
      <c r="AE11" s="142"/>
      <c r="AF11" s="142" t="s">
        <v>706</v>
      </c>
      <c r="AG11" s="142">
        <v>1</v>
      </c>
      <c r="AH11" s="142">
        <v>5</v>
      </c>
      <c r="AI11" s="142">
        <v>0</v>
      </c>
      <c r="AJ11" s="142" t="s">
        <v>86</v>
      </c>
      <c r="AK11" s="142" t="s">
        <v>48</v>
      </c>
      <c r="AL11" s="142" t="s">
        <v>705</v>
      </c>
      <c r="AM11" s="142" t="s">
        <v>9</v>
      </c>
      <c r="AN11" s="142" t="s">
        <v>9</v>
      </c>
      <c r="AO11" s="142" t="s">
        <v>9</v>
      </c>
      <c r="AP11" s="142" t="s">
        <v>9</v>
      </c>
      <c r="AQ11" s="142" t="s">
        <v>9</v>
      </c>
      <c r="AR11" s="142" t="s">
        <v>9</v>
      </c>
      <c r="AS11" s="142" t="s">
        <v>9</v>
      </c>
      <c r="AT11" s="142" t="s">
        <v>9</v>
      </c>
      <c r="AU11" s="142" t="s">
        <v>9</v>
      </c>
      <c r="AV11" s="142" t="s">
        <v>9</v>
      </c>
      <c r="AW11" s="142"/>
      <c r="AX11" s="142"/>
      <c r="AY11" s="142"/>
      <c r="AZ11" s="142"/>
      <c r="BA11" s="142"/>
      <c r="BB11" s="142"/>
      <c r="BC11" s="142" t="s">
        <v>9</v>
      </c>
      <c r="BD11" s="142" t="s">
        <v>9</v>
      </c>
      <c r="BE11" s="142" t="s">
        <v>9</v>
      </c>
      <c r="BF11" s="142"/>
      <c r="BG11" s="142" t="s">
        <v>9</v>
      </c>
      <c r="BH11" s="142" t="s">
        <v>9</v>
      </c>
      <c r="BI11" s="142" t="s">
        <v>9</v>
      </c>
      <c r="BJ11" s="142" t="s">
        <v>9</v>
      </c>
      <c r="BK11" s="142" t="s">
        <v>9</v>
      </c>
      <c r="BL11" s="142"/>
      <c r="BM11" s="147">
        <v>1</v>
      </c>
      <c r="BN11" s="175"/>
      <c r="BO11" s="175"/>
      <c r="BP11" s="175" t="s">
        <v>893</v>
      </c>
      <c r="BQ11" s="207"/>
      <c r="BR11" s="175">
        <v>0.02</v>
      </c>
      <c r="BS11" s="175">
        <v>0.16300000000000001</v>
      </c>
      <c r="BT11" s="175">
        <v>8.1000000000000003E-2</v>
      </c>
      <c r="BU11" s="175">
        <f t="shared" si="2"/>
        <v>0.01</v>
      </c>
      <c r="BV11" s="175"/>
      <c r="BW11" s="166"/>
      <c r="BX11" s="138">
        <v>61</v>
      </c>
      <c r="CB11" s="170"/>
    </row>
    <row r="12" spans="1:80" x14ac:dyDescent="0.25">
      <c r="A12" s="138" t="s">
        <v>617</v>
      </c>
      <c r="B12" s="144">
        <v>8103</v>
      </c>
      <c r="C12" s="145" t="s">
        <v>9</v>
      </c>
      <c r="D12" s="146" t="s">
        <v>9</v>
      </c>
      <c r="O12" s="145" t="s">
        <v>9</v>
      </c>
      <c r="P12" s="146" t="s">
        <v>9</v>
      </c>
      <c r="S12" s="138">
        <f t="shared" si="0"/>
        <v>7</v>
      </c>
      <c r="T12" s="138">
        <f t="shared" si="1"/>
        <v>5</v>
      </c>
      <c r="U12" s="138"/>
      <c r="V12" s="138"/>
      <c r="W12" s="138"/>
      <c r="X12" s="138"/>
      <c r="Y12" s="138"/>
      <c r="Z12" s="138"/>
      <c r="AA12" s="138"/>
      <c r="AB12" s="139"/>
      <c r="AC12" s="141">
        <v>4</v>
      </c>
      <c r="AD12" s="142">
        <v>7</v>
      </c>
      <c r="AE12" s="142"/>
      <c r="AF12" s="142" t="s">
        <v>710</v>
      </c>
      <c r="AG12" s="142">
        <v>1</v>
      </c>
      <c r="AH12" s="142">
        <v>5</v>
      </c>
      <c r="AI12" s="142">
        <v>0</v>
      </c>
      <c r="AJ12" s="142" t="s">
        <v>86</v>
      </c>
      <c r="AK12" s="142" t="s">
        <v>48</v>
      </c>
      <c r="AL12" s="142" t="s">
        <v>705</v>
      </c>
      <c r="AM12" s="142" t="s">
        <v>9</v>
      </c>
      <c r="AN12" s="142" t="s">
        <v>9</v>
      </c>
      <c r="AO12" s="142" t="s">
        <v>9</v>
      </c>
      <c r="AP12" s="142"/>
      <c r="AQ12" s="142" t="s">
        <v>9</v>
      </c>
      <c r="AR12" s="142" t="s">
        <v>9</v>
      </c>
      <c r="AS12" s="142" t="s">
        <v>9</v>
      </c>
      <c r="AT12" s="142" t="s">
        <v>9</v>
      </c>
      <c r="AU12" s="142" t="s">
        <v>9</v>
      </c>
      <c r="AV12" s="142" t="s">
        <v>9</v>
      </c>
      <c r="AW12" s="142" t="s">
        <v>9</v>
      </c>
      <c r="AX12" s="142" t="s">
        <v>9</v>
      </c>
      <c r="AY12" s="142" t="s">
        <v>9</v>
      </c>
      <c r="AZ12" s="142" t="s">
        <v>9</v>
      </c>
      <c r="BA12" s="142" t="s">
        <v>9</v>
      </c>
      <c r="BB12" s="142" t="s">
        <v>9</v>
      </c>
      <c r="BC12" s="142"/>
      <c r="BD12" s="142" t="s">
        <v>9</v>
      </c>
      <c r="BE12" s="142" t="s">
        <v>9</v>
      </c>
      <c r="BF12" s="142"/>
      <c r="BG12" s="142" t="s">
        <v>9</v>
      </c>
      <c r="BH12" s="142" t="s">
        <v>9</v>
      </c>
      <c r="BI12" s="142" t="s">
        <v>9</v>
      </c>
      <c r="BJ12" s="142" t="s">
        <v>9</v>
      </c>
      <c r="BK12" s="142" t="s">
        <v>9</v>
      </c>
      <c r="BL12" s="142" t="s">
        <v>9</v>
      </c>
      <c r="BM12" s="147">
        <v>1</v>
      </c>
      <c r="BN12" s="175"/>
      <c r="BO12" s="175"/>
      <c r="BP12" s="175" t="s">
        <v>893</v>
      </c>
      <c r="BQ12" s="207"/>
      <c r="BR12" s="175">
        <v>0.02</v>
      </c>
      <c r="BS12" s="175">
        <v>0.17499999999999999</v>
      </c>
      <c r="BT12" s="175">
        <v>6.5000000000000002E-2</v>
      </c>
      <c r="BU12" s="175">
        <f t="shared" si="2"/>
        <v>0.01</v>
      </c>
      <c r="BV12" s="175"/>
      <c r="BW12" s="138">
        <v>5</v>
      </c>
      <c r="BX12" s="138"/>
      <c r="CB12" s="170"/>
    </row>
    <row r="13" spans="1:80" x14ac:dyDescent="0.25">
      <c r="A13" s="138" t="s">
        <v>617</v>
      </c>
      <c r="B13" s="144">
        <v>8111</v>
      </c>
      <c r="C13" s="145" t="s">
        <v>9</v>
      </c>
      <c r="D13" s="146" t="s">
        <v>9</v>
      </c>
      <c r="S13" s="138">
        <f t="shared" si="0"/>
        <v>7</v>
      </c>
      <c r="T13" s="138">
        <f t="shared" si="1"/>
        <v>5</v>
      </c>
      <c r="U13" s="138"/>
      <c r="V13" s="138"/>
      <c r="W13" s="138"/>
      <c r="X13" s="138"/>
      <c r="Y13" s="138"/>
      <c r="Z13" s="138"/>
      <c r="AA13" s="138"/>
      <c r="AB13" s="139"/>
      <c r="AC13" s="141">
        <v>4</v>
      </c>
      <c r="AD13" s="142">
        <v>7</v>
      </c>
      <c r="AE13" s="142"/>
      <c r="AF13" s="142" t="s">
        <v>710</v>
      </c>
      <c r="AG13" s="142">
        <v>1</v>
      </c>
      <c r="AH13" s="142">
        <v>5</v>
      </c>
      <c r="AI13" s="142">
        <v>0</v>
      </c>
      <c r="AJ13" s="142" t="s">
        <v>86</v>
      </c>
      <c r="AK13" s="142" t="s">
        <v>48</v>
      </c>
      <c r="AL13" s="142" t="s">
        <v>705</v>
      </c>
      <c r="AM13" s="142" t="s">
        <v>9</v>
      </c>
      <c r="AN13" s="142" t="s">
        <v>9</v>
      </c>
      <c r="AO13" s="142" t="s">
        <v>9</v>
      </c>
      <c r="AP13" s="142"/>
      <c r="AQ13" s="142" t="s">
        <v>9</v>
      </c>
      <c r="AR13" s="142" t="s">
        <v>9</v>
      </c>
      <c r="AS13" s="142" t="s">
        <v>9</v>
      </c>
      <c r="AT13" s="142" t="s">
        <v>9</v>
      </c>
      <c r="AU13" s="142"/>
      <c r="AV13" s="142" t="s">
        <v>9</v>
      </c>
      <c r="AW13" s="142" t="s">
        <v>9</v>
      </c>
      <c r="AX13" s="142" t="s">
        <v>9</v>
      </c>
      <c r="AY13" s="142" t="s">
        <v>9</v>
      </c>
      <c r="AZ13" s="142" t="s">
        <v>9</v>
      </c>
      <c r="BA13" s="142" t="s">
        <v>9</v>
      </c>
      <c r="BB13" s="142" t="s">
        <v>9</v>
      </c>
      <c r="BC13" s="142"/>
      <c r="BD13" s="142" t="s">
        <v>9</v>
      </c>
      <c r="BE13" s="142" t="s">
        <v>9</v>
      </c>
      <c r="BF13" s="142"/>
      <c r="BG13" s="142" t="s">
        <v>9</v>
      </c>
      <c r="BH13" s="142" t="s">
        <v>9</v>
      </c>
      <c r="BI13" s="142" t="s">
        <v>9</v>
      </c>
      <c r="BJ13" s="142" t="s">
        <v>9</v>
      </c>
      <c r="BK13" s="142" t="s">
        <v>9</v>
      </c>
      <c r="BL13" s="142" t="s">
        <v>9</v>
      </c>
      <c r="BM13" s="147">
        <v>1</v>
      </c>
      <c r="BN13" s="175"/>
      <c r="BO13" s="175"/>
      <c r="BP13" s="175" t="s">
        <v>893</v>
      </c>
      <c r="BQ13" s="207"/>
      <c r="BR13" s="175">
        <v>0.02</v>
      </c>
      <c r="BS13" s="175">
        <v>0.14499999999999999</v>
      </c>
      <c r="BT13" s="175">
        <v>0.06</v>
      </c>
      <c r="BU13" s="175">
        <f t="shared" si="2"/>
        <v>0.01</v>
      </c>
      <c r="BV13" s="175"/>
      <c r="BW13" s="138">
        <v>6</v>
      </c>
      <c r="BX13" s="138">
        <v>62</v>
      </c>
      <c r="CB13" s="170"/>
    </row>
    <row r="14" spans="1:80" x14ac:dyDescent="0.25">
      <c r="A14" s="138" t="s">
        <v>617</v>
      </c>
      <c r="B14" s="144">
        <v>8112</v>
      </c>
      <c r="C14" s="145" t="s">
        <v>9</v>
      </c>
      <c r="D14" s="146" t="s">
        <v>9</v>
      </c>
      <c r="O14" s="145" t="s">
        <v>9</v>
      </c>
      <c r="S14" s="138">
        <f t="shared" si="0"/>
        <v>7</v>
      </c>
      <c r="T14" s="138">
        <f t="shared" si="1"/>
        <v>5</v>
      </c>
      <c r="U14" s="138"/>
      <c r="V14" s="138"/>
      <c r="W14" s="138"/>
      <c r="X14" s="138"/>
      <c r="Y14" s="138"/>
      <c r="Z14" s="138"/>
      <c r="AA14" s="138"/>
      <c r="AB14" s="139"/>
      <c r="AC14" s="141">
        <v>4</v>
      </c>
      <c r="AD14" s="142">
        <v>7</v>
      </c>
      <c r="AE14" s="142"/>
      <c r="AF14" s="142" t="s">
        <v>710</v>
      </c>
      <c r="AG14" s="142">
        <v>1</v>
      </c>
      <c r="AH14" s="142">
        <v>5</v>
      </c>
      <c r="AI14" s="142">
        <v>0</v>
      </c>
      <c r="AJ14" s="142" t="s">
        <v>86</v>
      </c>
      <c r="AK14" s="142" t="s">
        <v>48</v>
      </c>
      <c r="AL14" s="142" t="s">
        <v>705</v>
      </c>
      <c r="AM14" s="142" t="s">
        <v>9</v>
      </c>
      <c r="AN14" s="142" t="s">
        <v>9</v>
      </c>
      <c r="AO14" s="142" t="s">
        <v>9</v>
      </c>
      <c r="AP14" s="142"/>
      <c r="AQ14" s="142" t="s">
        <v>9</v>
      </c>
      <c r="AR14" s="142" t="s">
        <v>9</v>
      </c>
      <c r="AS14" s="142" t="s">
        <v>9</v>
      </c>
      <c r="AT14" s="142" t="s">
        <v>9</v>
      </c>
      <c r="AU14" s="142"/>
      <c r="AV14" s="142" t="s">
        <v>9</v>
      </c>
      <c r="AW14" s="142" t="s">
        <v>9</v>
      </c>
      <c r="AX14" s="142" t="s">
        <v>9</v>
      </c>
      <c r="AY14" s="142" t="s">
        <v>9</v>
      </c>
      <c r="AZ14" s="142" t="s">
        <v>9</v>
      </c>
      <c r="BA14" s="142" t="s">
        <v>9</v>
      </c>
      <c r="BB14" s="142" t="s">
        <v>9</v>
      </c>
      <c r="BC14" s="142"/>
      <c r="BD14" s="142" t="s">
        <v>9</v>
      </c>
      <c r="BE14" s="142" t="s">
        <v>9</v>
      </c>
      <c r="BF14" s="142"/>
      <c r="BG14" s="142" t="s">
        <v>9</v>
      </c>
      <c r="BH14" s="142" t="s">
        <v>9</v>
      </c>
      <c r="BI14" s="142" t="s">
        <v>9</v>
      </c>
      <c r="BJ14" s="142" t="s">
        <v>9</v>
      </c>
      <c r="BK14" s="142" t="s">
        <v>9</v>
      </c>
      <c r="BL14" s="142" t="s">
        <v>9</v>
      </c>
      <c r="BM14" s="147">
        <v>1</v>
      </c>
      <c r="BN14" s="175"/>
      <c r="BO14" s="175"/>
      <c r="BP14" s="175" t="s">
        <v>893</v>
      </c>
      <c r="BQ14" s="207"/>
      <c r="BR14" s="175">
        <v>0.02</v>
      </c>
      <c r="BS14" s="175">
        <v>0.14199999999999999</v>
      </c>
      <c r="BT14" s="175">
        <v>0.06</v>
      </c>
      <c r="BU14" s="175">
        <f t="shared" si="2"/>
        <v>0.01</v>
      </c>
      <c r="BV14" s="175"/>
      <c r="BW14" s="138">
        <v>7</v>
      </c>
      <c r="BX14" s="138">
        <v>63</v>
      </c>
      <c r="CB14" s="170"/>
    </row>
    <row r="15" spans="1:80" x14ac:dyDescent="0.25">
      <c r="A15" s="138" t="s">
        <v>617</v>
      </c>
      <c r="B15" s="144">
        <v>8115</v>
      </c>
      <c r="C15" s="145" t="s">
        <v>9</v>
      </c>
      <c r="D15" s="146" t="s">
        <v>9</v>
      </c>
      <c r="S15" s="138">
        <f t="shared" si="0"/>
        <v>7</v>
      </c>
      <c r="T15" s="138">
        <f t="shared" si="1"/>
        <v>5</v>
      </c>
      <c r="U15" s="138"/>
      <c r="V15" s="138"/>
      <c r="W15" s="138"/>
      <c r="X15" s="138"/>
      <c r="Y15" s="138"/>
      <c r="Z15" s="138"/>
      <c r="AA15" s="138"/>
      <c r="AB15" s="139"/>
      <c r="AC15" s="141">
        <v>4</v>
      </c>
      <c r="AD15" s="142">
        <v>7</v>
      </c>
      <c r="AE15" s="142"/>
      <c r="AF15" s="142" t="s">
        <v>706</v>
      </c>
      <c r="AG15" s="142">
        <v>1</v>
      </c>
      <c r="AH15" s="142">
        <v>5</v>
      </c>
      <c r="AI15" s="142">
        <v>0</v>
      </c>
      <c r="AJ15" s="142" t="s">
        <v>86</v>
      </c>
      <c r="AK15" s="142" t="s">
        <v>48</v>
      </c>
      <c r="AL15" s="142" t="s">
        <v>705</v>
      </c>
      <c r="AM15" s="142" t="s">
        <v>9</v>
      </c>
      <c r="AN15" s="142" t="s">
        <v>9</v>
      </c>
      <c r="AO15" s="142" t="s">
        <v>9</v>
      </c>
      <c r="AP15" s="142" t="s">
        <v>9</v>
      </c>
      <c r="AQ15" s="142" t="s">
        <v>9</v>
      </c>
      <c r="AR15" s="142" t="s">
        <v>9</v>
      </c>
      <c r="AS15" s="142" t="s">
        <v>9</v>
      </c>
      <c r="AT15" s="142" t="s">
        <v>9</v>
      </c>
      <c r="AU15" s="142" t="s">
        <v>9</v>
      </c>
      <c r="AV15" s="142" t="s">
        <v>9</v>
      </c>
      <c r="AW15" s="142" t="s">
        <v>9</v>
      </c>
      <c r="AX15" s="142" t="s">
        <v>9</v>
      </c>
      <c r="AY15" s="142" t="s">
        <v>9</v>
      </c>
      <c r="AZ15" s="142" t="s">
        <v>9</v>
      </c>
      <c r="BA15" s="142" t="s">
        <v>9</v>
      </c>
      <c r="BB15" s="142" t="s">
        <v>9</v>
      </c>
      <c r="BC15" s="142"/>
      <c r="BD15" s="142" t="s">
        <v>9</v>
      </c>
      <c r="BE15" s="142" t="s">
        <v>9</v>
      </c>
      <c r="BF15" s="142"/>
      <c r="BG15" s="142" t="s">
        <v>9</v>
      </c>
      <c r="BH15" s="142" t="s">
        <v>9</v>
      </c>
      <c r="BI15" s="142" t="s">
        <v>9</v>
      </c>
      <c r="BJ15" s="142" t="s">
        <v>9</v>
      </c>
      <c r="BK15" s="142" t="s">
        <v>9</v>
      </c>
      <c r="BL15" s="142" t="s">
        <v>9</v>
      </c>
      <c r="BM15" s="147">
        <v>1</v>
      </c>
      <c r="BN15" s="175"/>
      <c r="BO15" s="175"/>
      <c r="BP15" s="175" t="s">
        <v>893</v>
      </c>
      <c r="BQ15" s="207"/>
      <c r="BR15" s="175">
        <v>2.35E-2</v>
      </c>
      <c r="BS15" s="175">
        <v>0.14000000000000001</v>
      </c>
      <c r="BT15" s="175">
        <v>6.7000000000000004E-2</v>
      </c>
      <c r="BU15" s="175">
        <f t="shared" si="2"/>
        <v>1.175E-2</v>
      </c>
      <c r="BV15" s="175"/>
      <c r="BW15" s="138">
        <v>8</v>
      </c>
      <c r="BX15" s="138"/>
      <c r="CB15" s="170"/>
    </row>
    <row r="16" spans="1:80" x14ac:dyDescent="0.25">
      <c r="A16" s="138" t="s">
        <v>617</v>
      </c>
      <c r="B16" s="144" t="s">
        <v>711</v>
      </c>
      <c r="C16" s="145" t="s">
        <v>9</v>
      </c>
      <c r="D16" s="146" t="s">
        <v>9</v>
      </c>
      <c r="S16" s="138">
        <f t="shared" si="0"/>
        <v>7</v>
      </c>
      <c r="T16" s="138">
        <f t="shared" si="1"/>
        <v>5</v>
      </c>
      <c r="U16" s="138"/>
      <c r="V16" s="138"/>
      <c r="W16" s="138"/>
      <c r="X16" s="138"/>
      <c r="Y16" s="138"/>
      <c r="Z16" s="138"/>
      <c r="AA16" s="138"/>
      <c r="AB16" s="139"/>
      <c r="AC16" s="141">
        <v>4</v>
      </c>
      <c r="AD16" s="142">
        <v>7</v>
      </c>
      <c r="AE16" s="142"/>
      <c r="AF16" s="142" t="s">
        <v>706</v>
      </c>
      <c r="AG16" s="142">
        <v>1</v>
      </c>
      <c r="AH16" s="142">
        <v>5</v>
      </c>
      <c r="AI16" s="142">
        <v>0</v>
      </c>
      <c r="AJ16" s="142" t="s">
        <v>86</v>
      </c>
      <c r="AK16" s="142" t="s">
        <v>48</v>
      </c>
      <c r="AL16" s="142" t="s">
        <v>705</v>
      </c>
      <c r="AM16" s="142" t="s">
        <v>9</v>
      </c>
      <c r="AN16" s="142" t="s">
        <v>9</v>
      </c>
      <c r="AO16" s="142" t="s">
        <v>9</v>
      </c>
      <c r="AP16" s="142" t="s">
        <v>9</v>
      </c>
      <c r="AQ16" s="142" t="s">
        <v>9</v>
      </c>
      <c r="AR16" s="142" t="s">
        <v>9</v>
      </c>
      <c r="AS16" s="142" t="s">
        <v>9</v>
      </c>
      <c r="AT16" s="142" t="s">
        <v>9</v>
      </c>
      <c r="AU16" s="142" t="s">
        <v>9</v>
      </c>
      <c r="AV16" s="142" t="s">
        <v>9</v>
      </c>
      <c r="AW16" s="142"/>
      <c r="AX16" s="142"/>
      <c r="AY16" s="142"/>
      <c r="AZ16" s="142"/>
      <c r="BA16" s="142"/>
      <c r="BB16" s="142"/>
      <c r="BC16" s="142" t="s">
        <v>9</v>
      </c>
      <c r="BD16" s="142" t="s">
        <v>9</v>
      </c>
      <c r="BE16" s="142" t="s">
        <v>9</v>
      </c>
      <c r="BF16" s="142"/>
      <c r="BG16" s="142" t="s">
        <v>9</v>
      </c>
      <c r="BH16" s="142" t="s">
        <v>9</v>
      </c>
      <c r="BI16" s="142" t="s">
        <v>9</v>
      </c>
      <c r="BJ16" s="142" t="s">
        <v>9</v>
      </c>
      <c r="BK16" s="142" t="s">
        <v>9</v>
      </c>
      <c r="BL16" s="142"/>
      <c r="BM16" s="147">
        <v>1</v>
      </c>
      <c r="BN16" s="175"/>
      <c r="BO16" s="175"/>
      <c r="BP16" s="175" t="s">
        <v>893</v>
      </c>
      <c r="BQ16" s="207"/>
      <c r="BR16" s="175">
        <v>2.35E-2</v>
      </c>
      <c r="BS16" s="175">
        <v>0.155</v>
      </c>
      <c r="BT16" s="175">
        <v>6.7000000000000004E-2</v>
      </c>
      <c r="BU16" s="175">
        <f t="shared" si="2"/>
        <v>1.175E-2</v>
      </c>
      <c r="BV16" s="175"/>
      <c r="BW16" s="166"/>
      <c r="BX16" s="138">
        <v>64</v>
      </c>
      <c r="CB16" s="170"/>
    </row>
    <row r="17" spans="1:80" x14ac:dyDescent="0.25">
      <c r="A17" s="138" t="s">
        <v>617</v>
      </c>
      <c r="B17" s="144">
        <v>8116</v>
      </c>
      <c r="C17" s="145" t="s">
        <v>9</v>
      </c>
      <c r="D17" s="146" t="s">
        <v>9</v>
      </c>
      <c r="O17" s="145" t="s">
        <v>9</v>
      </c>
      <c r="S17" s="138">
        <f t="shared" si="0"/>
        <v>7</v>
      </c>
      <c r="T17" s="138">
        <f t="shared" si="1"/>
        <v>5</v>
      </c>
      <c r="U17" s="138"/>
      <c r="V17" s="138"/>
      <c r="W17" s="138"/>
      <c r="X17" s="138"/>
      <c r="Y17" s="138"/>
      <c r="Z17" s="138"/>
      <c r="AA17" s="138"/>
      <c r="AB17" s="139"/>
      <c r="AC17" s="141">
        <v>4</v>
      </c>
      <c r="AD17" s="142">
        <v>7</v>
      </c>
      <c r="AE17" s="142"/>
      <c r="AF17" s="142" t="s">
        <v>706</v>
      </c>
      <c r="AG17" s="142">
        <v>1</v>
      </c>
      <c r="AH17" s="142">
        <v>5</v>
      </c>
      <c r="AI17" s="142">
        <v>0</v>
      </c>
      <c r="AJ17" s="142" t="s">
        <v>86</v>
      </c>
      <c r="AK17" s="142" t="s">
        <v>48</v>
      </c>
      <c r="AL17" s="142" t="s">
        <v>705</v>
      </c>
      <c r="AM17" s="142" t="s">
        <v>9</v>
      </c>
      <c r="AN17" s="142" t="s">
        <v>9</v>
      </c>
      <c r="AO17" s="142" t="s">
        <v>9</v>
      </c>
      <c r="AP17" s="142" t="s">
        <v>9</v>
      </c>
      <c r="AQ17" s="142" t="s">
        <v>9</v>
      </c>
      <c r="AR17" s="142" t="s">
        <v>9</v>
      </c>
      <c r="AS17" s="142" t="s">
        <v>9</v>
      </c>
      <c r="AT17" s="142" t="s">
        <v>9</v>
      </c>
      <c r="AU17" s="142" t="s">
        <v>9</v>
      </c>
      <c r="AV17" s="142" t="s">
        <v>9</v>
      </c>
      <c r="AW17" s="142" t="s">
        <v>9</v>
      </c>
      <c r="AX17" s="142" t="s">
        <v>9</v>
      </c>
      <c r="AY17" s="142" t="s">
        <v>9</v>
      </c>
      <c r="AZ17" s="142" t="s">
        <v>9</v>
      </c>
      <c r="BA17" s="142" t="s">
        <v>9</v>
      </c>
      <c r="BB17" s="142" t="s">
        <v>9</v>
      </c>
      <c r="BC17" s="142"/>
      <c r="BD17" s="142" t="s">
        <v>9</v>
      </c>
      <c r="BE17" s="142" t="s">
        <v>9</v>
      </c>
      <c r="BF17" s="142"/>
      <c r="BG17" s="142" t="s">
        <v>9</v>
      </c>
      <c r="BH17" s="142" t="s">
        <v>9</v>
      </c>
      <c r="BI17" s="142" t="s">
        <v>9</v>
      </c>
      <c r="BJ17" s="142" t="s">
        <v>9</v>
      </c>
      <c r="BK17" s="142" t="s">
        <v>9</v>
      </c>
      <c r="BL17" s="142" t="s">
        <v>9</v>
      </c>
      <c r="BM17" s="147">
        <v>1</v>
      </c>
      <c r="BN17" s="175"/>
      <c r="BO17" s="175"/>
      <c r="BP17" s="175" t="s">
        <v>893</v>
      </c>
      <c r="BQ17" s="207"/>
      <c r="BR17" s="175">
        <v>2.35E-2</v>
      </c>
      <c r="BS17" s="175">
        <v>0.14899999999999999</v>
      </c>
      <c r="BT17" s="175">
        <v>6.7000000000000004E-2</v>
      </c>
      <c r="BU17" s="175">
        <f t="shared" si="2"/>
        <v>1.175E-2</v>
      </c>
      <c r="BV17" s="175"/>
      <c r="BW17" s="138">
        <v>9</v>
      </c>
      <c r="BX17" s="138"/>
      <c r="CB17" s="170"/>
    </row>
    <row r="18" spans="1:80" x14ac:dyDescent="0.25">
      <c r="A18" s="184" t="s">
        <v>617</v>
      </c>
      <c r="B18" s="183" t="s">
        <v>792</v>
      </c>
      <c r="C18" s="145" t="s">
        <v>9</v>
      </c>
      <c r="D18" s="146" t="s">
        <v>9</v>
      </c>
      <c r="O18" s="145" t="s">
        <v>9</v>
      </c>
      <c r="S18" s="138">
        <f t="shared" si="0"/>
        <v>7</v>
      </c>
      <c r="T18" s="138">
        <f t="shared" si="1"/>
        <v>5</v>
      </c>
      <c r="U18" s="138"/>
      <c r="V18" s="138"/>
      <c r="W18" s="138"/>
      <c r="X18" s="138"/>
      <c r="Y18" s="138"/>
      <c r="Z18" s="138"/>
      <c r="AA18" s="138"/>
      <c r="AB18" s="139"/>
      <c r="AC18" s="141">
        <v>4</v>
      </c>
      <c r="AD18" s="142">
        <v>7</v>
      </c>
      <c r="AE18" s="142"/>
      <c r="AF18" s="142" t="s">
        <v>706</v>
      </c>
      <c r="AG18" s="142">
        <v>1</v>
      </c>
      <c r="AH18" s="142">
        <v>5</v>
      </c>
      <c r="AI18" s="142">
        <v>0</v>
      </c>
      <c r="AJ18" s="142" t="s">
        <v>86</v>
      </c>
      <c r="AK18" s="142" t="s">
        <v>48</v>
      </c>
      <c r="AL18" s="142" t="s">
        <v>705</v>
      </c>
      <c r="AM18" s="142" t="s">
        <v>9</v>
      </c>
      <c r="AN18" s="142" t="s">
        <v>9</v>
      </c>
      <c r="AO18" s="142" t="s">
        <v>9</v>
      </c>
      <c r="AP18" s="142" t="s">
        <v>9</v>
      </c>
      <c r="AQ18" s="142" t="s">
        <v>9</v>
      </c>
      <c r="AR18" s="142" t="s">
        <v>9</v>
      </c>
      <c r="AS18" s="142" t="s">
        <v>9</v>
      </c>
      <c r="AT18" s="142" t="s">
        <v>9</v>
      </c>
      <c r="AU18" s="142" t="s">
        <v>9</v>
      </c>
      <c r="AV18" s="142" t="s">
        <v>9</v>
      </c>
      <c r="AW18" s="142"/>
      <c r="AX18" s="142"/>
      <c r="AY18" s="142"/>
      <c r="AZ18" s="142"/>
      <c r="BA18" s="142"/>
      <c r="BB18" s="142"/>
      <c r="BC18" s="142" t="s">
        <v>9</v>
      </c>
      <c r="BD18" s="142" t="s">
        <v>9</v>
      </c>
      <c r="BE18" s="142" t="s">
        <v>9</v>
      </c>
      <c r="BF18" s="142"/>
      <c r="BG18" s="142" t="s">
        <v>9</v>
      </c>
      <c r="BH18" s="142" t="s">
        <v>9</v>
      </c>
      <c r="BI18" s="142" t="s">
        <v>9</v>
      </c>
      <c r="BJ18" s="142" t="s">
        <v>9</v>
      </c>
      <c r="BK18" s="142" t="s">
        <v>9</v>
      </c>
      <c r="BL18" s="142"/>
      <c r="BM18" s="147">
        <v>1</v>
      </c>
      <c r="BN18" s="175"/>
      <c r="BO18" s="175"/>
      <c r="BP18" s="175" t="s">
        <v>893</v>
      </c>
      <c r="BQ18" s="207"/>
      <c r="BR18" s="175">
        <v>2.35E-2</v>
      </c>
      <c r="BS18" s="175">
        <v>0.156</v>
      </c>
      <c r="BT18" s="175">
        <v>6.7000000000000004E-2</v>
      </c>
      <c r="BU18" s="175">
        <f t="shared" si="2"/>
        <v>1.175E-2</v>
      </c>
      <c r="BV18" s="175"/>
      <c r="BW18" s="138"/>
      <c r="BX18" s="138">
        <v>65</v>
      </c>
      <c r="CB18" s="170"/>
    </row>
    <row r="19" spans="1:80" x14ac:dyDescent="0.25">
      <c r="A19" s="138" t="s">
        <v>617</v>
      </c>
      <c r="B19" s="144">
        <v>8130</v>
      </c>
      <c r="C19" s="145" t="s">
        <v>9</v>
      </c>
      <c r="D19" s="146" t="s">
        <v>9</v>
      </c>
      <c r="S19" s="138">
        <f t="shared" si="0"/>
        <v>7</v>
      </c>
      <c r="T19" s="138">
        <f t="shared" si="1"/>
        <v>5</v>
      </c>
      <c r="U19" s="138"/>
      <c r="V19" s="138"/>
      <c r="W19" s="138"/>
      <c r="X19" s="138"/>
      <c r="Y19" s="138"/>
      <c r="Z19" s="138"/>
      <c r="AA19" s="138"/>
      <c r="AB19" s="139"/>
      <c r="AC19" s="141">
        <v>4</v>
      </c>
      <c r="AD19" s="142">
        <v>7</v>
      </c>
      <c r="AE19" s="142"/>
      <c r="AF19" s="142" t="s">
        <v>706</v>
      </c>
      <c r="AG19" s="142">
        <v>1</v>
      </c>
      <c r="AH19" s="142">
        <v>5</v>
      </c>
      <c r="AI19" s="142">
        <v>0</v>
      </c>
      <c r="AJ19" s="142" t="s">
        <v>86</v>
      </c>
      <c r="AK19" s="142" t="s">
        <v>48</v>
      </c>
      <c r="AL19" s="142" t="s">
        <v>705</v>
      </c>
      <c r="AM19" s="142" t="s">
        <v>9</v>
      </c>
      <c r="AN19" s="142" t="s">
        <v>9</v>
      </c>
      <c r="AO19" s="142" t="s">
        <v>9</v>
      </c>
      <c r="AP19" s="142" t="s">
        <v>9</v>
      </c>
      <c r="AQ19" s="142" t="s">
        <v>9</v>
      </c>
      <c r="AR19" s="142" t="s">
        <v>9</v>
      </c>
      <c r="AS19" s="142" t="s">
        <v>9</v>
      </c>
      <c r="AT19" s="142" t="s">
        <v>9</v>
      </c>
      <c r="AU19" s="142"/>
      <c r="AV19" s="142" t="s">
        <v>9</v>
      </c>
      <c r="AW19" s="142" t="s">
        <v>9</v>
      </c>
      <c r="AX19" s="142" t="s">
        <v>9</v>
      </c>
      <c r="AY19" s="142" t="s">
        <v>9</v>
      </c>
      <c r="AZ19" s="142" t="s">
        <v>9</v>
      </c>
      <c r="BA19" s="142" t="s">
        <v>9</v>
      </c>
      <c r="BB19" s="142" t="s">
        <v>9</v>
      </c>
      <c r="BC19" s="142"/>
      <c r="BD19" s="142" t="s">
        <v>9</v>
      </c>
      <c r="BE19" s="142" t="s">
        <v>9</v>
      </c>
      <c r="BF19" s="142"/>
      <c r="BG19" s="142" t="s">
        <v>9</v>
      </c>
      <c r="BH19" s="142" t="s">
        <v>9</v>
      </c>
      <c r="BI19" s="142" t="s">
        <v>9</v>
      </c>
      <c r="BJ19" s="142" t="s">
        <v>9</v>
      </c>
      <c r="BK19" s="142" t="s">
        <v>9</v>
      </c>
      <c r="BL19" s="142" t="s">
        <v>9</v>
      </c>
      <c r="BM19" s="147">
        <v>1</v>
      </c>
      <c r="BN19" s="175"/>
      <c r="BO19" s="175"/>
      <c r="BP19" s="175" t="s">
        <v>893</v>
      </c>
      <c r="BQ19" s="207"/>
      <c r="BR19" s="175">
        <v>0.02</v>
      </c>
      <c r="BS19" s="175">
        <v>0.14000000000000001</v>
      </c>
      <c r="BT19" s="175">
        <v>0.06</v>
      </c>
      <c r="BU19" s="175">
        <f t="shared" si="2"/>
        <v>0.01</v>
      </c>
      <c r="BV19" s="175"/>
      <c r="BW19" s="138">
        <v>10</v>
      </c>
      <c r="BX19" s="138"/>
      <c r="CB19" s="170"/>
    </row>
    <row r="20" spans="1:80" x14ac:dyDescent="0.25">
      <c r="A20" s="138" t="s">
        <v>617</v>
      </c>
      <c r="B20" s="144">
        <v>8140</v>
      </c>
      <c r="C20" s="145" t="s">
        <v>9</v>
      </c>
      <c r="D20" s="146" t="s">
        <v>9</v>
      </c>
      <c r="S20" s="138">
        <f t="shared" si="0"/>
        <v>7</v>
      </c>
      <c r="T20" s="138">
        <f t="shared" si="1"/>
        <v>5</v>
      </c>
      <c r="U20" s="138"/>
      <c r="V20" s="138"/>
      <c r="W20" s="138"/>
      <c r="X20" s="138"/>
      <c r="Y20" s="138"/>
      <c r="Z20" s="138"/>
      <c r="AA20" s="138"/>
      <c r="AB20" s="139"/>
      <c r="AC20" s="141">
        <v>4</v>
      </c>
      <c r="AD20" s="142">
        <v>7</v>
      </c>
      <c r="AE20" s="142"/>
      <c r="AF20" s="142" t="s">
        <v>710</v>
      </c>
      <c r="AG20" s="142">
        <v>1</v>
      </c>
      <c r="AH20" s="142">
        <v>5</v>
      </c>
      <c r="AI20" s="142">
        <v>0</v>
      </c>
      <c r="AJ20" s="142" t="s">
        <v>86</v>
      </c>
      <c r="AK20" s="142" t="s">
        <v>48</v>
      </c>
      <c r="AL20" s="142" t="s">
        <v>705</v>
      </c>
      <c r="AM20" s="142" t="s">
        <v>9</v>
      </c>
      <c r="AN20" s="142" t="s">
        <v>9</v>
      </c>
      <c r="AO20" s="142" t="s">
        <v>9</v>
      </c>
      <c r="AP20" s="142"/>
      <c r="AQ20" s="142" t="s">
        <v>9</v>
      </c>
      <c r="AR20" s="142" t="s">
        <v>9</v>
      </c>
      <c r="AS20" s="142" t="s">
        <v>9</v>
      </c>
      <c r="AT20" s="142" t="s">
        <v>9</v>
      </c>
      <c r="AU20" s="142"/>
      <c r="AV20" s="142" t="s">
        <v>9</v>
      </c>
      <c r="AW20" s="142" t="s">
        <v>9</v>
      </c>
      <c r="AX20" s="142" t="s">
        <v>9</v>
      </c>
      <c r="AY20" s="142" t="s">
        <v>9</v>
      </c>
      <c r="AZ20" s="142" t="s">
        <v>9</v>
      </c>
      <c r="BA20" s="142" t="s">
        <v>9</v>
      </c>
      <c r="BB20" s="142" t="s">
        <v>9</v>
      </c>
      <c r="BC20" s="142"/>
      <c r="BD20" s="142" t="s">
        <v>9</v>
      </c>
      <c r="BE20" s="142" t="s">
        <v>9</v>
      </c>
      <c r="BF20" s="142"/>
      <c r="BG20" s="142" t="s">
        <v>9</v>
      </c>
      <c r="BH20" s="142" t="s">
        <v>9</v>
      </c>
      <c r="BI20" s="142" t="s">
        <v>9</v>
      </c>
      <c r="BJ20" s="142" t="s">
        <v>9</v>
      </c>
      <c r="BK20" s="142" t="s">
        <v>9</v>
      </c>
      <c r="BL20" s="142" t="s">
        <v>9</v>
      </c>
      <c r="BM20" s="147">
        <v>1</v>
      </c>
      <c r="BN20" s="175"/>
      <c r="BO20" s="175"/>
      <c r="BP20" s="175" t="s">
        <v>893</v>
      </c>
      <c r="BQ20" s="207"/>
      <c r="BR20" s="175">
        <v>0.02</v>
      </c>
      <c r="BS20" s="175">
        <v>0.14000000000000001</v>
      </c>
      <c r="BT20" s="175">
        <v>6.4000000000000001E-2</v>
      </c>
      <c r="BU20" s="175">
        <f t="shared" si="2"/>
        <v>0.01</v>
      </c>
      <c r="BV20" s="175"/>
      <c r="BW20" s="138">
        <v>11</v>
      </c>
      <c r="BX20" s="138">
        <v>66</v>
      </c>
      <c r="CB20" s="170"/>
    </row>
    <row r="21" spans="1:80" x14ac:dyDescent="0.25">
      <c r="A21" s="138" t="s">
        <v>617</v>
      </c>
      <c r="B21" s="144" t="s">
        <v>712</v>
      </c>
      <c r="C21" s="145" t="s">
        <v>9</v>
      </c>
      <c r="D21" s="146" t="s">
        <v>9</v>
      </c>
      <c r="S21" s="138">
        <f t="shared" si="0"/>
        <v>7</v>
      </c>
      <c r="T21" s="138">
        <f t="shared" si="1"/>
        <v>5</v>
      </c>
      <c r="U21" s="138"/>
      <c r="V21" s="138"/>
      <c r="W21" s="138"/>
      <c r="X21" s="138"/>
      <c r="Y21" s="138"/>
      <c r="Z21" s="138"/>
      <c r="AA21" s="138"/>
      <c r="AB21" s="139"/>
      <c r="AC21" s="141">
        <v>4</v>
      </c>
      <c r="AD21" s="142">
        <v>7</v>
      </c>
      <c r="AE21" s="142"/>
      <c r="AF21" s="142" t="s">
        <v>710</v>
      </c>
      <c r="AG21" s="142">
        <v>1</v>
      </c>
      <c r="AH21" s="142">
        <v>5</v>
      </c>
      <c r="AI21" s="142">
        <v>0</v>
      </c>
      <c r="AJ21" s="142" t="s">
        <v>86</v>
      </c>
      <c r="AK21" s="142" t="s">
        <v>48</v>
      </c>
      <c r="AL21" s="142" t="s">
        <v>705</v>
      </c>
      <c r="AM21" s="142" t="s">
        <v>9</v>
      </c>
      <c r="AN21" s="142" t="s">
        <v>9</v>
      </c>
      <c r="AO21" s="142" t="s">
        <v>9</v>
      </c>
      <c r="AP21" s="142"/>
      <c r="AQ21" s="142" t="s">
        <v>9</v>
      </c>
      <c r="AR21" s="142" t="s">
        <v>9</v>
      </c>
      <c r="AS21" s="142" t="s">
        <v>9</v>
      </c>
      <c r="AT21" s="142" t="s">
        <v>9</v>
      </c>
      <c r="AU21" s="142"/>
      <c r="AV21" s="142" t="s">
        <v>9</v>
      </c>
      <c r="AW21" s="142"/>
      <c r="AX21" s="142"/>
      <c r="AY21" s="142"/>
      <c r="AZ21" s="142"/>
      <c r="BA21" s="142"/>
      <c r="BB21" s="142"/>
      <c r="BC21" s="142" t="s">
        <v>9</v>
      </c>
      <c r="BD21" s="142" t="s">
        <v>9</v>
      </c>
      <c r="BE21" s="142" t="s">
        <v>9</v>
      </c>
      <c r="BF21" s="142"/>
      <c r="BG21" s="142" t="s">
        <v>9</v>
      </c>
      <c r="BH21" s="142" t="s">
        <v>9</v>
      </c>
      <c r="BI21" s="142" t="s">
        <v>9</v>
      </c>
      <c r="BJ21" s="142" t="s">
        <v>9</v>
      </c>
      <c r="BK21" s="142" t="s">
        <v>9</v>
      </c>
      <c r="BL21" s="142"/>
      <c r="BM21" s="147">
        <v>1</v>
      </c>
      <c r="BN21" s="175"/>
      <c r="BO21" s="175"/>
      <c r="BP21" s="175" t="s">
        <v>893</v>
      </c>
      <c r="BQ21" s="207"/>
      <c r="BR21" s="175">
        <v>0.02</v>
      </c>
      <c r="BS21" s="175">
        <v>0.14000000000000001</v>
      </c>
      <c r="BT21" s="175">
        <v>6.4000000000000001E-2</v>
      </c>
      <c r="BU21" s="175">
        <f t="shared" si="2"/>
        <v>0.01</v>
      </c>
      <c r="BV21" s="175"/>
      <c r="BW21" s="166"/>
      <c r="BX21" s="138">
        <v>67</v>
      </c>
      <c r="CB21" s="170"/>
    </row>
    <row r="22" spans="1:80" x14ac:dyDescent="0.25">
      <c r="A22" s="138" t="s">
        <v>617</v>
      </c>
      <c r="B22" s="144">
        <v>8141</v>
      </c>
      <c r="C22" s="145" t="s">
        <v>9</v>
      </c>
      <c r="D22" s="146" t="s">
        <v>9</v>
      </c>
      <c r="S22" s="138">
        <f t="shared" si="0"/>
        <v>7</v>
      </c>
      <c r="T22" s="138">
        <f t="shared" si="1"/>
        <v>5</v>
      </c>
      <c r="U22" s="138"/>
      <c r="V22" s="138"/>
      <c r="W22" s="138"/>
      <c r="X22" s="138"/>
      <c r="Y22" s="138"/>
      <c r="Z22" s="138"/>
      <c r="AA22" s="138"/>
      <c r="AB22" s="139"/>
      <c r="AC22" s="141">
        <v>4</v>
      </c>
      <c r="AD22" s="142">
        <v>7</v>
      </c>
      <c r="AE22" s="142"/>
      <c r="AF22" s="142" t="s">
        <v>710</v>
      </c>
      <c r="AG22" s="142">
        <v>1</v>
      </c>
      <c r="AH22" s="142">
        <v>5</v>
      </c>
      <c r="AI22" s="142">
        <v>0</v>
      </c>
      <c r="AJ22" s="142" t="s">
        <v>86</v>
      </c>
      <c r="AK22" s="142" t="s">
        <v>48</v>
      </c>
      <c r="AL22" s="142" t="s">
        <v>705</v>
      </c>
      <c r="AM22" s="142" t="s">
        <v>9</v>
      </c>
      <c r="AN22" s="142" t="s">
        <v>9</v>
      </c>
      <c r="AO22" s="142" t="s">
        <v>9</v>
      </c>
      <c r="AP22" s="142"/>
      <c r="AQ22" s="142" t="s">
        <v>9</v>
      </c>
      <c r="AR22" s="142" t="s">
        <v>9</v>
      </c>
      <c r="AS22" s="142" t="s">
        <v>9</v>
      </c>
      <c r="AT22" s="142" t="s">
        <v>9</v>
      </c>
      <c r="AU22" s="142"/>
      <c r="AV22" s="142" t="s">
        <v>9</v>
      </c>
      <c r="AW22" s="142" t="s">
        <v>9</v>
      </c>
      <c r="AX22" s="142" t="s">
        <v>9</v>
      </c>
      <c r="AY22" s="142" t="s">
        <v>9</v>
      </c>
      <c r="AZ22" s="142" t="s">
        <v>9</v>
      </c>
      <c r="BA22" s="142" t="s">
        <v>9</v>
      </c>
      <c r="BB22" s="142" t="s">
        <v>9</v>
      </c>
      <c r="BC22" s="142"/>
      <c r="BD22" s="142" t="s">
        <v>9</v>
      </c>
      <c r="BE22" s="142" t="s">
        <v>9</v>
      </c>
      <c r="BF22" s="142"/>
      <c r="BG22" s="142" t="s">
        <v>9</v>
      </c>
      <c r="BH22" s="142" t="s">
        <v>9</v>
      </c>
      <c r="BI22" s="142" t="s">
        <v>9</v>
      </c>
      <c r="BJ22" s="142" t="s">
        <v>9</v>
      </c>
      <c r="BK22" s="142" t="s">
        <v>9</v>
      </c>
      <c r="BL22" s="142" t="s">
        <v>9</v>
      </c>
      <c r="BM22" s="147">
        <v>1</v>
      </c>
      <c r="BN22" s="175"/>
      <c r="BO22" s="175"/>
      <c r="BP22" s="175" t="s">
        <v>893</v>
      </c>
      <c r="BQ22" s="207"/>
      <c r="BR22" s="175">
        <v>0.02</v>
      </c>
      <c r="BS22" s="175">
        <v>0.14499999999999999</v>
      </c>
      <c r="BT22" s="175">
        <v>6.4000000000000001E-2</v>
      </c>
      <c r="BU22" s="175">
        <f t="shared" si="2"/>
        <v>0.01</v>
      </c>
      <c r="BV22" s="175"/>
      <c r="BW22" s="138">
        <v>12</v>
      </c>
      <c r="BX22" s="138">
        <v>68</v>
      </c>
      <c r="CB22" s="170"/>
    </row>
    <row r="23" spans="1:80" x14ac:dyDescent="0.25">
      <c r="A23" s="138" t="s">
        <v>617</v>
      </c>
      <c r="B23" s="144" t="s">
        <v>713</v>
      </c>
      <c r="C23" s="145" t="s">
        <v>9</v>
      </c>
      <c r="D23" s="146" t="s">
        <v>9</v>
      </c>
      <c r="S23" s="138">
        <f t="shared" si="0"/>
        <v>7</v>
      </c>
      <c r="T23" s="138">
        <f t="shared" si="1"/>
        <v>5</v>
      </c>
      <c r="U23" s="138"/>
      <c r="V23" s="138"/>
      <c r="W23" s="138"/>
      <c r="X23" s="138"/>
      <c r="Y23" s="138"/>
      <c r="Z23" s="138"/>
      <c r="AA23" s="138"/>
      <c r="AB23" s="139"/>
      <c r="AC23" s="141">
        <v>4</v>
      </c>
      <c r="AD23" s="142">
        <v>7</v>
      </c>
      <c r="AE23" s="142"/>
      <c r="AF23" s="142" t="s">
        <v>710</v>
      </c>
      <c r="AG23" s="142">
        <v>1</v>
      </c>
      <c r="AH23" s="142">
        <v>5</v>
      </c>
      <c r="AI23" s="142">
        <v>0</v>
      </c>
      <c r="AJ23" s="142" t="s">
        <v>86</v>
      </c>
      <c r="AK23" s="142" t="s">
        <v>48</v>
      </c>
      <c r="AL23" s="142" t="s">
        <v>705</v>
      </c>
      <c r="AM23" s="142" t="s">
        <v>9</v>
      </c>
      <c r="AN23" s="142" t="s">
        <v>9</v>
      </c>
      <c r="AO23" s="142" t="s">
        <v>9</v>
      </c>
      <c r="AP23" s="142"/>
      <c r="AQ23" s="142" t="s">
        <v>9</v>
      </c>
      <c r="AR23" s="142" t="s">
        <v>9</v>
      </c>
      <c r="AS23" s="142" t="s">
        <v>9</v>
      </c>
      <c r="AT23" s="142" t="s">
        <v>9</v>
      </c>
      <c r="AU23" s="142"/>
      <c r="AV23" s="142" t="s">
        <v>9</v>
      </c>
      <c r="AW23" s="142"/>
      <c r="AX23" s="142"/>
      <c r="AY23" s="142"/>
      <c r="AZ23" s="142"/>
      <c r="BA23" s="142"/>
      <c r="BB23" s="142"/>
      <c r="BC23" s="142" t="s">
        <v>9</v>
      </c>
      <c r="BD23" s="142" t="s">
        <v>9</v>
      </c>
      <c r="BE23" s="142" t="s">
        <v>9</v>
      </c>
      <c r="BF23" s="142"/>
      <c r="BG23" s="142" t="s">
        <v>9</v>
      </c>
      <c r="BH23" s="142" t="s">
        <v>9</v>
      </c>
      <c r="BI23" s="142" t="s">
        <v>9</v>
      </c>
      <c r="BJ23" s="142" t="s">
        <v>9</v>
      </c>
      <c r="BK23" s="142" t="s">
        <v>9</v>
      </c>
      <c r="BL23" s="142"/>
      <c r="BM23" s="147">
        <v>1</v>
      </c>
      <c r="BN23" s="175"/>
      <c r="BO23" s="175"/>
      <c r="BP23" s="175" t="s">
        <v>893</v>
      </c>
      <c r="BQ23" s="207"/>
      <c r="BR23" s="175">
        <v>0.02</v>
      </c>
      <c r="BS23" s="175">
        <v>0.16500000000000001</v>
      </c>
      <c r="BT23" s="175">
        <v>8.1000000000000003E-2</v>
      </c>
      <c r="BU23" s="175">
        <f t="shared" si="2"/>
        <v>0.01</v>
      </c>
      <c r="BV23" s="175"/>
      <c r="BW23" s="166"/>
      <c r="BX23" s="138">
        <v>69</v>
      </c>
      <c r="CB23" s="170"/>
    </row>
    <row r="24" spans="1:80" x14ac:dyDescent="0.25">
      <c r="A24" s="138" t="s">
        <v>617</v>
      </c>
      <c r="B24" s="144">
        <v>8155</v>
      </c>
      <c r="C24" s="145" t="s">
        <v>9</v>
      </c>
      <c r="D24" s="146" t="s">
        <v>9</v>
      </c>
      <c r="S24" s="138">
        <f t="shared" si="0"/>
        <v>7</v>
      </c>
      <c r="T24" s="138">
        <f t="shared" si="1"/>
        <v>5</v>
      </c>
      <c r="U24" s="138"/>
      <c r="V24" s="138"/>
      <c r="W24" s="138"/>
      <c r="X24" s="138"/>
      <c r="Y24" s="138"/>
      <c r="Z24" s="138"/>
      <c r="AA24" s="138"/>
      <c r="AB24" s="139"/>
      <c r="AC24" s="141">
        <v>4</v>
      </c>
      <c r="AD24" s="142">
        <v>7</v>
      </c>
      <c r="AE24" s="142"/>
      <c r="AF24" s="142" t="s">
        <v>706</v>
      </c>
      <c r="AG24" s="142">
        <v>1</v>
      </c>
      <c r="AH24" s="142">
        <v>5</v>
      </c>
      <c r="AI24" s="142">
        <v>0</v>
      </c>
      <c r="AJ24" s="142" t="s">
        <v>86</v>
      </c>
      <c r="AK24" s="142" t="s">
        <v>48</v>
      </c>
      <c r="AL24" s="142" t="s">
        <v>705</v>
      </c>
      <c r="AM24" s="142" t="s">
        <v>9</v>
      </c>
      <c r="AN24" s="142" t="s">
        <v>9</v>
      </c>
      <c r="AO24" s="142" t="s">
        <v>9</v>
      </c>
      <c r="AP24" s="142" t="s">
        <v>9</v>
      </c>
      <c r="AQ24" s="142" t="s">
        <v>9</v>
      </c>
      <c r="AR24" s="142" t="s">
        <v>9</v>
      </c>
      <c r="AS24" s="142" t="s">
        <v>9</v>
      </c>
      <c r="AT24" s="142" t="s">
        <v>9</v>
      </c>
      <c r="AU24" s="142" t="s">
        <v>9</v>
      </c>
      <c r="AV24" s="142" t="s">
        <v>9</v>
      </c>
      <c r="AW24" s="142" t="s">
        <v>9</v>
      </c>
      <c r="AX24" s="142" t="s">
        <v>9</v>
      </c>
      <c r="AY24" s="142" t="s">
        <v>9</v>
      </c>
      <c r="AZ24" s="142" t="s">
        <v>9</v>
      </c>
      <c r="BA24" s="142" t="s">
        <v>9</v>
      </c>
      <c r="BB24" s="142" t="s">
        <v>9</v>
      </c>
      <c r="BC24" s="142"/>
      <c r="BD24" s="142" t="s">
        <v>9</v>
      </c>
      <c r="BE24" s="142" t="s">
        <v>9</v>
      </c>
      <c r="BF24" s="142"/>
      <c r="BG24" s="142" t="s">
        <v>9</v>
      </c>
      <c r="BH24" s="142" t="s">
        <v>9</v>
      </c>
      <c r="BI24" s="142" t="s">
        <v>9</v>
      </c>
      <c r="BJ24" s="142" t="s">
        <v>9</v>
      </c>
      <c r="BK24" s="142" t="s">
        <v>9</v>
      </c>
      <c r="BL24" s="142" t="s">
        <v>9</v>
      </c>
      <c r="BM24" s="147">
        <v>1</v>
      </c>
      <c r="BN24" s="175"/>
      <c r="BO24" s="175" t="s">
        <v>9</v>
      </c>
      <c r="BP24" s="175" t="s">
        <v>893</v>
      </c>
      <c r="BQ24" s="205" t="s">
        <v>875</v>
      </c>
      <c r="BR24" s="175">
        <v>0.02</v>
      </c>
      <c r="BS24" s="175">
        <v>0.13500000000000001</v>
      </c>
      <c r="BT24" s="175">
        <v>6.5000000000000002E-2</v>
      </c>
      <c r="BU24" s="175">
        <f t="shared" si="2"/>
        <v>0.01</v>
      </c>
      <c r="BV24" s="175"/>
      <c r="BW24" s="138">
        <v>13</v>
      </c>
      <c r="BX24" s="138"/>
      <c r="CB24" s="170"/>
    </row>
    <row r="25" spans="1:80" x14ac:dyDescent="0.25">
      <c r="A25" s="138" t="s">
        <v>617</v>
      </c>
      <c r="B25" s="144" t="s">
        <v>714</v>
      </c>
      <c r="C25" s="145" t="s">
        <v>9</v>
      </c>
      <c r="D25" s="146" t="s">
        <v>9</v>
      </c>
      <c r="S25" s="138">
        <f t="shared" si="0"/>
        <v>7</v>
      </c>
      <c r="T25" s="138">
        <f t="shared" si="1"/>
        <v>5</v>
      </c>
      <c r="U25" s="138"/>
      <c r="V25" s="138"/>
      <c r="W25" s="138"/>
      <c r="X25" s="138"/>
      <c r="Y25" s="138"/>
      <c r="Z25" s="138"/>
      <c r="AA25" s="138"/>
      <c r="AB25" s="139"/>
      <c r="AC25" s="141">
        <v>4</v>
      </c>
      <c r="AD25" s="142">
        <v>7</v>
      </c>
      <c r="AE25" s="142"/>
      <c r="AF25" s="142" t="s">
        <v>706</v>
      </c>
      <c r="AG25" s="142">
        <v>1</v>
      </c>
      <c r="AH25" s="142">
        <v>5</v>
      </c>
      <c r="AI25" s="142">
        <v>0</v>
      </c>
      <c r="AJ25" s="142" t="s">
        <v>86</v>
      </c>
      <c r="AK25" s="142" t="s">
        <v>48</v>
      </c>
      <c r="AL25" s="142" t="s">
        <v>705</v>
      </c>
      <c r="AM25" s="142" t="s">
        <v>9</v>
      </c>
      <c r="AN25" s="142" t="s">
        <v>9</v>
      </c>
      <c r="AO25" s="142" t="s">
        <v>9</v>
      </c>
      <c r="AP25" s="142" t="s">
        <v>9</v>
      </c>
      <c r="AQ25" s="142" t="s">
        <v>9</v>
      </c>
      <c r="AR25" s="142" t="s">
        <v>9</v>
      </c>
      <c r="AS25" s="142" t="s">
        <v>9</v>
      </c>
      <c r="AT25" s="142" t="s">
        <v>9</v>
      </c>
      <c r="AU25" s="142" t="s">
        <v>9</v>
      </c>
      <c r="AV25" s="142" t="s">
        <v>9</v>
      </c>
      <c r="AW25" s="142"/>
      <c r="AX25" s="142"/>
      <c r="AY25" s="142"/>
      <c r="AZ25" s="142"/>
      <c r="BA25" s="142"/>
      <c r="BB25" s="142"/>
      <c r="BC25" s="142" t="s">
        <v>9</v>
      </c>
      <c r="BD25" s="142" t="s">
        <v>9</v>
      </c>
      <c r="BE25" s="142" t="s">
        <v>9</v>
      </c>
      <c r="BF25" s="142"/>
      <c r="BG25" s="142" t="s">
        <v>9</v>
      </c>
      <c r="BH25" s="142" t="s">
        <v>9</v>
      </c>
      <c r="BI25" s="142" t="s">
        <v>9</v>
      </c>
      <c r="BJ25" s="142" t="s">
        <v>9</v>
      </c>
      <c r="BK25" s="142" t="s">
        <v>9</v>
      </c>
      <c r="BL25" s="142"/>
      <c r="BM25" s="147">
        <v>1</v>
      </c>
      <c r="BN25" s="175"/>
      <c r="BO25" s="175"/>
      <c r="BP25" s="175" t="s">
        <v>893</v>
      </c>
      <c r="BQ25" s="207"/>
      <c r="BR25" s="175">
        <v>2.1999999999999999E-2</v>
      </c>
      <c r="BS25" s="175">
        <v>0.14000000000000001</v>
      </c>
      <c r="BT25" s="175">
        <v>6.0999999999999999E-2</v>
      </c>
      <c r="BU25" s="175">
        <f t="shared" si="2"/>
        <v>1.0999999999999999E-2</v>
      </c>
      <c r="BV25" s="175"/>
      <c r="BW25" s="166"/>
      <c r="BX25" s="138">
        <v>70</v>
      </c>
      <c r="CB25" s="170"/>
    </row>
    <row r="26" spans="1:80" x14ac:dyDescent="0.25">
      <c r="A26" s="138" t="s">
        <v>617</v>
      </c>
      <c r="B26" s="144">
        <v>8156</v>
      </c>
      <c r="C26" s="145" t="s">
        <v>9</v>
      </c>
      <c r="D26" s="146" t="s">
        <v>9</v>
      </c>
      <c r="S26" s="138">
        <f t="shared" si="0"/>
        <v>7</v>
      </c>
      <c r="T26" s="138">
        <f t="shared" si="1"/>
        <v>5</v>
      </c>
      <c r="U26" s="138"/>
      <c r="V26" s="138"/>
      <c r="W26" s="138"/>
      <c r="X26" s="138"/>
      <c r="Y26" s="138"/>
      <c r="Z26" s="138"/>
      <c r="AA26" s="138"/>
      <c r="AB26" s="139"/>
      <c r="AC26" s="141">
        <v>4</v>
      </c>
      <c r="AD26" s="142">
        <v>7</v>
      </c>
      <c r="AE26" s="142"/>
      <c r="AF26" s="142" t="s">
        <v>706</v>
      </c>
      <c r="AG26" s="142">
        <v>1</v>
      </c>
      <c r="AH26" s="142">
        <v>5</v>
      </c>
      <c r="AI26" s="142">
        <v>0</v>
      </c>
      <c r="AJ26" s="142" t="s">
        <v>86</v>
      </c>
      <c r="AK26" s="142" t="s">
        <v>48</v>
      </c>
      <c r="AL26" s="142" t="s">
        <v>705</v>
      </c>
      <c r="AM26" s="142" t="s">
        <v>9</v>
      </c>
      <c r="AN26" s="142" t="s">
        <v>9</v>
      </c>
      <c r="AO26" s="142" t="s">
        <v>9</v>
      </c>
      <c r="AP26" s="142" t="s">
        <v>9</v>
      </c>
      <c r="AQ26" s="142" t="s">
        <v>9</v>
      </c>
      <c r="AR26" s="142" t="s">
        <v>9</v>
      </c>
      <c r="AS26" s="142" t="s">
        <v>9</v>
      </c>
      <c r="AT26" s="142" t="s">
        <v>9</v>
      </c>
      <c r="AU26" s="142" t="s">
        <v>9</v>
      </c>
      <c r="AV26" s="142" t="s">
        <v>9</v>
      </c>
      <c r="AW26" s="142" t="s">
        <v>9</v>
      </c>
      <c r="AX26" s="142" t="s">
        <v>9</v>
      </c>
      <c r="AY26" s="142" t="s">
        <v>9</v>
      </c>
      <c r="AZ26" s="142" t="s">
        <v>9</v>
      </c>
      <c r="BA26" s="142" t="s">
        <v>9</v>
      </c>
      <c r="BB26" s="142" t="s">
        <v>9</v>
      </c>
      <c r="BC26" s="142"/>
      <c r="BD26" s="142" t="s">
        <v>9</v>
      </c>
      <c r="BE26" s="142" t="s">
        <v>9</v>
      </c>
      <c r="BF26" s="142"/>
      <c r="BG26" s="142" t="s">
        <v>9</v>
      </c>
      <c r="BH26" s="142" t="s">
        <v>9</v>
      </c>
      <c r="BI26" s="142" t="s">
        <v>9</v>
      </c>
      <c r="BJ26" s="142" t="s">
        <v>9</v>
      </c>
      <c r="BK26" s="142" t="s">
        <v>9</v>
      </c>
      <c r="BL26" s="142" t="s">
        <v>9</v>
      </c>
      <c r="BM26" s="147">
        <v>1</v>
      </c>
      <c r="BN26" s="175"/>
      <c r="BO26" s="175"/>
      <c r="BP26" s="175" t="s">
        <v>893</v>
      </c>
      <c r="BQ26" s="207"/>
      <c r="BR26" s="175">
        <v>0.02</v>
      </c>
      <c r="BS26" s="175">
        <v>0.14449999999999999</v>
      </c>
      <c r="BT26" s="175">
        <v>6.5000000000000002E-2</v>
      </c>
      <c r="BU26" s="175">
        <f t="shared" si="2"/>
        <v>0.01</v>
      </c>
      <c r="BV26" s="175"/>
      <c r="BW26" s="138">
        <v>14</v>
      </c>
      <c r="BX26" s="138"/>
      <c r="CB26" s="170"/>
    </row>
    <row r="27" spans="1:80" x14ac:dyDescent="0.25">
      <c r="A27" s="138" t="s">
        <v>818</v>
      </c>
      <c r="B27" s="144" t="s">
        <v>793</v>
      </c>
      <c r="C27" s="145" t="s">
        <v>9</v>
      </c>
      <c r="D27" s="146" t="s">
        <v>9</v>
      </c>
      <c r="S27" s="138">
        <f t="shared" si="0"/>
        <v>7</v>
      </c>
      <c r="T27" s="138">
        <f t="shared" si="1"/>
        <v>5</v>
      </c>
      <c r="U27" s="138"/>
      <c r="V27" s="138"/>
      <c r="W27" s="138"/>
      <c r="X27" s="138"/>
      <c r="Y27" s="138"/>
      <c r="Z27" s="138"/>
      <c r="AA27" s="138"/>
      <c r="AB27" s="139"/>
      <c r="AC27" s="141">
        <v>4</v>
      </c>
      <c r="AD27" s="142">
        <v>7</v>
      </c>
      <c r="AE27" s="142"/>
      <c r="AF27" s="142" t="s">
        <v>710</v>
      </c>
      <c r="AG27" s="142">
        <v>1</v>
      </c>
      <c r="AH27" s="142">
        <v>5</v>
      </c>
      <c r="AI27" s="142">
        <v>0</v>
      </c>
      <c r="AJ27" s="142" t="s">
        <v>86</v>
      </c>
      <c r="AK27" s="142" t="s">
        <v>48</v>
      </c>
      <c r="AL27" s="142" t="s">
        <v>705</v>
      </c>
      <c r="AM27" s="142" t="s">
        <v>9</v>
      </c>
      <c r="AN27" s="142" t="s">
        <v>9</v>
      </c>
      <c r="AO27" s="142" t="s">
        <v>9</v>
      </c>
      <c r="AP27" s="142"/>
      <c r="AQ27" s="142" t="s">
        <v>9</v>
      </c>
      <c r="AR27" s="142" t="s">
        <v>9</v>
      </c>
      <c r="AS27" s="142" t="s">
        <v>9</v>
      </c>
      <c r="AT27" s="142" t="s">
        <v>9</v>
      </c>
      <c r="AU27" s="142"/>
      <c r="AV27" s="142" t="s">
        <v>9</v>
      </c>
      <c r="AW27" s="142" t="s">
        <v>9</v>
      </c>
      <c r="AX27" s="142" t="s">
        <v>9</v>
      </c>
      <c r="AY27" s="142" t="s">
        <v>9</v>
      </c>
      <c r="AZ27" s="142" t="s">
        <v>9</v>
      </c>
      <c r="BA27" s="142" t="s">
        <v>9</v>
      </c>
      <c r="BB27" s="142" t="s">
        <v>9</v>
      </c>
      <c r="BC27" s="142"/>
      <c r="BD27" s="142" t="s">
        <v>9</v>
      </c>
      <c r="BE27" s="142" t="s">
        <v>9</v>
      </c>
      <c r="BF27" s="142"/>
      <c r="BG27" s="142" t="s">
        <v>9</v>
      </c>
      <c r="BH27" s="142" t="s">
        <v>9</v>
      </c>
      <c r="BI27" s="142" t="s">
        <v>9</v>
      </c>
      <c r="BJ27" s="142" t="s">
        <v>9</v>
      </c>
      <c r="BK27" s="142" t="s">
        <v>9</v>
      </c>
      <c r="BL27" s="142" t="s">
        <v>9</v>
      </c>
      <c r="BM27" s="147">
        <v>1</v>
      </c>
      <c r="BN27" s="175"/>
      <c r="BO27" s="175"/>
      <c r="BP27" s="175" t="s">
        <v>893</v>
      </c>
      <c r="BQ27" s="207"/>
      <c r="BR27" s="175">
        <v>0.02</v>
      </c>
      <c r="BS27" s="175">
        <v>0.13200000000000001</v>
      </c>
      <c r="BT27" s="175">
        <v>6.3E-2</v>
      </c>
      <c r="BU27" s="175">
        <f t="shared" si="2"/>
        <v>0.01</v>
      </c>
      <c r="BV27" s="175"/>
      <c r="BW27" s="138">
        <v>15</v>
      </c>
      <c r="BX27" s="138"/>
      <c r="CB27" s="170"/>
    </row>
    <row r="28" spans="1:80" x14ac:dyDescent="0.25">
      <c r="A28" s="138" t="s">
        <v>617</v>
      </c>
      <c r="B28" s="144">
        <v>8350</v>
      </c>
      <c r="C28" s="145" t="s">
        <v>9</v>
      </c>
      <c r="D28" s="146" t="s">
        <v>9</v>
      </c>
      <c r="O28" s="145" t="s">
        <v>9</v>
      </c>
      <c r="S28" s="138">
        <f t="shared" si="0"/>
        <v>7</v>
      </c>
      <c r="T28" s="138">
        <f t="shared" si="1"/>
        <v>5</v>
      </c>
      <c r="U28" s="138"/>
      <c r="V28" s="138"/>
      <c r="W28" s="138"/>
      <c r="X28" s="138"/>
      <c r="Y28" s="138"/>
      <c r="Z28" s="138"/>
      <c r="AA28" s="138"/>
      <c r="AB28" s="139"/>
      <c r="AC28" s="141">
        <v>4</v>
      </c>
      <c r="AD28" s="142">
        <v>7</v>
      </c>
      <c r="AE28" s="142"/>
      <c r="AF28" s="142" t="s">
        <v>706</v>
      </c>
      <c r="AG28" s="142">
        <v>1</v>
      </c>
      <c r="AH28" s="142">
        <v>5</v>
      </c>
      <c r="AI28" s="142">
        <v>0</v>
      </c>
      <c r="AJ28" s="142" t="s">
        <v>86</v>
      </c>
      <c r="AK28" s="142" t="s">
        <v>48</v>
      </c>
      <c r="AL28" s="142" t="s">
        <v>705</v>
      </c>
      <c r="AM28" s="142" t="s">
        <v>9</v>
      </c>
      <c r="AN28" s="142" t="s">
        <v>9</v>
      </c>
      <c r="AO28" s="142" t="s">
        <v>9</v>
      </c>
      <c r="AP28" s="142" t="s">
        <v>9</v>
      </c>
      <c r="AQ28" s="142" t="s">
        <v>9</v>
      </c>
      <c r="AR28" s="142" t="s">
        <v>9</v>
      </c>
      <c r="AS28" s="142" t="s">
        <v>9</v>
      </c>
      <c r="AT28" s="142" t="s">
        <v>9</v>
      </c>
      <c r="AU28" s="142" t="s">
        <v>9</v>
      </c>
      <c r="AV28" s="142" t="s">
        <v>9</v>
      </c>
      <c r="AW28" s="142" t="s">
        <v>9</v>
      </c>
      <c r="AX28" s="142" t="s">
        <v>9</v>
      </c>
      <c r="AY28" s="142" t="s">
        <v>9</v>
      </c>
      <c r="AZ28" s="142" t="s">
        <v>9</v>
      </c>
      <c r="BA28" s="142" t="s">
        <v>9</v>
      </c>
      <c r="BB28" s="142" t="s">
        <v>9</v>
      </c>
      <c r="BC28" s="142"/>
      <c r="BD28" s="142" t="s">
        <v>9</v>
      </c>
      <c r="BE28" s="142" t="s">
        <v>9</v>
      </c>
      <c r="BF28" s="142"/>
      <c r="BG28" s="142" t="s">
        <v>9</v>
      </c>
      <c r="BH28" s="142" t="s">
        <v>9</v>
      </c>
      <c r="BI28" s="142" t="s">
        <v>9</v>
      </c>
      <c r="BJ28" s="142" t="s">
        <v>9</v>
      </c>
      <c r="BK28" s="142" t="s">
        <v>9</v>
      </c>
      <c r="BL28" s="142" t="s">
        <v>9</v>
      </c>
      <c r="BM28" s="147">
        <v>1</v>
      </c>
      <c r="BN28" s="175"/>
      <c r="BO28" s="175" t="s">
        <v>9</v>
      </c>
      <c r="BP28" s="175" t="s">
        <v>893</v>
      </c>
      <c r="BQ28" s="205" t="s">
        <v>875</v>
      </c>
      <c r="BR28" s="175">
        <v>2.1999999999999999E-2</v>
      </c>
      <c r="BS28" s="175">
        <v>0.15</v>
      </c>
      <c r="BT28" s="175">
        <v>6.5000000000000002E-2</v>
      </c>
      <c r="BU28" s="175">
        <f t="shared" si="2"/>
        <v>1.0999999999999999E-2</v>
      </c>
      <c r="BV28" s="175"/>
      <c r="BW28" s="138">
        <v>16</v>
      </c>
      <c r="BX28" s="138"/>
      <c r="CB28" s="170"/>
    </row>
    <row r="29" spans="1:80" x14ac:dyDescent="0.25">
      <c r="A29" s="138" t="s">
        <v>617</v>
      </c>
      <c r="B29" s="144" t="s">
        <v>715</v>
      </c>
      <c r="C29" s="145" t="s">
        <v>9</v>
      </c>
      <c r="D29" s="146" t="s">
        <v>9</v>
      </c>
      <c r="O29" s="145" t="s">
        <v>9</v>
      </c>
      <c r="S29" s="138">
        <f t="shared" si="0"/>
        <v>7</v>
      </c>
      <c r="T29" s="138">
        <f t="shared" si="1"/>
        <v>5</v>
      </c>
      <c r="U29" s="138"/>
      <c r="V29" s="138"/>
      <c r="W29" s="138"/>
      <c r="X29" s="138"/>
      <c r="Y29" s="138"/>
      <c r="Z29" s="138"/>
      <c r="AA29" s="138"/>
      <c r="AB29" s="139"/>
      <c r="AC29" s="141">
        <v>4</v>
      </c>
      <c r="AD29" s="142">
        <v>7</v>
      </c>
      <c r="AE29" s="142"/>
      <c r="AF29" s="142" t="s">
        <v>706</v>
      </c>
      <c r="AG29" s="142">
        <v>1</v>
      </c>
      <c r="AH29" s="142">
        <v>5</v>
      </c>
      <c r="AI29" s="142">
        <v>0</v>
      </c>
      <c r="AJ29" s="142" t="s">
        <v>86</v>
      </c>
      <c r="AK29" s="142" t="s">
        <v>48</v>
      </c>
      <c r="AL29" s="142" t="s">
        <v>705</v>
      </c>
      <c r="AM29" s="142" t="s">
        <v>9</v>
      </c>
      <c r="AN29" s="142" t="s">
        <v>9</v>
      </c>
      <c r="AO29" s="142" t="s">
        <v>9</v>
      </c>
      <c r="AP29" s="142" t="s">
        <v>9</v>
      </c>
      <c r="AQ29" s="142" t="s">
        <v>9</v>
      </c>
      <c r="AR29" s="142" t="s">
        <v>9</v>
      </c>
      <c r="AS29" s="142" t="s">
        <v>9</v>
      </c>
      <c r="AT29" s="142" t="s">
        <v>9</v>
      </c>
      <c r="AU29" s="142" t="s">
        <v>9</v>
      </c>
      <c r="AV29" s="142" t="s">
        <v>9</v>
      </c>
      <c r="AW29" s="142"/>
      <c r="AX29" s="142"/>
      <c r="AY29" s="142"/>
      <c r="AZ29" s="142"/>
      <c r="BA29" s="142"/>
      <c r="BB29" s="142"/>
      <c r="BC29" s="142" t="s">
        <v>9</v>
      </c>
      <c r="BD29" s="142" t="s">
        <v>9</v>
      </c>
      <c r="BE29" s="142" t="s">
        <v>9</v>
      </c>
      <c r="BF29" s="142"/>
      <c r="BG29" s="142" t="s">
        <v>9</v>
      </c>
      <c r="BH29" s="142" t="s">
        <v>9</v>
      </c>
      <c r="BI29" s="142" t="s">
        <v>9</v>
      </c>
      <c r="BJ29" s="142" t="s">
        <v>9</v>
      </c>
      <c r="BK29" s="142" t="s">
        <v>9</v>
      </c>
      <c r="BL29" s="142"/>
      <c r="BM29" s="147">
        <v>1</v>
      </c>
      <c r="BN29" s="175"/>
      <c r="BO29" s="175"/>
      <c r="BP29" s="175" t="s">
        <v>893</v>
      </c>
      <c r="BQ29" s="207"/>
      <c r="BR29" s="175">
        <v>2.1999999999999999E-2</v>
      </c>
      <c r="BS29" s="175">
        <v>0.17</v>
      </c>
      <c r="BT29" s="175">
        <v>8.5000000000000006E-2</v>
      </c>
      <c r="BU29" s="175">
        <f t="shared" si="2"/>
        <v>1.0999999999999999E-2</v>
      </c>
      <c r="BV29" s="175"/>
      <c r="BW29" s="166"/>
      <c r="BX29" s="138">
        <v>71</v>
      </c>
      <c r="CB29" s="170"/>
    </row>
    <row r="30" spans="1:80" x14ac:dyDescent="0.25">
      <c r="A30" s="138" t="s">
        <v>617</v>
      </c>
      <c r="B30" s="144" t="s">
        <v>716</v>
      </c>
      <c r="C30" s="145" t="s">
        <v>9</v>
      </c>
      <c r="D30" s="146" t="s">
        <v>9</v>
      </c>
      <c r="O30" s="145" t="s">
        <v>9</v>
      </c>
      <c r="S30" s="138">
        <f t="shared" si="0"/>
        <v>7</v>
      </c>
      <c r="T30" s="138">
        <f t="shared" si="1"/>
        <v>5</v>
      </c>
      <c r="U30" s="138"/>
      <c r="V30" s="138"/>
      <c r="W30" s="138"/>
      <c r="X30" s="138"/>
      <c r="Y30" s="138"/>
      <c r="Z30" s="138"/>
      <c r="AA30" s="138"/>
      <c r="AB30" s="139"/>
      <c r="AC30" s="141">
        <v>4</v>
      </c>
      <c r="AD30" s="142">
        <v>7</v>
      </c>
      <c r="AE30" s="142"/>
      <c r="AF30" s="142" t="s">
        <v>706</v>
      </c>
      <c r="AG30" s="142">
        <v>1</v>
      </c>
      <c r="AH30" s="142">
        <v>5</v>
      </c>
      <c r="AI30" s="142">
        <v>0</v>
      </c>
      <c r="AJ30" s="142" t="s">
        <v>86</v>
      </c>
      <c r="AK30" s="142" t="s">
        <v>48</v>
      </c>
      <c r="AL30" s="142" t="s">
        <v>705</v>
      </c>
      <c r="AM30" s="142" t="s">
        <v>9</v>
      </c>
      <c r="AN30" s="142" t="s">
        <v>9</v>
      </c>
      <c r="AO30" s="142" t="s">
        <v>9</v>
      </c>
      <c r="AP30" s="142" t="s">
        <v>9</v>
      </c>
      <c r="AQ30" s="142" t="s">
        <v>9</v>
      </c>
      <c r="AR30" s="142" t="s">
        <v>9</v>
      </c>
      <c r="AS30" s="142" t="s">
        <v>9</v>
      </c>
      <c r="AT30" s="142" t="s">
        <v>9</v>
      </c>
      <c r="AU30" s="142" t="s">
        <v>9</v>
      </c>
      <c r="AV30" s="142" t="s">
        <v>9</v>
      </c>
      <c r="AW30" s="142"/>
      <c r="AX30" s="142"/>
      <c r="AY30" s="142"/>
      <c r="AZ30" s="142"/>
      <c r="BA30" s="142"/>
      <c r="BB30" s="142"/>
      <c r="BC30" s="142" t="s">
        <v>9</v>
      </c>
      <c r="BD30" s="142" t="s">
        <v>9</v>
      </c>
      <c r="BE30" s="142" t="s">
        <v>9</v>
      </c>
      <c r="BF30" s="142"/>
      <c r="BG30" s="142" t="s">
        <v>9</v>
      </c>
      <c r="BH30" s="142" t="s">
        <v>9</v>
      </c>
      <c r="BI30" s="142" t="s">
        <v>9</v>
      </c>
      <c r="BJ30" s="142" t="s">
        <v>9</v>
      </c>
      <c r="BK30" s="142" t="s">
        <v>9</v>
      </c>
      <c r="BL30" s="142"/>
      <c r="BM30" s="147">
        <v>1</v>
      </c>
      <c r="BN30" s="175"/>
      <c r="BO30" s="175"/>
      <c r="BP30" s="175" t="s">
        <v>893</v>
      </c>
      <c r="BQ30" s="207"/>
      <c r="BR30" s="175">
        <v>2.1999999999999999E-2</v>
      </c>
      <c r="BS30" s="175">
        <v>0.16</v>
      </c>
      <c r="BT30" s="175">
        <v>6.0999999999999999E-2</v>
      </c>
      <c r="BU30" s="175">
        <f t="shared" si="2"/>
        <v>1.0999999999999999E-2</v>
      </c>
      <c r="BV30" s="175"/>
      <c r="BW30" s="166"/>
      <c r="BX30" s="138">
        <v>72</v>
      </c>
      <c r="CB30" s="170"/>
    </row>
    <row r="31" spans="1:80" x14ac:dyDescent="0.25">
      <c r="A31" s="138" t="s">
        <v>617</v>
      </c>
      <c r="B31" s="144">
        <v>8353</v>
      </c>
      <c r="C31" s="145" t="s">
        <v>9</v>
      </c>
      <c r="D31" s="146" t="s">
        <v>9</v>
      </c>
      <c r="O31" s="145" t="s">
        <v>9</v>
      </c>
      <c r="P31" s="146" t="s">
        <v>9</v>
      </c>
      <c r="S31" s="138">
        <f t="shared" si="0"/>
        <v>7</v>
      </c>
      <c r="T31" s="138">
        <f t="shared" si="1"/>
        <v>5</v>
      </c>
      <c r="U31" s="138"/>
      <c r="V31" s="138"/>
      <c r="W31" s="138"/>
      <c r="X31" s="138"/>
      <c r="Y31" s="138"/>
      <c r="Z31" s="138"/>
      <c r="AA31" s="138"/>
      <c r="AB31" s="139"/>
      <c r="AC31" s="141">
        <v>4</v>
      </c>
      <c r="AD31" s="142">
        <v>7</v>
      </c>
      <c r="AE31" s="142"/>
      <c r="AF31" s="142" t="s">
        <v>710</v>
      </c>
      <c r="AG31" s="142">
        <v>1</v>
      </c>
      <c r="AH31" s="142">
        <v>5</v>
      </c>
      <c r="AI31" s="142">
        <v>0</v>
      </c>
      <c r="AJ31" s="142" t="s">
        <v>86</v>
      </c>
      <c r="AK31" s="142" t="s">
        <v>48</v>
      </c>
      <c r="AL31" s="142" t="s">
        <v>705</v>
      </c>
      <c r="AM31" s="142" t="s">
        <v>9</v>
      </c>
      <c r="AN31" s="142" t="s">
        <v>9</v>
      </c>
      <c r="AO31" s="142" t="s">
        <v>9</v>
      </c>
      <c r="AP31" s="142"/>
      <c r="AQ31" s="142" t="s">
        <v>9</v>
      </c>
      <c r="AR31" s="142" t="s">
        <v>9</v>
      </c>
      <c r="AS31" s="142" t="s">
        <v>9</v>
      </c>
      <c r="AT31" s="142" t="s">
        <v>9</v>
      </c>
      <c r="AU31" s="142" t="s">
        <v>9</v>
      </c>
      <c r="AV31" s="142" t="s">
        <v>9</v>
      </c>
      <c r="AW31" s="142" t="s">
        <v>9</v>
      </c>
      <c r="AX31" s="142" t="s">
        <v>9</v>
      </c>
      <c r="AY31" s="142" t="s">
        <v>9</v>
      </c>
      <c r="AZ31" s="142" t="s">
        <v>9</v>
      </c>
      <c r="BA31" s="142" t="s">
        <v>9</v>
      </c>
      <c r="BB31" s="142" t="s">
        <v>9</v>
      </c>
      <c r="BC31" s="142"/>
      <c r="BD31" s="142" t="s">
        <v>9</v>
      </c>
      <c r="BE31" s="142" t="s">
        <v>9</v>
      </c>
      <c r="BF31" s="142"/>
      <c r="BG31" s="142" t="s">
        <v>9</v>
      </c>
      <c r="BH31" s="142" t="s">
        <v>9</v>
      </c>
      <c r="BI31" s="142" t="s">
        <v>9</v>
      </c>
      <c r="BJ31" s="142" t="s">
        <v>9</v>
      </c>
      <c r="BK31" s="142" t="s">
        <v>9</v>
      </c>
      <c r="BL31" s="142" t="s">
        <v>9</v>
      </c>
      <c r="BM31" s="147">
        <v>1</v>
      </c>
      <c r="BN31" s="175"/>
      <c r="BO31" s="175"/>
      <c r="BP31" s="175" t="s">
        <v>893</v>
      </c>
      <c r="BQ31" s="207"/>
      <c r="BR31" s="175">
        <v>0.02</v>
      </c>
      <c r="BS31" s="175">
        <v>0.17499999999999999</v>
      </c>
      <c r="BT31" s="175">
        <v>6.5000000000000002E-2</v>
      </c>
      <c r="BU31" s="175">
        <f t="shared" si="2"/>
        <v>0.01</v>
      </c>
      <c r="BV31" s="175"/>
      <c r="BW31" s="138">
        <v>17</v>
      </c>
      <c r="BX31" s="138"/>
      <c r="CB31" s="170"/>
    </row>
    <row r="32" spans="1:80" x14ac:dyDescent="0.25">
      <c r="A32" s="138" t="s">
        <v>617</v>
      </c>
      <c r="B32" s="144">
        <v>8354</v>
      </c>
      <c r="C32" s="145" t="s">
        <v>9</v>
      </c>
      <c r="D32" s="146" t="s">
        <v>9</v>
      </c>
      <c r="O32" s="145" t="s">
        <v>9</v>
      </c>
      <c r="S32" s="138">
        <f t="shared" si="0"/>
        <v>7</v>
      </c>
      <c r="T32" s="138">
        <f t="shared" si="1"/>
        <v>5</v>
      </c>
      <c r="U32" s="138"/>
      <c r="V32" s="138"/>
      <c r="W32" s="138"/>
      <c r="X32" s="138"/>
      <c r="Y32" s="138"/>
      <c r="Z32" s="138"/>
      <c r="AA32" s="138"/>
      <c r="AB32" s="139"/>
      <c r="AC32" s="141">
        <v>4</v>
      </c>
      <c r="AD32" s="142">
        <v>7</v>
      </c>
      <c r="AE32" s="142"/>
      <c r="AF32" s="142" t="s">
        <v>706</v>
      </c>
      <c r="AG32" s="142">
        <v>1</v>
      </c>
      <c r="AH32" s="142">
        <v>5</v>
      </c>
      <c r="AI32" s="142">
        <v>0</v>
      </c>
      <c r="AJ32" s="142" t="s">
        <v>86</v>
      </c>
      <c r="AK32" s="142" t="s">
        <v>48</v>
      </c>
      <c r="AL32" s="142" t="s">
        <v>705</v>
      </c>
      <c r="AM32" s="142" t="s">
        <v>9</v>
      </c>
      <c r="AN32" s="142" t="s">
        <v>9</v>
      </c>
      <c r="AO32" s="142" t="s">
        <v>9</v>
      </c>
      <c r="AP32" s="142" t="s">
        <v>9</v>
      </c>
      <c r="AQ32" s="142" t="s">
        <v>9</v>
      </c>
      <c r="AR32" s="142" t="s">
        <v>9</v>
      </c>
      <c r="AS32" s="142" t="s">
        <v>9</v>
      </c>
      <c r="AT32" s="142" t="s">
        <v>9</v>
      </c>
      <c r="AU32" s="142"/>
      <c r="AV32" s="142" t="s">
        <v>9</v>
      </c>
      <c r="AW32" s="142" t="s">
        <v>9</v>
      </c>
      <c r="AX32" s="142" t="s">
        <v>9</v>
      </c>
      <c r="AY32" s="142" t="s">
        <v>9</v>
      </c>
      <c r="AZ32" s="142" t="s">
        <v>9</v>
      </c>
      <c r="BA32" s="142" t="s">
        <v>9</v>
      </c>
      <c r="BB32" s="142" t="s">
        <v>9</v>
      </c>
      <c r="BC32" s="142"/>
      <c r="BD32" s="142" t="s">
        <v>9</v>
      </c>
      <c r="BE32" s="142" t="s">
        <v>9</v>
      </c>
      <c r="BF32" s="142"/>
      <c r="BG32" s="142" t="s">
        <v>9</v>
      </c>
      <c r="BH32" s="142" t="s">
        <v>9</v>
      </c>
      <c r="BI32" s="142" t="s">
        <v>9</v>
      </c>
      <c r="BJ32" s="142" t="s">
        <v>9</v>
      </c>
      <c r="BK32" s="142" t="s">
        <v>9</v>
      </c>
      <c r="BL32" s="142" t="s">
        <v>9</v>
      </c>
      <c r="BM32" s="147">
        <v>1</v>
      </c>
      <c r="BN32" s="175"/>
      <c r="BO32" s="175"/>
      <c r="BP32" s="175" t="s">
        <v>893</v>
      </c>
      <c r="BQ32" s="207"/>
      <c r="BR32" s="175">
        <v>2.1999999999999999E-2</v>
      </c>
      <c r="BS32" s="175">
        <v>0.13400000000000001</v>
      </c>
      <c r="BT32" s="175">
        <v>8.6999999999999994E-2</v>
      </c>
      <c r="BU32" s="175">
        <f t="shared" si="2"/>
        <v>1.0999999999999999E-2</v>
      </c>
      <c r="BV32" s="175"/>
      <c r="BW32" s="138">
        <v>18</v>
      </c>
      <c r="BX32" s="138"/>
      <c r="CB32" s="170"/>
    </row>
    <row r="33" spans="1:80" x14ac:dyDescent="0.25">
      <c r="A33" s="138" t="s">
        <v>617</v>
      </c>
      <c r="B33" s="144">
        <v>8437</v>
      </c>
      <c r="S33" s="138">
        <f t="shared" si="0"/>
        <v>7</v>
      </c>
      <c r="T33" s="138">
        <f t="shared" si="1"/>
        <v>5</v>
      </c>
      <c r="U33" s="138"/>
      <c r="V33" s="138"/>
      <c r="W33" s="138"/>
      <c r="X33" s="138"/>
      <c r="Y33" s="138"/>
      <c r="Z33" s="138"/>
      <c r="AA33" s="138"/>
      <c r="AB33" s="139"/>
      <c r="AC33" s="141">
        <v>4</v>
      </c>
      <c r="AD33" s="142">
        <v>7</v>
      </c>
      <c r="AE33" s="142"/>
      <c r="AF33" s="142">
        <v>0</v>
      </c>
      <c r="AG33" s="142">
        <v>1</v>
      </c>
      <c r="AH33" s="142">
        <v>5</v>
      </c>
      <c r="AI33" s="142">
        <v>0</v>
      </c>
      <c r="AJ33" s="142" t="s">
        <v>86</v>
      </c>
      <c r="AK33" s="142" t="s">
        <v>48</v>
      </c>
      <c r="AL33" s="142" t="s">
        <v>705</v>
      </c>
      <c r="AM33" s="142"/>
      <c r="AN33" s="142"/>
      <c r="AO33" s="142"/>
      <c r="AP33" s="142" t="s">
        <v>9</v>
      </c>
      <c r="AQ33" s="142" t="s">
        <v>9</v>
      </c>
      <c r="AR33" s="142" t="s">
        <v>9</v>
      </c>
      <c r="AS33" s="142" t="s">
        <v>9</v>
      </c>
      <c r="AT33" s="142" t="s">
        <v>9</v>
      </c>
      <c r="AU33" s="142"/>
      <c r="AV33" s="142" t="s">
        <v>9</v>
      </c>
      <c r="AW33" s="142" t="s">
        <v>9</v>
      </c>
      <c r="AX33" s="142" t="s">
        <v>9</v>
      </c>
      <c r="AY33" s="142" t="s">
        <v>9</v>
      </c>
      <c r="AZ33" s="142" t="s">
        <v>9</v>
      </c>
      <c r="BA33" s="142" t="s">
        <v>9</v>
      </c>
      <c r="BB33" s="142" t="s">
        <v>9</v>
      </c>
      <c r="BC33" s="142"/>
      <c r="BD33" s="142" t="s">
        <v>9</v>
      </c>
      <c r="BE33" s="142" t="s">
        <v>9</v>
      </c>
      <c r="BF33" s="142"/>
      <c r="BG33" s="142" t="s">
        <v>9</v>
      </c>
      <c r="BH33" s="142" t="s">
        <v>9</v>
      </c>
      <c r="BI33" s="142" t="s">
        <v>9</v>
      </c>
      <c r="BJ33" s="142" t="s">
        <v>9</v>
      </c>
      <c r="BK33" s="142" t="s">
        <v>9</v>
      </c>
      <c r="BL33" s="142" t="s">
        <v>9</v>
      </c>
      <c r="BM33" s="147">
        <v>1</v>
      </c>
      <c r="BN33" s="175"/>
      <c r="BO33" s="175"/>
      <c r="BP33" s="175" t="s">
        <v>893</v>
      </c>
      <c r="BQ33" s="207"/>
      <c r="BR33" s="175">
        <v>2.35E-2</v>
      </c>
      <c r="BS33" s="175">
        <v>0.122</v>
      </c>
      <c r="BT33" s="175">
        <v>5.6000000000000001E-2</v>
      </c>
      <c r="BU33" s="175">
        <f t="shared" si="2"/>
        <v>1.175E-2</v>
      </c>
      <c r="BV33" s="175"/>
      <c r="BW33" s="138">
        <v>19</v>
      </c>
      <c r="BX33" s="138"/>
      <c r="CB33" s="170"/>
    </row>
    <row r="34" spans="1:80" x14ac:dyDescent="0.25">
      <c r="A34" s="138" t="s">
        <v>617</v>
      </c>
      <c r="B34" s="144">
        <v>8527</v>
      </c>
      <c r="C34" s="145" t="s">
        <v>9</v>
      </c>
      <c r="D34" s="146" t="s">
        <v>9</v>
      </c>
      <c r="O34" s="145" t="s">
        <v>9</v>
      </c>
      <c r="S34" s="138">
        <f t="shared" si="0"/>
        <v>7</v>
      </c>
      <c r="T34" s="138">
        <f t="shared" si="1"/>
        <v>5</v>
      </c>
      <c r="U34" s="138"/>
      <c r="V34" s="138"/>
      <c r="W34" s="138"/>
      <c r="X34" s="138"/>
      <c r="Y34" s="138"/>
      <c r="Z34" s="138"/>
      <c r="AA34" s="138"/>
      <c r="AB34" s="139"/>
      <c r="AC34" s="141">
        <v>4</v>
      </c>
      <c r="AD34" s="142">
        <v>7</v>
      </c>
      <c r="AE34" s="142"/>
      <c r="AF34" s="142" t="s">
        <v>706</v>
      </c>
      <c r="AG34" s="142">
        <v>1</v>
      </c>
      <c r="AH34" s="142">
        <v>5</v>
      </c>
      <c r="AI34" s="142">
        <v>0</v>
      </c>
      <c r="AJ34" s="142" t="s">
        <v>86</v>
      </c>
      <c r="AK34" s="142" t="s">
        <v>48</v>
      </c>
      <c r="AL34" s="142" t="s">
        <v>705</v>
      </c>
      <c r="AM34" s="142" t="s">
        <v>9</v>
      </c>
      <c r="AN34" s="142" t="s">
        <v>9</v>
      </c>
      <c r="AO34" s="142" t="s">
        <v>9</v>
      </c>
      <c r="AP34" s="142" t="s">
        <v>9</v>
      </c>
      <c r="AQ34" s="142" t="s">
        <v>9</v>
      </c>
      <c r="AR34" s="142" t="s">
        <v>9</v>
      </c>
      <c r="AS34" s="142" t="s">
        <v>9</v>
      </c>
      <c r="AT34" s="142" t="s">
        <v>9</v>
      </c>
      <c r="AU34" s="142" t="s">
        <v>9</v>
      </c>
      <c r="AV34" s="142" t="s">
        <v>9</v>
      </c>
      <c r="AW34" s="142" t="s">
        <v>9</v>
      </c>
      <c r="AX34" s="142" t="s">
        <v>9</v>
      </c>
      <c r="AY34" s="142" t="s">
        <v>9</v>
      </c>
      <c r="AZ34" s="142" t="s">
        <v>9</v>
      </c>
      <c r="BA34" s="142" t="s">
        <v>9</v>
      </c>
      <c r="BB34" s="142" t="s">
        <v>9</v>
      </c>
      <c r="BC34" s="142"/>
      <c r="BD34" s="142" t="s">
        <v>9</v>
      </c>
      <c r="BE34" s="142" t="s">
        <v>9</v>
      </c>
      <c r="BF34" s="142"/>
      <c r="BG34" s="142" t="s">
        <v>9</v>
      </c>
      <c r="BH34" s="142" t="s">
        <v>9</v>
      </c>
      <c r="BI34" s="142" t="s">
        <v>9</v>
      </c>
      <c r="BJ34" s="142" t="s">
        <v>9</v>
      </c>
      <c r="BK34" s="142" t="s">
        <v>9</v>
      </c>
      <c r="BL34" s="142" t="s">
        <v>9</v>
      </c>
      <c r="BM34" s="147">
        <v>1</v>
      </c>
      <c r="BN34" s="175"/>
      <c r="BO34" s="175">
        <v>1</v>
      </c>
      <c r="BP34" s="175" t="s">
        <v>893</v>
      </c>
      <c r="BQ34" s="205" t="s">
        <v>876</v>
      </c>
      <c r="BR34" s="175">
        <v>2.35E-2</v>
      </c>
      <c r="BS34" s="175">
        <v>0.13800000000000001</v>
      </c>
      <c r="BT34" s="175">
        <v>6.2E-2</v>
      </c>
      <c r="BU34" s="175">
        <f t="shared" si="2"/>
        <v>1.175E-2</v>
      </c>
      <c r="BV34" s="175"/>
      <c r="BW34" s="138">
        <v>20</v>
      </c>
      <c r="BX34" s="138">
        <v>73</v>
      </c>
      <c r="CB34" s="170"/>
    </row>
    <row r="35" spans="1:80" x14ac:dyDescent="0.25">
      <c r="A35" s="138" t="s">
        <v>617</v>
      </c>
      <c r="B35" s="144" t="s">
        <v>717</v>
      </c>
      <c r="C35" s="145" t="s">
        <v>9</v>
      </c>
      <c r="D35" s="146" t="s">
        <v>9</v>
      </c>
      <c r="O35" s="145" t="s">
        <v>9</v>
      </c>
      <c r="S35" s="138">
        <f t="shared" si="0"/>
        <v>7</v>
      </c>
      <c r="T35" s="138">
        <f t="shared" si="1"/>
        <v>5</v>
      </c>
      <c r="U35" s="138"/>
      <c r="V35" s="138"/>
      <c r="W35" s="138"/>
      <c r="X35" s="138"/>
      <c r="Y35" s="138"/>
      <c r="Z35" s="138"/>
      <c r="AA35" s="138"/>
      <c r="AB35" s="139"/>
      <c r="AC35" s="141">
        <v>4</v>
      </c>
      <c r="AD35" s="142">
        <v>7</v>
      </c>
      <c r="AE35" s="142"/>
      <c r="AF35" s="142" t="s">
        <v>706</v>
      </c>
      <c r="AG35" s="142">
        <v>1</v>
      </c>
      <c r="AH35" s="142">
        <v>5</v>
      </c>
      <c r="AI35" s="142">
        <v>0</v>
      </c>
      <c r="AJ35" s="142" t="s">
        <v>86</v>
      </c>
      <c r="AK35" s="142" t="s">
        <v>48</v>
      </c>
      <c r="AL35" s="142" t="s">
        <v>705</v>
      </c>
      <c r="AM35" s="142" t="s">
        <v>9</v>
      </c>
      <c r="AN35" s="142" t="s">
        <v>9</v>
      </c>
      <c r="AO35" s="142" t="s">
        <v>9</v>
      </c>
      <c r="AP35" s="142" t="s">
        <v>9</v>
      </c>
      <c r="AQ35" s="142" t="s">
        <v>9</v>
      </c>
      <c r="AR35" s="142" t="s">
        <v>9</v>
      </c>
      <c r="AS35" s="142" t="s">
        <v>9</v>
      </c>
      <c r="AT35" s="142" t="s">
        <v>9</v>
      </c>
      <c r="AU35" s="142" t="s">
        <v>9</v>
      </c>
      <c r="AV35" s="142" t="s">
        <v>9</v>
      </c>
      <c r="AW35" s="142"/>
      <c r="AX35" s="142"/>
      <c r="AY35" s="142"/>
      <c r="AZ35" s="142"/>
      <c r="BA35" s="142"/>
      <c r="BB35" s="142"/>
      <c r="BC35" s="142" t="s">
        <v>9</v>
      </c>
      <c r="BD35" s="142" t="s">
        <v>9</v>
      </c>
      <c r="BE35" s="142" t="s">
        <v>9</v>
      </c>
      <c r="BF35" s="142"/>
      <c r="BG35" s="142" t="s">
        <v>9</v>
      </c>
      <c r="BH35" s="142" t="s">
        <v>9</v>
      </c>
      <c r="BI35" s="142" t="s">
        <v>9</v>
      </c>
      <c r="BJ35" s="142" t="s">
        <v>9</v>
      </c>
      <c r="BK35" s="142" t="s">
        <v>9</v>
      </c>
      <c r="BL35" s="142"/>
      <c r="BM35" s="147">
        <v>1</v>
      </c>
      <c r="BN35" s="175"/>
      <c r="BO35" s="175"/>
      <c r="BP35" s="175" t="s">
        <v>893</v>
      </c>
      <c r="BQ35" s="207"/>
      <c r="BR35" s="175">
        <v>2.1999999999999999E-2</v>
      </c>
      <c r="BS35" s="175">
        <v>0.16</v>
      </c>
      <c r="BT35" s="175">
        <v>6.0999999999999999E-2</v>
      </c>
      <c r="BU35" s="175">
        <f t="shared" si="2"/>
        <v>1.0999999999999999E-2</v>
      </c>
      <c r="BV35" s="175"/>
      <c r="BW35" s="166"/>
      <c r="BX35" s="138">
        <v>74</v>
      </c>
      <c r="CB35" s="170"/>
    </row>
    <row r="36" spans="1:80" x14ac:dyDescent="0.25">
      <c r="A36" s="138" t="s">
        <v>617</v>
      </c>
      <c r="B36" s="144">
        <v>8810</v>
      </c>
      <c r="C36" s="145" t="s">
        <v>9</v>
      </c>
      <c r="D36" s="146" t="s">
        <v>9</v>
      </c>
      <c r="O36" s="145" t="s">
        <v>9</v>
      </c>
      <c r="P36" s="146" t="s">
        <v>9</v>
      </c>
      <c r="S36" s="138">
        <f t="shared" si="0"/>
        <v>7</v>
      </c>
      <c r="T36" s="138">
        <f t="shared" si="1"/>
        <v>5</v>
      </c>
      <c r="U36" s="138"/>
      <c r="V36" s="138"/>
      <c r="W36" s="138"/>
      <c r="X36" s="138"/>
      <c r="Y36" s="138"/>
      <c r="Z36" s="138"/>
      <c r="AA36" s="138"/>
      <c r="AB36" s="139"/>
      <c r="AC36" s="141">
        <v>4</v>
      </c>
      <c r="AD36" s="142">
        <v>7</v>
      </c>
      <c r="AE36" s="142"/>
      <c r="AF36" s="142" t="s">
        <v>706</v>
      </c>
      <c r="AG36" s="142">
        <v>1</v>
      </c>
      <c r="AH36" s="142">
        <v>5</v>
      </c>
      <c r="AI36" s="142">
        <v>0</v>
      </c>
      <c r="AJ36" s="142" t="s">
        <v>86</v>
      </c>
      <c r="AK36" s="142" t="s">
        <v>48</v>
      </c>
      <c r="AL36" s="142" t="s">
        <v>705</v>
      </c>
      <c r="AM36" s="142" t="s">
        <v>9</v>
      </c>
      <c r="AN36" s="142" t="s">
        <v>9</v>
      </c>
      <c r="AO36" s="142" t="s">
        <v>9</v>
      </c>
      <c r="AP36" s="142" t="s">
        <v>9</v>
      </c>
      <c r="AQ36" s="142" t="s">
        <v>9</v>
      </c>
      <c r="AR36" s="142" t="s">
        <v>9</v>
      </c>
      <c r="AS36" s="142" t="s">
        <v>9</v>
      </c>
      <c r="AT36" s="142" t="s">
        <v>9</v>
      </c>
      <c r="AU36" s="142"/>
      <c r="AV36" s="142" t="s">
        <v>9</v>
      </c>
      <c r="AW36" s="142" t="s">
        <v>9</v>
      </c>
      <c r="AX36" s="142" t="s">
        <v>9</v>
      </c>
      <c r="AY36" s="142" t="s">
        <v>9</v>
      </c>
      <c r="AZ36" s="142" t="s">
        <v>9</v>
      </c>
      <c r="BA36" s="142" t="s">
        <v>9</v>
      </c>
      <c r="BB36" s="142" t="s">
        <v>9</v>
      </c>
      <c r="BC36" s="142"/>
      <c r="BD36" s="142" t="s">
        <v>9</v>
      </c>
      <c r="BE36" s="142" t="s">
        <v>9</v>
      </c>
      <c r="BF36" s="142"/>
      <c r="BG36" s="142" t="s">
        <v>9</v>
      </c>
      <c r="BH36" s="142" t="s">
        <v>9</v>
      </c>
      <c r="BI36" s="142" t="s">
        <v>9</v>
      </c>
      <c r="BJ36" s="142" t="s">
        <v>9</v>
      </c>
      <c r="BK36" s="142" t="s">
        <v>9</v>
      </c>
      <c r="BL36" s="142" t="s">
        <v>9</v>
      </c>
      <c r="BM36" s="147">
        <v>1</v>
      </c>
      <c r="BN36" s="175"/>
      <c r="BO36" s="175"/>
      <c r="BP36" s="175" t="s">
        <v>893</v>
      </c>
      <c r="BQ36" s="207"/>
      <c r="BR36" s="175">
        <v>0.02</v>
      </c>
      <c r="BS36" s="175">
        <v>0.15</v>
      </c>
      <c r="BT36" s="175">
        <v>6.5000000000000002E-2</v>
      </c>
      <c r="BU36" s="175">
        <f t="shared" si="2"/>
        <v>0.01</v>
      </c>
      <c r="BV36" s="175"/>
      <c r="BW36" s="138">
        <v>21</v>
      </c>
      <c r="BX36" s="138"/>
      <c r="CB36" s="170"/>
    </row>
    <row r="37" spans="1:80" x14ac:dyDescent="0.25">
      <c r="A37" s="138" t="s">
        <v>617</v>
      </c>
      <c r="B37" s="144">
        <v>8811</v>
      </c>
      <c r="C37" s="145" t="s">
        <v>9</v>
      </c>
      <c r="D37" s="146" t="s">
        <v>9</v>
      </c>
      <c r="O37" s="145" t="s">
        <v>9</v>
      </c>
      <c r="S37" s="138">
        <f t="shared" si="0"/>
        <v>7</v>
      </c>
      <c r="T37" s="138">
        <f t="shared" si="1"/>
        <v>5</v>
      </c>
      <c r="U37" s="138"/>
      <c r="V37" s="138"/>
      <c r="W37" s="138"/>
      <c r="X37" s="138"/>
      <c r="Y37" s="138"/>
      <c r="Z37" s="138"/>
      <c r="AA37" s="138"/>
      <c r="AB37" s="139"/>
      <c r="AC37" s="141">
        <v>4</v>
      </c>
      <c r="AD37" s="142">
        <v>7</v>
      </c>
      <c r="AE37" s="142"/>
      <c r="AF37" s="142" t="s">
        <v>706</v>
      </c>
      <c r="AG37" s="142">
        <v>1</v>
      </c>
      <c r="AH37" s="142">
        <v>5</v>
      </c>
      <c r="AI37" s="142">
        <v>0</v>
      </c>
      <c r="AJ37" s="142" t="s">
        <v>86</v>
      </c>
      <c r="AK37" s="142" t="s">
        <v>48</v>
      </c>
      <c r="AL37" s="142" t="s">
        <v>705</v>
      </c>
      <c r="AM37" s="142" t="s">
        <v>9</v>
      </c>
      <c r="AN37" s="142" t="s">
        <v>9</v>
      </c>
      <c r="AO37" s="142" t="s">
        <v>9</v>
      </c>
      <c r="AP37" s="142" t="s">
        <v>9</v>
      </c>
      <c r="AQ37" s="142" t="s">
        <v>9</v>
      </c>
      <c r="AR37" s="142" t="s">
        <v>9</v>
      </c>
      <c r="AS37" s="142" t="s">
        <v>9</v>
      </c>
      <c r="AT37" s="142" t="s">
        <v>9</v>
      </c>
      <c r="AU37" s="142"/>
      <c r="AV37" s="142" t="s">
        <v>9</v>
      </c>
      <c r="AW37" s="142" t="s">
        <v>9</v>
      </c>
      <c r="AX37" s="142" t="s">
        <v>9</v>
      </c>
      <c r="AY37" s="142" t="s">
        <v>9</v>
      </c>
      <c r="AZ37" s="142" t="s">
        <v>9</v>
      </c>
      <c r="BA37" s="142" t="s">
        <v>9</v>
      </c>
      <c r="BB37" s="142" t="s">
        <v>9</v>
      </c>
      <c r="BC37" s="142"/>
      <c r="BD37" s="142" t="s">
        <v>9</v>
      </c>
      <c r="BE37" s="142" t="s">
        <v>9</v>
      </c>
      <c r="BF37" s="142"/>
      <c r="BG37" s="142" t="s">
        <v>9</v>
      </c>
      <c r="BH37" s="142" t="s">
        <v>9</v>
      </c>
      <c r="BI37" s="142" t="s">
        <v>9</v>
      </c>
      <c r="BJ37" s="142" t="s">
        <v>9</v>
      </c>
      <c r="BK37" s="142" t="s">
        <v>9</v>
      </c>
      <c r="BL37" s="142" t="s">
        <v>9</v>
      </c>
      <c r="BM37" s="147">
        <v>1</v>
      </c>
      <c r="BN37" s="175"/>
      <c r="BO37" s="175"/>
      <c r="BP37" s="175" t="s">
        <v>893</v>
      </c>
      <c r="BQ37" s="207"/>
      <c r="BR37" s="175">
        <v>0.02</v>
      </c>
      <c r="BS37" s="175">
        <v>0.15</v>
      </c>
      <c r="BT37" s="175">
        <v>6.5000000000000002E-2</v>
      </c>
      <c r="BU37" s="175">
        <f t="shared" si="2"/>
        <v>0.01</v>
      </c>
      <c r="BV37" s="175"/>
      <c r="BW37" s="138">
        <v>22</v>
      </c>
      <c r="BX37" s="138"/>
      <c r="CB37" s="170"/>
    </row>
    <row r="38" spans="1:80" x14ac:dyDescent="0.25">
      <c r="A38" s="138" t="s">
        <v>617</v>
      </c>
      <c r="B38" s="144">
        <v>8815</v>
      </c>
      <c r="C38" s="145" t="s">
        <v>9</v>
      </c>
      <c r="D38" s="146" t="s">
        <v>9</v>
      </c>
      <c r="S38" s="138">
        <f t="shared" si="0"/>
        <v>7</v>
      </c>
      <c r="T38" s="138">
        <f t="shared" si="1"/>
        <v>5</v>
      </c>
      <c r="U38" s="138"/>
      <c r="V38" s="138"/>
      <c r="W38" s="138"/>
      <c r="X38" s="138"/>
      <c r="Y38" s="138"/>
      <c r="Z38" s="138"/>
      <c r="AA38" s="138"/>
      <c r="AB38" s="139"/>
      <c r="AC38" s="141">
        <v>4</v>
      </c>
      <c r="AD38" s="142">
        <v>7</v>
      </c>
      <c r="AE38" s="142"/>
      <c r="AF38" s="142" t="s">
        <v>706</v>
      </c>
      <c r="AG38" s="142">
        <v>1</v>
      </c>
      <c r="AH38" s="142">
        <v>5</v>
      </c>
      <c r="AI38" s="142">
        <v>0</v>
      </c>
      <c r="AJ38" s="142" t="s">
        <v>86</v>
      </c>
      <c r="AK38" s="142" t="s">
        <v>48</v>
      </c>
      <c r="AL38" s="142" t="s">
        <v>705</v>
      </c>
      <c r="AM38" s="142" t="s">
        <v>9</v>
      </c>
      <c r="AN38" s="142" t="s">
        <v>9</v>
      </c>
      <c r="AO38" s="142" t="s">
        <v>9</v>
      </c>
      <c r="AP38" s="142" t="s">
        <v>9</v>
      </c>
      <c r="AQ38" s="142" t="s">
        <v>9</v>
      </c>
      <c r="AR38" s="142" t="s">
        <v>9</v>
      </c>
      <c r="AS38" s="142" t="s">
        <v>9</v>
      </c>
      <c r="AT38" s="142" t="s">
        <v>9</v>
      </c>
      <c r="AU38" s="142"/>
      <c r="AV38" s="142" t="s">
        <v>9</v>
      </c>
      <c r="AW38" s="142" t="s">
        <v>9</v>
      </c>
      <c r="AX38" s="142" t="s">
        <v>9</v>
      </c>
      <c r="AY38" s="142" t="s">
        <v>9</v>
      </c>
      <c r="AZ38" s="142" t="s">
        <v>9</v>
      </c>
      <c r="BA38" s="142" t="s">
        <v>9</v>
      </c>
      <c r="BB38" s="142" t="s">
        <v>9</v>
      </c>
      <c r="BC38" s="142"/>
      <c r="BD38" s="142" t="s">
        <v>9</v>
      </c>
      <c r="BE38" s="142" t="s">
        <v>9</v>
      </c>
      <c r="BF38" s="142"/>
      <c r="BG38" s="142" t="s">
        <v>9</v>
      </c>
      <c r="BH38" s="142" t="s">
        <v>9</v>
      </c>
      <c r="BI38" s="142" t="s">
        <v>9</v>
      </c>
      <c r="BJ38" s="142" t="s">
        <v>9</v>
      </c>
      <c r="BK38" s="142" t="s">
        <v>9</v>
      </c>
      <c r="BL38" s="142" t="s">
        <v>9</v>
      </c>
      <c r="BM38" s="147">
        <v>1</v>
      </c>
      <c r="BN38" s="175"/>
      <c r="BO38" s="175"/>
      <c r="BP38" s="175" t="s">
        <v>893</v>
      </c>
      <c r="BQ38" s="207"/>
      <c r="BR38" s="175">
        <v>0.02</v>
      </c>
      <c r="BS38" s="175">
        <v>0.14499999999999999</v>
      </c>
      <c r="BT38" s="175">
        <v>0.06</v>
      </c>
      <c r="BU38" s="175">
        <f t="shared" si="2"/>
        <v>0.01</v>
      </c>
      <c r="BV38" s="175"/>
      <c r="BW38" s="138">
        <v>23</v>
      </c>
      <c r="BX38" s="138"/>
      <c r="CB38" s="170"/>
    </row>
    <row r="39" spans="1:80" x14ac:dyDescent="0.25">
      <c r="A39" s="138" t="s">
        <v>617</v>
      </c>
      <c r="B39" s="144">
        <v>8825</v>
      </c>
      <c r="C39" s="145" t="s">
        <v>9</v>
      </c>
      <c r="D39" s="146" t="s">
        <v>9</v>
      </c>
      <c r="S39" s="138">
        <f t="shared" si="0"/>
        <v>7</v>
      </c>
      <c r="T39" s="138">
        <f t="shared" si="1"/>
        <v>5</v>
      </c>
      <c r="U39" s="138"/>
      <c r="V39" s="138"/>
      <c r="W39" s="138"/>
      <c r="X39" s="138"/>
      <c r="Y39" s="138"/>
      <c r="Z39" s="138"/>
      <c r="AA39" s="138"/>
      <c r="AB39" s="139"/>
      <c r="AC39" s="141">
        <v>4</v>
      </c>
      <c r="AD39" s="142">
        <v>7</v>
      </c>
      <c r="AE39" s="142"/>
      <c r="AF39" s="142" t="s">
        <v>706</v>
      </c>
      <c r="AG39" s="142">
        <v>1</v>
      </c>
      <c r="AH39" s="142">
        <v>5</v>
      </c>
      <c r="AI39" s="142">
        <v>0</v>
      </c>
      <c r="AJ39" s="142" t="s">
        <v>86</v>
      </c>
      <c r="AK39" s="142" t="s">
        <v>48</v>
      </c>
      <c r="AL39" s="142" t="s">
        <v>705</v>
      </c>
      <c r="AM39" s="142" t="s">
        <v>9</v>
      </c>
      <c r="AN39" s="142" t="s">
        <v>9</v>
      </c>
      <c r="AO39" s="142" t="s">
        <v>9</v>
      </c>
      <c r="AP39" s="142" t="s">
        <v>9</v>
      </c>
      <c r="AQ39" s="142" t="s">
        <v>9</v>
      </c>
      <c r="AR39" s="142" t="s">
        <v>9</v>
      </c>
      <c r="AS39" s="142" t="s">
        <v>9</v>
      </c>
      <c r="AT39" s="142" t="s">
        <v>9</v>
      </c>
      <c r="AU39" s="142"/>
      <c r="AV39" s="142" t="s">
        <v>9</v>
      </c>
      <c r="AW39" s="142" t="s">
        <v>9</v>
      </c>
      <c r="AX39" s="142" t="s">
        <v>9</v>
      </c>
      <c r="AY39" s="142" t="s">
        <v>9</v>
      </c>
      <c r="AZ39" s="142" t="s">
        <v>9</v>
      </c>
      <c r="BA39" s="142" t="s">
        <v>9</v>
      </c>
      <c r="BB39" s="142" t="s">
        <v>9</v>
      </c>
      <c r="BC39" s="142"/>
      <c r="BD39" s="142" t="s">
        <v>9</v>
      </c>
      <c r="BE39" s="142" t="s">
        <v>9</v>
      </c>
      <c r="BF39" s="142"/>
      <c r="BG39" s="142" t="s">
        <v>9</v>
      </c>
      <c r="BH39" s="142" t="s">
        <v>9</v>
      </c>
      <c r="BI39" s="142" t="s">
        <v>9</v>
      </c>
      <c r="BJ39" s="142" t="s">
        <v>9</v>
      </c>
      <c r="BK39" s="142" t="s">
        <v>9</v>
      </c>
      <c r="BL39" s="142" t="s">
        <v>9</v>
      </c>
      <c r="BM39" s="147">
        <v>1</v>
      </c>
      <c r="BN39" s="175"/>
      <c r="BO39" s="175"/>
      <c r="BP39" s="175" t="s">
        <v>893</v>
      </c>
      <c r="BQ39" s="207"/>
      <c r="BR39" s="175">
        <f>0.0244*2</f>
        <v>4.8800000000000003E-2</v>
      </c>
      <c r="BS39" s="175">
        <v>0.14699999999999999</v>
      </c>
      <c r="BT39" s="175">
        <v>0.06</v>
      </c>
      <c r="BU39" s="175">
        <f t="shared" si="2"/>
        <v>2.4400000000000002E-2</v>
      </c>
      <c r="BV39" s="175"/>
      <c r="BW39" s="138">
        <v>24</v>
      </c>
      <c r="BX39" s="138"/>
      <c r="CB39" s="170"/>
    </row>
    <row r="40" spans="1:80" x14ac:dyDescent="0.25">
      <c r="A40" s="138" t="s">
        <v>617</v>
      </c>
      <c r="B40" s="144">
        <v>8826</v>
      </c>
      <c r="C40" s="145" t="s">
        <v>9</v>
      </c>
      <c r="D40" s="146" t="s">
        <v>9</v>
      </c>
      <c r="S40" s="138">
        <f t="shared" si="0"/>
        <v>7</v>
      </c>
      <c r="T40" s="138">
        <f t="shared" si="1"/>
        <v>5</v>
      </c>
      <c r="U40" s="138"/>
      <c r="V40" s="138"/>
      <c r="W40" s="138"/>
      <c r="X40" s="138"/>
      <c r="Y40" s="138"/>
      <c r="Z40" s="138"/>
      <c r="AA40" s="138"/>
      <c r="AB40" s="139"/>
      <c r="AC40" s="141">
        <v>4</v>
      </c>
      <c r="AD40" s="142">
        <v>7</v>
      </c>
      <c r="AE40" s="142"/>
      <c r="AF40" s="142" t="s">
        <v>710</v>
      </c>
      <c r="AG40" s="142">
        <v>1</v>
      </c>
      <c r="AH40" s="142">
        <v>5</v>
      </c>
      <c r="AI40" s="142">
        <v>0</v>
      </c>
      <c r="AJ40" s="142" t="s">
        <v>86</v>
      </c>
      <c r="AK40" s="142" t="s">
        <v>48</v>
      </c>
      <c r="AL40" s="142" t="s">
        <v>705</v>
      </c>
      <c r="AM40" s="142" t="s">
        <v>9</v>
      </c>
      <c r="AN40" s="142" t="s">
        <v>9</v>
      </c>
      <c r="AO40" s="142" t="s">
        <v>9</v>
      </c>
      <c r="AP40" s="142"/>
      <c r="AQ40" s="142" t="s">
        <v>9</v>
      </c>
      <c r="AR40" s="142" t="s">
        <v>9</v>
      </c>
      <c r="AS40" s="142" t="s">
        <v>9</v>
      </c>
      <c r="AT40" s="142" t="s">
        <v>9</v>
      </c>
      <c r="AU40" s="142"/>
      <c r="AV40" s="142" t="s">
        <v>9</v>
      </c>
      <c r="AW40" s="142" t="s">
        <v>9</v>
      </c>
      <c r="AX40" s="142" t="s">
        <v>9</v>
      </c>
      <c r="AY40" s="142" t="s">
        <v>9</v>
      </c>
      <c r="AZ40" s="142" t="s">
        <v>9</v>
      </c>
      <c r="BA40" s="142" t="s">
        <v>9</v>
      </c>
      <c r="BB40" s="142" t="s">
        <v>9</v>
      </c>
      <c r="BC40" s="142"/>
      <c r="BD40" s="142" t="s">
        <v>9</v>
      </c>
      <c r="BE40" s="142" t="s">
        <v>9</v>
      </c>
      <c r="BF40" s="142"/>
      <c r="BG40" s="142" t="s">
        <v>9</v>
      </c>
      <c r="BH40" s="142" t="s">
        <v>9</v>
      </c>
      <c r="BI40" s="142" t="s">
        <v>9</v>
      </c>
      <c r="BJ40" s="142" t="s">
        <v>9</v>
      </c>
      <c r="BK40" s="142" t="s">
        <v>9</v>
      </c>
      <c r="BL40" s="142" t="s">
        <v>9</v>
      </c>
      <c r="BM40" s="147">
        <v>1</v>
      </c>
      <c r="BN40" s="175"/>
      <c r="BO40" s="175"/>
      <c r="BP40" s="175" t="s">
        <v>893</v>
      </c>
      <c r="BQ40" s="207"/>
      <c r="BR40" s="175">
        <f>0.0244*2</f>
        <v>4.8800000000000003E-2</v>
      </c>
      <c r="BS40" s="175">
        <v>0.14699999999999999</v>
      </c>
      <c r="BT40" s="175">
        <v>0.06</v>
      </c>
      <c r="BU40" s="175">
        <v>2.4E-2</v>
      </c>
      <c r="BV40" s="175"/>
      <c r="BW40" s="138">
        <v>25</v>
      </c>
      <c r="BX40" s="138"/>
      <c r="CB40" s="170"/>
    </row>
    <row r="41" spans="1:80" x14ac:dyDescent="0.25">
      <c r="A41" s="138" t="s">
        <v>818</v>
      </c>
      <c r="B41" s="144" t="s">
        <v>718</v>
      </c>
      <c r="C41" s="145" t="s">
        <v>9</v>
      </c>
      <c r="D41" s="146" t="s">
        <v>9</v>
      </c>
      <c r="O41" s="145" t="s">
        <v>9</v>
      </c>
      <c r="S41" s="138">
        <f t="shared" si="0"/>
        <v>7</v>
      </c>
      <c r="T41" s="138">
        <f t="shared" si="1"/>
        <v>5</v>
      </c>
      <c r="U41" s="138"/>
      <c r="V41" s="138"/>
      <c r="W41" s="138"/>
      <c r="X41" s="138"/>
      <c r="Y41" s="138"/>
      <c r="Z41" s="138"/>
      <c r="AA41" s="138"/>
      <c r="AB41" s="139"/>
      <c r="AC41" s="141">
        <v>4</v>
      </c>
      <c r="AD41" s="142">
        <v>7</v>
      </c>
      <c r="AE41" s="142"/>
      <c r="AF41" s="142" t="s">
        <v>706</v>
      </c>
      <c r="AG41" s="142">
        <v>1</v>
      </c>
      <c r="AH41" s="142">
        <v>5</v>
      </c>
      <c r="AI41" s="142">
        <v>0</v>
      </c>
      <c r="AJ41" s="142" t="s">
        <v>86</v>
      </c>
      <c r="AK41" s="142" t="s">
        <v>48</v>
      </c>
      <c r="AL41" s="142" t="s">
        <v>705</v>
      </c>
      <c r="AM41" s="142" t="s">
        <v>9</v>
      </c>
      <c r="AN41" s="142" t="s">
        <v>9</v>
      </c>
      <c r="AO41" s="142" t="s">
        <v>9</v>
      </c>
      <c r="AP41" s="142" t="s">
        <v>9</v>
      </c>
      <c r="AQ41" s="142" t="s">
        <v>9</v>
      </c>
      <c r="AR41" s="142" t="s">
        <v>9</v>
      </c>
      <c r="AS41" s="142" t="s">
        <v>9</v>
      </c>
      <c r="AT41" s="142" t="s">
        <v>9</v>
      </c>
      <c r="AU41" s="142"/>
      <c r="AV41" s="142" t="s">
        <v>9</v>
      </c>
      <c r="AW41" s="142" t="s">
        <v>9</v>
      </c>
      <c r="AX41" s="142" t="s">
        <v>9</v>
      </c>
      <c r="AY41" s="142" t="s">
        <v>9</v>
      </c>
      <c r="AZ41" s="142" t="s">
        <v>9</v>
      </c>
      <c r="BA41" s="142" t="s">
        <v>9</v>
      </c>
      <c r="BB41" s="142" t="s">
        <v>9</v>
      </c>
      <c r="BC41" s="142"/>
      <c r="BD41" s="142" t="s">
        <v>9</v>
      </c>
      <c r="BE41" s="142" t="s">
        <v>9</v>
      </c>
      <c r="BF41" s="142"/>
      <c r="BG41" s="142" t="s">
        <v>9</v>
      </c>
      <c r="BH41" s="142" t="s">
        <v>9</v>
      </c>
      <c r="BI41" s="142" t="s">
        <v>9</v>
      </c>
      <c r="BJ41" s="142" t="s">
        <v>9</v>
      </c>
      <c r="BK41" s="142" t="s">
        <v>9</v>
      </c>
      <c r="BL41" s="142" t="s">
        <v>9</v>
      </c>
      <c r="BM41" s="147">
        <v>1</v>
      </c>
      <c r="BN41" s="175"/>
      <c r="BO41" s="175"/>
      <c r="BP41" s="175" t="s">
        <v>893</v>
      </c>
      <c r="BQ41" s="207"/>
      <c r="BR41" s="175">
        <v>2.35E-2</v>
      </c>
      <c r="BS41" s="175">
        <v>0.13600000000000001</v>
      </c>
      <c r="BT41" s="175">
        <v>6.9000000000000006E-2</v>
      </c>
      <c r="BU41" s="175">
        <f>BR41/2</f>
        <v>1.175E-2</v>
      </c>
      <c r="BV41" s="175"/>
      <c r="BW41" s="138">
        <v>26</v>
      </c>
      <c r="BX41" s="138">
        <v>75</v>
      </c>
      <c r="CB41" s="170"/>
    </row>
    <row r="42" spans="1:80" x14ac:dyDescent="0.25">
      <c r="A42" s="138" t="s">
        <v>818</v>
      </c>
      <c r="B42" s="144" t="s">
        <v>719</v>
      </c>
      <c r="C42" s="145" t="s">
        <v>9</v>
      </c>
      <c r="D42" s="146" t="s">
        <v>9</v>
      </c>
      <c r="O42" s="145" t="s">
        <v>9</v>
      </c>
      <c r="S42" s="138">
        <f t="shared" si="0"/>
        <v>7</v>
      </c>
      <c r="T42" s="138">
        <f t="shared" si="1"/>
        <v>5</v>
      </c>
      <c r="U42" s="138"/>
      <c r="V42" s="138"/>
      <c r="W42" s="138"/>
      <c r="X42" s="138"/>
      <c r="Y42" s="138"/>
      <c r="Z42" s="138"/>
      <c r="AA42" s="138"/>
      <c r="AB42" s="139"/>
      <c r="AC42" s="141">
        <v>4</v>
      </c>
      <c r="AD42" s="142">
        <v>7</v>
      </c>
      <c r="AE42" s="142"/>
      <c r="AF42" s="142" t="s">
        <v>710</v>
      </c>
      <c r="AG42" s="142">
        <v>1</v>
      </c>
      <c r="AH42" s="142">
        <v>5</v>
      </c>
      <c r="AI42" s="142">
        <v>0</v>
      </c>
      <c r="AJ42" s="142" t="s">
        <v>86</v>
      </c>
      <c r="AK42" s="142" t="s">
        <v>48</v>
      </c>
      <c r="AL42" s="142" t="s">
        <v>705</v>
      </c>
      <c r="AM42" s="142" t="s">
        <v>9</v>
      </c>
      <c r="AN42" s="142" t="s">
        <v>9</v>
      </c>
      <c r="AO42" s="142" t="s">
        <v>9</v>
      </c>
      <c r="AP42" s="142"/>
      <c r="AQ42" s="142" t="s">
        <v>9</v>
      </c>
      <c r="AR42" s="142" t="s">
        <v>9</v>
      </c>
      <c r="AS42" s="142" t="s">
        <v>9</v>
      </c>
      <c r="AT42" s="142" t="s">
        <v>9</v>
      </c>
      <c r="AU42" s="142"/>
      <c r="AV42" s="142" t="s">
        <v>9</v>
      </c>
      <c r="AW42" s="142"/>
      <c r="AX42" s="142"/>
      <c r="AY42" s="142"/>
      <c r="AZ42" s="142"/>
      <c r="BA42" s="142"/>
      <c r="BB42" s="142"/>
      <c r="BC42" s="142" t="s">
        <v>9</v>
      </c>
      <c r="BD42" s="142" t="s">
        <v>9</v>
      </c>
      <c r="BE42" s="142" t="s">
        <v>9</v>
      </c>
      <c r="BF42" s="142"/>
      <c r="BG42" s="142" t="s">
        <v>9</v>
      </c>
      <c r="BH42" s="142" t="s">
        <v>9</v>
      </c>
      <c r="BI42" s="142" t="s">
        <v>9</v>
      </c>
      <c r="BJ42" s="142" t="s">
        <v>9</v>
      </c>
      <c r="BK42" s="142" t="s">
        <v>9</v>
      </c>
      <c r="BL42" s="142"/>
      <c r="BM42" s="147">
        <v>1</v>
      </c>
      <c r="BN42" s="175"/>
      <c r="BO42" s="175"/>
      <c r="BP42" s="175" t="s">
        <v>893</v>
      </c>
      <c r="BQ42" s="207"/>
      <c r="BR42" s="175">
        <v>2.35E-2</v>
      </c>
      <c r="BS42" s="175">
        <v>0.156</v>
      </c>
      <c r="BT42" s="175">
        <v>8.5999999999999993E-2</v>
      </c>
      <c r="BU42" s="175">
        <f>BR42/2</f>
        <v>1.175E-2</v>
      </c>
      <c r="BV42" s="175"/>
      <c r="BW42" s="166"/>
      <c r="BX42" s="138">
        <v>76</v>
      </c>
      <c r="CB42" s="170"/>
    </row>
    <row r="43" spans="1:80" x14ac:dyDescent="0.25">
      <c r="A43" s="138" t="s">
        <v>617</v>
      </c>
      <c r="B43" s="144">
        <v>8860</v>
      </c>
      <c r="S43" s="138">
        <f t="shared" si="0"/>
        <v>7</v>
      </c>
      <c r="T43" s="138">
        <f t="shared" si="1"/>
        <v>5</v>
      </c>
      <c r="U43" s="138"/>
      <c r="V43" s="138"/>
      <c r="W43" s="138"/>
      <c r="X43" s="138"/>
      <c r="Y43" s="138"/>
      <c r="Z43" s="138"/>
      <c r="AA43" s="138"/>
      <c r="AB43" s="139"/>
      <c r="AC43" s="141">
        <v>4</v>
      </c>
      <c r="AD43" s="142">
        <v>7</v>
      </c>
      <c r="AE43" s="142"/>
      <c r="AF43" s="142">
        <v>0</v>
      </c>
      <c r="AG43" s="142">
        <v>1</v>
      </c>
      <c r="AH43" s="142">
        <v>5</v>
      </c>
      <c r="AI43" s="142">
        <v>0</v>
      </c>
      <c r="AJ43" s="142" t="s">
        <v>86</v>
      </c>
      <c r="AK43" s="142" t="s">
        <v>48</v>
      </c>
      <c r="AL43" s="142" t="s">
        <v>705</v>
      </c>
      <c r="AM43" s="142"/>
      <c r="AN43" s="142"/>
      <c r="AO43" s="142"/>
      <c r="AP43" s="142" t="s">
        <v>9</v>
      </c>
      <c r="AQ43" s="142" t="s">
        <v>9</v>
      </c>
      <c r="AR43" s="142" t="s">
        <v>9</v>
      </c>
      <c r="AS43" s="142" t="s">
        <v>9</v>
      </c>
      <c r="AT43" s="142" t="s">
        <v>9</v>
      </c>
      <c r="AU43" s="142"/>
      <c r="AV43" s="142" t="s">
        <v>9</v>
      </c>
      <c r="AW43" s="142" t="s">
        <v>9</v>
      </c>
      <c r="AX43" s="142" t="s">
        <v>9</v>
      </c>
      <c r="AY43" s="142" t="s">
        <v>9</v>
      </c>
      <c r="AZ43" s="142" t="s">
        <v>9</v>
      </c>
      <c r="BA43" s="142" t="s">
        <v>9</v>
      </c>
      <c r="BB43" s="142" t="s">
        <v>9</v>
      </c>
      <c r="BC43" s="142"/>
      <c r="BD43" s="142" t="s">
        <v>9</v>
      </c>
      <c r="BE43" s="142" t="s">
        <v>9</v>
      </c>
      <c r="BF43" s="142"/>
      <c r="BG43" s="142" t="s">
        <v>9</v>
      </c>
      <c r="BH43" s="142" t="s">
        <v>9</v>
      </c>
      <c r="BI43" s="142" t="s">
        <v>9</v>
      </c>
      <c r="BJ43" s="142" t="s">
        <v>9</v>
      </c>
      <c r="BK43" s="142" t="s">
        <v>9</v>
      </c>
      <c r="BL43" s="142" t="s">
        <v>9</v>
      </c>
      <c r="BM43" s="147">
        <v>1</v>
      </c>
      <c r="BN43" s="175"/>
      <c r="BO43" s="175"/>
      <c r="BP43" s="175" t="s">
        <v>893</v>
      </c>
      <c r="BQ43" s="207"/>
      <c r="BR43" s="175">
        <v>2.35E-2</v>
      </c>
      <c r="BS43" s="175">
        <v>0.125</v>
      </c>
      <c r="BT43" s="175">
        <v>6.0999999999999999E-2</v>
      </c>
      <c r="BU43" s="175">
        <f>BR43/2</f>
        <v>1.175E-2</v>
      </c>
      <c r="BV43" s="175"/>
      <c r="BW43" s="138">
        <v>27</v>
      </c>
      <c r="BX43" s="138"/>
      <c r="CB43" s="170"/>
    </row>
    <row r="44" spans="1:80" x14ac:dyDescent="0.25">
      <c r="A44" s="138" t="s">
        <v>617</v>
      </c>
      <c r="B44" s="144">
        <v>8870</v>
      </c>
      <c r="C44" s="145" t="s">
        <v>9</v>
      </c>
      <c r="D44" s="146" t="s">
        <v>9</v>
      </c>
      <c r="S44" s="138">
        <f t="shared" si="0"/>
        <v>7</v>
      </c>
      <c r="T44" s="138">
        <f t="shared" si="1"/>
        <v>5</v>
      </c>
      <c r="U44" s="138"/>
      <c r="V44" s="138"/>
      <c r="W44" s="138"/>
      <c r="X44" s="138"/>
      <c r="Y44" s="138"/>
      <c r="Z44" s="138"/>
      <c r="AA44" s="138"/>
      <c r="AB44" s="139"/>
      <c r="AC44" s="141">
        <v>4</v>
      </c>
      <c r="AD44" s="142">
        <v>7</v>
      </c>
      <c r="AE44" s="142"/>
      <c r="AF44" s="142" t="s">
        <v>710</v>
      </c>
      <c r="AG44" s="142">
        <v>1</v>
      </c>
      <c r="AH44" s="142">
        <v>5</v>
      </c>
      <c r="AI44" s="142">
        <v>0</v>
      </c>
      <c r="AJ44" s="142" t="s">
        <v>86</v>
      </c>
      <c r="AK44" s="142" t="s">
        <v>48</v>
      </c>
      <c r="AL44" s="142" t="s">
        <v>705</v>
      </c>
      <c r="AM44" s="142" t="s">
        <v>9</v>
      </c>
      <c r="AN44" s="142" t="s">
        <v>9</v>
      </c>
      <c r="AO44" s="142" t="s">
        <v>9</v>
      </c>
      <c r="AP44" s="142"/>
      <c r="AQ44" s="142" t="s">
        <v>9</v>
      </c>
      <c r="AR44" s="142" t="s">
        <v>9</v>
      </c>
      <c r="AS44" s="142" t="s">
        <v>9</v>
      </c>
      <c r="AT44" s="142" t="s">
        <v>9</v>
      </c>
      <c r="AU44" s="142"/>
      <c r="AV44" s="142" t="s">
        <v>9</v>
      </c>
      <c r="AW44" s="142" t="s">
        <v>9</v>
      </c>
      <c r="AX44" s="142" t="s">
        <v>9</v>
      </c>
      <c r="AY44" s="142" t="s">
        <v>9</v>
      </c>
      <c r="AZ44" s="142" t="s">
        <v>9</v>
      </c>
      <c r="BA44" s="142" t="s">
        <v>9</v>
      </c>
      <c r="BB44" s="142" t="s">
        <v>9</v>
      </c>
      <c r="BC44" s="142"/>
      <c r="BD44" s="142" t="s">
        <v>9</v>
      </c>
      <c r="BE44" s="142" t="s">
        <v>9</v>
      </c>
      <c r="BF44" s="142"/>
      <c r="BG44" s="142" t="s">
        <v>9</v>
      </c>
      <c r="BH44" s="142" t="s">
        <v>9</v>
      </c>
      <c r="BI44" s="142" t="s">
        <v>9</v>
      </c>
      <c r="BJ44" s="142" t="s">
        <v>9</v>
      </c>
      <c r="BK44" s="142" t="s">
        <v>9</v>
      </c>
      <c r="BL44" s="142" t="s">
        <v>9</v>
      </c>
      <c r="BM44" s="147">
        <v>1</v>
      </c>
      <c r="BN44" s="175"/>
      <c r="BO44" s="175"/>
      <c r="BP44" s="175" t="s">
        <v>893</v>
      </c>
      <c r="BQ44" s="207"/>
      <c r="BR44" s="175">
        <f>0.0165*2</f>
        <v>3.3000000000000002E-2</v>
      </c>
      <c r="BS44" s="175">
        <v>0.13</v>
      </c>
      <c r="BT44" s="175">
        <v>5.5E-2</v>
      </c>
      <c r="BU44" s="175">
        <f>BR44/2</f>
        <v>1.6500000000000001E-2</v>
      </c>
      <c r="BV44" s="175"/>
      <c r="BW44" s="138">
        <v>28</v>
      </c>
      <c r="BX44" s="138"/>
      <c r="CB44" s="170"/>
    </row>
    <row r="45" spans="1:80" x14ac:dyDescent="0.25">
      <c r="A45" s="138" t="s">
        <v>617</v>
      </c>
      <c r="B45" s="144">
        <v>8871</v>
      </c>
      <c r="C45" s="145" t="s">
        <v>9</v>
      </c>
      <c r="D45" s="146" t="s">
        <v>9</v>
      </c>
      <c r="O45" s="145" t="s">
        <v>9</v>
      </c>
      <c r="S45" s="138">
        <f t="shared" si="0"/>
        <v>7</v>
      </c>
      <c r="T45" s="138">
        <f t="shared" si="1"/>
        <v>5</v>
      </c>
      <c r="U45" s="138"/>
      <c r="V45" s="138"/>
      <c r="W45" s="138"/>
      <c r="X45" s="138"/>
      <c r="Y45" s="138"/>
      <c r="Z45" s="138"/>
      <c r="AA45" s="138"/>
      <c r="AB45" s="139"/>
      <c r="AC45" s="141">
        <v>4</v>
      </c>
      <c r="AD45" s="142">
        <v>7</v>
      </c>
      <c r="AE45" s="142"/>
      <c r="AF45" s="142" t="s">
        <v>710</v>
      </c>
      <c r="AG45" s="142">
        <v>1</v>
      </c>
      <c r="AH45" s="142">
        <v>5</v>
      </c>
      <c r="AI45" s="142">
        <v>0</v>
      </c>
      <c r="AJ45" s="142" t="s">
        <v>86</v>
      </c>
      <c r="AK45" s="142" t="s">
        <v>48</v>
      </c>
      <c r="AL45" s="142" t="s">
        <v>705</v>
      </c>
      <c r="AM45" s="142" t="s">
        <v>9</v>
      </c>
      <c r="AN45" s="142" t="s">
        <v>9</v>
      </c>
      <c r="AO45" s="142" t="s">
        <v>9</v>
      </c>
      <c r="AP45" s="142"/>
      <c r="AQ45" s="142" t="s">
        <v>9</v>
      </c>
      <c r="AR45" s="142" t="s">
        <v>9</v>
      </c>
      <c r="AS45" s="142" t="s">
        <v>9</v>
      </c>
      <c r="AT45" s="142" t="s">
        <v>9</v>
      </c>
      <c r="AU45" s="142" t="s">
        <v>9</v>
      </c>
      <c r="AV45" s="142" t="s">
        <v>9</v>
      </c>
      <c r="AW45" s="142" t="s">
        <v>9</v>
      </c>
      <c r="AX45" s="142" t="s">
        <v>9</v>
      </c>
      <c r="AY45" s="142" t="s">
        <v>9</v>
      </c>
      <c r="AZ45" s="142" t="s">
        <v>9</v>
      </c>
      <c r="BA45" s="142" t="s">
        <v>9</v>
      </c>
      <c r="BB45" s="142" t="s">
        <v>9</v>
      </c>
      <c r="BC45" s="142"/>
      <c r="BD45" s="142" t="s">
        <v>9</v>
      </c>
      <c r="BE45" s="142" t="s">
        <v>9</v>
      </c>
      <c r="BF45" s="142"/>
      <c r="BG45" s="142" t="s">
        <v>9</v>
      </c>
      <c r="BH45" s="142" t="s">
        <v>9</v>
      </c>
      <c r="BI45" s="142" t="s">
        <v>9</v>
      </c>
      <c r="BJ45" s="142" t="s">
        <v>9</v>
      </c>
      <c r="BK45" s="142" t="s">
        <v>9</v>
      </c>
      <c r="BL45" s="142" t="s">
        <v>9</v>
      </c>
      <c r="BM45" s="147">
        <v>1</v>
      </c>
      <c r="BN45" s="175"/>
      <c r="BO45" s="175"/>
      <c r="BP45" s="175" t="s">
        <v>893</v>
      </c>
      <c r="BQ45" s="207"/>
      <c r="BR45" s="175">
        <v>0.02</v>
      </c>
      <c r="BS45" s="175">
        <v>0.14000000000000001</v>
      </c>
      <c r="BT45" s="175">
        <v>5.5E-2</v>
      </c>
      <c r="BU45" s="175">
        <v>1.6500000000000001E-2</v>
      </c>
      <c r="BV45" s="175"/>
      <c r="BW45" s="138">
        <v>29</v>
      </c>
      <c r="BX45" s="138"/>
      <c r="CB45" s="170"/>
    </row>
    <row r="46" spans="1:80" x14ac:dyDescent="0.25">
      <c r="A46" s="138" t="s">
        <v>617</v>
      </c>
      <c r="B46" s="144" t="s">
        <v>720</v>
      </c>
      <c r="C46" s="145" t="s">
        <v>9</v>
      </c>
      <c r="D46" s="146" t="s">
        <v>9</v>
      </c>
      <c r="O46" s="145" t="s">
        <v>9</v>
      </c>
      <c r="S46" s="138">
        <f t="shared" si="0"/>
        <v>7</v>
      </c>
      <c r="T46" s="138">
        <f t="shared" si="1"/>
        <v>5</v>
      </c>
      <c r="U46" s="138"/>
      <c r="V46" s="138"/>
      <c r="W46" s="138"/>
      <c r="X46" s="138"/>
      <c r="Y46" s="138"/>
      <c r="Z46" s="138"/>
      <c r="AA46" s="138"/>
      <c r="AB46" s="139"/>
      <c r="AC46" s="141">
        <v>4</v>
      </c>
      <c r="AD46" s="142">
        <v>7</v>
      </c>
      <c r="AE46" s="142"/>
      <c r="AF46" s="142" t="s">
        <v>710</v>
      </c>
      <c r="AG46" s="142">
        <v>1</v>
      </c>
      <c r="AH46" s="142">
        <v>5</v>
      </c>
      <c r="AI46" s="142">
        <v>0</v>
      </c>
      <c r="AJ46" s="142" t="s">
        <v>86</v>
      </c>
      <c r="AK46" s="142" t="s">
        <v>48</v>
      </c>
      <c r="AL46" s="142" t="s">
        <v>705</v>
      </c>
      <c r="AM46" s="142" t="s">
        <v>9</v>
      </c>
      <c r="AN46" s="142" t="s">
        <v>9</v>
      </c>
      <c r="AO46" s="142" t="s">
        <v>9</v>
      </c>
      <c r="AP46" s="142"/>
      <c r="AQ46" s="142" t="s">
        <v>9</v>
      </c>
      <c r="AR46" s="142" t="s">
        <v>9</v>
      </c>
      <c r="AS46" s="142" t="s">
        <v>9</v>
      </c>
      <c r="AT46" s="142" t="s">
        <v>9</v>
      </c>
      <c r="AU46" s="142" t="s">
        <v>9</v>
      </c>
      <c r="AV46" s="142" t="s">
        <v>9</v>
      </c>
      <c r="AW46" s="142"/>
      <c r="AX46" s="142"/>
      <c r="AY46" s="142"/>
      <c r="AZ46" s="142"/>
      <c r="BA46" s="142"/>
      <c r="BB46" s="142"/>
      <c r="BC46" s="142" t="s">
        <v>9</v>
      </c>
      <c r="BD46" s="142" t="s">
        <v>9</v>
      </c>
      <c r="BE46" s="142" t="s">
        <v>9</v>
      </c>
      <c r="BF46" s="142"/>
      <c r="BG46" s="142" t="s">
        <v>9</v>
      </c>
      <c r="BH46" s="142" t="s">
        <v>9</v>
      </c>
      <c r="BI46" s="142" t="s">
        <v>9</v>
      </c>
      <c r="BJ46" s="142" t="s">
        <v>9</v>
      </c>
      <c r="BK46" s="142" t="s">
        <v>9</v>
      </c>
      <c r="BL46" s="142"/>
      <c r="BM46" s="147">
        <v>1</v>
      </c>
      <c r="BN46" s="175"/>
      <c r="BO46" s="175"/>
      <c r="BP46" s="175" t="s">
        <v>893</v>
      </c>
      <c r="BQ46" s="207"/>
      <c r="BR46" s="175">
        <v>0.02</v>
      </c>
      <c r="BS46" s="175">
        <v>0.157</v>
      </c>
      <c r="BT46" s="175">
        <v>5.3999999999999999E-2</v>
      </c>
      <c r="BU46" s="175">
        <v>1.2500000000000001E-2</v>
      </c>
      <c r="BV46" s="175"/>
      <c r="BW46" s="166"/>
      <c r="BX46" s="138">
        <v>77</v>
      </c>
      <c r="CB46" s="170"/>
    </row>
    <row r="47" spans="1:80" x14ac:dyDescent="0.25">
      <c r="A47" s="138" t="s">
        <v>818</v>
      </c>
      <c r="B47" s="144" t="s">
        <v>721</v>
      </c>
      <c r="C47" s="145" t="s">
        <v>9</v>
      </c>
      <c r="D47" s="146" t="s">
        <v>9</v>
      </c>
      <c r="O47" s="145" t="s">
        <v>9</v>
      </c>
      <c r="S47" s="138">
        <f t="shared" si="0"/>
        <v>7</v>
      </c>
      <c r="T47" s="138">
        <f t="shared" si="1"/>
        <v>5</v>
      </c>
      <c r="U47" s="138"/>
      <c r="V47" s="138"/>
      <c r="W47" s="138"/>
      <c r="X47" s="138"/>
      <c r="Y47" s="138"/>
      <c r="Z47" s="138"/>
      <c r="AA47" s="138"/>
      <c r="AB47" s="139"/>
      <c r="AC47" s="141">
        <v>4</v>
      </c>
      <c r="AD47" s="142">
        <v>7</v>
      </c>
      <c r="AE47" s="142"/>
      <c r="AF47" s="142" t="s">
        <v>710</v>
      </c>
      <c r="AG47" s="142">
        <v>1</v>
      </c>
      <c r="AH47" s="142">
        <v>5</v>
      </c>
      <c r="AI47" s="142">
        <v>0</v>
      </c>
      <c r="AJ47" s="142" t="s">
        <v>86</v>
      </c>
      <c r="AK47" s="142" t="s">
        <v>48</v>
      </c>
      <c r="AL47" s="142" t="s">
        <v>705</v>
      </c>
      <c r="AM47" s="142" t="s">
        <v>9</v>
      </c>
      <c r="AN47" s="142" t="s">
        <v>9</v>
      </c>
      <c r="AO47" s="142" t="s">
        <v>9</v>
      </c>
      <c r="AP47" s="142"/>
      <c r="AQ47" s="142" t="s">
        <v>9</v>
      </c>
      <c r="AR47" s="142" t="s">
        <v>9</v>
      </c>
      <c r="AS47" s="142" t="s">
        <v>9</v>
      </c>
      <c r="AT47" s="142" t="s">
        <v>9</v>
      </c>
      <c r="AU47" s="142"/>
      <c r="AV47" s="142" t="s">
        <v>9</v>
      </c>
      <c r="AW47" s="142" t="s">
        <v>9</v>
      </c>
      <c r="AX47" s="142" t="s">
        <v>9</v>
      </c>
      <c r="AY47" s="142" t="s">
        <v>9</v>
      </c>
      <c r="AZ47" s="142" t="s">
        <v>9</v>
      </c>
      <c r="BA47" s="142" t="s">
        <v>9</v>
      </c>
      <c r="BB47" s="142" t="s">
        <v>9</v>
      </c>
      <c r="BC47" s="142"/>
      <c r="BD47" s="142" t="s">
        <v>9</v>
      </c>
      <c r="BE47" s="142" t="s">
        <v>9</v>
      </c>
      <c r="BF47" s="142"/>
      <c r="BG47" s="142" t="s">
        <v>9</v>
      </c>
      <c r="BH47" s="142" t="s">
        <v>9</v>
      </c>
      <c r="BI47" s="142" t="s">
        <v>9</v>
      </c>
      <c r="BJ47" s="142" t="s">
        <v>9</v>
      </c>
      <c r="BK47" s="142" t="s">
        <v>9</v>
      </c>
      <c r="BL47" s="142" t="s">
        <v>9</v>
      </c>
      <c r="BM47" s="147">
        <v>1</v>
      </c>
      <c r="BN47" s="175"/>
      <c r="BO47" s="175">
        <v>1</v>
      </c>
      <c r="BP47" s="175" t="s">
        <v>893</v>
      </c>
      <c r="BQ47" s="205" t="s">
        <v>876</v>
      </c>
      <c r="BR47" s="175">
        <v>0.02</v>
      </c>
      <c r="BS47" s="175">
        <v>0.14499999999999999</v>
      </c>
      <c r="BT47" s="175">
        <v>7.0000000000000007E-2</v>
      </c>
      <c r="BU47" s="175">
        <f t="shared" ref="BU47:BU58" si="3">BR47/2</f>
        <v>0.01</v>
      </c>
      <c r="BV47" s="175"/>
      <c r="BW47" s="138">
        <v>30</v>
      </c>
      <c r="BX47" s="138"/>
      <c r="CB47" s="170"/>
    </row>
    <row r="48" spans="1:80" x14ac:dyDescent="0.25">
      <c r="A48" s="138" t="s">
        <v>818</v>
      </c>
      <c r="B48" s="144" t="s">
        <v>722</v>
      </c>
      <c r="C48" s="145" t="s">
        <v>9</v>
      </c>
      <c r="D48" s="146" t="s">
        <v>9</v>
      </c>
      <c r="S48" s="138">
        <f t="shared" si="0"/>
        <v>7</v>
      </c>
      <c r="T48" s="138">
        <f t="shared" si="1"/>
        <v>5</v>
      </c>
      <c r="U48" s="138"/>
      <c r="V48" s="138"/>
      <c r="W48" s="138"/>
      <c r="X48" s="138"/>
      <c r="Y48" s="138"/>
      <c r="Z48" s="138"/>
      <c r="AA48" s="138"/>
      <c r="AB48" s="139"/>
      <c r="AC48" s="141">
        <v>4</v>
      </c>
      <c r="AD48" s="142">
        <v>7</v>
      </c>
      <c r="AE48" s="142"/>
      <c r="AF48" s="142" t="s">
        <v>710</v>
      </c>
      <c r="AG48" s="142">
        <v>1</v>
      </c>
      <c r="AH48" s="142">
        <v>5</v>
      </c>
      <c r="AI48" s="142">
        <v>0</v>
      </c>
      <c r="AJ48" s="142" t="s">
        <v>86</v>
      </c>
      <c r="AK48" s="142" t="s">
        <v>48</v>
      </c>
      <c r="AL48" s="142" t="s">
        <v>705</v>
      </c>
      <c r="AM48" s="142" t="s">
        <v>9</v>
      </c>
      <c r="AN48" s="142" t="s">
        <v>9</v>
      </c>
      <c r="AO48" s="142" t="s">
        <v>9</v>
      </c>
      <c r="AP48" s="142"/>
      <c r="AQ48" s="142" t="s">
        <v>9</v>
      </c>
      <c r="AR48" s="142" t="s">
        <v>9</v>
      </c>
      <c r="AS48" s="142" t="s">
        <v>9</v>
      </c>
      <c r="AT48" s="142" t="s">
        <v>9</v>
      </c>
      <c r="AU48" s="142"/>
      <c r="AV48" s="142" t="s">
        <v>9</v>
      </c>
      <c r="AW48" s="142" t="s">
        <v>9</v>
      </c>
      <c r="AX48" s="142" t="s">
        <v>9</v>
      </c>
      <c r="AY48" s="142" t="s">
        <v>9</v>
      </c>
      <c r="AZ48" s="142" t="s">
        <v>9</v>
      </c>
      <c r="BA48" s="142" t="s">
        <v>9</v>
      </c>
      <c r="BB48" s="142" t="s">
        <v>9</v>
      </c>
      <c r="BC48" s="142"/>
      <c r="BD48" s="142" t="s">
        <v>9</v>
      </c>
      <c r="BE48" s="142" t="s">
        <v>9</v>
      </c>
      <c r="BF48" s="142"/>
      <c r="BG48" s="142" t="s">
        <v>9</v>
      </c>
      <c r="BH48" s="142" t="s">
        <v>9</v>
      </c>
      <c r="BI48" s="142" t="s">
        <v>9</v>
      </c>
      <c r="BJ48" s="142" t="s">
        <v>9</v>
      </c>
      <c r="BK48" s="142" t="s">
        <v>9</v>
      </c>
      <c r="BL48" s="142" t="s">
        <v>9</v>
      </c>
      <c r="BM48" s="147">
        <v>1</v>
      </c>
      <c r="BN48" s="175"/>
      <c r="BO48" s="175"/>
      <c r="BP48" s="175" t="s">
        <v>893</v>
      </c>
      <c r="BQ48" s="207"/>
      <c r="BR48" s="175">
        <v>0.02</v>
      </c>
      <c r="BS48" s="175">
        <v>0.14499999999999999</v>
      </c>
      <c r="BT48" s="175">
        <v>5.6000000000000001E-2</v>
      </c>
      <c r="BU48" s="175">
        <f t="shared" si="3"/>
        <v>0.01</v>
      </c>
      <c r="BV48" s="175"/>
      <c r="BW48" s="138">
        <v>31</v>
      </c>
      <c r="BX48" s="138"/>
      <c r="CB48" s="170"/>
    </row>
    <row r="49" spans="1:80" x14ac:dyDescent="0.25">
      <c r="A49" s="138" t="s">
        <v>617</v>
      </c>
      <c r="B49" s="144">
        <v>8906</v>
      </c>
      <c r="C49" s="145" t="s">
        <v>9</v>
      </c>
      <c r="D49" s="146" t="s">
        <v>9</v>
      </c>
      <c r="S49" s="138">
        <f t="shared" si="0"/>
        <v>7</v>
      </c>
      <c r="T49" s="138">
        <f t="shared" si="1"/>
        <v>5</v>
      </c>
      <c r="U49" s="138"/>
      <c r="V49" s="138"/>
      <c r="W49" s="138"/>
      <c r="X49" s="138"/>
      <c r="Y49" s="138"/>
      <c r="Z49" s="138"/>
      <c r="AA49" s="138"/>
      <c r="AB49" s="139"/>
      <c r="AC49" s="141">
        <v>4</v>
      </c>
      <c r="AD49" s="142">
        <v>7</v>
      </c>
      <c r="AE49" s="142"/>
      <c r="AF49" s="142" t="s">
        <v>706</v>
      </c>
      <c r="AG49" s="142">
        <v>1</v>
      </c>
      <c r="AH49" s="142">
        <v>5</v>
      </c>
      <c r="AI49" s="142">
        <v>0</v>
      </c>
      <c r="AJ49" s="142" t="s">
        <v>86</v>
      </c>
      <c r="AK49" s="142" t="s">
        <v>48</v>
      </c>
      <c r="AL49" s="142" t="s">
        <v>705</v>
      </c>
      <c r="AM49" s="142" t="s">
        <v>9</v>
      </c>
      <c r="AN49" s="142" t="s">
        <v>9</v>
      </c>
      <c r="AO49" s="142" t="s">
        <v>9</v>
      </c>
      <c r="AP49" s="142" t="s">
        <v>9</v>
      </c>
      <c r="AQ49" s="142" t="s">
        <v>9</v>
      </c>
      <c r="AR49" s="142" t="s">
        <v>9</v>
      </c>
      <c r="AS49" s="142" t="s">
        <v>9</v>
      </c>
      <c r="AT49" s="142" t="s">
        <v>9</v>
      </c>
      <c r="AU49" s="142" t="s">
        <v>9</v>
      </c>
      <c r="AV49" s="142" t="s">
        <v>9</v>
      </c>
      <c r="AW49" s="142" t="s">
        <v>9</v>
      </c>
      <c r="AX49" s="142" t="s">
        <v>9</v>
      </c>
      <c r="AY49" s="142" t="s">
        <v>9</v>
      </c>
      <c r="AZ49" s="142" t="s">
        <v>9</v>
      </c>
      <c r="BA49" s="142" t="s">
        <v>9</v>
      </c>
      <c r="BB49" s="142" t="s">
        <v>9</v>
      </c>
      <c r="BC49" s="142"/>
      <c r="BD49" s="142" t="s">
        <v>9</v>
      </c>
      <c r="BE49" s="142" t="s">
        <v>9</v>
      </c>
      <c r="BF49" s="142"/>
      <c r="BG49" s="142" t="s">
        <v>9</v>
      </c>
      <c r="BH49" s="142" t="s">
        <v>9</v>
      </c>
      <c r="BI49" s="142" t="s">
        <v>9</v>
      </c>
      <c r="BJ49" s="142" t="s">
        <v>9</v>
      </c>
      <c r="BK49" s="142" t="s">
        <v>9</v>
      </c>
      <c r="BL49" s="142" t="s">
        <v>9</v>
      </c>
      <c r="BM49" s="147">
        <v>1</v>
      </c>
      <c r="BN49" s="175"/>
      <c r="BO49" s="175" t="s">
        <v>9</v>
      </c>
      <c r="BP49" s="175" t="s">
        <v>893</v>
      </c>
      <c r="BQ49" s="205" t="s">
        <v>875</v>
      </c>
      <c r="BR49" s="175">
        <v>0.02</v>
      </c>
      <c r="BS49" s="175">
        <v>0.13500000000000001</v>
      </c>
      <c r="BT49" s="175">
        <v>5.8999999999999997E-2</v>
      </c>
      <c r="BU49" s="175">
        <f t="shared" si="3"/>
        <v>0.01</v>
      </c>
      <c r="BV49" s="175"/>
      <c r="BW49" s="138">
        <v>32</v>
      </c>
      <c r="BX49" s="138">
        <v>78</v>
      </c>
      <c r="CB49" s="170"/>
    </row>
    <row r="50" spans="1:80" x14ac:dyDescent="0.25">
      <c r="A50" s="138" t="s">
        <v>617</v>
      </c>
      <c r="B50" s="144" t="s">
        <v>723</v>
      </c>
      <c r="C50" s="145" t="s">
        <v>9</v>
      </c>
      <c r="D50" s="146" t="s">
        <v>9</v>
      </c>
      <c r="S50" s="138">
        <f t="shared" si="0"/>
        <v>7</v>
      </c>
      <c r="T50" s="138">
        <f t="shared" si="1"/>
        <v>5</v>
      </c>
      <c r="U50" s="138"/>
      <c r="V50" s="138"/>
      <c r="W50" s="138"/>
      <c r="X50" s="138"/>
      <c r="Y50" s="138"/>
      <c r="Z50" s="138"/>
      <c r="AA50" s="138"/>
      <c r="AB50" s="139"/>
      <c r="AC50" s="141">
        <v>4</v>
      </c>
      <c r="AD50" s="142">
        <v>7</v>
      </c>
      <c r="AE50" s="142"/>
      <c r="AF50" s="142" t="s">
        <v>706</v>
      </c>
      <c r="AG50" s="142">
        <v>1</v>
      </c>
      <c r="AH50" s="142">
        <v>5</v>
      </c>
      <c r="AI50" s="142">
        <v>0</v>
      </c>
      <c r="AJ50" s="142" t="s">
        <v>86</v>
      </c>
      <c r="AK50" s="142" t="s">
        <v>48</v>
      </c>
      <c r="AL50" s="142" t="s">
        <v>705</v>
      </c>
      <c r="AM50" s="142" t="s">
        <v>9</v>
      </c>
      <c r="AN50" s="142" t="s">
        <v>9</v>
      </c>
      <c r="AO50" s="142" t="s">
        <v>9</v>
      </c>
      <c r="AP50" s="142" t="s">
        <v>9</v>
      </c>
      <c r="AQ50" s="142" t="s">
        <v>9</v>
      </c>
      <c r="AR50" s="142" t="s">
        <v>9</v>
      </c>
      <c r="AS50" s="142" t="s">
        <v>9</v>
      </c>
      <c r="AT50" s="142" t="s">
        <v>9</v>
      </c>
      <c r="AU50" s="142" t="s">
        <v>9</v>
      </c>
      <c r="AV50" s="142" t="s">
        <v>9</v>
      </c>
      <c r="AW50" s="142"/>
      <c r="AX50" s="142"/>
      <c r="AY50" s="142"/>
      <c r="AZ50" s="142"/>
      <c r="BA50" s="142"/>
      <c r="BB50" s="142"/>
      <c r="BC50" s="142" t="s">
        <v>9</v>
      </c>
      <c r="BD50" s="142" t="s">
        <v>9</v>
      </c>
      <c r="BE50" s="142" t="s">
        <v>9</v>
      </c>
      <c r="BF50" s="142"/>
      <c r="BG50" s="142" t="s">
        <v>9</v>
      </c>
      <c r="BH50" s="142" t="s">
        <v>9</v>
      </c>
      <c r="BI50" s="142" t="s">
        <v>9</v>
      </c>
      <c r="BJ50" s="142" t="s">
        <v>9</v>
      </c>
      <c r="BK50" s="142" t="s">
        <v>9</v>
      </c>
      <c r="BL50" s="142"/>
      <c r="BM50" s="147">
        <v>1</v>
      </c>
      <c r="BN50" s="175"/>
      <c r="BO50" s="175"/>
      <c r="BP50" s="175" t="s">
        <v>893</v>
      </c>
      <c r="BQ50" s="207"/>
      <c r="BR50" s="175">
        <v>0.02</v>
      </c>
      <c r="BS50" s="175">
        <v>0.155</v>
      </c>
      <c r="BT50" s="175">
        <v>7.5999999999999998E-2</v>
      </c>
      <c r="BU50" s="175">
        <f t="shared" si="3"/>
        <v>0.01</v>
      </c>
      <c r="BV50" s="175"/>
      <c r="BW50" s="166"/>
      <c r="BX50" s="138">
        <v>79</v>
      </c>
      <c r="CB50" s="170"/>
    </row>
    <row r="51" spans="1:80" x14ac:dyDescent="0.25">
      <c r="A51" s="138" t="s">
        <v>617</v>
      </c>
      <c r="B51" s="144" t="s">
        <v>724</v>
      </c>
      <c r="C51" s="145" t="s">
        <v>9</v>
      </c>
      <c r="D51" s="146" t="s">
        <v>9</v>
      </c>
      <c r="S51" s="138">
        <f t="shared" si="0"/>
        <v>7</v>
      </c>
      <c r="T51" s="138">
        <f t="shared" si="1"/>
        <v>5</v>
      </c>
      <c r="U51" s="138"/>
      <c r="V51" s="138"/>
      <c r="W51" s="138"/>
      <c r="X51" s="138"/>
      <c r="Y51" s="138"/>
      <c r="Z51" s="138"/>
      <c r="AA51" s="138"/>
      <c r="AB51" s="139"/>
      <c r="AC51" s="141">
        <v>4</v>
      </c>
      <c r="AD51" s="142">
        <v>7</v>
      </c>
      <c r="AE51" s="142"/>
      <c r="AF51" s="142" t="s">
        <v>710</v>
      </c>
      <c r="AG51" s="142">
        <v>1</v>
      </c>
      <c r="AH51" s="142">
        <v>5</v>
      </c>
      <c r="AI51" s="142">
        <v>0</v>
      </c>
      <c r="AJ51" s="142" t="s">
        <v>86</v>
      </c>
      <c r="AK51" s="142" t="s">
        <v>48</v>
      </c>
      <c r="AL51" s="142" t="s">
        <v>705</v>
      </c>
      <c r="AM51" s="142" t="s">
        <v>9</v>
      </c>
      <c r="AN51" s="142" t="s">
        <v>9</v>
      </c>
      <c r="AO51" s="142" t="s">
        <v>9</v>
      </c>
      <c r="AP51" s="142"/>
      <c r="AQ51" s="142" t="s">
        <v>9</v>
      </c>
      <c r="AR51" s="142" t="s">
        <v>9</v>
      </c>
      <c r="AS51" s="142" t="s">
        <v>9</v>
      </c>
      <c r="AT51" s="142" t="s">
        <v>9</v>
      </c>
      <c r="AU51" s="142" t="s">
        <v>9</v>
      </c>
      <c r="AV51" s="142" t="s">
        <v>9</v>
      </c>
      <c r="AW51" s="142"/>
      <c r="AX51" s="142"/>
      <c r="AY51" s="142"/>
      <c r="AZ51" s="142"/>
      <c r="BA51" s="142"/>
      <c r="BB51" s="142"/>
      <c r="BC51" s="142" t="s">
        <v>9</v>
      </c>
      <c r="BD51" s="142" t="s">
        <v>9</v>
      </c>
      <c r="BE51" s="142" t="s">
        <v>9</v>
      </c>
      <c r="BF51" s="142"/>
      <c r="BG51" s="142" t="s">
        <v>9</v>
      </c>
      <c r="BH51" s="142" t="s">
        <v>9</v>
      </c>
      <c r="BI51" s="142" t="s">
        <v>9</v>
      </c>
      <c r="BJ51" s="142" t="s">
        <v>9</v>
      </c>
      <c r="BK51" s="142" t="s">
        <v>9</v>
      </c>
      <c r="BL51" s="142"/>
      <c r="BM51" s="147">
        <v>1</v>
      </c>
      <c r="BN51" s="175"/>
      <c r="BO51" s="175"/>
      <c r="BP51" s="175" t="s">
        <v>893</v>
      </c>
      <c r="BQ51" s="207"/>
      <c r="BR51" s="175">
        <v>0.02</v>
      </c>
      <c r="BS51" s="175">
        <v>0.13500000000000001</v>
      </c>
      <c r="BT51" s="175">
        <v>5.8999999999999997E-2</v>
      </c>
      <c r="BU51" s="175">
        <f t="shared" si="3"/>
        <v>0.01</v>
      </c>
      <c r="BV51" s="175"/>
      <c r="BW51" s="166"/>
      <c r="BX51" s="138">
        <v>80</v>
      </c>
      <c r="CB51" s="170"/>
    </row>
    <row r="52" spans="1:80" x14ac:dyDescent="0.25">
      <c r="A52" s="138" t="s">
        <v>617</v>
      </c>
      <c r="B52" s="144">
        <v>8907</v>
      </c>
      <c r="C52" s="145" t="s">
        <v>9</v>
      </c>
      <c r="D52" s="146" t="s">
        <v>9</v>
      </c>
      <c r="O52" s="145" t="s">
        <v>9</v>
      </c>
      <c r="S52" s="138">
        <f t="shared" si="0"/>
        <v>7</v>
      </c>
      <c r="T52" s="138">
        <f t="shared" si="1"/>
        <v>5</v>
      </c>
      <c r="U52" s="138"/>
      <c r="V52" s="138"/>
      <c r="W52" s="138"/>
      <c r="X52" s="138"/>
      <c r="Y52" s="138"/>
      <c r="Z52" s="138"/>
      <c r="AA52" s="138"/>
      <c r="AB52" s="139"/>
      <c r="AC52" s="141">
        <v>4</v>
      </c>
      <c r="AD52" s="142">
        <v>7</v>
      </c>
      <c r="AE52" s="142"/>
      <c r="AF52" s="142" t="s">
        <v>706</v>
      </c>
      <c r="AG52" s="142">
        <v>1</v>
      </c>
      <c r="AH52" s="142">
        <v>5</v>
      </c>
      <c r="AI52" s="142">
        <v>0</v>
      </c>
      <c r="AJ52" s="142" t="s">
        <v>86</v>
      </c>
      <c r="AK52" s="142" t="s">
        <v>48</v>
      </c>
      <c r="AL52" s="142" t="s">
        <v>705</v>
      </c>
      <c r="AM52" s="142" t="s">
        <v>9</v>
      </c>
      <c r="AN52" s="142" t="s">
        <v>9</v>
      </c>
      <c r="AO52" s="142" t="s">
        <v>9</v>
      </c>
      <c r="AP52" s="142" t="s">
        <v>9</v>
      </c>
      <c r="AQ52" s="142" t="s">
        <v>9</v>
      </c>
      <c r="AR52" s="142" t="s">
        <v>9</v>
      </c>
      <c r="AS52" s="142" t="s">
        <v>9</v>
      </c>
      <c r="AT52" s="142" t="s">
        <v>9</v>
      </c>
      <c r="AU52" s="142" t="s">
        <v>9</v>
      </c>
      <c r="AV52" s="142" t="s">
        <v>9</v>
      </c>
      <c r="AW52" s="142" t="s">
        <v>9</v>
      </c>
      <c r="AX52" s="142" t="s">
        <v>9</v>
      </c>
      <c r="AY52" s="142" t="s">
        <v>9</v>
      </c>
      <c r="AZ52" s="142" t="s">
        <v>9</v>
      </c>
      <c r="BA52" s="142" t="s">
        <v>9</v>
      </c>
      <c r="BB52" s="142" t="s">
        <v>9</v>
      </c>
      <c r="BC52" s="142"/>
      <c r="BD52" s="142" t="s">
        <v>9</v>
      </c>
      <c r="BE52" s="142" t="s">
        <v>9</v>
      </c>
      <c r="BF52" s="142"/>
      <c r="BG52" s="142" t="s">
        <v>9</v>
      </c>
      <c r="BH52" s="142" t="s">
        <v>9</v>
      </c>
      <c r="BI52" s="142" t="s">
        <v>9</v>
      </c>
      <c r="BJ52" s="142" t="s">
        <v>9</v>
      </c>
      <c r="BK52" s="142" t="s">
        <v>9</v>
      </c>
      <c r="BL52" s="142" t="s">
        <v>9</v>
      </c>
      <c r="BM52" s="147">
        <v>1</v>
      </c>
      <c r="BN52" s="175"/>
      <c r="BO52" s="175"/>
      <c r="BP52" s="175" t="s">
        <v>893</v>
      </c>
      <c r="BQ52" s="207"/>
      <c r="BR52" s="175">
        <v>0.02</v>
      </c>
      <c r="BS52" s="175">
        <v>0.14299999999999999</v>
      </c>
      <c r="BT52" s="175">
        <v>5.8999999999999997E-2</v>
      </c>
      <c r="BU52" s="175">
        <f t="shared" si="3"/>
        <v>0.01</v>
      </c>
      <c r="BV52" s="175"/>
      <c r="BW52" s="138">
        <v>33</v>
      </c>
      <c r="BX52" s="138">
        <v>81</v>
      </c>
      <c r="CB52" s="170"/>
    </row>
    <row r="53" spans="1:80" x14ac:dyDescent="0.25">
      <c r="A53" s="138" t="s">
        <v>617</v>
      </c>
      <c r="B53" s="144" t="s">
        <v>725</v>
      </c>
      <c r="C53" s="145" t="s">
        <v>9</v>
      </c>
      <c r="D53" s="146" t="s">
        <v>9</v>
      </c>
      <c r="O53" s="145" t="s">
        <v>9</v>
      </c>
      <c r="S53" s="138">
        <f t="shared" si="0"/>
        <v>7</v>
      </c>
      <c r="T53" s="138">
        <f t="shared" si="1"/>
        <v>5</v>
      </c>
      <c r="U53" s="138"/>
      <c r="V53" s="138"/>
      <c r="W53" s="138"/>
      <c r="X53" s="138"/>
      <c r="Y53" s="138"/>
      <c r="Z53" s="138"/>
      <c r="AA53" s="138"/>
      <c r="AB53" s="139"/>
      <c r="AC53" s="141">
        <v>4</v>
      </c>
      <c r="AD53" s="142">
        <v>7</v>
      </c>
      <c r="AE53" s="142"/>
      <c r="AF53" s="142" t="s">
        <v>706</v>
      </c>
      <c r="AG53" s="142">
        <v>1</v>
      </c>
      <c r="AH53" s="142">
        <v>5</v>
      </c>
      <c r="AI53" s="142">
        <v>0</v>
      </c>
      <c r="AJ53" s="142" t="s">
        <v>86</v>
      </c>
      <c r="AK53" s="142" t="s">
        <v>48</v>
      </c>
      <c r="AL53" s="142" t="s">
        <v>705</v>
      </c>
      <c r="AM53" s="142" t="s">
        <v>9</v>
      </c>
      <c r="AN53" s="142" t="s">
        <v>9</v>
      </c>
      <c r="AO53" s="142" t="s">
        <v>9</v>
      </c>
      <c r="AP53" s="142" t="s">
        <v>9</v>
      </c>
      <c r="AQ53" s="142" t="s">
        <v>9</v>
      </c>
      <c r="AR53" s="142" t="s">
        <v>9</v>
      </c>
      <c r="AS53" s="142" t="s">
        <v>9</v>
      </c>
      <c r="AT53" s="142" t="s">
        <v>9</v>
      </c>
      <c r="AU53" s="142" t="s">
        <v>9</v>
      </c>
      <c r="AV53" s="142" t="s">
        <v>9</v>
      </c>
      <c r="AW53" s="142"/>
      <c r="AX53" s="142"/>
      <c r="AY53" s="142"/>
      <c r="AZ53" s="142"/>
      <c r="BA53" s="142"/>
      <c r="BB53" s="142"/>
      <c r="BC53" s="142" t="s">
        <v>9</v>
      </c>
      <c r="BD53" s="142" t="s">
        <v>9</v>
      </c>
      <c r="BE53" s="142" t="s">
        <v>9</v>
      </c>
      <c r="BF53" s="142"/>
      <c r="BG53" s="142" t="s">
        <v>9</v>
      </c>
      <c r="BH53" s="142" t="s">
        <v>9</v>
      </c>
      <c r="BI53" s="142" t="s">
        <v>9</v>
      </c>
      <c r="BJ53" s="142" t="s">
        <v>9</v>
      </c>
      <c r="BK53" s="142" t="s">
        <v>9</v>
      </c>
      <c r="BL53" s="142"/>
      <c r="BM53" s="147">
        <v>1</v>
      </c>
      <c r="BN53" s="175"/>
      <c r="BO53" s="175"/>
      <c r="BP53" s="175" t="s">
        <v>893</v>
      </c>
      <c r="BQ53" s="207"/>
      <c r="BR53" s="175">
        <v>0.02</v>
      </c>
      <c r="BS53" s="175">
        <v>0.16300000000000001</v>
      </c>
      <c r="BT53" s="175">
        <v>7.5999999999999998E-2</v>
      </c>
      <c r="BU53" s="175">
        <f t="shared" si="3"/>
        <v>0.01</v>
      </c>
      <c r="BV53" s="175"/>
      <c r="BW53" s="166"/>
      <c r="BX53" s="138">
        <v>82</v>
      </c>
      <c r="CB53" s="170"/>
    </row>
    <row r="54" spans="1:80" x14ac:dyDescent="0.25">
      <c r="A54" s="138" t="s">
        <v>617</v>
      </c>
      <c r="B54" s="144" t="s">
        <v>726</v>
      </c>
      <c r="C54" s="145" t="s">
        <v>9</v>
      </c>
      <c r="D54" s="146" t="s">
        <v>9</v>
      </c>
      <c r="O54" s="145" t="s">
        <v>9</v>
      </c>
      <c r="S54" s="138">
        <f t="shared" si="0"/>
        <v>7</v>
      </c>
      <c r="T54" s="138">
        <f t="shared" si="1"/>
        <v>5</v>
      </c>
      <c r="U54" s="138"/>
      <c r="V54" s="138"/>
      <c r="W54" s="138"/>
      <c r="X54" s="138"/>
      <c r="Y54" s="138"/>
      <c r="Z54" s="138"/>
      <c r="AA54" s="138"/>
      <c r="AB54" s="139"/>
      <c r="AC54" s="141">
        <v>4</v>
      </c>
      <c r="AD54" s="142">
        <v>7</v>
      </c>
      <c r="AE54" s="142"/>
      <c r="AF54" s="142" t="s">
        <v>710</v>
      </c>
      <c r="AG54" s="142">
        <v>1</v>
      </c>
      <c r="AH54" s="142">
        <v>5</v>
      </c>
      <c r="AI54" s="142">
        <v>0</v>
      </c>
      <c r="AJ54" s="142" t="s">
        <v>86</v>
      </c>
      <c r="AK54" s="142" t="s">
        <v>48</v>
      </c>
      <c r="AL54" s="142" t="s">
        <v>705</v>
      </c>
      <c r="AM54" s="142" t="s">
        <v>9</v>
      </c>
      <c r="AN54" s="142" t="s">
        <v>9</v>
      </c>
      <c r="AO54" s="142" t="s">
        <v>9</v>
      </c>
      <c r="AP54" s="142"/>
      <c r="AQ54" s="142" t="s">
        <v>9</v>
      </c>
      <c r="AR54" s="142" t="s">
        <v>9</v>
      </c>
      <c r="AS54" s="142" t="s">
        <v>9</v>
      </c>
      <c r="AT54" s="142" t="s">
        <v>9</v>
      </c>
      <c r="AU54" s="142" t="s">
        <v>9</v>
      </c>
      <c r="AV54" s="142" t="s">
        <v>9</v>
      </c>
      <c r="AW54" s="142"/>
      <c r="AX54" s="142"/>
      <c r="AY54" s="142"/>
      <c r="AZ54" s="142"/>
      <c r="BA54" s="142"/>
      <c r="BB54" s="142"/>
      <c r="BC54" s="142" t="s">
        <v>9</v>
      </c>
      <c r="BD54" s="142" t="s">
        <v>9</v>
      </c>
      <c r="BE54" s="142" t="s">
        <v>9</v>
      </c>
      <c r="BF54" s="142"/>
      <c r="BG54" s="142" t="s">
        <v>9</v>
      </c>
      <c r="BH54" s="142" t="s">
        <v>9</v>
      </c>
      <c r="BI54" s="142" t="s">
        <v>9</v>
      </c>
      <c r="BJ54" s="142" t="s">
        <v>9</v>
      </c>
      <c r="BK54" s="142" t="s">
        <v>9</v>
      </c>
      <c r="BL54" s="142"/>
      <c r="BM54" s="147">
        <v>1</v>
      </c>
      <c r="BN54" s="175"/>
      <c r="BO54" s="175"/>
      <c r="BP54" s="175" t="s">
        <v>893</v>
      </c>
      <c r="BQ54" s="207"/>
      <c r="BR54" s="175">
        <v>0.02</v>
      </c>
      <c r="BS54" s="175">
        <v>0.14499999999999999</v>
      </c>
      <c r="BT54" s="175">
        <v>5.8999999999999997E-2</v>
      </c>
      <c r="BU54" s="175">
        <f t="shared" si="3"/>
        <v>0.01</v>
      </c>
      <c r="BV54" s="175"/>
      <c r="BW54" s="166"/>
      <c r="BX54" s="138">
        <v>83</v>
      </c>
      <c r="CB54" s="170"/>
    </row>
    <row r="55" spans="1:80" x14ac:dyDescent="0.25">
      <c r="A55" s="138" t="s">
        <v>617</v>
      </c>
      <c r="B55" s="144">
        <v>8910</v>
      </c>
      <c r="C55" s="145" t="s">
        <v>9</v>
      </c>
      <c r="D55" s="146" t="s">
        <v>9</v>
      </c>
      <c r="O55" s="145" t="s">
        <v>9</v>
      </c>
      <c r="P55" s="146" t="s">
        <v>9</v>
      </c>
      <c r="S55" s="138">
        <f t="shared" si="0"/>
        <v>7</v>
      </c>
      <c r="T55" s="138">
        <f t="shared" si="1"/>
        <v>5</v>
      </c>
      <c r="U55" s="138"/>
      <c r="V55" s="138"/>
      <c r="W55" s="138"/>
      <c r="X55" s="138"/>
      <c r="Y55" s="138"/>
      <c r="Z55" s="138"/>
      <c r="AA55" s="138"/>
      <c r="AB55" s="139"/>
      <c r="AC55" s="141">
        <v>4</v>
      </c>
      <c r="AD55" s="142">
        <v>7</v>
      </c>
      <c r="AE55" s="142"/>
      <c r="AF55" s="142" t="s">
        <v>710</v>
      </c>
      <c r="AG55" s="142">
        <v>1</v>
      </c>
      <c r="AH55" s="142">
        <v>5</v>
      </c>
      <c r="AI55" s="142">
        <v>0</v>
      </c>
      <c r="AJ55" s="142" t="s">
        <v>86</v>
      </c>
      <c r="AK55" s="142" t="s">
        <v>48</v>
      </c>
      <c r="AL55" s="142" t="s">
        <v>705</v>
      </c>
      <c r="AM55" s="142" t="s">
        <v>9</v>
      </c>
      <c r="AN55" s="142" t="s">
        <v>9</v>
      </c>
      <c r="AO55" s="142" t="s">
        <v>9</v>
      </c>
      <c r="AP55" s="142"/>
      <c r="AQ55" s="142" t="s">
        <v>9</v>
      </c>
      <c r="AR55" s="142" t="s">
        <v>9</v>
      </c>
      <c r="AS55" s="142" t="s">
        <v>9</v>
      </c>
      <c r="AT55" s="142" t="s">
        <v>9</v>
      </c>
      <c r="AU55" s="142" t="s">
        <v>9</v>
      </c>
      <c r="AV55" s="142" t="s">
        <v>9</v>
      </c>
      <c r="AW55" s="142" t="s">
        <v>9</v>
      </c>
      <c r="AX55" s="142" t="s">
        <v>9</v>
      </c>
      <c r="AY55" s="142" t="s">
        <v>9</v>
      </c>
      <c r="AZ55" s="142" t="s">
        <v>9</v>
      </c>
      <c r="BA55" s="142" t="s">
        <v>9</v>
      </c>
      <c r="BB55" s="142" t="s">
        <v>9</v>
      </c>
      <c r="BC55" s="142"/>
      <c r="BD55" s="142" t="s">
        <v>9</v>
      </c>
      <c r="BE55" s="142" t="s">
        <v>9</v>
      </c>
      <c r="BF55" s="142"/>
      <c r="BG55" s="142" t="s">
        <v>9</v>
      </c>
      <c r="BH55" s="142" t="s">
        <v>9</v>
      </c>
      <c r="BI55" s="142" t="s">
        <v>9</v>
      </c>
      <c r="BJ55" s="142" t="s">
        <v>9</v>
      </c>
      <c r="BK55" s="142" t="s">
        <v>9</v>
      </c>
      <c r="BL55" s="142" t="s">
        <v>9</v>
      </c>
      <c r="BM55" s="147">
        <v>1</v>
      </c>
      <c r="BN55" s="175"/>
      <c r="BO55" s="175"/>
      <c r="BP55" s="175" t="s">
        <v>893</v>
      </c>
      <c r="BQ55" s="207"/>
      <c r="BR55" s="175">
        <v>0.02</v>
      </c>
      <c r="BS55" s="175">
        <v>0.17499999999999999</v>
      </c>
      <c r="BT55" s="175">
        <v>0.06</v>
      </c>
      <c r="BU55" s="175">
        <f t="shared" si="3"/>
        <v>0.01</v>
      </c>
      <c r="BV55" s="175"/>
      <c r="BW55" s="138">
        <v>34</v>
      </c>
      <c r="BX55" s="138"/>
      <c r="CB55" s="170"/>
    </row>
    <row r="56" spans="1:80" x14ac:dyDescent="0.25">
      <c r="A56" s="138" t="s">
        <v>818</v>
      </c>
      <c r="B56" s="144" t="s">
        <v>727</v>
      </c>
      <c r="C56" s="145" t="s">
        <v>9</v>
      </c>
      <c r="D56" s="146" t="s">
        <v>9</v>
      </c>
      <c r="S56" s="138">
        <f t="shared" si="0"/>
        <v>7</v>
      </c>
      <c r="T56" s="138">
        <f t="shared" si="1"/>
        <v>5</v>
      </c>
      <c r="U56" s="138"/>
      <c r="V56" s="138"/>
      <c r="W56" s="138"/>
      <c r="X56" s="138"/>
      <c r="Y56" s="138"/>
      <c r="Z56" s="138"/>
      <c r="AA56" s="138"/>
      <c r="AB56" s="139"/>
      <c r="AC56" s="141">
        <v>4</v>
      </c>
      <c r="AD56" s="142">
        <v>7</v>
      </c>
      <c r="AE56" s="142"/>
      <c r="AF56" s="142" t="s">
        <v>706</v>
      </c>
      <c r="AG56" s="142">
        <v>1</v>
      </c>
      <c r="AH56" s="142">
        <v>5</v>
      </c>
      <c r="AI56" s="142">
        <v>0</v>
      </c>
      <c r="AJ56" s="142" t="s">
        <v>86</v>
      </c>
      <c r="AK56" s="142" t="s">
        <v>48</v>
      </c>
      <c r="AL56" s="142" t="s">
        <v>705</v>
      </c>
      <c r="AM56" s="142" t="s">
        <v>9</v>
      </c>
      <c r="AN56" s="142" t="s">
        <v>9</v>
      </c>
      <c r="AO56" s="142" t="s">
        <v>9</v>
      </c>
      <c r="AP56" s="142" t="s">
        <v>9</v>
      </c>
      <c r="AQ56" s="142" t="s">
        <v>9</v>
      </c>
      <c r="AR56" s="142" t="s">
        <v>9</v>
      </c>
      <c r="AS56" s="142" t="s">
        <v>9</v>
      </c>
      <c r="AT56" s="142" t="s">
        <v>9</v>
      </c>
      <c r="AU56" s="142" t="s">
        <v>9</v>
      </c>
      <c r="AV56" s="142" t="s">
        <v>9</v>
      </c>
      <c r="AW56" s="142" t="s">
        <v>9</v>
      </c>
      <c r="AX56" s="142" t="s">
        <v>9</v>
      </c>
      <c r="AY56" s="142" t="s">
        <v>9</v>
      </c>
      <c r="AZ56" s="142" t="s">
        <v>9</v>
      </c>
      <c r="BA56" s="142" t="s">
        <v>9</v>
      </c>
      <c r="BB56" s="142" t="s">
        <v>9</v>
      </c>
      <c r="BC56" s="142"/>
      <c r="BD56" s="142" t="s">
        <v>9</v>
      </c>
      <c r="BE56" s="142" t="s">
        <v>9</v>
      </c>
      <c r="BF56" s="142"/>
      <c r="BG56" s="142" t="s">
        <v>9</v>
      </c>
      <c r="BH56" s="142" t="s">
        <v>9</v>
      </c>
      <c r="BI56" s="142" t="s">
        <v>9</v>
      </c>
      <c r="BJ56" s="142" t="s">
        <v>9</v>
      </c>
      <c r="BK56" s="142" t="s">
        <v>9</v>
      </c>
      <c r="BL56" s="142" t="s">
        <v>9</v>
      </c>
      <c r="BM56" s="147">
        <v>1</v>
      </c>
      <c r="BN56" s="175"/>
      <c r="BO56" s="175">
        <v>1</v>
      </c>
      <c r="BP56" s="175" t="s">
        <v>893</v>
      </c>
      <c r="BQ56" s="205" t="s">
        <v>876</v>
      </c>
      <c r="BR56" s="175">
        <v>2.35E-2</v>
      </c>
      <c r="BS56" s="175">
        <v>0.14399999999999999</v>
      </c>
      <c r="BT56" s="175">
        <v>6.3E-2</v>
      </c>
      <c r="BU56" s="175">
        <f t="shared" si="3"/>
        <v>1.175E-2</v>
      </c>
      <c r="BV56" s="175"/>
      <c r="BW56" s="138">
        <v>35</v>
      </c>
      <c r="BX56" s="138"/>
      <c r="CB56" s="170"/>
    </row>
    <row r="57" spans="1:80" x14ac:dyDescent="0.25">
      <c r="A57" s="138" t="s">
        <v>818</v>
      </c>
      <c r="B57" s="144" t="s">
        <v>728</v>
      </c>
      <c r="C57" s="145" t="s">
        <v>9</v>
      </c>
      <c r="D57" s="146" t="s">
        <v>9</v>
      </c>
      <c r="O57" s="145" t="s">
        <v>9</v>
      </c>
      <c r="S57" s="138">
        <f t="shared" si="0"/>
        <v>7</v>
      </c>
      <c r="T57" s="138">
        <f t="shared" si="1"/>
        <v>5</v>
      </c>
      <c r="U57" s="138"/>
      <c r="V57" s="138"/>
      <c r="W57" s="138"/>
      <c r="X57" s="138"/>
      <c r="Y57" s="138"/>
      <c r="Z57" s="138"/>
      <c r="AA57" s="138"/>
      <c r="AB57" s="139"/>
      <c r="AC57" s="141">
        <v>4</v>
      </c>
      <c r="AD57" s="142">
        <v>7</v>
      </c>
      <c r="AE57" s="142"/>
      <c r="AF57" s="142" t="s">
        <v>706</v>
      </c>
      <c r="AG57" s="142">
        <v>1</v>
      </c>
      <c r="AH57" s="142">
        <v>5</v>
      </c>
      <c r="AI57" s="142">
        <v>0</v>
      </c>
      <c r="AJ57" s="142" t="s">
        <v>86</v>
      </c>
      <c r="AK57" s="142" t="s">
        <v>48</v>
      </c>
      <c r="AL57" s="142" t="s">
        <v>705</v>
      </c>
      <c r="AM57" s="142" t="s">
        <v>9</v>
      </c>
      <c r="AN57" s="142" t="s">
        <v>9</v>
      </c>
      <c r="AO57" s="142" t="s">
        <v>9</v>
      </c>
      <c r="AP57" s="142" t="s">
        <v>9</v>
      </c>
      <c r="AQ57" s="142" t="s">
        <v>9</v>
      </c>
      <c r="AR57" s="142" t="s">
        <v>9</v>
      </c>
      <c r="AS57" s="142" t="s">
        <v>9</v>
      </c>
      <c r="AT57" s="142" t="s">
        <v>9</v>
      </c>
      <c r="AU57" s="142" t="s">
        <v>9</v>
      </c>
      <c r="AV57" s="142" t="s">
        <v>9</v>
      </c>
      <c r="AW57" s="142" t="s">
        <v>9</v>
      </c>
      <c r="AX57" s="142" t="s">
        <v>9</v>
      </c>
      <c r="AY57" s="142" t="s">
        <v>9</v>
      </c>
      <c r="AZ57" s="142" t="s">
        <v>9</v>
      </c>
      <c r="BA57" s="142" t="s">
        <v>9</v>
      </c>
      <c r="BB57" s="142" t="s">
        <v>9</v>
      </c>
      <c r="BC57" s="142"/>
      <c r="BD57" s="142" t="s">
        <v>9</v>
      </c>
      <c r="BE57" s="142" t="s">
        <v>9</v>
      </c>
      <c r="BF57" s="142"/>
      <c r="BG57" s="142" t="s">
        <v>9</v>
      </c>
      <c r="BH57" s="142" t="s">
        <v>9</v>
      </c>
      <c r="BI57" s="142" t="s">
        <v>9</v>
      </c>
      <c r="BJ57" s="142" t="s">
        <v>9</v>
      </c>
      <c r="BK57" s="142" t="s">
        <v>9</v>
      </c>
      <c r="BL57" s="142" t="s">
        <v>9</v>
      </c>
      <c r="BM57" s="147">
        <v>1</v>
      </c>
      <c r="BN57" s="175"/>
      <c r="BO57" s="175"/>
      <c r="BP57" s="175" t="s">
        <v>893</v>
      </c>
      <c r="BQ57" s="207"/>
      <c r="BR57" s="175">
        <v>2.35E-2</v>
      </c>
      <c r="BS57" s="175">
        <v>0.14399999999999999</v>
      </c>
      <c r="BT57" s="175">
        <v>5.6000000000000001E-2</v>
      </c>
      <c r="BU57" s="175">
        <f t="shared" si="3"/>
        <v>1.175E-2</v>
      </c>
      <c r="BV57" s="175"/>
      <c r="BW57" s="138">
        <v>36</v>
      </c>
      <c r="BX57" s="138">
        <v>84</v>
      </c>
      <c r="CB57" s="170"/>
    </row>
    <row r="58" spans="1:80" x14ac:dyDescent="0.25">
      <c r="A58" s="138" t="s">
        <v>818</v>
      </c>
      <c r="B58" s="144" t="s">
        <v>729</v>
      </c>
      <c r="C58" s="145" t="s">
        <v>9</v>
      </c>
      <c r="D58" s="146" t="s">
        <v>9</v>
      </c>
      <c r="O58" s="145" t="s">
        <v>9</v>
      </c>
      <c r="S58" s="138">
        <f t="shared" si="0"/>
        <v>7</v>
      </c>
      <c r="T58" s="138">
        <f t="shared" si="1"/>
        <v>5</v>
      </c>
      <c r="U58" s="138"/>
      <c r="V58" s="138"/>
      <c r="W58" s="138"/>
      <c r="X58" s="138"/>
      <c r="Y58" s="138"/>
      <c r="Z58" s="138"/>
      <c r="AA58" s="138"/>
      <c r="AB58" s="139"/>
      <c r="AC58" s="141">
        <v>4</v>
      </c>
      <c r="AD58" s="142">
        <v>7</v>
      </c>
      <c r="AE58" s="142"/>
      <c r="AF58" s="142" t="s">
        <v>706</v>
      </c>
      <c r="AG58" s="142">
        <v>1</v>
      </c>
      <c r="AH58" s="142">
        <v>5</v>
      </c>
      <c r="AI58" s="142">
        <v>0</v>
      </c>
      <c r="AJ58" s="142" t="s">
        <v>86</v>
      </c>
      <c r="AK58" s="142" t="s">
        <v>48</v>
      </c>
      <c r="AL58" s="142" t="s">
        <v>705</v>
      </c>
      <c r="AM58" s="142" t="s">
        <v>9</v>
      </c>
      <c r="AN58" s="142" t="s">
        <v>9</v>
      </c>
      <c r="AO58" s="142" t="s">
        <v>9</v>
      </c>
      <c r="AP58" s="142" t="s">
        <v>9</v>
      </c>
      <c r="AQ58" s="142" t="s">
        <v>9</v>
      </c>
      <c r="AR58" s="142" t="s">
        <v>9</v>
      </c>
      <c r="AS58" s="142" t="s">
        <v>9</v>
      </c>
      <c r="AT58" s="142" t="s">
        <v>9</v>
      </c>
      <c r="AU58" s="142" t="s">
        <v>9</v>
      </c>
      <c r="AV58" s="142" t="s">
        <v>9</v>
      </c>
      <c r="AW58" s="142"/>
      <c r="AX58" s="142"/>
      <c r="AY58" s="142"/>
      <c r="AZ58" s="142"/>
      <c r="BA58" s="142"/>
      <c r="BB58" s="142"/>
      <c r="BC58" s="142" t="s">
        <v>9</v>
      </c>
      <c r="BD58" s="142" t="s">
        <v>9</v>
      </c>
      <c r="BE58" s="142" t="s">
        <v>9</v>
      </c>
      <c r="BF58" s="142"/>
      <c r="BG58" s="142" t="s">
        <v>9</v>
      </c>
      <c r="BH58" s="142" t="s">
        <v>9</v>
      </c>
      <c r="BI58" s="142" t="s">
        <v>9</v>
      </c>
      <c r="BJ58" s="142" t="s">
        <v>9</v>
      </c>
      <c r="BK58" s="142" t="s">
        <v>9</v>
      </c>
      <c r="BL58" s="142"/>
      <c r="BM58" s="147">
        <v>1</v>
      </c>
      <c r="BN58" s="175"/>
      <c r="BO58" s="175"/>
      <c r="BP58" s="175" t="s">
        <v>893</v>
      </c>
      <c r="BQ58" s="207"/>
      <c r="BR58" s="175">
        <v>2.35E-2</v>
      </c>
      <c r="BS58" s="175">
        <v>0.16800000000000001</v>
      </c>
      <c r="BT58" s="175">
        <v>6.5000000000000002E-2</v>
      </c>
      <c r="BU58" s="175">
        <f t="shared" si="3"/>
        <v>1.175E-2</v>
      </c>
      <c r="BV58" s="175"/>
      <c r="BW58" s="166"/>
      <c r="BX58" s="138">
        <v>85</v>
      </c>
      <c r="CB58" s="170"/>
    </row>
    <row r="59" spans="1:80" x14ac:dyDescent="0.25">
      <c r="A59" s="138" t="s">
        <v>818</v>
      </c>
      <c r="B59" s="144" t="s">
        <v>730</v>
      </c>
      <c r="C59" s="145" t="s">
        <v>9</v>
      </c>
      <c r="D59" s="146" t="s">
        <v>9</v>
      </c>
      <c r="S59" s="138">
        <f t="shared" si="0"/>
        <v>7</v>
      </c>
      <c r="T59" s="138">
        <f t="shared" si="1"/>
        <v>5</v>
      </c>
      <c r="U59" s="138"/>
      <c r="V59" s="138"/>
      <c r="W59" s="138"/>
      <c r="X59" s="138"/>
      <c r="Y59" s="138"/>
      <c r="Z59" s="138"/>
      <c r="AA59" s="138"/>
      <c r="AB59" s="139"/>
      <c r="AC59" s="141">
        <v>4</v>
      </c>
      <c r="AD59" s="142">
        <v>7</v>
      </c>
      <c r="AE59" s="142"/>
      <c r="AF59" s="142" t="s">
        <v>706</v>
      </c>
      <c r="AG59" s="142">
        <v>1</v>
      </c>
      <c r="AH59" s="142">
        <v>5</v>
      </c>
      <c r="AI59" s="142">
        <v>0</v>
      </c>
      <c r="AJ59" s="142" t="s">
        <v>86</v>
      </c>
      <c r="AK59" s="142" t="s">
        <v>48</v>
      </c>
      <c r="AL59" s="142" t="s">
        <v>705</v>
      </c>
      <c r="AM59" s="142"/>
      <c r="AN59" s="142"/>
      <c r="AO59" s="142"/>
      <c r="AP59" s="142" t="s">
        <v>9</v>
      </c>
      <c r="AQ59" s="142" t="s">
        <v>9</v>
      </c>
      <c r="AR59" s="142" t="s">
        <v>9</v>
      </c>
      <c r="AS59" s="142" t="s">
        <v>9</v>
      </c>
      <c r="AT59" s="142" t="s">
        <v>9</v>
      </c>
      <c r="AU59" s="142" t="s">
        <v>9</v>
      </c>
      <c r="AV59" s="142" t="s">
        <v>9</v>
      </c>
      <c r="AW59" s="142" t="s">
        <v>9</v>
      </c>
      <c r="AX59" s="142" t="s">
        <v>9</v>
      </c>
      <c r="AY59" s="142" t="s">
        <v>9</v>
      </c>
      <c r="AZ59" s="142" t="s">
        <v>9</v>
      </c>
      <c r="BA59" s="142" t="s">
        <v>9</v>
      </c>
      <c r="BB59" s="142" t="s">
        <v>9</v>
      </c>
      <c r="BC59" s="142"/>
      <c r="BD59" s="142" t="s">
        <v>9</v>
      </c>
      <c r="BE59" s="142" t="s">
        <v>9</v>
      </c>
      <c r="BF59" s="142"/>
      <c r="BG59" s="142" t="s">
        <v>9</v>
      </c>
      <c r="BH59" s="142" t="s">
        <v>9</v>
      </c>
      <c r="BI59" s="142" t="s">
        <v>9</v>
      </c>
      <c r="BJ59" s="142" t="s">
        <v>9</v>
      </c>
      <c r="BK59" s="142" t="s">
        <v>9</v>
      </c>
      <c r="BL59" s="142" t="s">
        <v>9</v>
      </c>
      <c r="BM59" s="147">
        <v>1</v>
      </c>
      <c r="BN59" s="175"/>
      <c r="BO59" s="175">
        <v>1</v>
      </c>
      <c r="BP59" s="175" t="s">
        <v>893</v>
      </c>
      <c r="BQ59" s="205" t="s">
        <v>876</v>
      </c>
      <c r="BR59" s="175">
        <v>2.35E-2</v>
      </c>
      <c r="BS59" s="175">
        <v>0.16</v>
      </c>
      <c r="BT59" s="175">
        <v>6.3E-2</v>
      </c>
      <c r="BU59" s="175">
        <v>1.7000000000000001E-2</v>
      </c>
      <c r="BV59" s="175"/>
      <c r="BW59" s="138">
        <v>37</v>
      </c>
      <c r="BX59" s="138"/>
      <c r="CB59" s="170"/>
    </row>
    <row r="60" spans="1:80" x14ac:dyDescent="0.25">
      <c r="A60" s="138" t="s">
        <v>818</v>
      </c>
      <c r="B60" s="144" t="s">
        <v>731</v>
      </c>
      <c r="C60" s="145" t="s">
        <v>9</v>
      </c>
      <c r="D60" s="146" t="s">
        <v>9</v>
      </c>
      <c r="S60" s="138">
        <f t="shared" si="0"/>
        <v>7</v>
      </c>
      <c r="T60" s="138">
        <f t="shared" si="1"/>
        <v>5</v>
      </c>
      <c r="U60" s="138"/>
      <c r="V60" s="138"/>
      <c r="W60" s="138"/>
      <c r="X60" s="138"/>
      <c r="Y60" s="138"/>
      <c r="Z60" s="138"/>
      <c r="AA60" s="138"/>
      <c r="AB60" s="139"/>
      <c r="AC60" s="141">
        <v>4</v>
      </c>
      <c r="AD60" s="142">
        <v>7</v>
      </c>
      <c r="AE60" s="142"/>
      <c r="AF60" s="142" t="s">
        <v>710</v>
      </c>
      <c r="AG60" s="142">
        <v>1</v>
      </c>
      <c r="AH60" s="142">
        <v>5</v>
      </c>
      <c r="AI60" s="142">
        <v>0</v>
      </c>
      <c r="AJ60" s="142" t="s">
        <v>86</v>
      </c>
      <c r="AK60" s="142" t="s">
        <v>48</v>
      </c>
      <c r="AL60" s="142" t="s">
        <v>705</v>
      </c>
      <c r="AM60" s="142" t="s">
        <v>9</v>
      </c>
      <c r="AN60" s="142" t="s">
        <v>9</v>
      </c>
      <c r="AO60" s="142" t="s">
        <v>9</v>
      </c>
      <c r="AP60" s="142"/>
      <c r="AQ60" s="142" t="s">
        <v>9</v>
      </c>
      <c r="AR60" s="142" t="s">
        <v>9</v>
      </c>
      <c r="AS60" s="142" t="s">
        <v>9</v>
      </c>
      <c r="AT60" s="142" t="s">
        <v>9</v>
      </c>
      <c r="AU60" s="142" t="s">
        <v>9</v>
      </c>
      <c r="AV60" s="142" t="s">
        <v>9</v>
      </c>
      <c r="AW60" s="142" t="s">
        <v>9</v>
      </c>
      <c r="AX60" s="142" t="s">
        <v>9</v>
      </c>
      <c r="AY60" s="142" t="s">
        <v>9</v>
      </c>
      <c r="AZ60" s="142" t="s">
        <v>9</v>
      </c>
      <c r="BA60" s="142" t="s">
        <v>9</v>
      </c>
      <c r="BB60" s="142" t="s">
        <v>9</v>
      </c>
      <c r="BC60" s="142"/>
      <c r="BD60" s="142" t="s">
        <v>9</v>
      </c>
      <c r="BE60" s="142" t="s">
        <v>9</v>
      </c>
      <c r="BF60" s="142"/>
      <c r="BG60" s="142" t="s">
        <v>9</v>
      </c>
      <c r="BH60" s="142" t="s">
        <v>9</v>
      </c>
      <c r="BI60" s="142" t="s">
        <v>9</v>
      </c>
      <c r="BJ60" s="142" t="s">
        <v>9</v>
      </c>
      <c r="BK60" s="142" t="s">
        <v>9</v>
      </c>
      <c r="BL60" s="142" t="s">
        <v>9</v>
      </c>
      <c r="BM60" s="147">
        <v>1</v>
      </c>
      <c r="BN60" s="175"/>
      <c r="BO60" s="175"/>
      <c r="BP60" s="175" t="s">
        <v>893</v>
      </c>
      <c r="BQ60" s="207"/>
      <c r="BR60" s="175">
        <v>0.02</v>
      </c>
      <c r="BS60" s="175">
        <v>0.115</v>
      </c>
      <c r="BT60" s="175">
        <v>0.05</v>
      </c>
      <c r="BU60" s="175">
        <f t="shared" ref="BU60:BU76" si="4">BR60/2</f>
        <v>0.01</v>
      </c>
      <c r="BV60" s="175"/>
      <c r="BW60" s="138">
        <v>38</v>
      </c>
      <c r="BX60" s="138">
        <v>86</v>
      </c>
      <c r="CB60" s="170"/>
    </row>
    <row r="61" spans="1:80" x14ac:dyDescent="0.25">
      <c r="A61" s="138" t="s">
        <v>818</v>
      </c>
      <c r="B61" s="144" t="s">
        <v>732</v>
      </c>
      <c r="C61" s="145" t="s">
        <v>9</v>
      </c>
      <c r="D61" s="146" t="s">
        <v>9</v>
      </c>
      <c r="S61" s="138">
        <f t="shared" si="0"/>
        <v>7</v>
      </c>
      <c r="T61" s="138">
        <f t="shared" si="1"/>
        <v>5</v>
      </c>
      <c r="U61" s="138"/>
      <c r="V61" s="138"/>
      <c r="W61" s="138"/>
      <c r="X61" s="138"/>
      <c r="Y61" s="138"/>
      <c r="Z61" s="138"/>
      <c r="AA61" s="138"/>
      <c r="AB61" s="139"/>
      <c r="AC61" s="141">
        <v>4</v>
      </c>
      <c r="AD61" s="142">
        <v>7</v>
      </c>
      <c r="AE61" s="142"/>
      <c r="AF61" s="142" t="s">
        <v>710</v>
      </c>
      <c r="AG61" s="142">
        <v>1</v>
      </c>
      <c r="AH61" s="142">
        <v>5</v>
      </c>
      <c r="AI61" s="142">
        <v>0</v>
      </c>
      <c r="AJ61" s="142" t="s">
        <v>86</v>
      </c>
      <c r="AK61" s="142" t="s">
        <v>48</v>
      </c>
      <c r="AL61" s="142" t="s">
        <v>705</v>
      </c>
      <c r="AM61" s="142" t="s">
        <v>9</v>
      </c>
      <c r="AN61" s="142" t="s">
        <v>9</v>
      </c>
      <c r="AO61" s="142" t="s">
        <v>9</v>
      </c>
      <c r="AP61" s="142"/>
      <c r="AQ61" s="142" t="s">
        <v>9</v>
      </c>
      <c r="AR61" s="142" t="s">
        <v>9</v>
      </c>
      <c r="AS61" s="142" t="s">
        <v>9</v>
      </c>
      <c r="AT61" s="142" t="s">
        <v>9</v>
      </c>
      <c r="AU61" s="142" t="s">
        <v>9</v>
      </c>
      <c r="AV61" s="142" t="s">
        <v>9</v>
      </c>
      <c r="AW61" s="142"/>
      <c r="AX61" s="142"/>
      <c r="AY61" s="142"/>
      <c r="AZ61" s="142"/>
      <c r="BA61" s="142"/>
      <c r="BB61" s="142"/>
      <c r="BC61" s="142" t="s">
        <v>9</v>
      </c>
      <c r="BD61" s="142" t="s">
        <v>9</v>
      </c>
      <c r="BE61" s="142" t="s">
        <v>9</v>
      </c>
      <c r="BF61" s="142"/>
      <c r="BG61" s="142" t="s">
        <v>9</v>
      </c>
      <c r="BH61" s="142" t="s">
        <v>9</v>
      </c>
      <c r="BI61" s="142" t="s">
        <v>9</v>
      </c>
      <c r="BJ61" s="142" t="s">
        <v>9</v>
      </c>
      <c r="BK61" s="142" t="s">
        <v>9</v>
      </c>
      <c r="BL61" s="142"/>
      <c r="BM61" s="147">
        <v>1</v>
      </c>
      <c r="BN61" s="175"/>
      <c r="BO61" s="175"/>
      <c r="BP61" s="175" t="s">
        <v>893</v>
      </c>
      <c r="BQ61" s="207"/>
      <c r="BR61" s="175">
        <v>0.02</v>
      </c>
      <c r="BS61" s="175">
        <v>0.13500000000000001</v>
      </c>
      <c r="BT61" s="175">
        <v>6.7000000000000004E-2</v>
      </c>
      <c r="BU61" s="175">
        <f t="shared" si="4"/>
        <v>0.01</v>
      </c>
      <c r="BV61" s="175"/>
      <c r="BW61" s="166"/>
      <c r="BX61" s="138">
        <v>87</v>
      </c>
      <c r="CB61" s="170"/>
    </row>
    <row r="62" spans="1:80" x14ac:dyDescent="0.25">
      <c r="A62" s="138" t="s">
        <v>617</v>
      </c>
      <c r="B62" s="144">
        <v>8940</v>
      </c>
      <c r="C62" s="145" t="s">
        <v>9</v>
      </c>
      <c r="D62" s="146" t="s">
        <v>9</v>
      </c>
      <c r="S62" s="138">
        <f t="shared" si="0"/>
        <v>7</v>
      </c>
      <c r="T62" s="138">
        <f t="shared" si="1"/>
        <v>5</v>
      </c>
      <c r="U62" s="138"/>
      <c r="V62" s="138"/>
      <c r="W62" s="138"/>
      <c r="X62" s="138"/>
      <c r="Y62" s="138"/>
      <c r="Z62" s="138"/>
      <c r="AA62" s="138"/>
      <c r="AB62" s="139"/>
      <c r="AC62" s="141">
        <v>4</v>
      </c>
      <c r="AD62" s="142">
        <v>7</v>
      </c>
      <c r="AE62" s="142"/>
      <c r="AF62" s="142" t="s">
        <v>706</v>
      </c>
      <c r="AG62" s="142">
        <v>1</v>
      </c>
      <c r="AH62" s="142">
        <v>5</v>
      </c>
      <c r="AI62" s="142">
        <v>0</v>
      </c>
      <c r="AJ62" s="142" t="s">
        <v>86</v>
      </c>
      <c r="AK62" s="142" t="s">
        <v>48</v>
      </c>
      <c r="AL62" s="142" t="s">
        <v>705</v>
      </c>
      <c r="AM62" s="142" t="s">
        <v>9</v>
      </c>
      <c r="AN62" s="142" t="s">
        <v>9</v>
      </c>
      <c r="AO62" s="142" t="s">
        <v>9</v>
      </c>
      <c r="AP62" s="142" t="s">
        <v>9</v>
      </c>
      <c r="AQ62" s="142" t="s">
        <v>9</v>
      </c>
      <c r="AR62" s="142" t="s">
        <v>9</v>
      </c>
      <c r="AS62" s="142" t="s">
        <v>9</v>
      </c>
      <c r="AT62" s="142" t="s">
        <v>9</v>
      </c>
      <c r="AU62" s="142" t="s">
        <v>9</v>
      </c>
      <c r="AV62" s="142" t="s">
        <v>9</v>
      </c>
      <c r="AW62" s="142" t="s">
        <v>9</v>
      </c>
      <c r="AX62" s="142" t="s">
        <v>9</v>
      </c>
      <c r="AY62" s="142" t="s">
        <v>9</v>
      </c>
      <c r="AZ62" s="142" t="s">
        <v>9</v>
      </c>
      <c r="BA62" s="142" t="s">
        <v>9</v>
      </c>
      <c r="BB62" s="142" t="s">
        <v>9</v>
      </c>
      <c r="BC62" s="142"/>
      <c r="BD62" s="142" t="s">
        <v>9</v>
      </c>
      <c r="BE62" s="142" t="s">
        <v>9</v>
      </c>
      <c r="BF62" s="142"/>
      <c r="BG62" s="142" t="s">
        <v>9</v>
      </c>
      <c r="BH62" s="142" t="s">
        <v>9</v>
      </c>
      <c r="BI62" s="142" t="s">
        <v>9</v>
      </c>
      <c r="BJ62" s="142" t="s">
        <v>9</v>
      </c>
      <c r="BK62" s="142" t="s">
        <v>9</v>
      </c>
      <c r="BL62" s="142" t="s">
        <v>9</v>
      </c>
      <c r="BM62" s="147">
        <v>1</v>
      </c>
      <c r="BN62" s="175"/>
      <c r="BO62" s="175"/>
      <c r="BP62" s="175" t="s">
        <v>893</v>
      </c>
      <c r="BQ62" s="207"/>
      <c r="BR62" s="175">
        <v>2.35E-2</v>
      </c>
      <c r="BS62" s="175">
        <v>0.13500000000000001</v>
      </c>
      <c r="BT62" s="175">
        <v>0.06</v>
      </c>
      <c r="BU62" s="175">
        <f t="shared" si="4"/>
        <v>1.175E-2</v>
      </c>
      <c r="BV62" s="175"/>
      <c r="BW62" s="138">
        <v>39</v>
      </c>
      <c r="BX62" s="138">
        <v>88</v>
      </c>
      <c r="CB62" s="170"/>
    </row>
    <row r="63" spans="1:80" x14ac:dyDescent="0.25">
      <c r="A63" s="184" t="s">
        <v>617</v>
      </c>
      <c r="B63" s="183" t="s">
        <v>791</v>
      </c>
      <c r="C63" s="145" t="s">
        <v>9</v>
      </c>
      <c r="D63" s="146" t="s">
        <v>9</v>
      </c>
      <c r="S63" s="138">
        <f t="shared" si="0"/>
        <v>7</v>
      </c>
      <c r="T63" s="138">
        <f t="shared" si="1"/>
        <v>5</v>
      </c>
      <c r="U63" s="138"/>
      <c r="V63" s="138"/>
      <c r="W63" s="138"/>
      <c r="X63" s="138"/>
      <c r="Y63" s="138"/>
      <c r="Z63" s="138"/>
      <c r="AA63" s="138"/>
      <c r="AB63" s="139"/>
      <c r="AC63" s="141">
        <v>4</v>
      </c>
      <c r="AD63" s="142">
        <v>7</v>
      </c>
      <c r="AE63" s="142"/>
      <c r="AF63" s="142" t="s">
        <v>710</v>
      </c>
      <c r="AG63" s="142">
        <v>1</v>
      </c>
      <c r="AH63" s="142">
        <v>5</v>
      </c>
      <c r="AI63" s="142">
        <v>0</v>
      </c>
      <c r="AJ63" s="142" t="s">
        <v>86</v>
      </c>
      <c r="AK63" s="142" t="s">
        <v>48</v>
      </c>
      <c r="AL63" s="142" t="s">
        <v>705</v>
      </c>
      <c r="AM63" s="142" t="s">
        <v>9</v>
      </c>
      <c r="AN63" s="142" t="s">
        <v>9</v>
      </c>
      <c r="AO63" s="142" t="s">
        <v>9</v>
      </c>
      <c r="AP63" s="142"/>
      <c r="AQ63" s="142" t="s">
        <v>9</v>
      </c>
      <c r="AR63" s="142" t="s">
        <v>9</v>
      </c>
      <c r="AS63" s="142" t="s">
        <v>9</v>
      </c>
      <c r="AT63" s="142" t="s">
        <v>9</v>
      </c>
      <c r="AU63" s="142"/>
      <c r="AV63" s="142" t="s">
        <v>9</v>
      </c>
      <c r="AW63" s="142"/>
      <c r="AX63" s="142"/>
      <c r="AY63" s="142"/>
      <c r="AZ63" s="142"/>
      <c r="BA63" s="142"/>
      <c r="BB63" s="142"/>
      <c r="BC63" s="142" t="s">
        <v>9</v>
      </c>
      <c r="BD63" s="142" t="s">
        <v>9</v>
      </c>
      <c r="BE63" s="142" t="s">
        <v>9</v>
      </c>
      <c r="BF63" s="142"/>
      <c r="BG63" s="142" t="s">
        <v>9</v>
      </c>
      <c r="BH63" s="142" t="s">
        <v>9</v>
      </c>
      <c r="BI63" s="142" t="s">
        <v>9</v>
      </c>
      <c r="BJ63" s="142" t="s">
        <v>9</v>
      </c>
      <c r="BK63" s="142" t="s">
        <v>9</v>
      </c>
      <c r="BL63" s="142"/>
      <c r="BM63" s="147">
        <v>1</v>
      </c>
      <c r="BN63" s="175"/>
      <c r="BO63" s="175"/>
      <c r="BP63" s="175" t="s">
        <v>893</v>
      </c>
      <c r="BQ63" s="207"/>
      <c r="BR63" s="175">
        <v>2.35E-2</v>
      </c>
      <c r="BS63" s="175">
        <v>0.155</v>
      </c>
      <c r="BT63" s="175">
        <v>7.5999999999999998E-2</v>
      </c>
      <c r="BU63" s="175">
        <f t="shared" si="4"/>
        <v>1.175E-2</v>
      </c>
      <c r="BV63" s="175"/>
      <c r="BW63" s="138"/>
      <c r="BX63" s="138">
        <v>89</v>
      </c>
      <c r="CB63" s="170"/>
    </row>
    <row r="64" spans="1:80" x14ac:dyDescent="0.25">
      <c r="A64" s="138" t="s">
        <v>818</v>
      </c>
      <c r="B64" s="144" t="s">
        <v>733</v>
      </c>
      <c r="C64" s="145" t="s">
        <v>9</v>
      </c>
      <c r="D64" s="146" t="s">
        <v>9</v>
      </c>
      <c r="S64" s="138">
        <f t="shared" si="0"/>
        <v>7</v>
      </c>
      <c r="T64" s="138">
        <f t="shared" si="1"/>
        <v>5</v>
      </c>
      <c r="U64" s="138"/>
      <c r="V64" s="138"/>
      <c r="W64" s="138"/>
      <c r="X64" s="138"/>
      <c r="Y64" s="138"/>
      <c r="Z64" s="138"/>
      <c r="AA64" s="138"/>
      <c r="AB64" s="139"/>
      <c r="AC64" s="141">
        <v>4</v>
      </c>
      <c r="AD64" s="142">
        <v>7</v>
      </c>
      <c r="AE64" s="142"/>
      <c r="AF64" s="142" t="s">
        <v>710</v>
      </c>
      <c r="AG64" s="142">
        <v>1</v>
      </c>
      <c r="AH64" s="142">
        <v>5</v>
      </c>
      <c r="AI64" s="142">
        <v>0</v>
      </c>
      <c r="AJ64" s="142" t="s">
        <v>86</v>
      </c>
      <c r="AK64" s="142" t="s">
        <v>48</v>
      </c>
      <c r="AL64" s="142" t="s">
        <v>705</v>
      </c>
      <c r="AM64" s="142" t="s">
        <v>9</v>
      </c>
      <c r="AN64" s="142" t="s">
        <v>9</v>
      </c>
      <c r="AO64" s="142" t="s">
        <v>9</v>
      </c>
      <c r="AP64" s="142"/>
      <c r="AQ64" s="142" t="s">
        <v>9</v>
      </c>
      <c r="AR64" s="142" t="s">
        <v>9</v>
      </c>
      <c r="AS64" s="142" t="s">
        <v>9</v>
      </c>
      <c r="AT64" s="142" t="s">
        <v>9</v>
      </c>
      <c r="AU64" s="142" t="s">
        <v>9</v>
      </c>
      <c r="AV64" s="142" t="s">
        <v>9</v>
      </c>
      <c r="AW64" s="142" t="s">
        <v>9</v>
      </c>
      <c r="AX64" s="142" t="s">
        <v>9</v>
      </c>
      <c r="AY64" s="142" t="s">
        <v>9</v>
      </c>
      <c r="AZ64" s="142" t="s">
        <v>9</v>
      </c>
      <c r="BA64" s="142" t="s">
        <v>9</v>
      </c>
      <c r="BB64" s="142" t="s">
        <v>9</v>
      </c>
      <c r="BC64" s="142"/>
      <c r="BD64" s="142" t="s">
        <v>9</v>
      </c>
      <c r="BE64" s="142" t="s">
        <v>9</v>
      </c>
      <c r="BF64" s="142"/>
      <c r="BG64" s="142" t="s">
        <v>9</v>
      </c>
      <c r="BH64" s="142" t="s">
        <v>9</v>
      </c>
      <c r="BI64" s="142" t="s">
        <v>9</v>
      </c>
      <c r="BJ64" s="142" t="s">
        <v>9</v>
      </c>
      <c r="BK64" s="142" t="s">
        <v>9</v>
      </c>
      <c r="BL64" s="142" t="s">
        <v>9</v>
      </c>
      <c r="BM64" s="147">
        <v>1</v>
      </c>
      <c r="BN64" s="175"/>
      <c r="BO64" s="175" t="s">
        <v>9</v>
      </c>
      <c r="BP64" s="175" t="s">
        <v>893</v>
      </c>
      <c r="BQ64" s="205" t="s">
        <v>875</v>
      </c>
      <c r="BR64" s="175">
        <v>2.5000000000000001E-2</v>
      </c>
      <c r="BS64" s="175">
        <v>0.13</v>
      </c>
      <c r="BT64" s="175">
        <v>0.06</v>
      </c>
      <c r="BU64" s="175">
        <f t="shared" si="4"/>
        <v>1.2500000000000001E-2</v>
      </c>
      <c r="BV64" s="175"/>
      <c r="BW64" s="138">
        <v>40</v>
      </c>
      <c r="BX64" s="138"/>
      <c r="CB64" s="170"/>
    </row>
    <row r="65" spans="1:80" x14ac:dyDescent="0.25">
      <c r="A65" s="138" t="s">
        <v>818</v>
      </c>
      <c r="B65" s="144" t="s">
        <v>734</v>
      </c>
      <c r="C65" s="145" t="s">
        <v>9</v>
      </c>
      <c r="D65" s="146" t="s">
        <v>9</v>
      </c>
      <c r="S65" s="138">
        <f t="shared" si="0"/>
        <v>7</v>
      </c>
      <c r="T65" s="138">
        <f t="shared" si="1"/>
        <v>5</v>
      </c>
      <c r="U65" s="138"/>
      <c r="V65" s="138"/>
      <c r="W65" s="138"/>
      <c r="X65" s="138"/>
      <c r="Y65" s="138"/>
      <c r="Z65" s="138"/>
      <c r="AA65" s="138"/>
      <c r="AB65" s="139"/>
      <c r="AC65" s="141">
        <v>4</v>
      </c>
      <c r="AD65" s="142">
        <v>7</v>
      </c>
      <c r="AE65" s="142"/>
      <c r="AF65" s="142" t="s">
        <v>706</v>
      </c>
      <c r="AG65" s="142">
        <v>1</v>
      </c>
      <c r="AH65" s="142">
        <v>5</v>
      </c>
      <c r="AI65" s="142">
        <v>0</v>
      </c>
      <c r="AJ65" s="142" t="s">
        <v>86</v>
      </c>
      <c r="AK65" s="142" t="s">
        <v>48</v>
      </c>
      <c r="AL65" s="142" t="s">
        <v>705</v>
      </c>
      <c r="AM65" s="142" t="s">
        <v>9</v>
      </c>
      <c r="AN65" s="142" t="s">
        <v>9</v>
      </c>
      <c r="AO65" s="142" t="s">
        <v>9</v>
      </c>
      <c r="AP65" s="142" t="s">
        <v>9</v>
      </c>
      <c r="AQ65" s="142" t="s">
        <v>9</v>
      </c>
      <c r="AR65" s="142" t="s">
        <v>9</v>
      </c>
      <c r="AS65" s="142" t="s">
        <v>9</v>
      </c>
      <c r="AT65" s="142" t="s">
        <v>9</v>
      </c>
      <c r="AU65" s="142"/>
      <c r="AV65" s="142" t="s">
        <v>9</v>
      </c>
      <c r="AW65" s="142" t="s">
        <v>9</v>
      </c>
      <c r="AX65" s="142" t="s">
        <v>9</v>
      </c>
      <c r="AY65" s="142" t="s">
        <v>9</v>
      </c>
      <c r="AZ65" s="142" t="s">
        <v>9</v>
      </c>
      <c r="BA65" s="142" t="s">
        <v>9</v>
      </c>
      <c r="BB65" s="142" t="s">
        <v>9</v>
      </c>
      <c r="BC65" s="142"/>
      <c r="BD65" s="142" t="s">
        <v>9</v>
      </c>
      <c r="BE65" s="142" t="s">
        <v>9</v>
      </c>
      <c r="BF65" s="142"/>
      <c r="BG65" s="142" t="s">
        <v>9</v>
      </c>
      <c r="BH65" s="142" t="s">
        <v>9</v>
      </c>
      <c r="BI65" s="142" t="s">
        <v>9</v>
      </c>
      <c r="BJ65" s="142" t="s">
        <v>9</v>
      </c>
      <c r="BK65" s="142" t="s">
        <v>9</v>
      </c>
      <c r="BL65" s="142" t="s">
        <v>9</v>
      </c>
      <c r="BM65" s="147">
        <v>1</v>
      </c>
      <c r="BN65" s="175"/>
      <c r="BO65" s="175"/>
      <c r="BP65" s="175" t="s">
        <v>893</v>
      </c>
      <c r="BQ65" s="207"/>
      <c r="BR65" s="175">
        <v>2.4E-2</v>
      </c>
      <c r="BS65" s="175">
        <v>0.1195</v>
      </c>
      <c r="BT65" s="175">
        <v>7.2499999999999995E-2</v>
      </c>
      <c r="BU65" s="175">
        <f t="shared" si="4"/>
        <v>1.2E-2</v>
      </c>
      <c r="BV65" s="175"/>
      <c r="BW65" s="138">
        <v>41</v>
      </c>
      <c r="BX65" s="138"/>
      <c r="CB65" s="170"/>
    </row>
    <row r="66" spans="1:80" x14ac:dyDescent="0.25">
      <c r="A66" s="138" t="s">
        <v>617</v>
      </c>
      <c r="B66" s="144">
        <v>8968</v>
      </c>
      <c r="C66" s="140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9"/>
      <c r="O66" s="140"/>
      <c r="P66" s="138"/>
      <c r="Q66" s="138"/>
      <c r="R66" s="138"/>
      <c r="S66" s="138">
        <f t="shared" si="0"/>
        <v>7</v>
      </c>
      <c r="T66" s="138">
        <f t="shared" si="1"/>
        <v>5</v>
      </c>
      <c r="U66" s="138"/>
      <c r="V66" s="138"/>
      <c r="W66" s="138"/>
      <c r="X66" s="138"/>
      <c r="Y66" s="138"/>
      <c r="Z66" s="138"/>
      <c r="AA66" s="138"/>
      <c r="AB66" s="139"/>
      <c r="AC66" s="141">
        <v>4</v>
      </c>
      <c r="AD66" s="142">
        <v>7</v>
      </c>
      <c r="AE66" s="142"/>
      <c r="AF66" s="142">
        <v>0</v>
      </c>
      <c r="AG66" s="142">
        <v>1</v>
      </c>
      <c r="AH66" s="142">
        <v>5</v>
      </c>
      <c r="AI66" s="142">
        <v>0</v>
      </c>
      <c r="AJ66" s="142" t="s">
        <v>86</v>
      </c>
      <c r="AK66" s="142" t="s">
        <v>48</v>
      </c>
      <c r="AL66" s="142" t="s">
        <v>705</v>
      </c>
      <c r="AM66" s="142"/>
      <c r="AN66" s="142"/>
      <c r="AO66" s="142"/>
      <c r="AP66" s="142" t="s">
        <v>9</v>
      </c>
      <c r="AQ66" s="142" t="s">
        <v>9</v>
      </c>
      <c r="AR66" s="142" t="s">
        <v>9</v>
      </c>
      <c r="AS66" s="142" t="s">
        <v>9</v>
      </c>
      <c r="AT66" s="142" t="s">
        <v>9</v>
      </c>
      <c r="AU66" s="142"/>
      <c r="AV66" s="142" t="s">
        <v>9</v>
      </c>
      <c r="AW66" s="142" t="s">
        <v>9</v>
      </c>
      <c r="AX66" s="142" t="s">
        <v>9</v>
      </c>
      <c r="AY66" s="142" t="s">
        <v>9</v>
      </c>
      <c r="AZ66" s="142" t="s">
        <v>9</v>
      </c>
      <c r="BA66" s="142" t="s">
        <v>9</v>
      </c>
      <c r="BB66" s="142" t="s">
        <v>9</v>
      </c>
      <c r="BC66" s="142"/>
      <c r="BD66" s="142" t="s">
        <v>9</v>
      </c>
      <c r="BE66" s="142" t="s">
        <v>9</v>
      </c>
      <c r="BF66" s="142"/>
      <c r="BG66" s="142" t="s">
        <v>9</v>
      </c>
      <c r="BH66" s="142" t="s">
        <v>9</v>
      </c>
      <c r="BI66" s="142" t="s">
        <v>9</v>
      </c>
      <c r="BJ66" s="142" t="s">
        <v>9</v>
      </c>
      <c r="BK66" s="142" t="s">
        <v>9</v>
      </c>
      <c r="BL66" s="142" t="s">
        <v>9</v>
      </c>
      <c r="BM66" s="147">
        <v>1</v>
      </c>
      <c r="BN66" s="175"/>
      <c r="BO66" s="175"/>
      <c r="BP66" s="175" t="s">
        <v>893</v>
      </c>
      <c r="BQ66" s="207"/>
      <c r="BR66" s="175">
        <v>2.35E-2</v>
      </c>
      <c r="BS66" s="175">
        <v>0.126</v>
      </c>
      <c r="BT66" s="175">
        <v>6.4000000000000001E-2</v>
      </c>
      <c r="BU66" s="175">
        <f t="shared" si="4"/>
        <v>1.175E-2</v>
      </c>
      <c r="BV66" s="175"/>
      <c r="BW66" s="138">
        <v>42</v>
      </c>
      <c r="BX66" s="138"/>
      <c r="CB66" s="170"/>
    </row>
    <row r="67" spans="1:80" x14ac:dyDescent="0.25">
      <c r="A67" s="138" t="s">
        <v>818</v>
      </c>
      <c r="B67" s="144" t="s">
        <v>735</v>
      </c>
      <c r="C67" s="145" t="s">
        <v>9</v>
      </c>
      <c r="D67" s="146" t="s">
        <v>9</v>
      </c>
      <c r="S67" s="138">
        <f t="shared" si="0"/>
        <v>7</v>
      </c>
      <c r="T67" s="138">
        <f t="shared" si="1"/>
        <v>5</v>
      </c>
      <c r="U67" s="138"/>
      <c r="V67" s="138"/>
      <c r="W67" s="138"/>
      <c r="X67" s="138"/>
      <c r="Y67" s="138"/>
      <c r="Z67" s="138"/>
      <c r="AA67" s="138"/>
      <c r="AB67" s="139"/>
      <c r="AC67" s="141">
        <v>4</v>
      </c>
      <c r="AD67" s="142">
        <v>7</v>
      </c>
      <c r="AE67" s="142"/>
      <c r="AF67" s="142" t="s">
        <v>706</v>
      </c>
      <c r="AG67" s="142">
        <v>1</v>
      </c>
      <c r="AH67" s="142">
        <v>5</v>
      </c>
      <c r="AI67" s="142">
        <v>0</v>
      </c>
      <c r="AJ67" s="142" t="s">
        <v>86</v>
      </c>
      <c r="AK67" s="142" t="s">
        <v>48</v>
      </c>
      <c r="AL67" s="142" t="s">
        <v>705</v>
      </c>
      <c r="AM67" s="142" t="s">
        <v>9</v>
      </c>
      <c r="AN67" s="142" t="s">
        <v>9</v>
      </c>
      <c r="AO67" s="142" t="s">
        <v>9</v>
      </c>
      <c r="AP67" s="142" t="s">
        <v>9</v>
      </c>
      <c r="AQ67" s="142" t="s">
        <v>9</v>
      </c>
      <c r="AR67" s="142" t="s">
        <v>9</v>
      </c>
      <c r="AS67" s="142" t="s">
        <v>9</v>
      </c>
      <c r="AT67" s="142" t="s">
        <v>9</v>
      </c>
      <c r="AU67" s="142" t="s">
        <v>9</v>
      </c>
      <c r="AV67" s="142" t="s">
        <v>9</v>
      </c>
      <c r="AW67" s="142" t="s">
        <v>9</v>
      </c>
      <c r="AX67" s="142" t="s">
        <v>9</v>
      </c>
      <c r="AY67" s="142" t="s">
        <v>9</v>
      </c>
      <c r="AZ67" s="142" t="s">
        <v>9</v>
      </c>
      <c r="BA67" s="142" t="s">
        <v>9</v>
      </c>
      <c r="BB67" s="142" t="s">
        <v>9</v>
      </c>
      <c r="BC67" s="142"/>
      <c r="BD67" s="142" t="s">
        <v>9</v>
      </c>
      <c r="BE67" s="142" t="s">
        <v>9</v>
      </c>
      <c r="BF67" s="142"/>
      <c r="BG67" s="142" t="s">
        <v>9</v>
      </c>
      <c r="BH67" s="142" t="s">
        <v>9</v>
      </c>
      <c r="BI67" s="142" t="s">
        <v>9</v>
      </c>
      <c r="BJ67" s="142" t="s">
        <v>9</v>
      </c>
      <c r="BK67" s="142" t="s">
        <v>9</v>
      </c>
      <c r="BL67" s="142" t="s">
        <v>9</v>
      </c>
      <c r="BM67" s="147">
        <v>1</v>
      </c>
      <c r="BN67" s="175"/>
      <c r="BO67" s="175" t="s">
        <v>9</v>
      </c>
      <c r="BP67" s="175" t="s">
        <v>893</v>
      </c>
      <c r="BQ67" s="205" t="s">
        <v>875</v>
      </c>
      <c r="BR67" s="175">
        <v>2.35E-2</v>
      </c>
      <c r="BS67" s="175">
        <v>0.124</v>
      </c>
      <c r="BT67" s="175">
        <v>5.3999999999999999E-2</v>
      </c>
      <c r="BU67" s="175">
        <f t="shared" si="4"/>
        <v>1.175E-2</v>
      </c>
      <c r="BV67" s="175"/>
      <c r="BW67" s="138">
        <v>43</v>
      </c>
      <c r="BX67" s="138">
        <v>90</v>
      </c>
      <c r="CB67" s="170"/>
    </row>
    <row r="68" spans="1:80" x14ac:dyDescent="0.25">
      <c r="A68" s="138" t="s">
        <v>818</v>
      </c>
      <c r="B68" s="183" t="s">
        <v>790</v>
      </c>
      <c r="C68" s="145" t="s">
        <v>9</v>
      </c>
      <c r="D68" s="146" t="s">
        <v>9</v>
      </c>
      <c r="S68" s="138">
        <f t="shared" si="0"/>
        <v>7</v>
      </c>
      <c r="T68" s="138">
        <f t="shared" si="1"/>
        <v>5</v>
      </c>
      <c r="U68" s="138"/>
      <c r="V68" s="138"/>
      <c r="W68" s="138"/>
      <c r="X68" s="138"/>
      <c r="Y68" s="138"/>
      <c r="Z68" s="138"/>
      <c r="AA68" s="138"/>
      <c r="AB68" s="139"/>
      <c r="AC68" s="141">
        <v>4</v>
      </c>
      <c r="AD68" s="142">
        <v>7</v>
      </c>
      <c r="AE68" s="142"/>
      <c r="AF68" s="142" t="s">
        <v>710</v>
      </c>
      <c r="AG68" s="142">
        <v>1</v>
      </c>
      <c r="AH68" s="142">
        <v>5</v>
      </c>
      <c r="AI68" s="142">
        <v>0</v>
      </c>
      <c r="AJ68" s="142" t="s">
        <v>86</v>
      </c>
      <c r="AK68" s="142" t="s">
        <v>48</v>
      </c>
      <c r="AL68" s="142" t="s">
        <v>705</v>
      </c>
      <c r="AM68" s="142" t="s">
        <v>9</v>
      </c>
      <c r="AN68" s="142" t="s">
        <v>9</v>
      </c>
      <c r="AO68" s="142" t="s">
        <v>9</v>
      </c>
      <c r="AP68" s="142"/>
      <c r="AQ68" s="142" t="s">
        <v>9</v>
      </c>
      <c r="AR68" s="142" t="s">
        <v>9</v>
      </c>
      <c r="AS68" s="142" t="s">
        <v>9</v>
      </c>
      <c r="AT68" s="142" t="s">
        <v>9</v>
      </c>
      <c r="AU68" s="142" t="s">
        <v>9</v>
      </c>
      <c r="AV68" s="142" t="s">
        <v>9</v>
      </c>
      <c r="AW68" s="142"/>
      <c r="AX68" s="142"/>
      <c r="AY68" s="142"/>
      <c r="AZ68" s="142"/>
      <c r="BA68" s="142"/>
      <c r="BB68" s="142"/>
      <c r="BC68" s="142" t="s">
        <v>9</v>
      </c>
      <c r="BD68" s="142" t="s">
        <v>9</v>
      </c>
      <c r="BE68" s="142" t="s">
        <v>9</v>
      </c>
      <c r="BF68" s="142"/>
      <c r="BG68" s="142" t="s">
        <v>9</v>
      </c>
      <c r="BH68" s="142" t="s">
        <v>9</v>
      </c>
      <c r="BI68" s="142" t="s">
        <v>9</v>
      </c>
      <c r="BJ68" s="142" t="s">
        <v>9</v>
      </c>
      <c r="BK68" s="142" t="s">
        <v>9</v>
      </c>
      <c r="BL68" s="142"/>
      <c r="BM68" s="147">
        <v>1</v>
      </c>
      <c r="BN68" s="175"/>
      <c r="BO68" s="175"/>
      <c r="BP68" s="175" t="s">
        <v>893</v>
      </c>
      <c r="BQ68" s="207"/>
      <c r="BR68" s="175">
        <v>2.35E-2</v>
      </c>
      <c r="BS68" s="175">
        <v>0.14399999999999999</v>
      </c>
      <c r="BT68" s="175">
        <v>7.0999999999999994E-2</v>
      </c>
      <c r="BU68" s="175">
        <f t="shared" si="4"/>
        <v>1.175E-2</v>
      </c>
      <c r="BV68" s="175"/>
      <c r="BW68" s="138"/>
      <c r="BX68" s="138">
        <v>91</v>
      </c>
      <c r="CB68" s="170"/>
    </row>
    <row r="69" spans="1:80" x14ac:dyDescent="0.25">
      <c r="A69" s="138" t="s">
        <v>818</v>
      </c>
      <c r="B69" s="144" t="s">
        <v>736</v>
      </c>
      <c r="C69" s="140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9"/>
      <c r="O69" s="140"/>
      <c r="P69" s="138"/>
      <c r="Q69" s="138"/>
      <c r="R69" s="138"/>
      <c r="S69" s="138">
        <f t="shared" si="0"/>
        <v>7</v>
      </c>
      <c r="T69" s="138">
        <f t="shared" si="1"/>
        <v>5</v>
      </c>
      <c r="U69" s="138"/>
      <c r="V69" s="138"/>
      <c r="W69" s="138"/>
      <c r="X69" s="138"/>
      <c r="Y69" s="138"/>
      <c r="Z69" s="138"/>
      <c r="AA69" s="138"/>
      <c r="AB69" s="139"/>
      <c r="AC69" s="141">
        <v>4</v>
      </c>
      <c r="AD69" s="142">
        <v>7</v>
      </c>
      <c r="AE69" s="142"/>
      <c r="AF69" s="142">
        <v>0</v>
      </c>
      <c r="AG69" s="142">
        <v>1</v>
      </c>
      <c r="AH69" s="142">
        <v>5</v>
      </c>
      <c r="AI69" s="142">
        <v>0</v>
      </c>
      <c r="AJ69" s="142" t="s">
        <v>86</v>
      </c>
      <c r="AK69" s="142" t="s">
        <v>48</v>
      </c>
      <c r="AL69" s="142" t="s">
        <v>705</v>
      </c>
      <c r="AM69" s="142"/>
      <c r="AN69" s="142"/>
      <c r="AO69" s="142"/>
      <c r="AP69" s="142" t="s">
        <v>9</v>
      </c>
      <c r="AQ69" s="142" t="s">
        <v>9</v>
      </c>
      <c r="AR69" s="142" t="s">
        <v>9</v>
      </c>
      <c r="AS69" s="142" t="s">
        <v>9</v>
      </c>
      <c r="AT69" s="142" t="s">
        <v>9</v>
      </c>
      <c r="AU69" s="142"/>
      <c r="AV69" s="142" t="s">
        <v>9</v>
      </c>
      <c r="AW69" s="142" t="s">
        <v>9</v>
      </c>
      <c r="AX69" s="142" t="s">
        <v>9</v>
      </c>
      <c r="AY69" s="142" t="s">
        <v>9</v>
      </c>
      <c r="AZ69" s="142" t="s">
        <v>9</v>
      </c>
      <c r="BA69" s="142" t="s">
        <v>9</v>
      </c>
      <c r="BB69" s="142" t="s">
        <v>9</v>
      </c>
      <c r="BC69" s="142"/>
      <c r="BD69" s="142" t="s">
        <v>9</v>
      </c>
      <c r="BE69" s="142" t="s">
        <v>9</v>
      </c>
      <c r="BF69" s="142"/>
      <c r="BG69" s="142" t="s">
        <v>9</v>
      </c>
      <c r="BH69" s="142" t="s">
        <v>9</v>
      </c>
      <c r="BI69" s="142" t="s">
        <v>9</v>
      </c>
      <c r="BJ69" s="142" t="s">
        <v>9</v>
      </c>
      <c r="BK69" s="142" t="s">
        <v>9</v>
      </c>
      <c r="BL69" s="142" t="s">
        <v>9</v>
      </c>
      <c r="BM69" s="147">
        <v>1</v>
      </c>
      <c r="BN69" s="175"/>
      <c r="BO69" s="175"/>
      <c r="BP69" s="175" t="s">
        <v>893</v>
      </c>
      <c r="BQ69" s="207"/>
      <c r="BR69" s="175">
        <v>2.35E-2</v>
      </c>
      <c r="BS69" s="175">
        <v>0.12</v>
      </c>
      <c r="BT69" s="175">
        <v>5.7000000000000002E-2</v>
      </c>
      <c r="BU69" s="175">
        <f t="shared" si="4"/>
        <v>1.175E-2</v>
      </c>
      <c r="BV69" s="175"/>
      <c r="BW69" s="138">
        <v>44</v>
      </c>
      <c r="BX69" s="138"/>
      <c r="CB69" s="170"/>
    </row>
    <row r="70" spans="1:80" x14ac:dyDescent="0.25">
      <c r="A70" s="138" t="s">
        <v>818</v>
      </c>
      <c r="B70" s="144" t="s">
        <v>737</v>
      </c>
      <c r="C70" s="145" t="s">
        <v>9</v>
      </c>
      <c r="D70" s="146" t="s">
        <v>9</v>
      </c>
      <c r="S70" s="138">
        <f t="shared" si="0"/>
        <v>7</v>
      </c>
      <c r="T70" s="138">
        <f t="shared" si="1"/>
        <v>5</v>
      </c>
      <c r="U70" s="138"/>
      <c r="V70" s="138"/>
      <c r="W70" s="138"/>
      <c r="X70" s="138"/>
      <c r="Y70" s="138"/>
      <c r="Z70" s="138"/>
      <c r="AA70" s="138"/>
      <c r="AB70" s="139"/>
      <c r="AC70" s="141">
        <v>4</v>
      </c>
      <c r="AD70" s="142">
        <v>7</v>
      </c>
      <c r="AE70" s="142"/>
      <c r="AF70" s="142" t="s">
        <v>710</v>
      </c>
      <c r="AG70" s="142">
        <v>1</v>
      </c>
      <c r="AH70" s="142">
        <v>5</v>
      </c>
      <c r="AI70" s="142">
        <v>0</v>
      </c>
      <c r="AJ70" s="142" t="s">
        <v>86</v>
      </c>
      <c r="AK70" s="142" t="s">
        <v>48</v>
      </c>
      <c r="AL70" s="142" t="s">
        <v>705</v>
      </c>
      <c r="AM70" s="142" t="s">
        <v>9</v>
      </c>
      <c r="AN70" s="142" t="s">
        <v>9</v>
      </c>
      <c r="AO70" s="142" t="s">
        <v>9</v>
      </c>
      <c r="AQ70" s="142" t="s">
        <v>9</v>
      </c>
      <c r="AR70" s="142" t="s">
        <v>9</v>
      </c>
      <c r="AS70" s="142" t="s">
        <v>9</v>
      </c>
      <c r="AT70" s="142" t="s">
        <v>9</v>
      </c>
      <c r="AU70" s="142" t="s">
        <v>9</v>
      </c>
      <c r="AV70" s="142" t="s">
        <v>9</v>
      </c>
      <c r="AW70" s="142" t="s">
        <v>9</v>
      </c>
      <c r="AX70" s="142" t="s">
        <v>9</v>
      </c>
      <c r="AY70" s="142" t="s">
        <v>9</v>
      </c>
      <c r="AZ70" s="142" t="s">
        <v>9</v>
      </c>
      <c r="BA70" s="142" t="s">
        <v>9</v>
      </c>
      <c r="BB70" s="142" t="s">
        <v>9</v>
      </c>
      <c r="BC70" s="142"/>
      <c r="BD70" s="142" t="s">
        <v>9</v>
      </c>
      <c r="BE70" s="142" t="s">
        <v>9</v>
      </c>
      <c r="BF70" s="142"/>
      <c r="BG70" s="142" t="s">
        <v>9</v>
      </c>
      <c r="BH70" s="142" t="s">
        <v>9</v>
      </c>
      <c r="BI70" s="142" t="s">
        <v>9</v>
      </c>
      <c r="BJ70" s="142" t="s">
        <v>9</v>
      </c>
      <c r="BK70" s="142" t="s">
        <v>9</v>
      </c>
      <c r="BL70" s="142" t="s">
        <v>9</v>
      </c>
      <c r="BM70" s="147">
        <v>1</v>
      </c>
      <c r="BN70" s="175"/>
      <c r="BO70" s="175" t="s">
        <v>9</v>
      </c>
      <c r="BP70" s="175" t="s">
        <v>893</v>
      </c>
      <c r="BQ70" s="205" t="s">
        <v>875</v>
      </c>
      <c r="BR70" s="175">
        <v>2.1999999999999999E-2</v>
      </c>
      <c r="BS70" s="175">
        <v>0.13</v>
      </c>
      <c r="BT70" s="175">
        <v>5.1999999999999998E-2</v>
      </c>
      <c r="BU70" s="175">
        <f t="shared" si="4"/>
        <v>1.0999999999999999E-2</v>
      </c>
      <c r="BV70" s="175"/>
      <c r="BW70" s="138">
        <v>45</v>
      </c>
      <c r="BX70" s="138"/>
      <c r="CB70" s="170"/>
    </row>
    <row r="71" spans="1:80" x14ac:dyDescent="0.25">
      <c r="A71" s="138" t="s">
        <v>818</v>
      </c>
      <c r="B71" s="144" t="s">
        <v>738</v>
      </c>
      <c r="C71" s="145" t="s">
        <v>9</v>
      </c>
      <c r="D71" s="146" t="s">
        <v>9</v>
      </c>
      <c r="O71" s="145" t="s">
        <v>9</v>
      </c>
      <c r="S71" s="138">
        <f t="shared" si="0"/>
        <v>7</v>
      </c>
      <c r="T71" s="138">
        <f t="shared" si="1"/>
        <v>5</v>
      </c>
      <c r="U71" s="138"/>
      <c r="V71" s="138"/>
      <c r="W71" s="138"/>
      <c r="X71" s="138"/>
      <c r="Y71" s="138"/>
      <c r="Z71" s="138"/>
      <c r="AA71" s="138"/>
      <c r="AB71" s="139"/>
      <c r="AC71" s="141">
        <v>4</v>
      </c>
      <c r="AD71" s="142">
        <v>7</v>
      </c>
      <c r="AE71" s="142"/>
      <c r="AF71" s="142" t="s">
        <v>710</v>
      </c>
      <c r="AG71" s="142">
        <v>1</v>
      </c>
      <c r="AH71" s="142">
        <v>5</v>
      </c>
      <c r="AI71" s="142">
        <v>0</v>
      </c>
      <c r="AJ71" s="142" t="s">
        <v>86</v>
      </c>
      <c r="AK71" s="142" t="s">
        <v>48</v>
      </c>
      <c r="AL71" s="142" t="s">
        <v>705</v>
      </c>
      <c r="AM71" s="142" t="s">
        <v>9</v>
      </c>
      <c r="AN71" s="142" t="s">
        <v>9</v>
      </c>
      <c r="AO71" s="142" t="s">
        <v>9</v>
      </c>
      <c r="AQ71" s="142" t="s">
        <v>9</v>
      </c>
      <c r="AR71" s="142" t="s">
        <v>9</v>
      </c>
      <c r="AS71" s="142" t="s">
        <v>9</v>
      </c>
      <c r="AT71" s="142" t="s">
        <v>9</v>
      </c>
      <c r="AU71" s="142" t="s">
        <v>9</v>
      </c>
      <c r="AV71" s="142" t="s">
        <v>9</v>
      </c>
      <c r="AW71" s="142" t="s">
        <v>9</v>
      </c>
      <c r="AX71" s="142" t="s">
        <v>9</v>
      </c>
      <c r="AY71" s="142" t="s">
        <v>9</v>
      </c>
      <c r="AZ71" s="142" t="s">
        <v>9</v>
      </c>
      <c r="BA71" s="142" t="s">
        <v>9</v>
      </c>
      <c r="BB71" s="142" t="s">
        <v>9</v>
      </c>
      <c r="BC71" s="142"/>
      <c r="BD71" s="142" t="s">
        <v>9</v>
      </c>
      <c r="BE71" s="142" t="s">
        <v>9</v>
      </c>
      <c r="BF71" s="142"/>
      <c r="BG71" s="142" t="s">
        <v>9</v>
      </c>
      <c r="BH71" s="142" t="s">
        <v>9</v>
      </c>
      <c r="BI71" s="142" t="s">
        <v>9</v>
      </c>
      <c r="BJ71" s="142" t="s">
        <v>9</v>
      </c>
      <c r="BK71" s="142" t="s">
        <v>9</v>
      </c>
      <c r="BL71" s="142" t="s">
        <v>9</v>
      </c>
      <c r="BM71" s="147">
        <v>1</v>
      </c>
      <c r="BN71" s="175"/>
      <c r="BO71" s="175" t="s">
        <v>9</v>
      </c>
      <c r="BP71" s="175" t="s">
        <v>893</v>
      </c>
      <c r="BQ71" s="205" t="s">
        <v>875</v>
      </c>
      <c r="BR71" s="175">
        <v>2.1999999999999999E-2</v>
      </c>
      <c r="BS71" s="175">
        <v>0.13600000000000001</v>
      </c>
      <c r="BT71" s="175">
        <v>5.0999999999999997E-2</v>
      </c>
      <c r="BU71" s="175">
        <f t="shared" si="4"/>
        <v>1.0999999999999999E-2</v>
      </c>
      <c r="BV71" s="175"/>
      <c r="BW71" s="138">
        <v>46</v>
      </c>
      <c r="BX71" s="138">
        <v>92</v>
      </c>
      <c r="CB71" s="170"/>
    </row>
    <row r="72" spans="1:80" x14ac:dyDescent="0.25">
      <c r="A72" s="138" t="s">
        <v>818</v>
      </c>
      <c r="B72" s="144" t="s">
        <v>739</v>
      </c>
      <c r="C72" s="145" t="s">
        <v>9</v>
      </c>
      <c r="D72" s="146" t="s">
        <v>9</v>
      </c>
      <c r="O72" s="145" t="s">
        <v>9</v>
      </c>
      <c r="S72" s="138">
        <f t="shared" ref="S72:S92" si="5">AD72</f>
        <v>7</v>
      </c>
      <c r="T72" s="138">
        <f t="shared" ref="T72:T92" si="6">AH72</f>
        <v>5</v>
      </c>
      <c r="U72" s="138"/>
      <c r="V72" s="138"/>
      <c r="W72" s="138"/>
      <c r="X72" s="138"/>
      <c r="Y72" s="138"/>
      <c r="Z72" s="138"/>
      <c r="AA72" s="138"/>
      <c r="AB72" s="139"/>
      <c r="AC72" s="141">
        <v>4</v>
      </c>
      <c r="AD72" s="142">
        <v>7</v>
      </c>
      <c r="AE72" s="142"/>
      <c r="AF72" s="142" t="s">
        <v>710</v>
      </c>
      <c r="AG72" s="142">
        <v>1</v>
      </c>
      <c r="AH72" s="142">
        <v>5</v>
      </c>
      <c r="AI72" s="142">
        <v>0</v>
      </c>
      <c r="AJ72" s="142" t="s">
        <v>86</v>
      </c>
      <c r="AK72" s="142" t="s">
        <v>48</v>
      </c>
      <c r="AL72" s="142" t="s">
        <v>705</v>
      </c>
      <c r="AM72" s="142" t="s">
        <v>9</v>
      </c>
      <c r="AN72" s="142" t="s">
        <v>9</v>
      </c>
      <c r="AO72" s="142" t="s">
        <v>9</v>
      </c>
      <c r="AP72" s="142"/>
      <c r="AQ72" s="142" t="s">
        <v>9</v>
      </c>
      <c r="AR72" s="142" t="s">
        <v>9</v>
      </c>
      <c r="AS72" s="142" t="s">
        <v>9</v>
      </c>
      <c r="AT72" s="142" t="s">
        <v>9</v>
      </c>
      <c r="AU72" s="142" t="s">
        <v>9</v>
      </c>
      <c r="AV72" s="142" t="s">
        <v>9</v>
      </c>
      <c r="AW72" s="142"/>
      <c r="AX72" s="142"/>
      <c r="AY72" s="142"/>
      <c r="AZ72" s="142"/>
      <c r="BA72" s="142"/>
      <c r="BB72" s="142"/>
      <c r="BC72" s="142" t="s">
        <v>9</v>
      </c>
      <c r="BD72" s="142" t="s">
        <v>9</v>
      </c>
      <c r="BE72" s="142" t="s">
        <v>9</v>
      </c>
      <c r="BF72" s="142"/>
      <c r="BG72" s="142" t="s">
        <v>9</v>
      </c>
      <c r="BH72" s="142" t="s">
        <v>9</v>
      </c>
      <c r="BI72" s="142" t="s">
        <v>9</v>
      </c>
      <c r="BJ72" s="142" t="s">
        <v>9</v>
      </c>
      <c r="BK72" s="142" t="s">
        <v>9</v>
      </c>
      <c r="BL72" s="142"/>
      <c r="BM72" s="147">
        <v>1</v>
      </c>
      <c r="BN72" s="175"/>
      <c r="BO72" s="175"/>
      <c r="BP72" s="175" t="s">
        <v>893</v>
      </c>
      <c r="BQ72" s="207"/>
      <c r="BR72" s="175">
        <v>2.35E-2</v>
      </c>
      <c r="BS72" s="175">
        <v>0.156</v>
      </c>
      <c r="BT72" s="175">
        <v>5.0999999999999997E-2</v>
      </c>
      <c r="BU72" s="175">
        <f t="shared" si="4"/>
        <v>1.175E-2</v>
      </c>
      <c r="BV72" s="175"/>
      <c r="BW72" s="166"/>
      <c r="BX72" s="138">
        <v>93</v>
      </c>
      <c r="CB72" s="170"/>
    </row>
    <row r="73" spans="1:80" x14ac:dyDescent="0.25">
      <c r="A73" s="138" t="s">
        <v>617</v>
      </c>
      <c r="B73" s="144">
        <v>8998</v>
      </c>
      <c r="C73" s="145" t="s">
        <v>9</v>
      </c>
      <c r="D73" s="146" t="s">
        <v>9</v>
      </c>
      <c r="S73" s="138">
        <f t="shared" si="5"/>
        <v>7</v>
      </c>
      <c r="T73" s="138">
        <f t="shared" si="6"/>
        <v>5</v>
      </c>
      <c r="U73" s="138"/>
      <c r="V73" s="138"/>
      <c r="W73" s="138"/>
      <c r="X73" s="138"/>
      <c r="Y73" s="138"/>
      <c r="Z73" s="138"/>
      <c r="AA73" s="138"/>
      <c r="AB73" s="139"/>
      <c r="AC73" s="141">
        <v>4</v>
      </c>
      <c r="AD73" s="142">
        <v>7</v>
      </c>
      <c r="AE73" s="142"/>
      <c r="AF73" s="142" t="s">
        <v>706</v>
      </c>
      <c r="AG73" s="142">
        <v>1</v>
      </c>
      <c r="AH73" s="142">
        <v>5</v>
      </c>
      <c r="AI73" s="142">
        <v>0</v>
      </c>
      <c r="AJ73" s="142" t="s">
        <v>86</v>
      </c>
      <c r="AK73" s="142" t="s">
        <v>48</v>
      </c>
      <c r="AL73" s="142" t="s">
        <v>705</v>
      </c>
      <c r="AM73" s="142" t="s">
        <v>9</v>
      </c>
      <c r="AN73" s="142" t="s">
        <v>9</v>
      </c>
      <c r="AO73" s="142" t="s">
        <v>9</v>
      </c>
      <c r="AP73" s="142" t="s">
        <v>9</v>
      </c>
      <c r="AQ73" s="142" t="s">
        <v>9</v>
      </c>
      <c r="AR73" s="142" t="s">
        <v>9</v>
      </c>
      <c r="AS73" s="142" t="s">
        <v>9</v>
      </c>
      <c r="AT73" s="142" t="s">
        <v>9</v>
      </c>
      <c r="AU73" s="142"/>
      <c r="AV73" s="142" t="s">
        <v>9</v>
      </c>
      <c r="AW73" s="142" t="s">
        <v>9</v>
      </c>
      <c r="AX73" s="142" t="s">
        <v>9</v>
      </c>
      <c r="AY73" s="142" t="s">
        <v>9</v>
      </c>
      <c r="AZ73" s="142" t="s">
        <v>9</v>
      </c>
      <c r="BA73" s="142" t="s">
        <v>9</v>
      </c>
      <c r="BB73" s="142" t="s">
        <v>9</v>
      </c>
      <c r="BC73" s="142"/>
      <c r="BD73" s="142" t="s">
        <v>9</v>
      </c>
      <c r="BE73" s="142" t="s">
        <v>9</v>
      </c>
      <c r="BF73" s="142"/>
      <c r="BG73" s="142" t="s">
        <v>9</v>
      </c>
      <c r="BH73" s="142" t="s">
        <v>9</v>
      </c>
      <c r="BI73" s="142" t="s">
        <v>9</v>
      </c>
      <c r="BJ73" s="142" t="s">
        <v>9</v>
      </c>
      <c r="BK73" s="142" t="s">
        <v>9</v>
      </c>
      <c r="BL73" s="142" t="s">
        <v>9</v>
      </c>
      <c r="BM73" s="147">
        <v>1</v>
      </c>
      <c r="BN73" s="175"/>
      <c r="BO73" s="175">
        <v>1</v>
      </c>
      <c r="BP73" s="175" t="s">
        <v>893</v>
      </c>
      <c r="BQ73" s="205" t="s">
        <v>876</v>
      </c>
      <c r="BR73" s="175">
        <v>2.35E-2</v>
      </c>
      <c r="BS73" s="175">
        <v>0.126</v>
      </c>
      <c r="BT73" s="175">
        <v>6.2E-2</v>
      </c>
      <c r="BU73" s="175">
        <f t="shared" si="4"/>
        <v>1.175E-2</v>
      </c>
      <c r="BV73" s="175"/>
      <c r="BW73" s="138">
        <v>47</v>
      </c>
      <c r="BX73" s="138">
        <v>94</v>
      </c>
      <c r="CB73" s="170"/>
    </row>
    <row r="74" spans="1:80" x14ac:dyDescent="0.25">
      <c r="A74" s="138" t="s">
        <v>617</v>
      </c>
      <c r="B74" s="144" t="s">
        <v>740</v>
      </c>
      <c r="C74" s="145" t="s">
        <v>9</v>
      </c>
      <c r="D74" s="146" t="s">
        <v>9</v>
      </c>
      <c r="S74" s="138">
        <f t="shared" si="5"/>
        <v>7</v>
      </c>
      <c r="T74" s="138">
        <f t="shared" si="6"/>
        <v>5</v>
      </c>
      <c r="U74" s="138"/>
      <c r="V74" s="138"/>
      <c r="W74" s="138"/>
      <c r="X74" s="138"/>
      <c r="Y74" s="138"/>
      <c r="Z74" s="138"/>
      <c r="AA74" s="138"/>
      <c r="AB74" s="139"/>
      <c r="AC74" s="141">
        <v>4</v>
      </c>
      <c r="AD74" s="142">
        <v>7</v>
      </c>
      <c r="AE74" s="142"/>
      <c r="AF74" s="142" t="s">
        <v>706</v>
      </c>
      <c r="AG74" s="142">
        <v>1</v>
      </c>
      <c r="AH74" s="142">
        <v>5</v>
      </c>
      <c r="AI74" s="142">
        <v>0</v>
      </c>
      <c r="AJ74" s="142" t="s">
        <v>86</v>
      </c>
      <c r="AK74" s="142" t="s">
        <v>48</v>
      </c>
      <c r="AL74" s="142" t="s">
        <v>705</v>
      </c>
      <c r="AM74" s="142" t="s">
        <v>9</v>
      </c>
      <c r="AN74" s="142" t="s">
        <v>9</v>
      </c>
      <c r="AO74" s="142" t="s">
        <v>9</v>
      </c>
      <c r="AP74" s="142" t="s">
        <v>9</v>
      </c>
      <c r="AQ74" s="142" t="s">
        <v>9</v>
      </c>
      <c r="AR74" s="142" t="s">
        <v>9</v>
      </c>
      <c r="AS74" s="142" t="s">
        <v>9</v>
      </c>
      <c r="AT74" s="142" t="s">
        <v>9</v>
      </c>
      <c r="AU74" s="142"/>
      <c r="AV74" s="142" t="s">
        <v>9</v>
      </c>
      <c r="AW74" s="142"/>
      <c r="AX74" s="142"/>
      <c r="AY74" s="142"/>
      <c r="AZ74" s="142"/>
      <c r="BA74" s="142"/>
      <c r="BB74" s="142"/>
      <c r="BC74" s="142" t="s">
        <v>9</v>
      </c>
      <c r="BD74" s="142" t="s">
        <v>9</v>
      </c>
      <c r="BE74" s="142" t="s">
        <v>9</v>
      </c>
      <c r="BF74" s="142"/>
      <c r="BG74" s="142" t="s">
        <v>9</v>
      </c>
      <c r="BH74" s="142" t="s">
        <v>9</v>
      </c>
      <c r="BI74" s="142" t="s">
        <v>9</v>
      </c>
      <c r="BJ74" s="142" t="s">
        <v>9</v>
      </c>
      <c r="BK74" s="142" t="s">
        <v>9</v>
      </c>
      <c r="BL74" s="142"/>
      <c r="BM74" s="147">
        <v>1</v>
      </c>
      <c r="BN74" s="175"/>
      <c r="BO74" s="175"/>
      <c r="BP74" s="175" t="s">
        <v>893</v>
      </c>
      <c r="BQ74" s="207"/>
      <c r="BR74" s="175">
        <v>2.35E-2</v>
      </c>
      <c r="BS74" s="175">
        <v>0.14599999999999999</v>
      </c>
      <c r="BT74" s="175">
        <v>8.1000000000000003E-2</v>
      </c>
      <c r="BU74" s="175">
        <f t="shared" si="4"/>
        <v>1.175E-2</v>
      </c>
      <c r="BV74" s="175"/>
      <c r="BW74" s="166"/>
      <c r="BX74" s="138">
        <v>95</v>
      </c>
      <c r="CB74" s="170"/>
    </row>
    <row r="75" spans="1:80" x14ac:dyDescent="0.25">
      <c r="A75" s="138" t="s">
        <v>617</v>
      </c>
      <c r="B75" s="144">
        <v>8999</v>
      </c>
      <c r="C75" s="145" t="s">
        <v>9</v>
      </c>
      <c r="D75" s="146" t="s">
        <v>9</v>
      </c>
      <c r="O75" s="145" t="s">
        <v>9</v>
      </c>
      <c r="S75" s="138">
        <f t="shared" si="5"/>
        <v>7</v>
      </c>
      <c r="T75" s="138">
        <f t="shared" si="6"/>
        <v>5</v>
      </c>
      <c r="U75" s="138"/>
      <c r="V75" s="138"/>
      <c r="W75" s="138"/>
      <c r="X75" s="138"/>
      <c r="Y75" s="138"/>
      <c r="Z75" s="138"/>
      <c r="AA75" s="138"/>
      <c r="AB75" s="139"/>
      <c r="AC75" s="141">
        <v>4</v>
      </c>
      <c r="AD75" s="142">
        <v>7</v>
      </c>
      <c r="AE75" s="142"/>
      <c r="AF75" s="142" t="s">
        <v>706</v>
      </c>
      <c r="AG75" s="142">
        <v>1</v>
      </c>
      <c r="AH75" s="142">
        <v>5</v>
      </c>
      <c r="AI75" s="142">
        <v>0</v>
      </c>
      <c r="AJ75" s="142" t="s">
        <v>86</v>
      </c>
      <c r="AK75" s="142" t="s">
        <v>48</v>
      </c>
      <c r="AL75" s="142" t="s">
        <v>705</v>
      </c>
      <c r="AM75" s="142" t="s">
        <v>9</v>
      </c>
      <c r="AN75" s="142" t="s">
        <v>9</v>
      </c>
      <c r="AO75" s="142" t="s">
        <v>9</v>
      </c>
      <c r="AP75" s="142" t="s">
        <v>9</v>
      </c>
      <c r="AQ75" s="142" t="s">
        <v>9</v>
      </c>
      <c r="AR75" s="142" t="s">
        <v>9</v>
      </c>
      <c r="AS75" s="142" t="s">
        <v>9</v>
      </c>
      <c r="AT75" s="142" t="s">
        <v>9</v>
      </c>
      <c r="AU75" s="142"/>
      <c r="AV75" s="142" t="s">
        <v>9</v>
      </c>
      <c r="AW75" s="142" t="s">
        <v>9</v>
      </c>
      <c r="AX75" s="142" t="s">
        <v>9</v>
      </c>
      <c r="AY75" s="142" t="s">
        <v>9</v>
      </c>
      <c r="AZ75" s="142" t="s">
        <v>9</v>
      </c>
      <c r="BA75" s="142" t="s">
        <v>9</v>
      </c>
      <c r="BB75" s="142" t="s">
        <v>9</v>
      </c>
      <c r="BC75" s="142"/>
      <c r="BD75" s="142" t="s">
        <v>9</v>
      </c>
      <c r="BE75" s="142" t="s">
        <v>9</v>
      </c>
      <c r="BF75" s="142"/>
      <c r="BG75" s="142" t="s">
        <v>9</v>
      </c>
      <c r="BH75" s="142" t="s">
        <v>9</v>
      </c>
      <c r="BI75" s="142" t="s">
        <v>9</v>
      </c>
      <c r="BJ75" s="142" t="s">
        <v>9</v>
      </c>
      <c r="BK75" s="142" t="s">
        <v>9</v>
      </c>
      <c r="BL75" s="142" t="s">
        <v>9</v>
      </c>
      <c r="BM75" s="147">
        <v>1</v>
      </c>
      <c r="BN75" s="175"/>
      <c r="BO75" s="175">
        <v>1</v>
      </c>
      <c r="BP75" s="175" t="s">
        <v>893</v>
      </c>
      <c r="BQ75" s="205" t="s">
        <v>876</v>
      </c>
      <c r="BR75" s="175">
        <v>2.35E-2</v>
      </c>
      <c r="BS75" s="175">
        <v>0.13800000000000001</v>
      </c>
      <c r="BT75" s="175">
        <v>6.2E-2</v>
      </c>
      <c r="BU75" s="175">
        <f t="shared" si="4"/>
        <v>1.175E-2</v>
      </c>
      <c r="BV75" s="175"/>
      <c r="BW75" s="138">
        <v>48</v>
      </c>
      <c r="BX75" s="138">
        <v>96</v>
      </c>
      <c r="CB75" s="170"/>
    </row>
    <row r="76" spans="1:80" x14ac:dyDescent="0.25">
      <c r="A76" s="138" t="s">
        <v>617</v>
      </c>
      <c r="B76" s="144" t="s">
        <v>741</v>
      </c>
      <c r="C76" s="145" t="s">
        <v>9</v>
      </c>
      <c r="D76" s="146" t="s">
        <v>9</v>
      </c>
      <c r="O76" s="145" t="s">
        <v>9</v>
      </c>
      <c r="S76" s="138">
        <f t="shared" si="5"/>
        <v>7</v>
      </c>
      <c r="T76" s="138">
        <f t="shared" si="6"/>
        <v>5</v>
      </c>
      <c r="U76" s="138"/>
      <c r="V76" s="138"/>
      <c r="W76" s="138"/>
      <c r="X76" s="138"/>
      <c r="Y76" s="138"/>
      <c r="Z76" s="138"/>
      <c r="AA76" s="138"/>
      <c r="AB76" s="139"/>
      <c r="AC76" s="141">
        <v>4</v>
      </c>
      <c r="AD76" s="142">
        <v>7</v>
      </c>
      <c r="AE76" s="142"/>
      <c r="AF76" s="142" t="s">
        <v>706</v>
      </c>
      <c r="AG76" s="142">
        <v>1</v>
      </c>
      <c r="AH76" s="142">
        <v>5</v>
      </c>
      <c r="AI76" s="142">
        <v>0</v>
      </c>
      <c r="AJ76" s="142" t="s">
        <v>86</v>
      </c>
      <c r="AK76" s="142" t="s">
        <v>48</v>
      </c>
      <c r="AL76" s="142" t="s">
        <v>705</v>
      </c>
      <c r="AM76" s="142" t="s">
        <v>9</v>
      </c>
      <c r="AN76" s="142" t="s">
        <v>9</v>
      </c>
      <c r="AO76" s="142" t="s">
        <v>9</v>
      </c>
      <c r="AP76" s="142" t="s">
        <v>9</v>
      </c>
      <c r="AQ76" s="142" t="s">
        <v>9</v>
      </c>
      <c r="AR76" s="142" t="s">
        <v>9</v>
      </c>
      <c r="AS76" s="142" t="s">
        <v>9</v>
      </c>
      <c r="AT76" s="142" t="s">
        <v>9</v>
      </c>
      <c r="AU76" s="142"/>
      <c r="AV76" s="142" t="s">
        <v>9</v>
      </c>
      <c r="AW76" s="142"/>
      <c r="AX76" s="142"/>
      <c r="AY76" s="142"/>
      <c r="AZ76" s="142"/>
      <c r="BA76" s="142"/>
      <c r="BB76" s="142"/>
      <c r="BC76" s="142" t="s">
        <v>9</v>
      </c>
      <c r="BD76" s="142" t="s">
        <v>9</v>
      </c>
      <c r="BE76" s="142" t="s">
        <v>9</v>
      </c>
      <c r="BF76" s="142"/>
      <c r="BG76" s="142" t="s">
        <v>9</v>
      </c>
      <c r="BH76" s="142" t="s">
        <v>9</v>
      </c>
      <c r="BI76" s="142" t="s">
        <v>9</v>
      </c>
      <c r="BJ76" s="142" t="s">
        <v>9</v>
      </c>
      <c r="BK76" s="142" t="s">
        <v>9</v>
      </c>
      <c r="BL76" s="142"/>
      <c r="BM76" s="147">
        <v>1</v>
      </c>
      <c r="BN76" s="175"/>
      <c r="BO76" s="175"/>
      <c r="BP76" s="175" t="s">
        <v>893</v>
      </c>
      <c r="BQ76" s="207"/>
      <c r="BR76" s="175">
        <v>2.35E-2</v>
      </c>
      <c r="BS76" s="175">
        <v>0.158</v>
      </c>
      <c r="BT76" s="175">
        <v>8.1000000000000003E-2</v>
      </c>
      <c r="BU76" s="175">
        <f t="shared" si="4"/>
        <v>1.175E-2</v>
      </c>
      <c r="BV76" s="175"/>
      <c r="BW76" s="166"/>
      <c r="BX76" s="138">
        <v>97</v>
      </c>
      <c r="CB76" s="170"/>
    </row>
    <row r="77" spans="1:80" x14ac:dyDescent="0.25">
      <c r="A77" s="138" t="s">
        <v>617</v>
      </c>
      <c r="B77" s="144">
        <v>8020</v>
      </c>
      <c r="C77" s="145" t="s">
        <v>9</v>
      </c>
      <c r="D77" s="146" t="s">
        <v>9</v>
      </c>
      <c r="S77" s="138">
        <f t="shared" si="5"/>
        <v>7</v>
      </c>
      <c r="T77" s="138">
        <f t="shared" si="6"/>
        <v>5</v>
      </c>
      <c r="U77" s="138"/>
      <c r="V77" s="138"/>
      <c r="W77" s="138"/>
      <c r="X77" s="138"/>
      <c r="Y77" s="138"/>
      <c r="Z77" s="138"/>
      <c r="AA77" s="138"/>
      <c r="AB77" s="139"/>
      <c r="AC77" s="141">
        <v>4</v>
      </c>
      <c r="AD77" s="142">
        <v>7</v>
      </c>
      <c r="AE77" s="142"/>
      <c r="AF77" s="142" t="s">
        <v>706</v>
      </c>
      <c r="AG77" s="142">
        <v>1</v>
      </c>
      <c r="AH77" s="142">
        <v>5</v>
      </c>
      <c r="AI77" s="142">
        <v>0</v>
      </c>
      <c r="AJ77" s="142" t="s">
        <v>86</v>
      </c>
      <c r="AK77" s="142" t="s">
        <v>48</v>
      </c>
      <c r="AL77" s="142" t="s">
        <v>705</v>
      </c>
      <c r="AM77" s="142" t="s">
        <v>9</v>
      </c>
      <c r="AN77" s="142" t="s">
        <v>9</v>
      </c>
      <c r="AO77" s="142" t="s">
        <v>9</v>
      </c>
      <c r="AP77" s="142" t="s">
        <v>9</v>
      </c>
      <c r="AQ77" s="142"/>
      <c r="AR77" s="142" t="s">
        <v>9</v>
      </c>
      <c r="AS77" s="142"/>
      <c r="AT77" s="142"/>
      <c r="AU77" s="142"/>
      <c r="AV77" s="142"/>
      <c r="AW77" s="142" t="s">
        <v>9</v>
      </c>
      <c r="AX77" s="142" t="s">
        <v>9</v>
      </c>
      <c r="AY77" s="142" t="s">
        <v>9</v>
      </c>
      <c r="AZ77" s="142" t="s">
        <v>9</v>
      </c>
      <c r="BA77" s="142" t="s">
        <v>9</v>
      </c>
      <c r="BB77" s="142" t="s">
        <v>9</v>
      </c>
      <c r="BC77" s="142"/>
      <c r="BD77" s="142" t="s">
        <v>9</v>
      </c>
      <c r="BE77" s="142" t="s">
        <v>9</v>
      </c>
      <c r="BF77" s="142"/>
      <c r="BG77" s="142" t="s">
        <v>9</v>
      </c>
      <c r="BH77" s="142" t="s">
        <v>9</v>
      </c>
      <c r="BI77" s="142" t="s">
        <v>9</v>
      </c>
      <c r="BJ77" s="142" t="s">
        <v>9</v>
      </c>
      <c r="BK77" s="142" t="s">
        <v>9</v>
      </c>
      <c r="BL77" s="142"/>
      <c r="BM77" s="147">
        <v>3</v>
      </c>
      <c r="BN77" s="175"/>
      <c r="BO77" s="175"/>
      <c r="BP77" s="175" t="s">
        <v>893</v>
      </c>
      <c r="BQ77" s="207"/>
      <c r="BR77" s="175">
        <v>2.1000000000000001E-2</v>
      </c>
      <c r="BS77" s="175">
        <v>0.05</v>
      </c>
      <c r="BT77" s="175">
        <v>4.2999999999999997E-2</v>
      </c>
      <c r="BU77" s="175">
        <f>BS77/2</f>
        <v>2.5000000000000001E-2</v>
      </c>
      <c r="BV77" s="175"/>
      <c r="BW77" s="138">
        <v>49</v>
      </c>
      <c r="BX77" s="166">
        <f t="shared" ref="BX77:BX91" si="7">BW77</f>
        <v>49</v>
      </c>
      <c r="CB77" s="170"/>
    </row>
    <row r="78" spans="1:80" x14ac:dyDescent="0.25">
      <c r="A78" s="138" t="s">
        <v>617</v>
      </c>
      <c r="B78" s="144" t="s">
        <v>742</v>
      </c>
      <c r="C78" s="145" t="s">
        <v>9</v>
      </c>
      <c r="D78" s="146" t="s">
        <v>9</v>
      </c>
      <c r="S78" s="138">
        <f t="shared" si="5"/>
        <v>7</v>
      </c>
      <c r="T78" s="138">
        <f t="shared" si="6"/>
        <v>5</v>
      </c>
      <c r="U78" s="138"/>
      <c r="V78" s="138"/>
      <c r="W78" s="138"/>
      <c r="X78" s="138"/>
      <c r="Y78" s="138"/>
      <c r="Z78" s="138"/>
      <c r="AA78" s="138"/>
      <c r="AB78" s="139"/>
      <c r="AC78" s="141">
        <v>4</v>
      </c>
      <c r="AD78" s="142">
        <v>7</v>
      </c>
      <c r="AE78" s="142"/>
      <c r="AF78" s="142" t="s">
        <v>710</v>
      </c>
      <c r="AG78" s="142">
        <v>1</v>
      </c>
      <c r="AH78" s="142">
        <v>5</v>
      </c>
      <c r="AI78" s="142">
        <v>0</v>
      </c>
      <c r="AJ78" s="142" t="s">
        <v>86</v>
      </c>
      <c r="AK78" s="142" t="s">
        <v>48</v>
      </c>
      <c r="AL78" s="142" t="s">
        <v>705</v>
      </c>
      <c r="AM78" s="142" t="s">
        <v>9</v>
      </c>
      <c r="AN78" s="142" t="s">
        <v>9</v>
      </c>
      <c r="AO78" s="142" t="s">
        <v>9</v>
      </c>
      <c r="AP78" s="142"/>
      <c r="AQ78" s="142"/>
      <c r="AR78" s="142" t="s">
        <v>9</v>
      </c>
      <c r="AS78" s="142"/>
      <c r="AT78" s="142"/>
      <c r="AU78" s="142"/>
      <c r="AV78" s="142"/>
      <c r="AW78" s="142" t="s">
        <v>9</v>
      </c>
      <c r="AX78" s="142" t="s">
        <v>9</v>
      </c>
      <c r="AY78" s="142" t="s">
        <v>9</v>
      </c>
      <c r="AZ78" s="142" t="s">
        <v>9</v>
      </c>
      <c r="BA78" s="142" t="s">
        <v>9</v>
      </c>
      <c r="BB78" s="142"/>
      <c r="BC78" s="142" t="s">
        <v>9</v>
      </c>
      <c r="BD78" s="142" t="s">
        <v>9</v>
      </c>
      <c r="BE78" s="142" t="s">
        <v>9</v>
      </c>
      <c r="BF78" s="142"/>
      <c r="BG78" s="142" t="s">
        <v>9</v>
      </c>
      <c r="BH78" s="142" t="s">
        <v>9</v>
      </c>
      <c r="BI78" s="142" t="s">
        <v>9</v>
      </c>
      <c r="BJ78" s="142" t="s">
        <v>9</v>
      </c>
      <c r="BK78" s="142" t="s">
        <v>9</v>
      </c>
      <c r="BL78" s="142"/>
      <c r="BM78" s="147">
        <v>3</v>
      </c>
      <c r="BN78" s="175"/>
      <c r="BO78" s="175"/>
      <c r="BP78" s="175" t="s">
        <v>893</v>
      </c>
      <c r="BQ78" s="207"/>
      <c r="BR78" s="175">
        <v>2.1000000000000001E-2</v>
      </c>
      <c r="BS78" s="175">
        <v>7.0000000000000007E-2</v>
      </c>
      <c r="BT78" s="175">
        <v>0.05</v>
      </c>
      <c r="BU78" s="175">
        <f>BR78/2</f>
        <v>1.0500000000000001E-2</v>
      </c>
      <c r="BV78" s="175"/>
      <c r="BW78" s="138">
        <v>50</v>
      </c>
      <c r="BX78" s="166">
        <f t="shared" si="7"/>
        <v>50</v>
      </c>
      <c r="CB78" s="170"/>
    </row>
    <row r="79" spans="1:80" x14ac:dyDescent="0.25">
      <c r="A79" s="138" t="s">
        <v>617</v>
      </c>
      <c r="B79" s="144">
        <v>8025</v>
      </c>
      <c r="C79" s="145" t="s">
        <v>9</v>
      </c>
      <c r="D79" s="146" t="s">
        <v>9</v>
      </c>
      <c r="S79" s="138">
        <f t="shared" si="5"/>
        <v>7</v>
      </c>
      <c r="T79" s="138">
        <f t="shared" si="6"/>
        <v>5</v>
      </c>
      <c r="U79" s="138"/>
      <c r="V79" s="138"/>
      <c r="W79" s="138"/>
      <c r="X79" s="138"/>
      <c r="Y79" s="138"/>
      <c r="Z79" s="138"/>
      <c r="AA79" s="138"/>
      <c r="AB79" s="139"/>
      <c r="AC79" s="141">
        <v>4</v>
      </c>
      <c r="AD79" s="142">
        <v>7</v>
      </c>
      <c r="AE79" s="142"/>
      <c r="AF79" s="142" t="s">
        <v>706</v>
      </c>
      <c r="AG79" s="142">
        <v>1</v>
      </c>
      <c r="AH79" s="142">
        <v>5</v>
      </c>
      <c r="AI79" s="142">
        <v>0</v>
      </c>
      <c r="AJ79" s="142" t="s">
        <v>86</v>
      </c>
      <c r="AK79" s="142" t="s">
        <v>48</v>
      </c>
      <c r="AL79" s="142" t="s">
        <v>705</v>
      </c>
      <c r="AM79" s="142" t="s">
        <v>9</v>
      </c>
      <c r="AN79" s="142" t="s">
        <v>9</v>
      </c>
      <c r="AO79" s="142" t="s">
        <v>9</v>
      </c>
      <c r="AP79" s="142" t="s">
        <v>9</v>
      </c>
      <c r="AQ79" s="142"/>
      <c r="AR79" s="142" t="s">
        <v>9</v>
      </c>
      <c r="AS79" s="142"/>
      <c r="AT79" s="142"/>
      <c r="AU79" s="142"/>
      <c r="AV79" s="142"/>
      <c r="AW79" s="142" t="s">
        <v>9</v>
      </c>
      <c r="AX79" s="142" t="s">
        <v>9</v>
      </c>
      <c r="AY79" s="142" t="s">
        <v>9</v>
      </c>
      <c r="AZ79" s="142" t="s">
        <v>9</v>
      </c>
      <c r="BA79" s="142" t="s">
        <v>9</v>
      </c>
      <c r="BB79" s="142" t="s">
        <v>9</v>
      </c>
      <c r="BC79" s="142"/>
      <c r="BD79" s="142" t="s">
        <v>9</v>
      </c>
      <c r="BE79" s="142" t="s">
        <v>9</v>
      </c>
      <c r="BF79" s="142"/>
      <c r="BG79" s="142" t="s">
        <v>9</v>
      </c>
      <c r="BH79" s="142" t="s">
        <v>9</v>
      </c>
      <c r="BI79" s="142" t="s">
        <v>9</v>
      </c>
      <c r="BJ79" s="142" t="s">
        <v>9</v>
      </c>
      <c r="BK79" s="142" t="s">
        <v>9</v>
      </c>
      <c r="BL79" s="142"/>
      <c r="BM79" s="147">
        <v>3</v>
      </c>
      <c r="BN79" s="175"/>
      <c r="BO79" s="175"/>
      <c r="BP79" s="175" t="s">
        <v>893</v>
      </c>
      <c r="BQ79" s="207"/>
      <c r="BR79" s="175">
        <v>2.1000000000000001E-2</v>
      </c>
      <c r="BS79" s="175">
        <v>0.05</v>
      </c>
      <c r="BT79" s="175">
        <v>6.25E-2</v>
      </c>
      <c r="BU79" s="175">
        <f>BS79/2</f>
        <v>2.5000000000000001E-2</v>
      </c>
      <c r="BV79" s="175"/>
      <c r="BW79" s="138">
        <v>51</v>
      </c>
      <c r="BX79" s="166">
        <f t="shared" si="7"/>
        <v>51</v>
      </c>
      <c r="CB79" s="170"/>
    </row>
    <row r="80" spans="1:80" x14ac:dyDescent="0.25">
      <c r="A80" s="138" t="s">
        <v>617</v>
      </c>
      <c r="B80" s="144" t="s">
        <v>743</v>
      </c>
      <c r="C80" s="145" t="s">
        <v>9</v>
      </c>
      <c r="D80" s="146" t="s">
        <v>9</v>
      </c>
      <c r="S80" s="138">
        <f t="shared" si="5"/>
        <v>7</v>
      </c>
      <c r="T80" s="138">
        <f t="shared" si="6"/>
        <v>5</v>
      </c>
      <c r="U80" s="138"/>
      <c r="V80" s="138"/>
      <c r="W80" s="138"/>
      <c r="X80" s="138"/>
      <c r="Y80" s="138"/>
      <c r="Z80" s="138"/>
      <c r="AA80" s="138"/>
      <c r="AB80" s="139"/>
      <c r="AC80" s="141">
        <v>4</v>
      </c>
      <c r="AD80" s="142">
        <v>7</v>
      </c>
      <c r="AE80" s="142"/>
      <c r="AF80" s="142" t="s">
        <v>706</v>
      </c>
      <c r="AG80" s="142">
        <v>1</v>
      </c>
      <c r="AH80" s="142">
        <v>5</v>
      </c>
      <c r="AI80" s="142">
        <v>0</v>
      </c>
      <c r="AJ80" s="142" t="s">
        <v>86</v>
      </c>
      <c r="AK80" s="142" t="s">
        <v>48</v>
      </c>
      <c r="AL80" s="142" t="s">
        <v>705</v>
      </c>
      <c r="AM80" s="142" t="s">
        <v>9</v>
      </c>
      <c r="AN80" s="142" t="s">
        <v>9</v>
      </c>
      <c r="AO80" s="142" t="s">
        <v>9</v>
      </c>
      <c r="AP80" s="142" t="s">
        <v>9</v>
      </c>
      <c r="AQ80" s="142"/>
      <c r="AR80" s="142" t="s">
        <v>9</v>
      </c>
      <c r="AS80" s="142"/>
      <c r="AT80" s="142"/>
      <c r="AU80" s="142"/>
      <c r="AV80" s="142"/>
      <c r="AW80" s="142" t="s">
        <v>9</v>
      </c>
      <c r="AX80" s="142" t="s">
        <v>9</v>
      </c>
      <c r="AY80" s="142" t="s">
        <v>9</v>
      </c>
      <c r="AZ80" s="142" t="s">
        <v>9</v>
      </c>
      <c r="BA80" s="142" t="s">
        <v>9</v>
      </c>
      <c r="BB80" s="142"/>
      <c r="BC80" s="142" t="s">
        <v>9</v>
      </c>
      <c r="BD80" s="142" t="s">
        <v>9</v>
      </c>
      <c r="BE80" s="142" t="s">
        <v>9</v>
      </c>
      <c r="BF80" s="142"/>
      <c r="BG80" s="142" t="s">
        <v>9</v>
      </c>
      <c r="BH80" s="142" t="s">
        <v>9</v>
      </c>
      <c r="BI80" s="142" t="s">
        <v>9</v>
      </c>
      <c r="BJ80" s="142" t="s">
        <v>9</v>
      </c>
      <c r="BK80" s="142" t="s">
        <v>9</v>
      </c>
      <c r="BL80" s="142"/>
      <c r="BM80" s="147">
        <v>3</v>
      </c>
      <c r="BN80" s="175"/>
      <c r="BO80" s="175"/>
      <c r="BP80" s="175" t="s">
        <v>893</v>
      </c>
      <c r="BQ80" s="207"/>
      <c r="BR80" s="175">
        <v>2.1000000000000001E-2</v>
      </c>
      <c r="BS80" s="175">
        <v>0.08</v>
      </c>
      <c r="BT80" s="175">
        <v>6.6500000000000004E-2</v>
      </c>
      <c r="BU80" s="175">
        <f>BR80/2</f>
        <v>1.0500000000000001E-2</v>
      </c>
      <c r="BV80" s="175"/>
      <c r="BW80" s="138">
        <v>52</v>
      </c>
      <c r="BX80" s="166">
        <f t="shared" si="7"/>
        <v>52</v>
      </c>
      <c r="CB80" s="170"/>
    </row>
    <row r="81" spans="1:80" x14ac:dyDescent="0.25">
      <c r="A81" s="138" t="s">
        <v>617</v>
      </c>
      <c r="B81" s="144">
        <v>8030</v>
      </c>
      <c r="C81" s="145" t="s">
        <v>9</v>
      </c>
      <c r="D81" s="146" t="s">
        <v>9</v>
      </c>
      <c r="S81" s="138">
        <f t="shared" si="5"/>
        <v>7</v>
      </c>
      <c r="T81" s="138">
        <f t="shared" si="6"/>
        <v>5</v>
      </c>
      <c r="U81" s="138"/>
      <c r="V81" s="138"/>
      <c r="W81" s="138"/>
      <c r="X81" s="138"/>
      <c r="Y81" s="138"/>
      <c r="Z81" s="138"/>
      <c r="AA81" s="138"/>
      <c r="AB81" s="139"/>
      <c r="AC81" s="141">
        <v>4</v>
      </c>
      <c r="AD81" s="142">
        <v>7</v>
      </c>
      <c r="AE81" s="142"/>
      <c r="AF81" s="142" t="s">
        <v>706</v>
      </c>
      <c r="AG81" s="142">
        <v>1</v>
      </c>
      <c r="AH81" s="142">
        <v>5</v>
      </c>
      <c r="AI81" s="142">
        <v>0</v>
      </c>
      <c r="AJ81" s="142" t="s">
        <v>86</v>
      </c>
      <c r="AK81" s="142" t="s">
        <v>48</v>
      </c>
      <c r="AL81" s="142" t="s">
        <v>705</v>
      </c>
      <c r="AM81" s="142" t="s">
        <v>9</v>
      </c>
      <c r="AN81" s="142" t="s">
        <v>9</v>
      </c>
      <c r="AO81" s="142" t="s">
        <v>9</v>
      </c>
      <c r="AP81" s="142" t="s">
        <v>9</v>
      </c>
      <c r="AQ81" s="142"/>
      <c r="AR81" s="142" t="s">
        <v>9</v>
      </c>
      <c r="AS81" s="142"/>
      <c r="AT81" s="142"/>
      <c r="AU81" s="142"/>
      <c r="AV81" s="142"/>
      <c r="AW81" s="142" t="s">
        <v>9</v>
      </c>
      <c r="AX81" s="142" t="s">
        <v>9</v>
      </c>
      <c r="AY81" s="142" t="s">
        <v>9</v>
      </c>
      <c r="AZ81" s="142" t="s">
        <v>9</v>
      </c>
      <c r="BA81" s="142" t="s">
        <v>9</v>
      </c>
      <c r="BB81" s="142" t="s">
        <v>9</v>
      </c>
      <c r="BC81" s="142"/>
      <c r="BD81" s="142" t="s">
        <v>9</v>
      </c>
      <c r="BE81" s="142" t="s">
        <v>9</v>
      </c>
      <c r="BF81" s="142"/>
      <c r="BG81" s="142" t="s">
        <v>9</v>
      </c>
      <c r="BH81" s="142" t="s">
        <v>9</v>
      </c>
      <c r="BI81" s="142" t="s">
        <v>9</v>
      </c>
      <c r="BJ81" s="142" t="s">
        <v>9</v>
      </c>
      <c r="BK81" s="142" t="s">
        <v>9</v>
      </c>
      <c r="BL81" s="142"/>
      <c r="BM81" s="147">
        <v>3</v>
      </c>
      <c r="BN81" s="175"/>
      <c r="BO81" s="175"/>
      <c r="BP81" s="175" t="s">
        <v>893</v>
      </c>
      <c r="BQ81" s="207"/>
      <c r="BR81" s="175">
        <v>2.1000000000000001E-2</v>
      </c>
      <c r="BS81" s="175">
        <v>0.05</v>
      </c>
      <c r="BT81" s="175">
        <v>6.25E-2</v>
      </c>
      <c r="BU81" s="175">
        <f>BS81/2</f>
        <v>2.5000000000000001E-2</v>
      </c>
      <c r="BV81" s="175"/>
      <c r="BW81" s="138">
        <v>53</v>
      </c>
      <c r="BX81" s="166">
        <f t="shared" si="7"/>
        <v>53</v>
      </c>
      <c r="CB81" s="170"/>
    </row>
    <row r="82" spans="1:80" x14ac:dyDescent="0.25">
      <c r="A82" s="138" t="s">
        <v>617</v>
      </c>
      <c r="B82" s="144" t="s">
        <v>744</v>
      </c>
      <c r="C82" s="145" t="s">
        <v>9</v>
      </c>
      <c r="D82" s="146" t="s">
        <v>9</v>
      </c>
      <c r="S82" s="138">
        <f t="shared" si="5"/>
        <v>7</v>
      </c>
      <c r="T82" s="138">
        <f t="shared" si="6"/>
        <v>5</v>
      </c>
      <c r="U82" s="138"/>
      <c r="V82" s="138"/>
      <c r="W82" s="138"/>
      <c r="X82" s="138"/>
      <c r="Y82" s="138"/>
      <c r="Z82" s="138"/>
      <c r="AA82" s="138"/>
      <c r="AB82" s="139"/>
      <c r="AC82" s="141">
        <v>4</v>
      </c>
      <c r="AD82" s="142">
        <v>7</v>
      </c>
      <c r="AE82" s="142"/>
      <c r="AF82" s="142" t="s">
        <v>706</v>
      </c>
      <c r="AG82" s="142">
        <v>1</v>
      </c>
      <c r="AH82" s="142">
        <v>5</v>
      </c>
      <c r="AI82" s="142">
        <v>0</v>
      </c>
      <c r="AJ82" s="142" t="s">
        <v>86</v>
      </c>
      <c r="AK82" s="142" t="s">
        <v>48</v>
      </c>
      <c r="AL82" s="142" t="s">
        <v>705</v>
      </c>
      <c r="AM82" s="142" t="s">
        <v>9</v>
      </c>
      <c r="AN82" s="142" t="s">
        <v>9</v>
      </c>
      <c r="AO82" s="142" t="s">
        <v>9</v>
      </c>
      <c r="AP82" s="142" t="s">
        <v>9</v>
      </c>
      <c r="AQ82" s="142"/>
      <c r="AR82" s="142" t="s">
        <v>9</v>
      </c>
      <c r="AS82" s="142"/>
      <c r="AT82" s="142"/>
      <c r="AU82" s="142"/>
      <c r="AV82" s="142"/>
      <c r="AW82" s="142" t="s">
        <v>9</v>
      </c>
      <c r="AX82" s="142" t="s">
        <v>9</v>
      </c>
      <c r="AY82" s="142" t="s">
        <v>9</v>
      </c>
      <c r="AZ82" s="142" t="s">
        <v>9</v>
      </c>
      <c r="BA82" s="142" t="s">
        <v>9</v>
      </c>
      <c r="BB82" s="142"/>
      <c r="BC82" s="142" t="s">
        <v>9</v>
      </c>
      <c r="BD82" s="142" t="s">
        <v>9</v>
      </c>
      <c r="BE82" s="142" t="s">
        <v>9</v>
      </c>
      <c r="BF82" s="142"/>
      <c r="BG82" s="142" t="s">
        <v>9</v>
      </c>
      <c r="BH82" s="142" t="s">
        <v>9</v>
      </c>
      <c r="BI82" s="142" t="s">
        <v>9</v>
      </c>
      <c r="BJ82" s="142" t="s">
        <v>9</v>
      </c>
      <c r="BK82" s="142" t="s">
        <v>9</v>
      </c>
      <c r="BL82" s="142"/>
      <c r="BM82" s="147">
        <v>3</v>
      </c>
      <c r="BN82" s="175"/>
      <c r="BO82" s="175"/>
      <c r="BP82" s="175" t="s">
        <v>893</v>
      </c>
      <c r="BQ82" s="207"/>
      <c r="BR82" s="175">
        <v>2.1000000000000001E-2</v>
      </c>
      <c r="BS82" s="175">
        <v>8.1000000000000003E-2</v>
      </c>
      <c r="BT82" s="175">
        <v>6.6500000000000004E-2</v>
      </c>
      <c r="BU82" s="175">
        <f>BR82/2</f>
        <v>1.0500000000000001E-2</v>
      </c>
      <c r="BV82" s="175"/>
      <c r="BW82" s="138">
        <v>54</v>
      </c>
      <c r="BX82" s="166">
        <f t="shared" si="7"/>
        <v>54</v>
      </c>
      <c r="CB82" s="170"/>
    </row>
    <row r="83" spans="1:80" x14ac:dyDescent="0.25">
      <c r="A83" s="138" t="s">
        <v>617</v>
      </c>
      <c r="B83" s="144">
        <v>8548</v>
      </c>
      <c r="C83" s="145" t="s">
        <v>9</v>
      </c>
      <c r="D83" s="146" t="s">
        <v>9</v>
      </c>
      <c r="S83" s="138">
        <f t="shared" si="5"/>
        <v>7</v>
      </c>
      <c r="T83" s="138">
        <f t="shared" si="6"/>
        <v>5</v>
      </c>
      <c r="U83" s="138"/>
      <c r="V83" s="138"/>
      <c r="W83" s="138"/>
      <c r="X83" s="138"/>
      <c r="Y83" s="138"/>
      <c r="Z83" s="138"/>
      <c r="AA83" s="138"/>
      <c r="AB83" s="139"/>
      <c r="AC83" s="141">
        <v>4</v>
      </c>
      <c r="AD83" s="142">
        <v>7</v>
      </c>
      <c r="AE83" s="142"/>
      <c r="AF83" s="142" t="s">
        <v>706</v>
      </c>
      <c r="AG83" s="142">
        <v>1</v>
      </c>
      <c r="AH83" s="142">
        <v>5</v>
      </c>
      <c r="AI83" s="142">
        <v>0</v>
      </c>
      <c r="AJ83" s="142" t="s">
        <v>86</v>
      </c>
      <c r="AK83" s="142" t="s">
        <v>48</v>
      </c>
      <c r="AL83" s="142" t="s">
        <v>705</v>
      </c>
      <c r="AM83" s="142" t="s">
        <v>9</v>
      </c>
      <c r="AN83" s="142" t="s">
        <v>9</v>
      </c>
      <c r="AO83" s="142" t="s">
        <v>9</v>
      </c>
      <c r="AP83" s="142" t="s">
        <v>9</v>
      </c>
      <c r="AQ83" s="142"/>
      <c r="AR83" s="142" t="s">
        <v>9</v>
      </c>
      <c r="AS83" s="142"/>
      <c r="AT83" s="142"/>
      <c r="AU83" s="142"/>
      <c r="AV83" s="142"/>
      <c r="AW83" s="142" t="s">
        <v>9</v>
      </c>
      <c r="AX83" s="142" t="s">
        <v>9</v>
      </c>
      <c r="AY83" s="142" t="s">
        <v>9</v>
      </c>
      <c r="AZ83" s="142" t="s">
        <v>9</v>
      </c>
      <c r="BA83" s="142" t="s">
        <v>9</v>
      </c>
      <c r="BB83" s="142" t="s">
        <v>9</v>
      </c>
      <c r="BC83" s="142"/>
      <c r="BD83" s="142" t="s">
        <v>9</v>
      </c>
      <c r="BE83" s="142" t="s">
        <v>9</v>
      </c>
      <c r="BF83" s="142"/>
      <c r="BG83" s="142" t="s">
        <v>9</v>
      </c>
      <c r="BH83" s="142" t="s">
        <v>9</v>
      </c>
      <c r="BI83" s="142" t="s">
        <v>9</v>
      </c>
      <c r="BJ83" s="142" t="s">
        <v>9</v>
      </c>
      <c r="BK83" s="142" t="s">
        <v>9</v>
      </c>
      <c r="BL83" s="142"/>
      <c r="BM83" s="147">
        <v>3</v>
      </c>
      <c r="BN83" s="175"/>
      <c r="BO83" s="175"/>
      <c r="BP83" s="175" t="s">
        <v>893</v>
      </c>
      <c r="BQ83" s="207"/>
      <c r="BR83" s="175">
        <v>2.1000000000000001E-2</v>
      </c>
      <c r="BS83" s="175">
        <v>0.05</v>
      </c>
      <c r="BT83" s="175">
        <v>7.4999999999999997E-2</v>
      </c>
      <c r="BU83" s="175">
        <f>BS83/2</f>
        <v>2.5000000000000001E-2</v>
      </c>
      <c r="BV83" s="175"/>
      <c r="BW83" s="138">
        <v>55</v>
      </c>
      <c r="BX83" s="166">
        <f t="shared" si="7"/>
        <v>55</v>
      </c>
      <c r="CB83" s="170"/>
    </row>
    <row r="84" spans="1:80" x14ac:dyDescent="0.25">
      <c r="A84" s="138" t="s">
        <v>617</v>
      </c>
      <c r="B84" s="144" t="s">
        <v>745</v>
      </c>
      <c r="C84" s="145" t="s">
        <v>9</v>
      </c>
      <c r="D84" s="146" t="s">
        <v>9</v>
      </c>
      <c r="S84" s="138">
        <f t="shared" si="5"/>
        <v>7</v>
      </c>
      <c r="T84" s="138">
        <f t="shared" si="6"/>
        <v>5</v>
      </c>
      <c r="U84" s="138"/>
      <c r="V84" s="138"/>
      <c r="W84" s="138"/>
      <c r="X84" s="138"/>
      <c r="Y84" s="138"/>
      <c r="Z84" s="138"/>
      <c r="AA84" s="138"/>
      <c r="AB84" s="139"/>
      <c r="AC84" s="141">
        <v>4</v>
      </c>
      <c r="AD84" s="142">
        <v>7</v>
      </c>
      <c r="AE84" s="142"/>
      <c r="AF84" s="142" t="s">
        <v>706</v>
      </c>
      <c r="AG84" s="142">
        <v>1</v>
      </c>
      <c r="AH84" s="142">
        <v>5</v>
      </c>
      <c r="AI84" s="142">
        <v>0</v>
      </c>
      <c r="AJ84" s="142" t="s">
        <v>86</v>
      </c>
      <c r="AK84" s="142" t="s">
        <v>48</v>
      </c>
      <c r="AL84" s="142" t="s">
        <v>705</v>
      </c>
      <c r="AM84" s="142" t="s">
        <v>9</v>
      </c>
      <c r="AN84" s="142" t="s">
        <v>9</v>
      </c>
      <c r="AO84" s="142" t="s">
        <v>9</v>
      </c>
      <c r="AP84" s="142" t="s">
        <v>9</v>
      </c>
      <c r="AQ84" s="142"/>
      <c r="AR84" s="142" t="s">
        <v>9</v>
      </c>
      <c r="AS84" s="142"/>
      <c r="AT84" s="142"/>
      <c r="AU84" s="142"/>
      <c r="AV84" s="142"/>
      <c r="AW84" s="142" t="s">
        <v>9</v>
      </c>
      <c r="AX84" s="142"/>
      <c r="AY84" s="142"/>
      <c r="AZ84" s="142"/>
      <c r="BA84" s="142"/>
      <c r="BB84" s="142"/>
      <c r="BC84" s="142" t="s">
        <v>9</v>
      </c>
      <c r="BD84" s="142" t="s">
        <v>9</v>
      </c>
      <c r="BE84" s="142" t="s">
        <v>9</v>
      </c>
      <c r="BF84" s="142"/>
      <c r="BG84" s="142" t="s">
        <v>9</v>
      </c>
      <c r="BH84" s="142" t="s">
        <v>9</v>
      </c>
      <c r="BI84" s="142" t="s">
        <v>9</v>
      </c>
      <c r="BJ84" s="142" t="s">
        <v>9</v>
      </c>
      <c r="BK84" s="142" t="s">
        <v>9</v>
      </c>
      <c r="BL84" s="142"/>
      <c r="BM84" s="147">
        <v>3</v>
      </c>
      <c r="BN84" s="175"/>
      <c r="BO84" s="175"/>
      <c r="BP84" s="175" t="s">
        <v>893</v>
      </c>
      <c r="BQ84" s="207"/>
      <c r="BR84" s="175">
        <v>0.02</v>
      </c>
      <c r="BS84" s="175">
        <v>7.5999999999999998E-2</v>
      </c>
      <c r="BT84" s="175">
        <v>0.08</v>
      </c>
      <c r="BU84" s="175">
        <f>BR84/2</f>
        <v>0.01</v>
      </c>
      <c r="BV84" s="175"/>
      <c r="BW84" s="138">
        <v>56</v>
      </c>
      <c r="BX84" s="166">
        <f t="shared" si="7"/>
        <v>56</v>
      </c>
      <c r="CB84" s="170"/>
    </row>
    <row r="85" spans="1:80" x14ac:dyDescent="0.25">
      <c r="A85" s="138" t="s">
        <v>617</v>
      </c>
      <c r="B85" s="144">
        <v>3020</v>
      </c>
      <c r="C85" s="145" t="s">
        <v>9</v>
      </c>
      <c r="D85" s="146" t="s">
        <v>9</v>
      </c>
      <c r="S85" s="138">
        <f t="shared" si="5"/>
        <v>7</v>
      </c>
      <c r="T85" s="138">
        <f t="shared" si="6"/>
        <v>5</v>
      </c>
      <c r="U85" s="138"/>
      <c r="V85" s="138"/>
      <c r="W85" s="138"/>
      <c r="X85" s="138"/>
      <c r="Y85" s="138"/>
      <c r="Z85" s="138"/>
      <c r="AA85" s="138"/>
      <c r="AB85" s="139"/>
      <c r="AC85" s="141">
        <v>4</v>
      </c>
      <c r="AD85" s="142">
        <v>7</v>
      </c>
      <c r="AE85" s="142"/>
      <c r="AF85" s="142" t="s">
        <v>706</v>
      </c>
      <c r="AG85" s="142">
        <v>1</v>
      </c>
      <c r="AH85" s="142">
        <v>5</v>
      </c>
      <c r="AI85" s="142">
        <v>0</v>
      </c>
      <c r="AJ85" s="142" t="s">
        <v>86</v>
      </c>
      <c r="AK85" s="142" t="s">
        <v>48</v>
      </c>
      <c r="AL85" s="142" t="s">
        <v>705</v>
      </c>
      <c r="AM85" s="142" t="s">
        <v>9</v>
      </c>
      <c r="AN85" s="142" t="s">
        <v>9</v>
      </c>
      <c r="AO85" s="142" t="s">
        <v>9</v>
      </c>
      <c r="AP85" s="142" t="s">
        <v>9</v>
      </c>
      <c r="AQ85" s="142"/>
      <c r="AR85" s="142" t="s">
        <v>9</v>
      </c>
      <c r="AS85" s="142"/>
      <c r="AT85" s="142"/>
      <c r="AU85" s="142"/>
      <c r="AV85" s="142"/>
      <c r="AW85" s="142" t="s">
        <v>9</v>
      </c>
      <c r="AX85" s="142"/>
      <c r="AY85" s="142"/>
      <c r="AZ85" s="142"/>
      <c r="BA85" s="142"/>
      <c r="BB85" s="142"/>
      <c r="BC85" s="142"/>
      <c r="BD85" s="142" t="s">
        <v>9</v>
      </c>
      <c r="BE85" s="142" t="s">
        <v>9</v>
      </c>
      <c r="BF85" s="142"/>
      <c r="BG85" s="142" t="s">
        <v>9</v>
      </c>
      <c r="BH85" s="142" t="s">
        <v>9</v>
      </c>
      <c r="BI85" s="142" t="s">
        <v>9</v>
      </c>
      <c r="BJ85" s="142" t="s">
        <v>9</v>
      </c>
      <c r="BK85" s="142" t="s">
        <v>9</v>
      </c>
      <c r="BL85" s="142"/>
      <c r="BM85" s="147">
        <v>2</v>
      </c>
      <c r="BN85" s="175"/>
      <c r="BO85" s="175"/>
      <c r="BP85" s="175" t="s">
        <v>893</v>
      </c>
      <c r="BQ85" s="207"/>
      <c r="BR85" s="175">
        <v>2.1000000000000001E-2</v>
      </c>
      <c r="BS85" s="175">
        <v>0.05</v>
      </c>
      <c r="BT85" s="175">
        <v>4.2999999999999997E-2</v>
      </c>
      <c r="BU85" s="175">
        <f>BS85/2</f>
        <v>2.5000000000000001E-2</v>
      </c>
      <c r="BV85" s="175"/>
      <c r="BW85" s="138">
        <v>49</v>
      </c>
      <c r="BX85" s="166">
        <f t="shared" si="7"/>
        <v>49</v>
      </c>
      <c r="CB85" s="170"/>
    </row>
    <row r="86" spans="1:80" x14ac:dyDescent="0.25">
      <c r="A86" s="138" t="s">
        <v>617</v>
      </c>
      <c r="B86" s="144" t="s">
        <v>746</v>
      </c>
      <c r="C86" s="145" t="s">
        <v>9</v>
      </c>
      <c r="D86" s="146" t="s">
        <v>9</v>
      </c>
      <c r="S86" s="138">
        <f t="shared" si="5"/>
        <v>7</v>
      </c>
      <c r="T86" s="138">
        <f t="shared" si="6"/>
        <v>5</v>
      </c>
      <c r="U86" s="138"/>
      <c r="V86" s="138"/>
      <c r="W86" s="138"/>
      <c r="X86" s="138"/>
      <c r="Y86" s="138"/>
      <c r="Z86" s="138"/>
      <c r="AA86" s="138"/>
      <c r="AB86" s="139"/>
      <c r="AC86" s="141">
        <v>4</v>
      </c>
      <c r="AD86" s="142">
        <v>7</v>
      </c>
      <c r="AE86" s="142"/>
      <c r="AF86" s="142" t="s">
        <v>710</v>
      </c>
      <c r="AG86" s="142">
        <v>1</v>
      </c>
      <c r="AH86" s="142">
        <v>5</v>
      </c>
      <c r="AI86" s="142">
        <v>0</v>
      </c>
      <c r="AJ86" s="142" t="s">
        <v>86</v>
      </c>
      <c r="AK86" s="142" t="s">
        <v>48</v>
      </c>
      <c r="AL86" s="142" t="s">
        <v>705</v>
      </c>
      <c r="AM86" s="142" t="s">
        <v>9</v>
      </c>
      <c r="AN86" s="142" t="s">
        <v>9</v>
      </c>
      <c r="AO86" s="142" t="s">
        <v>9</v>
      </c>
      <c r="AP86" s="142"/>
      <c r="AQ86" s="142"/>
      <c r="AR86" s="142" t="s">
        <v>9</v>
      </c>
      <c r="AS86" s="142"/>
      <c r="AT86" s="142"/>
      <c r="AU86" s="142"/>
      <c r="AV86" s="142"/>
      <c r="AW86" s="142" t="s">
        <v>9</v>
      </c>
      <c r="AX86" s="142"/>
      <c r="AY86" s="142"/>
      <c r="AZ86" s="142"/>
      <c r="BA86" s="142"/>
      <c r="BB86" s="142"/>
      <c r="BC86" s="142" t="s">
        <v>9</v>
      </c>
      <c r="BD86" s="142" t="s">
        <v>9</v>
      </c>
      <c r="BE86" s="142" t="s">
        <v>9</v>
      </c>
      <c r="BF86" s="142"/>
      <c r="BG86" s="142" t="s">
        <v>9</v>
      </c>
      <c r="BH86" s="142" t="s">
        <v>9</v>
      </c>
      <c r="BI86" s="142" t="s">
        <v>9</v>
      </c>
      <c r="BJ86" s="142" t="s">
        <v>9</v>
      </c>
      <c r="BK86" s="142" t="s">
        <v>9</v>
      </c>
      <c r="BL86" s="142"/>
      <c r="BM86" s="147">
        <v>2</v>
      </c>
      <c r="BN86" s="175"/>
      <c r="BO86" s="175"/>
      <c r="BP86" s="175" t="s">
        <v>893</v>
      </c>
      <c r="BQ86" s="207"/>
      <c r="BR86" s="175">
        <v>2.1000000000000001E-2</v>
      </c>
      <c r="BS86" s="175">
        <v>7.0000000000000007E-2</v>
      </c>
      <c r="BT86" s="175">
        <v>0.05</v>
      </c>
      <c r="BU86" s="175">
        <f>BR86/2</f>
        <v>1.0500000000000001E-2</v>
      </c>
      <c r="BV86" s="175"/>
      <c r="BW86" s="138">
        <v>50</v>
      </c>
      <c r="BX86" s="166">
        <f t="shared" si="7"/>
        <v>50</v>
      </c>
      <c r="CB86" s="170"/>
    </row>
    <row r="87" spans="1:80" x14ac:dyDescent="0.25">
      <c r="A87" s="138" t="s">
        <v>617</v>
      </c>
      <c r="B87" s="144">
        <v>3025</v>
      </c>
      <c r="C87" s="145" t="s">
        <v>9</v>
      </c>
      <c r="D87" s="146" t="s">
        <v>9</v>
      </c>
      <c r="S87" s="138">
        <f t="shared" si="5"/>
        <v>7</v>
      </c>
      <c r="T87" s="138">
        <f t="shared" si="6"/>
        <v>5</v>
      </c>
      <c r="U87" s="138"/>
      <c r="V87" s="138"/>
      <c r="W87" s="138"/>
      <c r="X87" s="138"/>
      <c r="Y87" s="138"/>
      <c r="Z87" s="138"/>
      <c r="AA87" s="138"/>
      <c r="AB87" s="139"/>
      <c r="AC87" s="141">
        <v>4</v>
      </c>
      <c r="AD87" s="142">
        <v>7</v>
      </c>
      <c r="AE87" s="142"/>
      <c r="AF87" s="142" t="s">
        <v>706</v>
      </c>
      <c r="AG87" s="142">
        <v>1</v>
      </c>
      <c r="AH87" s="142">
        <v>5</v>
      </c>
      <c r="AI87" s="142">
        <v>0</v>
      </c>
      <c r="AJ87" s="142" t="s">
        <v>86</v>
      </c>
      <c r="AK87" s="142" t="s">
        <v>48</v>
      </c>
      <c r="AL87" s="142" t="s">
        <v>705</v>
      </c>
      <c r="AM87" s="142" t="s">
        <v>9</v>
      </c>
      <c r="AN87" s="142" t="s">
        <v>9</v>
      </c>
      <c r="AO87" s="142" t="s">
        <v>9</v>
      </c>
      <c r="AP87" s="142" t="s">
        <v>9</v>
      </c>
      <c r="AQ87" s="142"/>
      <c r="AR87" s="142" t="s">
        <v>9</v>
      </c>
      <c r="AS87" s="142"/>
      <c r="AT87" s="142"/>
      <c r="AU87" s="142"/>
      <c r="AV87" s="142"/>
      <c r="AW87" s="142" t="s">
        <v>9</v>
      </c>
      <c r="AX87" s="142" t="s">
        <v>9</v>
      </c>
      <c r="AY87" s="142" t="s">
        <v>9</v>
      </c>
      <c r="AZ87" s="142" t="s">
        <v>9</v>
      </c>
      <c r="BA87" s="142" t="s">
        <v>9</v>
      </c>
      <c r="BB87" s="142" t="s">
        <v>9</v>
      </c>
      <c r="BC87" s="142"/>
      <c r="BD87" s="142" t="s">
        <v>9</v>
      </c>
      <c r="BE87" s="142" t="s">
        <v>9</v>
      </c>
      <c r="BF87" s="142"/>
      <c r="BG87" s="142" t="s">
        <v>9</v>
      </c>
      <c r="BH87" s="142" t="s">
        <v>9</v>
      </c>
      <c r="BI87" s="142" t="s">
        <v>9</v>
      </c>
      <c r="BJ87" s="142" t="s">
        <v>9</v>
      </c>
      <c r="BK87" s="142" t="s">
        <v>9</v>
      </c>
      <c r="BL87" s="142"/>
      <c r="BM87" s="147">
        <v>2</v>
      </c>
      <c r="BN87" s="175"/>
      <c r="BO87" s="175"/>
      <c r="BP87" s="175" t="s">
        <v>893</v>
      </c>
      <c r="BQ87" s="207"/>
      <c r="BR87" s="175">
        <v>2.1000000000000001E-2</v>
      </c>
      <c r="BS87" s="175">
        <v>0.05</v>
      </c>
      <c r="BT87" s="175">
        <v>6.25E-2</v>
      </c>
      <c r="BU87" s="175">
        <f>BS87/2</f>
        <v>2.5000000000000001E-2</v>
      </c>
      <c r="BV87" s="175"/>
      <c r="BW87" s="138">
        <v>51</v>
      </c>
      <c r="BX87" s="166">
        <f t="shared" si="7"/>
        <v>51</v>
      </c>
      <c r="CB87" s="170"/>
    </row>
    <row r="88" spans="1:80" x14ac:dyDescent="0.25">
      <c r="A88" s="138" t="s">
        <v>617</v>
      </c>
      <c r="B88" s="144" t="s">
        <v>747</v>
      </c>
      <c r="C88" s="145" t="s">
        <v>9</v>
      </c>
      <c r="D88" s="146" t="s">
        <v>9</v>
      </c>
      <c r="S88" s="138">
        <f t="shared" si="5"/>
        <v>7</v>
      </c>
      <c r="T88" s="138">
        <f t="shared" si="6"/>
        <v>5</v>
      </c>
      <c r="U88" s="138"/>
      <c r="V88" s="138"/>
      <c r="W88" s="138"/>
      <c r="X88" s="138"/>
      <c r="Y88" s="138"/>
      <c r="Z88" s="138"/>
      <c r="AA88" s="138"/>
      <c r="AB88" s="139"/>
      <c r="AC88" s="141">
        <v>4</v>
      </c>
      <c r="AD88" s="142">
        <v>7</v>
      </c>
      <c r="AE88" s="142"/>
      <c r="AF88" s="142" t="s">
        <v>706</v>
      </c>
      <c r="AG88" s="142">
        <v>1</v>
      </c>
      <c r="AH88" s="142">
        <v>5</v>
      </c>
      <c r="AI88" s="142">
        <v>0</v>
      </c>
      <c r="AJ88" s="142" t="s">
        <v>86</v>
      </c>
      <c r="AK88" s="142" t="s">
        <v>48</v>
      </c>
      <c r="AL88" s="142" t="s">
        <v>705</v>
      </c>
      <c r="AM88" s="142" t="s">
        <v>9</v>
      </c>
      <c r="AN88" s="142" t="s">
        <v>9</v>
      </c>
      <c r="AO88" s="142" t="s">
        <v>9</v>
      </c>
      <c r="AP88" s="142" t="s">
        <v>9</v>
      </c>
      <c r="AQ88" s="142"/>
      <c r="AR88" s="142" t="s">
        <v>9</v>
      </c>
      <c r="AS88" s="142"/>
      <c r="AT88" s="142"/>
      <c r="AU88" s="142"/>
      <c r="AV88" s="142"/>
      <c r="AW88" s="142" t="s">
        <v>9</v>
      </c>
      <c r="AX88" s="142" t="s">
        <v>9</v>
      </c>
      <c r="AY88" s="142" t="s">
        <v>9</v>
      </c>
      <c r="AZ88" s="142" t="s">
        <v>9</v>
      </c>
      <c r="BA88" s="142" t="s">
        <v>9</v>
      </c>
      <c r="BB88" s="142"/>
      <c r="BC88" s="142" t="s">
        <v>9</v>
      </c>
      <c r="BD88" s="142" t="s">
        <v>9</v>
      </c>
      <c r="BE88" s="142" t="s">
        <v>9</v>
      </c>
      <c r="BF88" s="142"/>
      <c r="BG88" s="142" t="s">
        <v>9</v>
      </c>
      <c r="BH88" s="142" t="s">
        <v>9</v>
      </c>
      <c r="BI88" s="142" t="s">
        <v>9</v>
      </c>
      <c r="BJ88" s="142" t="s">
        <v>9</v>
      </c>
      <c r="BK88" s="142" t="s">
        <v>9</v>
      </c>
      <c r="BL88" s="142"/>
      <c r="BM88" s="147">
        <v>2</v>
      </c>
      <c r="BN88" s="175"/>
      <c r="BO88" s="175"/>
      <c r="BP88" s="175" t="s">
        <v>893</v>
      </c>
      <c r="BQ88" s="207"/>
      <c r="BR88" s="175">
        <v>2.1000000000000001E-2</v>
      </c>
      <c r="BS88" s="175">
        <v>0.08</v>
      </c>
      <c r="BT88" s="175">
        <v>6.6500000000000004E-2</v>
      </c>
      <c r="BU88" s="175">
        <f>BR88/2</f>
        <v>1.0500000000000001E-2</v>
      </c>
      <c r="BV88" s="175"/>
      <c r="BW88" s="138">
        <v>52</v>
      </c>
      <c r="BX88" s="166">
        <f t="shared" si="7"/>
        <v>52</v>
      </c>
      <c r="CB88" s="170"/>
    </row>
    <row r="89" spans="1:80" x14ac:dyDescent="0.25">
      <c r="A89" s="138" t="s">
        <v>617</v>
      </c>
      <c r="B89" s="144">
        <v>3030</v>
      </c>
      <c r="C89" s="145" t="s">
        <v>9</v>
      </c>
      <c r="D89" s="146" t="s">
        <v>9</v>
      </c>
      <c r="S89" s="138">
        <f t="shared" si="5"/>
        <v>7</v>
      </c>
      <c r="T89" s="138">
        <f t="shared" si="6"/>
        <v>5</v>
      </c>
      <c r="U89" s="138"/>
      <c r="V89" s="138"/>
      <c r="W89" s="138"/>
      <c r="X89" s="138"/>
      <c r="Y89" s="138"/>
      <c r="Z89" s="138"/>
      <c r="AA89" s="138"/>
      <c r="AB89" s="139"/>
      <c r="AC89" s="141">
        <v>4</v>
      </c>
      <c r="AD89" s="142">
        <v>7</v>
      </c>
      <c r="AE89" s="142"/>
      <c r="AF89" s="142" t="s">
        <v>706</v>
      </c>
      <c r="AG89" s="142">
        <v>1</v>
      </c>
      <c r="AH89" s="142">
        <v>5</v>
      </c>
      <c r="AI89" s="142">
        <v>0</v>
      </c>
      <c r="AJ89" s="142" t="s">
        <v>86</v>
      </c>
      <c r="AK89" s="142" t="s">
        <v>48</v>
      </c>
      <c r="AL89" s="142" t="s">
        <v>705</v>
      </c>
      <c r="AM89" s="142" t="s">
        <v>9</v>
      </c>
      <c r="AN89" s="142" t="s">
        <v>9</v>
      </c>
      <c r="AO89" s="142" t="s">
        <v>9</v>
      </c>
      <c r="AP89" s="142" t="s">
        <v>9</v>
      </c>
      <c r="AQ89" s="142"/>
      <c r="AR89" s="142" t="s">
        <v>9</v>
      </c>
      <c r="AS89" s="142"/>
      <c r="AT89" s="142"/>
      <c r="AU89" s="142"/>
      <c r="AV89" s="142"/>
      <c r="AW89" s="142" t="s">
        <v>9</v>
      </c>
      <c r="AX89" s="142" t="s">
        <v>9</v>
      </c>
      <c r="AY89" s="142" t="s">
        <v>9</v>
      </c>
      <c r="AZ89" s="142" t="s">
        <v>9</v>
      </c>
      <c r="BA89" s="142" t="s">
        <v>9</v>
      </c>
      <c r="BB89" s="142" t="s">
        <v>9</v>
      </c>
      <c r="BC89" s="142"/>
      <c r="BD89" s="142" t="s">
        <v>9</v>
      </c>
      <c r="BE89" s="142" t="s">
        <v>9</v>
      </c>
      <c r="BF89" s="142"/>
      <c r="BG89" s="142" t="s">
        <v>9</v>
      </c>
      <c r="BH89" s="142" t="s">
        <v>9</v>
      </c>
      <c r="BI89" s="142" t="s">
        <v>9</v>
      </c>
      <c r="BJ89" s="142" t="s">
        <v>9</v>
      </c>
      <c r="BK89" s="142" t="s">
        <v>9</v>
      </c>
      <c r="BL89" s="142"/>
      <c r="BM89" s="147">
        <v>2</v>
      </c>
      <c r="BN89" s="175"/>
      <c r="BO89" s="175"/>
      <c r="BP89" s="175" t="s">
        <v>893</v>
      </c>
      <c r="BQ89" s="207"/>
      <c r="BR89" s="175">
        <v>2.1000000000000001E-2</v>
      </c>
      <c r="BS89" s="175">
        <v>0.05</v>
      </c>
      <c r="BT89" s="175">
        <v>6.25E-2</v>
      </c>
      <c r="BU89" s="175">
        <f>BS89/2</f>
        <v>2.5000000000000001E-2</v>
      </c>
      <c r="BV89" s="175"/>
      <c r="BW89" s="138">
        <v>53</v>
      </c>
      <c r="BX89" s="166">
        <f t="shared" si="7"/>
        <v>53</v>
      </c>
      <c r="CB89" s="170"/>
    </row>
    <row r="90" spans="1:80" x14ac:dyDescent="0.25">
      <c r="A90" s="138" t="s">
        <v>617</v>
      </c>
      <c r="B90" s="144" t="s">
        <v>748</v>
      </c>
      <c r="C90" s="145" t="s">
        <v>9</v>
      </c>
      <c r="D90" s="146" t="s">
        <v>9</v>
      </c>
      <c r="S90" s="138">
        <f t="shared" si="5"/>
        <v>7</v>
      </c>
      <c r="T90" s="138">
        <f t="shared" si="6"/>
        <v>5</v>
      </c>
      <c r="U90" s="138"/>
      <c r="V90" s="138"/>
      <c r="W90" s="138"/>
      <c r="X90" s="138"/>
      <c r="Y90" s="138"/>
      <c r="Z90" s="138"/>
      <c r="AA90" s="138"/>
      <c r="AB90" s="139"/>
      <c r="AC90" s="141">
        <v>4</v>
      </c>
      <c r="AD90" s="142">
        <v>7</v>
      </c>
      <c r="AE90" s="142"/>
      <c r="AF90" s="142" t="s">
        <v>706</v>
      </c>
      <c r="AG90" s="142">
        <v>1</v>
      </c>
      <c r="AH90" s="142">
        <v>5</v>
      </c>
      <c r="AI90" s="142">
        <v>0</v>
      </c>
      <c r="AJ90" s="142" t="s">
        <v>86</v>
      </c>
      <c r="AK90" s="142" t="s">
        <v>48</v>
      </c>
      <c r="AL90" s="142" t="s">
        <v>705</v>
      </c>
      <c r="AM90" s="142" t="s">
        <v>9</v>
      </c>
      <c r="AN90" s="142" t="s">
        <v>9</v>
      </c>
      <c r="AO90" s="142" t="s">
        <v>9</v>
      </c>
      <c r="AP90" s="142" t="s">
        <v>9</v>
      </c>
      <c r="AQ90" s="142"/>
      <c r="AR90" s="142" t="s">
        <v>9</v>
      </c>
      <c r="AS90" s="142"/>
      <c r="AT90" s="142"/>
      <c r="AU90" s="142"/>
      <c r="AV90" s="142"/>
      <c r="AW90" s="142" t="s">
        <v>9</v>
      </c>
      <c r="AX90" s="142" t="s">
        <v>9</v>
      </c>
      <c r="AY90" s="142" t="s">
        <v>9</v>
      </c>
      <c r="AZ90" s="142" t="s">
        <v>9</v>
      </c>
      <c r="BA90" s="142" t="s">
        <v>9</v>
      </c>
      <c r="BB90" s="142"/>
      <c r="BC90" s="142" t="s">
        <v>9</v>
      </c>
      <c r="BD90" s="142" t="s">
        <v>9</v>
      </c>
      <c r="BE90" s="142" t="s">
        <v>9</v>
      </c>
      <c r="BF90" s="142"/>
      <c r="BG90" s="142" t="s">
        <v>9</v>
      </c>
      <c r="BH90" s="142" t="s">
        <v>9</v>
      </c>
      <c r="BI90" s="142" t="s">
        <v>9</v>
      </c>
      <c r="BJ90" s="142" t="s">
        <v>9</v>
      </c>
      <c r="BK90" s="142" t="s">
        <v>9</v>
      </c>
      <c r="BL90" s="142"/>
      <c r="BM90" s="147">
        <v>2</v>
      </c>
      <c r="BN90" s="175"/>
      <c r="BO90" s="175"/>
      <c r="BP90" s="175" t="s">
        <v>893</v>
      </c>
      <c r="BQ90" s="207"/>
      <c r="BR90" s="175">
        <v>2.1000000000000001E-2</v>
      </c>
      <c r="BS90" s="175">
        <v>8.1000000000000003E-2</v>
      </c>
      <c r="BT90" s="175">
        <v>6.6500000000000004E-2</v>
      </c>
      <c r="BU90" s="175">
        <f>BR90/2</f>
        <v>1.0500000000000001E-2</v>
      </c>
      <c r="BV90" s="175"/>
      <c r="BW90" s="138">
        <v>54</v>
      </c>
      <c r="BX90" s="166">
        <f t="shared" si="7"/>
        <v>54</v>
      </c>
      <c r="CB90" s="170"/>
    </row>
    <row r="91" spans="1:80" x14ac:dyDescent="0.25">
      <c r="A91" s="138" t="s">
        <v>617</v>
      </c>
      <c r="B91" s="144">
        <v>3548</v>
      </c>
      <c r="C91" s="145" t="s">
        <v>9</v>
      </c>
      <c r="D91" s="146" t="s">
        <v>9</v>
      </c>
      <c r="S91" s="138">
        <f t="shared" si="5"/>
        <v>7</v>
      </c>
      <c r="T91" s="138">
        <f t="shared" si="6"/>
        <v>5</v>
      </c>
      <c r="U91" s="138"/>
      <c r="V91" s="138"/>
      <c r="W91" s="138"/>
      <c r="X91" s="138"/>
      <c r="Y91" s="138"/>
      <c r="Z91" s="138"/>
      <c r="AA91" s="138"/>
      <c r="AB91" s="139"/>
      <c r="AC91" s="141">
        <v>4</v>
      </c>
      <c r="AD91" s="142">
        <v>7</v>
      </c>
      <c r="AE91" s="142"/>
      <c r="AF91" s="142" t="s">
        <v>706</v>
      </c>
      <c r="AG91" s="142">
        <v>1</v>
      </c>
      <c r="AH91" s="142">
        <v>5</v>
      </c>
      <c r="AI91" s="142">
        <v>0</v>
      </c>
      <c r="AJ91" s="142" t="s">
        <v>86</v>
      </c>
      <c r="AK91" s="142" t="s">
        <v>48</v>
      </c>
      <c r="AL91" s="142" t="s">
        <v>705</v>
      </c>
      <c r="AM91" s="142" t="s">
        <v>9</v>
      </c>
      <c r="AN91" s="142" t="s">
        <v>9</v>
      </c>
      <c r="AO91" s="142" t="s">
        <v>9</v>
      </c>
      <c r="AP91" s="142" t="s">
        <v>9</v>
      </c>
      <c r="AQ91" s="142"/>
      <c r="AR91" s="142" t="s">
        <v>9</v>
      </c>
      <c r="AS91" s="142"/>
      <c r="AT91" s="142"/>
      <c r="AU91" s="142"/>
      <c r="AV91" s="142"/>
      <c r="AW91" s="142" t="s">
        <v>9</v>
      </c>
      <c r="AX91" s="142" t="s">
        <v>9</v>
      </c>
      <c r="AY91" s="142" t="s">
        <v>9</v>
      </c>
      <c r="AZ91" s="142" t="s">
        <v>9</v>
      </c>
      <c r="BA91" s="142" t="s">
        <v>9</v>
      </c>
      <c r="BB91" s="142" t="s">
        <v>9</v>
      </c>
      <c r="BC91" s="142"/>
      <c r="BD91" s="142" t="s">
        <v>9</v>
      </c>
      <c r="BE91" s="142" t="s">
        <v>9</v>
      </c>
      <c r="BF91" s="142"/>
      <c r="BG91" s="142" t="s">
        <v>9</v>
      </c>
      <c r="BH91" s="142" t="s">
        <v>9</v>
      </c>
      <c r="BI91" s="142" t="s">
        <v>9</v>
      </c>
      <c r="BJ91" s="142" t="s">
        <v>9</v>
      </c>
      <c r="BK91" s="142" t="s">
        <v>9</v>
      </c>
      <c r="BL91" s="142"/>
      <c r="BM91" s="147">
        <v>2</v>
      </c>
      <c r="BN91" s="175"/>
      <c r="BO91" s="175"/>
      <c r="BP91" s="175" t="s">
        <v>893</v>
      </c>
      <c r="BQ91" s="207"/>
      <c r="BR91" s="175">
        <v>2.1000000000000001E-2</v>
      </c>
      <c r="BS91" s="175">
        <v>0.05</v>
      </c>
      <c r="BT91" s="175">
        <v>7.4999999999999997E-2</v>
      </c>
      <c r="BU91" s="175">
        <f>BS91/2</f>
        <v>2.5000000000000001E-2</v>
      </c>
      <c r="BV91" s="175"/>
      <c r="BW91" s="138">
        <v>55</v>
      </c>
      <c r="BX91" s="166">
        <f t="shared" si="7"/>
        <v>55</v>
      </c>
      <c r="CB91" s="170"/>
    </row>
    <row r="92" spans="1:80" x14ac:dyDescent="0.25">
      <c r="A92" s="138" t="s">
        <v>617</v>
      </c>
      <c r="B92" s="144" t="s">
        <v>749</v>
      </c>
      <c r="C92" s="145" t="s">
        <v>9</v>
      </c>
      <c r="D92" s="146" t="s">
        <v>9</v>
      </c>
      <c r="S92" s="138">
        <f t="shared" si="5"/>
        <v>7</v>
      </c>
      <c r="T92" s="138">
        <f t="shared" si="6"/>
        <v>5</v>
      </c>
      <c r="U92" s="138"/>
      <c r="V92" s="138"/>
      <c r="W92" s="138"/>
      <c r="X92" s="138"/>
      <c r="Y92" s="138"/>
      <c r="Z92" s="138"/>
      <c r="AA92" s="138"/>
      <c r="AB92" s="139"/>
      <c r="AC92" s="141">
        <v>4</v>
      </c>
      <c r="AD92" s="142">
        <v>7</v>
      </c>
      <c r="AE92" s="142"/>
      <c r="AF92" s="142" t="s">
        <v>706</v>
      </c>
      <c r="AG92" s="142">
        <v>1</v>
      </c>
      <c r="AH92" s="142">
        <v>5</v>
      </c>
      <c r="AI92" s="142">
        <v>0</v>
      </c>
      <c r="AJ92" s="142" t="s">
        <v>86</v>
      </c>
      <c r="AK92" s="142" t="s">
        <v>48</v>
      </c>
      <c r="AL92" s="142" t="s">
        <v>705</v>
      </c>
      <c r="AM92" s="142" t="s">
        <v>9</v>
      </c>
      <c r="AN92" s="142" t="s">
        <v>9</v>
      </c>
      <c r="AO92" s="142" t="s">
        <v>9</v>
      </c>
      <c r="AP92" s="142" t="s">
        <v>9</v>
      </c>
      <c r="AQ92" s="142"/>
      <c r="AR92" s="142" t="s">
        <v>9</v>
      </c>
      <c r="AS92" s="142"/>
      <c r="AT92" s="142"/>
      <c r="AU92" s="142"/>
      <c r="AV92" s="142"/>
      <c r="AW92" s="142" t="s">
        <v>9</v>
      </c>
      <c r="AX92" s="142" t="s">
        <v>9</v>
      </c>
      <c r="AY92" s="142" t="s">
        <v>9</v>
      </c>
      <c r="AZ92" s="142" t="s">
        <v>9</v>
      </c>
      <c r="BA92" s="142" t="s">
        <v>9</v>
      </c>
      <c r="BB92" s="142"/>
      <c r="BC92" s="142" t="s">
        <v>9</v>
      </c>
      <c r="BD92" s="142" t="s">
        <v>9</v>
      </c>
      <c r="BE92" s="142" t="s">
        <v>9</v>
      </c>
      <c r="BF92" s="142"/>
      <c r="BG92" s="142" t="s">
        <v>9</v>
      </c>
      <c r="BH92" s="142" t="s">
        <v>9</v>
      </c>
      <c r="BI92" s="142" t="s">
        <v>9</v>
      </c>
      <c r="BJ92" s="142" t="s">
        <v>9</v>
      </c>
      <c r="BK92" s="142" t="s">
        <v>9</v>
      </c>
      <c r="BL92" s="142"/>
      <c r="BM92" s="147">
        <v>2</v>
      </c>
      <c r="BN92" s="175"/>
      <c r="BO92" s="175"/>
      <c r="BP92" s="175" t="s">
        <v>893</v>
      </c>
      <c r="BQ92" s="207"/>
      <c r="BR92" s="175">
        <v>0.02</v>
      </c>
      <c r="BS92" s="175">
        <v>7.5999999999999998E-2</v>
      </c>
      <c r="BT92" s="175">
        <v>0.08</v>
      </c>
      <c r="BU92" s="175">
        <f>BR92/2</f>
        <v>0.01</v>
      </c>
      <c r="BV92" s="175"/>
      <c r="BW92" s="138">
        <v>56</v>
      </c>
      <c r="BX92" s="166">
        <f>BW92</f>
        <v>56</v>
      </c>
      <c r="CB92" s="170"/>
    </row>
    <row r="93" spans="1:80" x14ac:dyDescent="0.25">
      <c r="A93" s="175" t="s">
        <v>617</v>
      </c>
      <c r="B93" s="177" t="s">
        <v>861</v>
      </c>
      <c r="C93" s="178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7"/>
      <c r="O93" s="178"/>
      <c r="P93" s="179"/>
      <c r="Q93" s="179"/>
      <c r="R93" s="179"/>
      <c r="S93" s="179"/>
      <c r="T93" s="179"/>
      <c r="U93" s="179"/>
      <c r="V93" s="176"/>
      <c r="W93" s="176"/>
      <c r="X93" s="176"/>
      <c r="Y93" s="176"/>
      <c r="Z93" s="176"/>
      <c r="AA93" s="176"/>
      <c r="AB93" s="180"/>
      <c r="AC93" s="181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  <c r="AN93" s="176"/>
      <c r="AO93" s="176"/>
      <c r="AP93" s="176"/>
      <c r="AQ93" s="176"/>
      <c r="AR93" s="176"/>
      <c r="AS93" s="176"/>
      <c r="AT93" s="176"/>
      <c r="AU93" s="176"/>
      <c r="AV93" s="176"/>
      <c r="AW93" s="185" t="s">
        <v>9</v>
      </c>
      <c r="AX93" s="185"/>
      <c r="AY93" s="185"/>
      <c r="AZ93" s="185"/>
      <c r="BA93" s="185"/>
      <c r="BB93" s="185"/>
      <c r="BC93" s="185"/>
      <c r="BD93" s="185"/>
      <c r="BE93" s="185"/>
      <c r="BF93" s="185"/>
      <c r="BG93" s="185" t="s">
        <v>9</v>
      </c>
      <c r="BH93" s="185" t="s">
        <v>9</v>
      </c>
      <c r="BI93" s="185" t="s">
        <v>9</v>
      </c>
      <c r="BJ93" s="185" t="s">
        <v>9</v>
      </c>
      <c r="BK93" s="185" t="s">
        <v>9</v>
      </c>
      <c r="BL93" s="185"/>
      <c r="BM93" s="185">
        <v>10</v>
      </c>
      <c r="BN93" s="185" t="s">
        <v>9</v>
      </c>
      <c r="BP93" s="175" t="s">
        <v>875</v>
      </c>
      <c r="BQ93" s="175" t="s">
        <v>875</v>
      </c>
      <c r="BR93" s="176">
        <v>8.9999999999999993E-3</v>
      </c>
      <c r="BS93" s="176">
        <v>5.5E-2</v>
      </c>
      <c r="BT93" s="176">
        <v>5.5E-2</v>
      </c>
      <c r="BU93" s="176">
        <f t="shared" ref="BU93:BU103" si="8">BS93/2</f>
        <v>2.75E-2</v>
      </c>
      <c r="BW93" s="187">
        <v>5</v>
      </c>
      <c r="BX93" s="187"/>
    </row>
    <row r="94" spans="1:80" x14ac:dyDescent="0.25">
      <c r="A94" s="175" t="s">
        <v>617</v>
      </c>
      <c r="B94" s="177" t="s">
        <v>862</v>
      </c>
      <c r="C94" s="178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7"/>
      <c r="O94" s="178"/>
      <c r="P94" s="179"/>
      <c r="Q94" s="179"/>
      <c r="R94" s="179"/>
      <c r="S94" s="179"/>
      <c r="T94" s="179"/>
      <c r="U94" s="179"/>
      <c r="V94" s="176"/>
      <c r="W94" s="176"/>
      <c r="X94" s="176"/>
      <c r="Y94" s="176"/>
      <c r="Z94" s="176"/>
      <c r="AA94" s="176"/>
      <c r="AB94" s="180"/>
      <c r="AC94" s="181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85" t="s">
        <v>9</v>
      </c>
      <c r="AX94" s="185"/>
      <c r="AY94" s="185"/>
      <c r="AZ94" s="185"/>
      <c r="BA94" s="185"/>
      <c r="BB94" s="185"/>
      <c r="BC94" s="185"/>
      <c r="BD94" s="185"/>
      <c r="BE94" s="185"/>
      <c r="BF94" s="185"/>
      <c r="BG94" s="185"/>
      <c r="BH94" s="185"/>
      <c r="BI94" s="185"/>
      <c r="BJ94" s="185"/>
      <c r="BK94" s="185"/>
      <c r="BL94" s="185" t="s">
        <v>9</v>
      </c>
      <c r="BM94" s="185">
        <v>10</v>
      </c>
      <c r="BN94" s="185"/>
      <c r="BP94" s="175" t="s">
        <v>875</v>
      </c>
      <c r="BQ94" s="175" t="s">
        <v>875</v>
      </c>
      <c r="BR94" s="176">
        <v>8.9999999999999993E-3</v>
      </c>
      <c r="BS94" s="176">
        <v>5.5E-2</v>
      </c>
      <c r="BT94" s="176">
        <v>5.5E-2</v>
      </c>
      <c r="BU94" s="176">
        <f t="shared" si="8"/>
        <v>2.75E-2</v>
      </c>
      <c r="BW94" s="187">
        <v>5</v>
      </c>
      <c r="BX94" s="187"/>
    </row>
    <row r="95" spans="1:80" x14ac:dyDescent="0.25">
      <c r="A95" s="175" t="s">
        <v>617</v>
      </c>
      <c r="B95" s="177" t="s">
        <v>863</v>
      </c>
      <c r="C95" s="178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7"/>
      <c r="O95" s="178"/>
      <c r="P95" s="179"/>
      <c r="Q95" s="179"/>
      <c r="R95" s="179"/>
      <c r="S95" s="179"/>
      <c r="T95" s="179"/>
      <c r="U95" s="179"/>
      <c r="V95" s="176"/>
      <c r="W95" s="176"/>
      <c r="X95" s="176"/>
      <c r="Y95" s="176"/>
      <c r="Z95" s="176"/>
      <c r="AA95" s="176"/>
      <c r="AB95" s="180"/>
      <c r="AC95" s="181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  <c r="AN95" s="176"/>
      <c r="AO95" s="176"/>
      <c r="AP95" s="176"/>
      <c r="AQ95" s="176"/>
      <c r="AR95" s="176"/>
      <c r="AS95" s="176"/>
      <c r="AT95" s="176"/>
      <c r="AU95" s="176"/>
      <c r="AV95" s="176"/>
      <c r="AW95" s="185" t="s">
        <v>9</v>
      </c>
      <c r="AX95" s="185"/>
      <c r="AY95" s="185"/>
      <c r="AZ95" s="185"/>
      <c r="BA95" s="185"/>
      <c r="BB95" s="185"/>
      <c r="BC95" s="185"/>
      <c r="BD95" s="185"/>
      <c r="BE95" s="185"/>
      <c r="BF95" s="185"/>
      <c r="BG95" s="185"/>
      <c r="BH95" s="185"/>
      <c r="BI95" s="185"/>
      <c r="BJ95" s="185"/>
      <c r="BK95" s="185"/>
      <c r="BL95" s="185" t="s">
        <v>9</v>
      </c>
      <c r="BM95" s="185">
        <v>10</v>
      </c>
      <c r="BN95" s="185"/>
      <c r="BP95" s="175" t="s">
        <v>875</v>
      </c>
      <c r="BQ95" s="175" t="s">
        <v>875</v>
      </c>
      <c r="BR95" s="176">
        <v>8.9999999999999993E-3</v>
      </c>
      <c r="BS95" s="176">
        <v>5.5E-2</v>
      </c>
      <c r="BT95" s="176">
        <v>5.5E-2</v>
      </c>
      <c r="BU95" s="176">
        <f t="shared" si="8"/>
        <v>2.75E-2</v>
      </c>
      <c r="BW95" s="187">
        <v>5</v>
      </c>
      <c r="BX95" s="187"/>
    </row>
    <row r="96" spans="1:80" x14ac:dyDescent="0.25">
      <c r="A96" s="175" t="s">
        <v>617</v>
      </c>
      <c r="B96" s="177" t="s">
        <v>864</v>
      </c>
      <c r="C96" s="178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7"/>
      <c r="O96" s="178"/>
      <c r="P96" s="179"/>
      <c r="Q96" s="179"/>
      <c r="R96" s="179"/>
      <c r="S96" s="179"/>
      <c r="T96" s="179"/>
      <c r="U96" s="179"/>
      <c r="V96" s="176"/>
      <c r="W96" s="176"/>
      <c r="X96" s="176"/>
      <c r="Y96" s="176"/>
      <c r="Z96" s="176"/>
      <c r="AA96" s="176"/>
      <c r="AB96" s="180"/>
      <c r="AC96" s="181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  <c r="AN96" s="176"/>
      <c r="AO96" s="176"/>
      <c r="AP96" s="176"/>
      <c r="AQ96" s="176"/>
      <c r="AR96" s="176"/>
      <c r="AS96" s="176"/>
      <c r="AT96" s="176"/>
      <c r="AU96" s="176"/>
      <c r="AV96" s="176"/>
      <c r="AW96" s="185" t="s">
        <v>9</v>
      </c>
      <c r="AX96" s="185"/>
      <c r="AY96" s="185"/>
      <c r="AZ96" s="185"/>
      <c r="BA96" s="185"/>
      <c r="BB96" s="185"/>
      <c r="BC96" s="185"/>
      <c r="BD96" s="185"/>
      <c r="BE96" s="185"/>
      <c r="BF96" s="185"/>
      <c r="BG96" s="185"/>
      <c r="BH96" s="185"/>
      <c r="BI96" s="185"/>
      <c r="BJ96" s="185"/>
      <c r="BK96" s="185"/>
      <c r="BL96" s="185"/>
      <c r="BM96" s="185">
        <v>10</v>
      </c>
      <c r="BN96" s="185"/>
      <c r="BP96" s="175" t="s">
        <v>875</v>
      </c>
      <c r="BQ96" s="175" t="s">
        <v>875</v>
      </c>
      <c r="BR96" s="176">
        <v>8.9999999999999993E-3</v>
      </c>
      <c r="BS96" s="176">
        <v>5.5E-2</v>
      </c>
      <c r="BT96" s="176">
        <v>5.5E-2</v>
      </c>
      <c r="BU96" s="176">
        <f t="shared" si="8"/>
        <v>2.75E-2</v>
      </c>
      <c r="BW96" s="187">
        <v>9</v>
      </c>
      <c r="BX96" s="187"/>
    </row>
    <row r="97" spans="1:76" x14ac:dyDescent="0.25">
      <c r="A97" s="175" t="s">
        <v>617</v>
      </c>
      <c r="B97" s="177">
        <v>6612</v>
      </c>
      <c r="C97" s="178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7"/>
      <c r="O97" s="178"/>
      <c r="P97" s="179"/>
      <c r="Q97" s="179"/>
      <c r="R97" s="179"/>
      <c r="S97" s="179"/>
      <c r="T97" s="179"/>
      <c r="U97" s="179"/>
      <c r="V97" s="176"/>
      <c r="W97" s="176"/>
      <c r="X97" s="176"/>
      <c r="Y97" s="176"/>
      <c r="Z97" s="176"/>
      <c r="AA97" s="176"/>
      <c r="AB97" s="180"/>
      <c r="AC97" s="181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  <c r="AN97" s="176"/>
      <c r="AO97" s="176"/>
      <c r="AP97" s="176"/>
      <c r="AQ97" s="176"/>
      <c r="AR97" s="176"/>
      <c r="AS97" s="176"/>
      <c r="AT97" s="176"/>
      <c r="AU97" s="176"/>
      <c r="AV97" s="176"/>
      <c r="AW97" s="185" t="s">
        <v>9</v>
      </c>
      <c r="AX97" s="185"/>
      <c r="AY97" s="185"/>
      <c r="AZ97" s="185"/>
      <c r="BA97" s="185"/>
      <c r="BB97" s="185"/>
      <c r="BC97" s="185"/>
      <c r="BD97" s="185"/>
      <c r="BE97" s="185"/>
      <c r="BF97" s="185"/>
      <c r="BG97" s="185"/>
      <c r="BH97" s="185"/>
      <c r="BI97" s="185"/>
      <c r="BJ97" s="185"/>
      <c r="BK97" s="185"/>
      <c r="BL97" s="185" t="s">
        <v>9</v>
      </c>
      <c r="BM97" s="185">
        <v>10</v>
      </c>
      <c r="BN97" s="185"/>
      <c r="BP97" s="175" t="s">
        <v>875</v>
      </c>
      <c r="BQ97" s="175" t="s">
        <v>875</v>
      </c>
      <c r="BR97" s="176">
        <v>8.9999999999999993E-3</v>
      </c>
      <c r="BS97" s="176">
        <v>5.5E-2</v>
      </c>
      <c r="BT97" s="176">
        <v>5.5E-2</v>
      </c>
      <c r="BU97" s="176">
        <f t="shared" si="8"/>
        <v>2.75E-2</v>
      </c>
      <c r="BW97" s="187">
        <v>10</v>
      </c>
      <c r="BX97" s="187"/>
    </row>
    <row r="98" spans="1:76" x14ac:dyDescent="0.25">
      <c r="A98" s="175" t="s">
        <v>617</v>
      </c>
      <c r="B98" s="177">
        <v>7122</v>
      </c>
      <c r="C98" s="178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7"/>
      <c r="O98" s="178"/>
      <c r="P98" s="179"/>
      <c r="Q98" s="179"/>
      <c r="R98" s="179"/>
      <c r="S98" s="179"/>
      <c r="T98" s="179"/>
      <c r="U98" s="179"/>
      <c r="V98" s="176"/>
      <c r="W98" s="176"/>
      <c r="X98" s="176"/>
      <c r="Y98" s="176"/>
      <c r="Z98" s="176"/>
      <c r="AA98" s="176"/>
      <c r="AB98" s="180"/>
      <c r="AC98" s="181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  <c r="AN98" s="176"/>
      <c r="AO98" s="176"/>
      <c r="AP98" s="176"/>
      <c r="AQ98" s="176"/>
      <c r="AR98" s="176"/>
      <c r="AS98" s="176"/>
      <c r="AT98" s="176"/>
      <c r="AU98" s="176"/>
      <c r="AV98" s="176"/>
      <c r="AW98" s="185" t="s">
        <v>9</v>
      </c>
      <c r="AX98" s="185"/>
      <c r="AY98" s="185"/>
      <c r="AZ98" s="185"/>
      <c r="BA98" s="185"/>
      <c r="BB98" s="185"/>
      <c r="BC98" s="185"/>
      <c r="BD98" s="185"/>
      <c r="BE98" s="185"/>
      <c r="BF98" s="185"/>
      <c r="BG98" s="185"/>
      <c r="BH98" s="185"/>
      <c r="BI98" s="185"/>
      <c r="BJ98" s="185"/>
      <c r="BK98" s="185"/>
      <c r="BL98" s="185" t="s">
        <v>9</v>
      </c>
      <c r="BM98" s="185">
        <v>10</v>
      </c>
      <c r="BN98" s="185"/>
      <c r="BP98" s="175" t="s">
        <v>875</v>
      </c>
      <c r="BQ98" s="175" t="s">
        <v>875</v>
      </c>
      <c r="BR98" s="176">
        <v>8.9999999999999993E-3</v>
      </c>
      <c r="BS98" s="176">
        <v>5.5E-2</v>
      </c>
      <c r="BT98" s="176">
        <v>5.5E-2</v>
      </c>
      <c r="BU98" s="176">
        <f t="shared" si="8"/>
        <v>2.75E-2</v>
      </c>
      <c r="BW98" s="187">
        <v>10</v>
      </c>
      <c r="BX98" s="187"/>
    </row>
    <row r="99" spans="1:76" x14ac:dyDescent="0.25">
      <c r="A99" s="175" t="s">
        <v>617</v>
      </c>
      <c r="B99" s="177">
        <v>7123</v>
      </c>
      <c r="C99" s="178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7"/>
      <c r="O99" s="178"/>
      <c r="P99" s="179"/>
      <c r="Q99" s="179"/>
      <c r="R99" s="179"/>
      <c r="S99" s="179"/>
      <c r="T99" s="179"/>
      <c r="U99" s="179"/>
      <c r="V99" s="176"/>
      <c r="W99" s="176"/>
      <c r="X99" s="176"/>
      <c r="Y99" s="176"/>
      <c r="Z99" s="176"/>
      <c r="AA99" s="176"/>
      <c r="AB99" s="180"/>
      <c r="AC99" s="181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  <c r="AO99" s="176"/>
      <c r="AP99" s="176"/>
      <c r="AQ99" s="176"/>
      <c r="AR99" s="176"/>
      <c r="AS99" s="176"/>
      <c r="AT99" s="176"/>
      <c r="AU99" s="176"/>
      <c r="AV99" s="176"/>
      <c r="AW99" s="185" t="s">
        <v>9</v>
      </c>
      <c r="AX99" s="185"/>
      <c r="AY99" s="185"/>
      <c r="AZ99" s="185"/>
      <c r="BA99" s="185"/>
      <c r="BB99" s="185"/>
      <c r="BC99" s="185"/>
      <c r="BD99" s="185"/>
      <c r="BE99" s="185"/>
      <c r="BF99" s="185"/>
      <c r="BG99" s="185"/>
      <c r="BH99" s="185"/>
      <c r="BI99" s="185"/>
      <c r="BJ99" s="185"/>
      <c r="BK99" s="185"/>
      <c r="BL99" s="185" t="s">
        <v>9</v>
      </c>
      <c r="BM99" s="185">
        <v>10</v>
      </c>
      <c r="BN99" s="185"/>
      <c r="BP99" s="175" t="s">
        <v>875</v>
      </c>
      <c r="BQ99" s="175" t="s">
        <v>875</v>
      </c>
      <c r="BR99" s="176">
        <v>8.9999999999999993E-3</v>
      </c>
      <c r="BS99" s="176">
        <v>5.5E-2</v>
      </c>
      <c r="BT99" s="176">
        <v>5.5E-2</v>
      </c>
      <c r="BU99" s="176">
        <f>BS99/2</f>
        <v>2.75E-2</v>
      </c>
      <c r="BW99" s="187">
        <v>10</v>
      </c>
      <c r="BX99" s="187"/>
    </row>
    <row r="100" spans="1:76" x14ac:dyDescent="0.25">
      <c r="A100" s="175" t="s">
        <v>617</v>
      </c>
      <c r="B100" s="177" t="s">
        <v>820</v>
      </c>
      <c r="AW100" s="186"/>
      <c r="AX100" s="185"/>
      <c r="AY100" s="185"/>
      <c r="AZ100" s="185" t="s">
        <v>9</v>
      </c>
      <c r="BA100" s="185"/>
      <c r="BB100" s="186"/>
      <c r="BC100" s="186"/>
      <c r="BD100" s="185"/>
      <c r="BE100" s="186"/>
      <c r="BF100" s="186"/>
      <c r="BG100" s="185" t="s">
        <v>9</v>
      </c>
      <c r="BH100" s="185" t="s">
        <v>9</v>
      </c>
      <c r="BI100" s="185" t="s">
        <v>9</v>
      </c>
      <c r="BJ100" s="185" t="s">
        <v>9</v>
      </c>
      <c r="BK100" s="185" t="s">
        <v>9</v>
      </c>
      <c r="BL100" s="185" t="s">
        <v>9</v>
      </c>
      <c r="BM100" s="185">
        <v>10</v>
      </c>
      <c r="BN100" s="185" t="s">
        <v>9</v>
      </c>
      <c r="BP100" s="175" t="s">
        <v>875</v>
      </c>
      <c r="BQ100" s="175" t="s">
        <v>875</v>
      </c>
      <c r="BR100" s="176">
        <v>8.9999999999999993E-3</v>
      </c>
      <c r="BS100" s="176">
        <v>4.3999999999999997E-2</v>
      </c>
      <c r="BT100" s="176">
        <v>0.158</v>
      </c>
      <c r="BU100" s="176">
        <f t="shared" si="8"/>
        <v>2.1999999999999999E-2</v>
      </c>
      <c r="BW100" s="188">
        <v>3</v>
      </c>
      <c r="BX100" s="189"/>
    </row>
    <row r="101" spans="1:76" x14ac:dyDescent="0.25">
      <c r="A101" s="175" t="s">
        <v>617</v>
      </c>
      <c r="B101" s="177" t="s">
        <v>821</v>
      </c>
      <c r="AW101" s="186"/>
      <c r="AX101" s="186"/>
      <c r="AY101" s="185"/>
      <c r="AZ101" s="186"/>
      <c r="BA101" s="185" t="s">
        <v>9</v>
      </c>
      <c r="BB101" s="186"/>
      <c r="BC101" s="186"/>
      <c r="BD101" s="186"/>
      <c r="BE101" s="186"/>
      <c r="BF101" s="186"/>
      <c r="BG101" s="185" t="s">
        <v>9</v>
      </c>
      <c r="BH101" s="185" t="s">
        <v>9</v>
      </c>
      <c r="BI101" s="185" t="s">
        <v>9</v>
      </c>
      <c r="BJ101" s="185" t="s">
        <v>9</v>
      </c>
      <c r="BK101" s="185" t="s">
        <v>9</v>
      </c>
      <c r="BL101" s="185" t="s">
        <v>9</v>
      </c>
      <c r="BM101" s="185">
        <v>10</v>
      </c>
      <c r="BN101" s="185" t="s">
        <v>9</v>
      </c>
      <c r="BP101" s="175" t="s">
        <v>875</v>
      </c>
      <c r="BQ101" s="175" t="s">
        <v>875</v>
      </c>
      <c r="BR101" s="176">
        <v>8.9999999999999993E-3</v>
      </c>
      <c r="BS101" s="176">
        <v>4.3999999999999997E-2</v>
      </c>
      <c r="BT101" s="176">
        <v>0.158</v>
      </c>
      <c r="BU101" s="176">
        <f t="shared" si="8"/>
        <v>2.1999999999999999E-2</v>
      </c>
      <c r="BW101" s="188">
        <v>4</v>
      </c>
      <c r="BX101" s="189"/>
    </row>
    <row r="102" spans="1:76" x14ac:dyDescent="0.25">
      <c r="A102" s="175" t="s">
        <v>617</v>
      </c>
      <c r="B102" s="177" t="s">
        <v>822</v>
      </c>
      <c r="AW102" s="186"/>
      <c r="AX102" s="185" t="s">
        <v>9</v>
      </c>
      <c r="AY102" s="185"/>
      <c r="AZ102" s="185"/>
      <c r="BA102" s="185"/>
      <c r="BB102" s="186"/>
      <c r="BC102" s="186"/>
      <c r="BD102" s="186"/>
      <c r="BE102" s="186"/>
      <c r="BF102" s="186"/>
      <c r="BG102" s="185" t="s">
        <v>9</v>
      </c>
      <c r="BH102" s="185" t="s">
        <v>9</v>
      </c>
      <c r="BI102" s="185" t="s">
        <v>9</v>
      </c>
      <c r="BJ102" s="185" t="s">
        <v>9</v>
      </c>
      <c r="BK102" s="185" t="s">
        <v>9</v>
      </c>
      <c r="BL102" s="185" t="s">
        <v>9</v>
      </c>
      <c r="BM102" s="185">
        <v>10</v>
      </c>
      <c r="BN102" s="185" t="s">
        <v>9</v>
      </c>
      <c r="BP102" s="175" t="s">
        <v>875</v>
      </c>
      <c r="BQ102" s="175" t="s">
        <v>875</v>
      </c>
      <c r="BR102" s="176">
        <v>8.9999999999999993E-3</v>
      </c>
      <c r="BS102" s="176">
        <v>4.3999999999999997E-2</v>
      </c>
      <c r="BT102" s="176">
        <v>0.22</v>
      </c>
      <c r="BU102" s="176">
        <f t="shared" si="8"/>
        <v>2.1999999999999999E-2</v>
      </c>
      <c r="BW102" s="188">
        <v>2</v>
      </c>
      <c r="BX102" s="189"/>
    </row>
    <row r="103" spans="1:76" x14ac:dyDescent="0.25">
      <c r="A103" s="175" t="s">
        <v>617</v>
      </c>
      <c r="B103" s="177" t="s">
        <v>823</v>
      </c>
      <c r="AW103" s="186"/>
      <c r="AX103" s="186"/>
      <c r="AY103" s="185" t="s">
        <v>9</v>
      </c>
      <c r="AZ103" s="186"/>
      <c r="BA103" s="185"/>
      <c r="BB103" s="186"/>
      <c r="BC103" s="186"/>
      <c r="BD103" s="186"/>
      <c r="BE103" s="186"/>
      <c r="BF103" s="186"/>
      <c r="BG103" s="185" t="s">
        <v>9</v>
      </c>
      <c r="BH103" s="185" t="s">
        <v>9</v>
      </c>
      <c r="BI103" s="185" t="s">
        <v>9</v>
      </c>
      <c r="BJ103" s="185" t="s">
        <v>9</v>
      </c>
      <c r="BK103" s="185" t="s">
        <v>9</v>
      </c>
      <c r="BL103" s="185" t="s">
        <v>9</v>
      </c>
      <c r="BM103" s="185">
        <v>10</v>
      </c>
      <c r="BN103" s="185" t="s">
        <v>9</v>
      </c>
      <c r="BP103" s="175" t="s">
        <v>875</v>
      </c>
      <c r="BQ103" s="175" t="s">
        <v>875</v>
      </c>
      <c r="BR103" s="176">
        <v>8.9999999999999993E-3</v>
      </c>
      <c r="BS103" s="176">
        <v>4.3999999999999997E-2</v>
      </c>
      <c r="BT103" s="176">
        <v>0.22</v>
      </c>
      <c r="BU103" s="176">
        <f t="shared" si="8"/>
        <v>2.1999999999999999E-2</v>
      </c>
      <c r="BW103" s="188">
        <v>1</v>
      </c>
      <c r="BX103" s="189"/>
    </row>
    <row r="104" spans="1:76" x14ac:dyDescent="0.25">
      <c r="A104" s="175" t="s">
        <v>617</v>
      </c>
      <c r="B104" s="177">
        <v>7601</v>
      </c>
      <c r="AW104" s="186"/>
      <c r="AX104" s="186"/>
      <c r="AY104" s="186"/>
      <c r="AZ104" s="186"/>
      <c r="BA104" s="186"/>
      <c r="BB104" s="185" t="s">
        <v>9</v>
      </c>
      <c r="BC104" s="186"/>
      <c r="BD104" s="186"/>
      <c r="BE104" s="186"/>
      <c r="BF104" s="186"/>
      <c r="BG104" s="185" t="s">
        <v>9</v>
      </c>
      <c r="BH104" s="185" t="s">
        <v>9</v>
      </c>
      <c r="BI104" s="185" t="s">
        <v>9</v>
      </c>
      <c r="BJ104" s="185" t="s">
        <v>9</v>
      </c>
      <c r="BK104" s="185" t="s">
        <v>9</v>
      </c>
      <c r="BL104" s="185" t="s">
        <v>9</v>
      </c>
      <c r="BM104" s="185">
        <v>10</v>
      </c>
      <c r="BN104" s="185" t="s">
        <v>9</v>
      </c>
      <c r="BP104" s="175" t="s">
        <v>875</v>
      </c>
      <c r="BQ104" s="175" t="s">
        <v>875</v>
      </c>
      <c r="BR104" s="176">
        <v>8.9999999999999993E-3</v>
      </c>
      <c r="BS104" s="176">
        <v>0.18</v>
      </c>
      <c r="BT104" s="176">
        <v>0.17</v>
      </c>
      <c r="BU104" s="176">
        <v>2.5000000000000001E-2</v>
      </c>
      <c r="BW104" s="188">
        <v>8</v>
      </c>
      <c r="BX104" s="189"/>
    </row>
    <row r="105" spans="1:76" x14ac:dyDescent="0.25">
      <c r="A105" s="175" t="s">
        <v>617</v>
      </c>
      <c r="B105" s="177" t="s">
        <v>865</v>
      </c>
      <c r="BD105" s="185" t="s">
        <v>9</v>
      </c>
      <c r="BG105" s="185"/>
      <c r="BH105" s="185" t="s">
        <v>9</v>
      </c>
      <c r="BI105" s="185" t="s">
        <v>9</v>
      </c>
      <c r="BJ105" s="185" t="s">
        <v>9</v>
      </c>
      <c r="BK105" s="185"/>
      <c r="BM105" s="185">
        <v>11</v>
      </c>
      <c r="BN105" s="185"/>
      <c r="BP105" s="175" t="s">
        <v>875</v>
      </c>
      <c r="BQ105" s="175" t="s">
        <v>875</v>
      </c>
      <c r="BR105" s="176">
        <v>8.9999999999999993E-3</v>
      </c>
      <c r="BS105" s="176">
        <v>3.15E-2</v>
      </c>
      <c r="BT105" s="176">
        <v>6.8500000000000005E-2</v>
      </c>
      <c r="BU105" s="176">
        <f t="shared" ref="BU105:BU112" si="9">BS105/2</f>
        <v>1.575E-2</v>
      </c>
      <c r="BW105" s="188"/>
      <c r="BX105" s="189">
        <v>6</v>
      </c>
    </row>
    <row r="106" spans="1:76" x14ac:dyDescent="0.25">
      <c r="A106" s="175" t="s">
        <v>617</v>
      </c>
      <c r="B106" s="177" t="s">
        <v>866</v>
      </c>
      <c r="BE106" s="185" t="s">
        <v>9</v>
      </c>
      <c r="BG106" s="185"/>
      <c r="BH106" s="185" t="s">
        <v>9</v>
      </c>
      <c r="BI106" s="185" t="s">
        <v>9</v>
      </c>
      <c r="BJ106" s="185" t="s">
        <v>9</v>
      </c>
      <c r="BK106" s="185"/>
      <c r="BM106" s="185">
        <v>11</v>
      </c>
      <c r="BN106" s="185"/>
      <c r="BP106" s="175" t="s">
        <v>875</v>
      </c>
      <c r="BQ106" s="175" t="s">
        <v>875</v>
      </c>
      <c r="BR106" s="176">
        <v>8.9999999999999993E-3</v>
      </c>
      <c r="BS106" s="176">
        <v>3.15E-2</v>
      </c>
      <c r="BT106" s="176">
        <v>6.8500000000000005E-2</v>
      </c>
      <c r="BU106" s="176">
        <f t="shared" si="9"/>
        <v>1.575E-2</v>
      </c>
      <c r="BW106" s="188"/>
      <c r="BX106" s="189">
        <v>7</v>
      </c>
    </row>
    <row r="107" spans="1:76" x14ac:dyDescent="0.25">
      <c r="A107" s="175" t="s">
        <v>617</v>
      </c>
      <c r="B107" s="177" t="s">
        <v>825</v>
      </c>
      <c r="BD107" s="185" t="s">
        <v>9</v>
      </c>
      <c r="BG107" s="185"/>
      <c r="BH107" s="185"/>
      <c r="BI107" s="185"/>
      <c r="BJ107" s="185"/>
      <c r="BK107" s="185"/>
      <c r="BM107" s="185">
        <v>11</v>
      </c>
      <c r="BN107" s="185"/>
      <c r="BP107" s="175" t="s">
        <v>875</v>
      </c>
      <c r="BQ107" s="175" t="s">
        <v>875</v>
      </c>
      <c r="BR107" s="176">
        <v>8.9999999999999993E-3</v>
      </c>
      <c r="BS107" s="176">
        <v>3.15E-2</v>
      </c>
      <c r="BT107" s="176">
        <v>6.8500000000000005E-2</v>
      </c>
      <c r="BU107" s="176">
        <f t="shared" si="9"/>
        <v>1.575E-2</v>
      </c>
      <c r="BW107" s="188"/>
      <c r="BX107" s="189">
        <v>11</v>
      </c>
    </row>
    <row r="108" spans="1:76" x14ac:dyDescent="0.25">
      <c r="A108" s="175" t="s">
        <v>617</v>
      </c>
      <c r="B108" s="177" t="s">
        <v>826</v>
      </c>
      <c r="BE108" s="185" t="s">
        <v>9</v>
      </c>
      <c r="BG108" s="185"/>
      <c r="BH108" s="185"/>
      <c r="BI108" s="185"/>
      <c r="BJ108" s="185"/>
      <c r="BK108" s="185"/>
      <c r="BM108" s="185">
        <v>11</v>
      </c>
      <c r="BN108" s="185"/>
      <c r="BP108" s="175" t="s">
        <v>875</v>
      </c>
      <c r="BQ108" s="175" t="s">
        <v>875</v>
      </c>
      <c r="BR108" s="176">
        <v>8.9999999999999993E-3</v>
      </c>
      <c r="BS108" s="176">
        <v>3.15E-2</v>
      </c>
      <c r="BT108" s="176">
        <v>6.8500000000000005E-2</v>
      </c>
      <c r="BU108" s="176">
        <f t="shared" si="9"/>
        <v>1.575E-2</v>
      </c>
      <c r="BW108" s="188"/>
      <c r="BX108" s="189">
        <v>12</v>
      </c>
    </row>
    <row r="109" spans="1:76" x14ac:dyDescent="0.25">
      <c r="A109" s="175" t="s">
        <v>617</v>
      </c>
      <c r="B109" s="177">
        <v>6679</v>
      </c>
      <c r="BD109" s="185" t="s">
        <v>9</v>
      </c>
      <c r="BG109" s="185"/>
      <c r="BH109" s="185" t="s">
        <v>9</v>
      </c>
      <c r="BI109" s="185" t="s">
        <v>9</v>
      </c>
      <c r="BJ109" s="185" t="s">
        <v>9</v>
      </c>
      <c r="BK109" s="185"/>
      <c r="BM109" s="185">
        <v>11</v>
      </c>
      <c r="BN109" s="185"/>
      <c r="BP109" s="175" t="s">
        <v>875</v>
      </c>
      <c r="BQ109" s="175" t="s">
        <v>875</v>
      </c>
      <c r="BR109" s="176">
        <v>8.9999999999999993E-3</v>
      </c>
      <c r="BS109" s="176">
        <v>3.15E-2</v>
      </c>
      <c r="BT109" s="176">
        <v>6.8500000000000005E-2</v>
      </c>
      <c r="BU109" s="176">
        <f t="shared" si="9"/>
        <v>1.575E-2</v>
      </c>
      <c r="BW109" s="188"/>
      <c r="BX109" s="189">
        <v>13</v>
      </c>
    </row>
    <row r="110" spans="1:76" x14ac:dyDescent="0.25">
      <c r="A110" s="175" t="s">
        <v>617</v>
      </c>
      <c r="B110" s="177">
        <v>6676</v>
      </c>
      <c r="BD110" s="147" t="s">
        <v>9</v>
      </c>
      <c r="BE110" s="185"/>
      <c r="BG110" s="185"/>
      <c r="BH110" s="185" t="s">
        <v>9</v>
      </c>
      <c r="BI110" s="185" t="s">
        <v>9</v>
      </c>
      <c r="BJ110" s="185" t="s">
        <v>9</v>
      </c>
      <c r="BK110" s="185"/>
      <c r="BM110" s="185">
        <v>11</v>
      </c>
      <c r="BN110" s="185"/>
      <c r="BP110" s="175" t="s">
        <v>875</v>
      </c>
      <c r="BQ110" s="175" t="s">
        <v>875</v>
      </c>
      <c r="BR110" s="176">
        <v>8.9999999999999993E-3</v>
      </c>
      <c r="BS110" s="176">
        <v>3.15E-2</v>
      </c>
      <c r="BT110" s="176">
        <v>6.8500000000000005E-2</v>
      </c>
      <c r="BU110" s="176">
        <f t="shared" si="9"/>
        <v>1.575E-2</v>
      </c>
      <c r="BW110" s="188"/>
      <c r="BX110" s="189">
        <v>14</v>
      </c>
    </row>
    <row r="111" spans="1:76" x14ac:dyDescent="0.25">
      <c r="A111" s="175" t="s">
        <v>617</v>
      </c>
      <c r="B111" s="177" t="s">
        <v>897</v>
      </c>
      <c r="AW111" s="185" t="s">
        <v>9</v>
      </c>
      <c r="AX111" s="185"/>
      <c r="AY111" s="185"/>
      <c r="AZ111" s="185"/>
      <c r="BA111" s="185"/>
      <c r="BG111" s="185" t="s">
        <v>9</v>
      </c>
      <c r="BH111" s="185" t="s">
        <v>9</v>
      </c>
      <c r="BI111" s="185" t="s">
        <v>9</v>
      </c>
      <c r="BJ111" s="185" t="s">
        <v>9</v>
      </c>
      <c r="BK111" s="185" t="s">
        <v>9</v>
      </c>
      <c r="BM111" s="185">
        <v>10</v>
      </c>
      <c r="BN111" s="185" t="s">
        <v>9</v>
      </c>
      <c r="BP111" s="175" t="s">
        <v>875</v>
      </c>
      <c r="BQ111" s="175" t="s">
        <v>875</v>
      </c>
      <c r="BR111" s="176">
        <v>5.0000000000000001E-3</v>
      </c>
      <c r="BS111" s="176">
        <v>0.05</v>
      </c>
      <c r="BT111" s="176">
        <v>6.3E-2</v>
      </c>
      <c r="BU111" s="176">
        <f t="shared" si="9"/>
        <v>2.5000000000000001E-2</v>
      </c>
      <c r="BW111" s="185">
        <v>5</v>
      </c>
    </row>
    <row r="112" spans="1:76" x14ac:dyDescent="0.25">
      <c r="A112" s="175" t="s">
        <v>617</v>
      </c>
      <c r="B112" s="177" t="s">
        <v>898</v>
      </c>
      <c r="AW112" s="185" t="s">
        <v>9</v>
      </c>
      <c r="AX112" s="185"/>
      <c r="AY112" s="185"/>
      <c r="AZ112" s="185"/>
      <c r="BA112" s="185"/>
      <c r="BG112" s="185" t="s">
        <v>9</v>
      </c>
      <c r="BH112" s="185" t="s">
        <v>9</v>
      </c>
      <c r="BI112" s="185" t="s">
        <v>9</v>
      </c>
      <c r="BJ112" s="185" t="s">
        <v>9</v>
      </c>
      <c r="BK112" s="185" t="s">
        <v>9</v>
      </c>
      <c r="BM112" s="185">
        <v>10</v>
      </c>
      <c r="BN112" s="185" t="s">
        <v>9</v>
      </c>
      <c r="BP112" s="175" t="s">
        <v>875</v>
      </c>
      <c r="BQ112" s="175" t="s">
        <v>875</v>
      </c>
      <c r="BR112" s="176">
        <v>5.0000000000000001E-3</v>
      </c>
      <c r="BS112" s="176">
        <v>0.05</v>
      </c>
      <c r="BT112" s="176">
        <v>0.05</v>
      </c>
      <c r="BU112" s="176">
        <f t="shared" si="9"/>
        <v>2.5000000000000001E-2</v>
      </c>
      <c r="BW112" s="185">
        <v>5</v>
      </c>
    </row>
    <row r="113" spans="1:76" x14ac:dyDescent="0.25">
      <c r="A113" s="175" t="s">
        <v>617</v>
      </c>
      <c r="B113" s="177" t="s">
        <v>827</v>
      </c>
      <c r="AW113" s="185" t="s">
        <v>9</v>
      </c>
      <c r="AX113" s="185"/>
      <c r="AY113" s="185"/>
      <c r="AZ113" s="185"/>
      <c r="BA113" s="185"/>
      <c r="BG113" s="185" t="s">
        <v>9</v>
      </c>
      <c r="BH113" s="185" t="s">
        <v>9</v>
      </c>
      <c r="BI113" s="185" t="s">
        <v>9</v>
      </c>
      <c r="BJ113" s="185" t="s">
        <v>9</v>
      </c>
      <c r="BK113" s="185" t="s">
        <v>9</v>
      </c>
      <c r="BM113" s="185">
        <v>10</v>
      </c>
      <c r="BN113" s="185" t="s">
        <v>9</v>
      </c>
      <c r="BP113" s="175" t="s">
        <v>875</v>
      </c>
      <c r="BQ113" s="175" t="s">
        <v>875</v>
      </c>
      <c r="BW113" s="185">
        <v>5</v>
      </c>
    </row>
    <row r="114" spans="1:76" x14ac:dyDescent="0.25">
      <c r="A114" s="175" t="s">
        <v>617</v>
      </c>
      <c r="B114" s="177" t="s">
        <v>828</v>
      </c>
      <c r="AW114" s="186"/>
      <c r="AX114" s="185"/>
      <c r="AY114" s="185"/>
      <c r="AZ114" s="185" t="s">
        <v>9</v>
      </c>
      <c r="BA114" s="185"/>
      <c r="BG114" s="185" t="s">
        <v>9</v>
      </c>
      <c r="BH114" s="185" t="s">
        <v>9</v>
      </c>
      <c r="BI114" s="185" t="s">
        <v>9</v>
      </c>
      <c r="BJ114" s="185" t="s">
        <v>9</v>
      </c>
      <c r="BK114" s="185" t="s">
        <v>9</v>
      </c>
      <c r="BM114" s="185">
        <v>10</v>
      </c>
      <c r="BN114" s="185" t="s">
        <v>9</v>
      </c>
      <c r="BP114" s="175" t="s">
        <v>875</v>
      </c>
      <c r="BQ114" s="175" t="s">
        <v>875</v>
      </c>
      <c r="BW114" s="185">
        <v>3</v>
      </c>
    </row>
    <row r="115" spans="1:76" x14ac:dyDescent="0.25">
      <c r="A115" s="175" t="s">
        <v>617</v>
      </c>
      <c r="B115" s="177" t="s">
        <v>829</v>
      </c>
      <c r="AW115" s="186"/>
      <c r="AX115" s="186"/>
      <c r="AY115" s="185"/>
      <c r="AZ115" s="186"/>
      <c r="BA115" s="185" t="s">
        <v>9</v>
      </c>
      <c r="BG115" s="185" t="s">
        <v>9</v>
      </c>
      <c r="BH115" s="185" t="s">
        <v>9</v>
      </c>
      <c r="BI115" s="185" t="s">
        <v>9</v>
      </c>
      <c r="BJ115" s="185" t="s">
        <v>9</v>
      </c>
      <c r="BK115" s="185" t="s">
        <v>9</v>
      </c>
      <c r="BM115" s="185">
        <v>10</v>
      </c>
      <c r="BN115" s="185" t="s">
        <v>9</v>
      </c>
      <c r="BP115" s="175" t="s">
        <v>875</v>
      </c>
      <c r="BQ115" s="175" t="s">
        <v>875</v>
      </c>
      <c r="BW115" s="185">
        <v>4</v>
      </c>
    </row>
    <row r="116" spans="1:76" x14ac:dyDescent="0.25">
      <c r="A116" s="175" t="s">
        <v>617</v>
      </c>
      <c r="B116" s="177" t="s">
        <v>830</v>
      </c>
      <c r="AW116" s="186"/>
      <c r="AX116" s="185" t="s">
        <v>9</v>
      </c>
      <c r="AY116" s="185"/>
      <c r="AZ116" s="185"/>
      <c r="BA116" s="185"/>
      <c r="BG116" s="185" t="s">
        <v>9</v>
      </c>
      <c r="BH116" s="185" t="s">
        <v>9</v>
      </c>
      <c r="BI116" s="185" t="s">
        <v>9</v>
      </c>
      <c r="BJ116" s="185" t="s">
        <v>9</v>
      </c>
      <c r="BK116" s="185" t="s">
        <v>9</v>
      </c>
      <c r="BM116" s="185">
        <v>10</v>
      </c>
      <c r="BN116" s="185" t="s">
        <v>9</v>
      </c>
      <c r="BP116" s="175" t="s">
        <v>875</v>
      </c>
      <c r="BQ116" s="175" t="s">
        <v>875</v>
      </c>
      <c r="BW116" s="185">
        <v>2</v>
      </c>
    </row>
    <row r="117" spans="1:76" x14ac:dyDescent="0.25">
      <c r="A117" s="175" t="s">
        <v>617</v>
      </c>
      <c r="B117" s="177" t="s">
        <v>831</v>
      </c>
      <c r="AW117" s="186"/>
      <c r="AX117" s="186"/>
      <c r="AY117" s="185" t="s">
        <v>9</v>
      </c>
      <c r="AZ117" s="186"/>
      <c r="BA117" s="185"/>
      <c r="BG117" s="185" t="s">
        <v>9</v>
      </c>
      <c r="BH117" s="185" t="s">
        <v>9</v>
      </c>
      <c r="BI117" s="185" t="s">
        <v>9</v>
      </c>
      <c r="BJ117" s="185" t="s">
        <v>9</v>
      </c>
      <c r="BK117" s="185" t="s">
        <v>9</v>
      </c>
      <c r="BM117" s="185">
        <v>10</v>
      </c>
      <c r="BN117" s="185" t="s">
        <v>9</v>
      </c>
      <c r="BP117" s="175" t="s">
        <v>875</v>
      </c>
      <c r="BQ117" s="175" t="s">
        <v>875</v>
      </c>
      <c r="BW117" s="185">
        <v>1</v>
      </c>
    </row>
    <row r="118" spans="1:76" x14ac:dyDescent="0.25">
      <c r="A118" s="175" t="s">
        <v>617</v>
      </c>
      <c r="B118" s="177" t="s">
        <v>832</v>
      </c>
      <c r="BD118" s="185" t="s">
        <v>9</v>
      </c>
      <c r="BE118" s="185"/>
      <c r="BG118" s="185"/>
      <c r="BH118" s="185" t="s">
        <v>9</v>
      </c>
      <c r="BI118" s="185" t="s">
        <v>9</v>
      </c>
      <c r="BJ118" s="185" t="s">
        <v>9</v>
      </c>
      <c r="BK118" s="185"/>
      <c r="BM118" s="185">
        <v>11</v>
      </c>
      <c r="BN118" s="185" t="s">
        <v>9</v>
      </c>
      <c r="BP118" s="175" t="s">
        <v>875</v>
      </c>
      <c r="BQ118" s="175" t="s">
        <v>875</v>
      </c>
      <c r="BW118" s="185">
        <v>6</v>
      </c>
    </row>
    <row r="119" spans="1:76" x14ac:dyDescent="0.25">
      <c r="A119" s="175" t="s">
        <v>617</v>
      </c>
      <c r="B119" s="177" t="s">
        <v>833</v>
      </c>
      <c r="BB119" s="185" t="s">
        <v>9</v>
      </c>
      <c r="BG119" s="185"/>
      <c r="BH119" s="185" t="s">
        <v>9</v>
      </c>
      <c r="BI119" s="185" t="s">
        <v>9</v>
      </c>
      <c r="BJ119" s="185" t="s">
        <v>9</v>
      </c>
      <c r="BK119" s="185"/>
      <c r="BM119" s="185">
        <v>12</v>
      </c>
      <c r="BN119" s="185"/>
      <c r="BP119" s="175" t="s">
        <v>875</v>
      </c>
      <c r="BQ119" s="175" t="s">
        <v>875</v>
      </c>
      <c r="BW119" s="185">
        <v>9</v>
      </c>
    </row>
    <row r="120" spans="1:76" x14ac:dyDescent="0.25">
      <c r="A120" s="175" t="s">
        <v>617</v>
      </c>
      <c r="B120" s="177" t="s">
        <v>834</v>
      </c>
      <c r="BB120" s="185" t="s">
        <v>9</v>
      </c>
      <c r="BG120" s="185"/>
      <c r="BH120" s="185" t="s">
        <v>9</v>
      </c>
      <c r="BI120" s="185" t="s">
        <v>9</v>
      </c>
      <c r="BJ120" s="185" t="s">
        <v>9</v>
      </c>
      <c r="BK120" s="185"/>
      <c r="BM120" s="185">
        <v>12</v>
      </c>
      <c r="BN120" s="185"/>
      <c r="BP120" s="175" t="s">
        <v>875</v>
      </c>
      <c r="BQ120" s="175" t="s">
        <v>875</v>
      </c>
      <c r="BW120" s="185">
        <v>9</v>
      </c>
    </row>
    <row r="121" spans="1:76" x14ac:dyDescent="0.25">
      <c r="A121" s="175" t="s">
        <v>617</v>
      </c>
      <c r="B121" s="177" t="s">
        <v>835</v>
      </c>
      <c r="BB121" s="185" t="s">
        <v>9</v>
      </c>
      <c r="BG121" s="185"/>
      <c r="BH121" s="185" t="s">
        <v>9</v>
      </c>
      <c r="BI121" s="185" t="s">
        <v>9</v>
      </c>
      <c r="BJ121" s="185" t="s">
        <v>9</v>
      </c>
      <c r="BK121" s="185"/>
      <c r="BM121" s="185">
        <v>12</v>
      </c>
      <c r="BN121" s="185"/>
      <c r="BP121" s="175" t="s">
        <v>875</v>
      </c>
      <c r="BQ121" s="175" t="s">
        <v>875</v>
      </c>
      <c r="BW121" s="185">
        <v>10</v>
      </c>
    </row>
    <row r="122" spans="1:76" x14ac:dyDescent="0.25">
      <c r="A122" s="175" t="s">
        <v>867</v>
      </c>
      <c r="B122" s="177">
        <v>8350</v>
      </c>
      <c r="BW122" s="185">
        <v>16</v>
      </c>
      <c r="BX122" s="185"/>
    </row>
    <row r="123" spans="1:76" x14ac:dyDescent="0.25">
      <c r="A123" s="175" t="s">
        <v>867</v>
      </c>
      <c r="B123" s="177" t="s">
        <v>716</v>
      </c>
      <c r="BW123" s="185"/>
      <c r="BX123" s="185">
        <v>72</v>
      </c>
    </row>
    <row r="124" spans="1:76" x14ac:dyDescent="0.25">
      <c r="A124" s="175" t="s">
        <v>867</v>
      </c>
      <c r="B124" s="177">
        <v>3548</v>
      </c>
      <c r="BW124" s="185"/>
      <c r="BX124" s="185">
        <v>55</v>
      </c>
    </row>
    <row r="125" spans="1:76" x14ac:dyDescent="0.25">
      <c r="A125" s="175" t="s">
        <v>868</v>
      </c>
      <c r="BW125" s="185"/>
      <c r="BX125" s="185"/>
    </row>
    <row r="126" spans="1:76" x14ac:dyDescent="0.25">
      <c r="A126" s="175" t="s">
        <v>869</v>
      </c>
      <c r="BW126" s="185"/>
      <c r="BX126" s="185"/>
    </row>
    <row r="128" spans="1:76" x14ac:dyDescent="0.25">
      <c r="B128" s="177"/>
      <c r="C128" s="178"/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7"/>
      <c r="O128" s="178"/>
      <c r="P128" s="179"/>
      <c r="Q128" s="179"/>
      <c r="R128" s="179"/>
      <c r="S128" s="179"/>
      <c r="T128" s="179"/>
      <c r="U128" s="179"/>
      <c r="V128" s="176"/>
      <c r="W128" s="176"/>
      <c r="X128" s="176"/>
      <c r="Y128" s="176"/>
      <c r="Z128" s="176"/>
      <c r="AA128" s="176"/>
      <c r="AB128" s="180"/>
      <c r="AC128" s="181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  <c r="AN128" s="176"/>
      <c r="AO128" s="176"/>
      <c r="AP128" s="176"/>
      <c r="AQ128" s="176"/>
      <c r="AR128" s="176"/>
      <c r="AS128" s="176"/>
      <c r="AT128" s="176"/>
      <c r="AU128" s="176"/>
      <c r="AV128" s="176"/>
      <c r="AW128" s="185"/>
      <c r="AX128" s="185"/>
      <c r="AY128" s="185"/>
      <c r="AZ128" s="185"/>
      <c r="BA128" s="185"/>
      <c r="BB128" s="185"/>
      <c r="BC128" s="185"/>
      <c r="BD128" s="185"/>
      <c r="BE128" s="185"/>
      <c r="BF128" s="185"/>
      <c r="BG128" s="185"/>
      <c r="BH128" s="185"/>
      <c r="BI128" s="185"/>
      <c r="BJ128" s="185"/>
      <c r="BK128" s="185"/>
      <c r="BL128" s="185"/>
      <c r="BM128" s="185"/>
      <c r="BN128" s="185"/>
      <c r="BW128" s="187"/>
      <c r="BX128" s="187"/>
    </row>
    <row r="129" spans="2:76" x14ac:dyDescent="0.25">
      <c r="B129" s="177"/>
      <c r="C129" s="178"/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7"/>
      <c r="O129" s="178"/>
      <c r="P129" s="179"/>
      <c r="Q129" s="179"/>
      <c r="R129" s="179"/>
      <c r="S129" s="179"/>
      <c r="T129" s="179"/>
      <c r="U129" s="179"/>
      <c r="V129" s="176"/>
      <c r="W129" s="176"/>
      <c r="X129" s="176"/>
      <c r="Y129" s="176"/>
      <c r="Z129" s="176"/>
      <c r="AA129" s="176"/>
      <c r="AB129" s="180"/>
      <c r="AC129" s="181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85"/>
      <c r="AX129" s="185"/>
      <c r="AY129" s="185"/>
      <c r="AZ129" s="185"/>
      <c r="BA129" s="185"/>
      <c r="BB129" s="185"/>
      <c r="BC129" s="185"/>
      <c r="BD129" s="185"/>
      <c r="BE129" s="185"/>
      <c r="BF129" s="185"/>
      <c r="BG129" s="185"/>
      <c r="BH129" s="185"/>
      <c r="BI129" s="185"/>
      <c r="BJ129" s="185"/>
      <c r="BK129" s="185"/>
      <c r="BL129" s="185"/>
      <c r="BM129" s="185"/>
      <c r="BN129" s="185"/>
      <c r="BW129" s="187"/>
      <c r="BX129" s="187"/>
    </row>
    <row r="130" spans="2:76" x14ac:dyDescent="0.25">
      <c r="B130" s="177"/>
      <c r="C130" s="178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7"/>
      <c r="O130" s="178"/>
      <c r="P130" s="179"/>
      <c r="Q130" s="179"/>
      <c r="R130" s="179"/>
      <c r="S130" s="179"/>
      <c r="T130" s="179"/>
      <c r="U130" s="179"/>
      <c r="V130" s="176"/>
      <c r="W130" s="176"/>
      <c r="X130" s="176"/>
      <c r="Y130" s="176"/>
      <c r="Z130" s="176"/>
      <c r="AA130" s="176"/>
      <c r="AB130" s="180"/>
      <c r="AC130" s="181"/>
      <c r="AD130" s="176"/>
      <c r="AE130" s="176"/>
      <c r="AF130" s="176"/>
      <c r="AG130" s="176"/>
      <c r="AH130" s="176"/>
      <c r="AI130" s="176"/>
      <c r="AJ130" s="176"/>
      <c r="AK130" s="176"/>
      <c r="AL130" s="176"/>
      <c r="AM130" s="176"/>
      <c r="AN130" s="176"/>
      <c r="AO130" s="176"/>
      <c r="AP130" s="176"/>
      <c r="AQ130" s="176"/>
      <c r="AR130" s="176"/>
      <c r="AS130" s="176"/>
      <c r="AT130" s="176"/>
      <c r="AU130" s="176"/>
      <c r="AV130" s="176"/>
      <c r="AW130" s="185"/>
      <c r="AX130" s="185"/>
      <c r="AY130" s="185"/>
      <c r="AZ130" s="185"/>
      <c r="BA130" s="185"/>
      <c r="BB130" s="185"/>
      <c r="BC130" s="185"/>
      <c r="BD130" s="185"/>
      <c r="BE130" s="185"/>
      <c r="BF130" s="185"/>
      <c r="BG130" s="185"/>
      <c r="BH130" s="185"/>
      <c r="BI130" s="185"/>
      <c r="BJ130" s="185"/>
      <c r="BK130" s="185"/>
      <c r="BL130" s="185"/>
      <c r="BM130" s="185"/>
      <c r="BN130" s="185"/>
      <c r="BW130" s="187"/>
      <c r="BX130" s="187"/>
    </row>
    <row r="131" spans="2:76" x14ac:dyDescent="0.25">
      <c r="B131" s="177"/>
      <c r="C131" s="178"/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7"/>
      <c r="O131" s="178"/>
      <c r="P131" s="179"/>
      <c r="Q131" s="179"/>
      <c r="R131" s="179"/>
      <c r="S131" s="179"/>
      <c r="T131" s="179"/>
      <c r="U131" s="179"/>
      <c r="V131" s="176"/>
      <c r="W131" s="176"/>
      <c r="X131" s="176"/>
      <c r="Y131" s="176"/>
      <c r="Z131" s="176"/>
      <c r="AA131" s="176"/>
      <c r="AB131" s="180"/>
      <c r="AC131" s="181"/>
      <c r="AD131" s="176"/>
      <c r="AE131" s="176"/>
      <c r="AF131" s="176"/>
      <c r="AG131" s="176"/>
      <c r="AH131" s="176"/>
      <c r="AI131" s="176"/>
      <c r="AJ131" s="176"/>
      <c r="AK131" s="176"/>
      <c r="AL131" s="176"/>
      <c r="AM131" s="176"/>
      <c r="AN131" s="176"/>
      <c r="AO131" s="176"/>
      <c r="AP131" s="176"/>
      <c r="AQ131" s="176"/>
      <c r="AR131" s="176"/>
      <c r="AS131" s="176"/>
      <c r="AT131" s="176"/>
      <c r="AU131" s="176"/>
      <c r="AV131" s="176"/>
      <c r="AW131" s="185"/>
      <c r="AX131" s="185"/>
      <c r="AY131" s="185"/>
      <c r="AZ131" s="185"/>
      <c r="BA131" s="185"/>
      <c r="BB131" s="185"/>
      <c r="BC131" s="185"/>
      <c r="BD131" s="185"/>
      <c r="BE131" s="185"/>
      <c r="BF131" s="185"/>
      <c r="BG131" s="185"/>
      <c r="BH131" s="185"/>
      <c r="BI131" s="185"/>
      <c r="BJ131" s="185"/>
      <c r="BK131" s="185"/>
      <c r="BL131" s="185"/>
      <c r="BM131" s="185"/>
      <c r="BN131" s="185"/>
      <c r="BW131" s="187"/>
      <c r="BX131" s="187"/>
    </row>
  </sheetData>
  <mergeCells count="2">
    <mergeCell ref="AC1:AL1"/>
    <mergeCell ref="A3:B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2025-10-01T14:35:11Z</dcterms:modified>
</cp:coreProperties>
</file>